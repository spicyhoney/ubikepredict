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72574e6b0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點摘要" sheetId="1" r:id="Rd0cb04dffcc74171"/>
    <x:sheet xmlns:r="http://schemas.openxmlformats.org/officeDocument/2006/relationships" name="實驗總表" sheetId="2" r:id="R2ae05c5107184102"/>
    <x:sheet xmlns:r="http://schemas.openxmlformats.org/officeDocument/2006/relationships" name="K10比較" sheetId="3" r:id="R87225efba78a4212"/>
    <x:sheet xmlns:r="http://schemas.openxmlformats.org/officeDocument/2006/relationships" name="資料清單" sheetId="4" r:id="Rb71e4aa4a28943e3"/>
    <x:sheet xmlns:r="http://schemas.openxmlformats.org/officeDocument/2006/relationships" name="口徑說明" sheetId="5" r:id="R292d36875123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13">
    <x:font>
      <x:sz val="11"/>
      <x:name val="Carlito"/>
    </x:font>
    <x:font>
      <x:b/>
      <x:sz val="18"/>
      <x:color rgb="FFFFFFFF"/>
      <x:name val="Arial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9"/>
      <x:color rgb="FF27343D"/>
      <x:name val="Arial"/>
    </x:font>
    <x:font>
      <x:sz val="10"/>
      <x:color rgb="FF27343D"/>
      <x:name val="Arial"/>
    </x:font>
    <x:font>
      <x:b/>
      <x:sz val="10"/>
      <x:color rgb="FFD85A5A"/>
      <x:name val="Arial"/>
    </x:font>
    <x:font>
      <x:b/>
      <x:sz val="17"/>
      <x:color rgb="FF27343D"/>
      <x:name val="Arial"/>
    </x:font>
    <x:font>
      <x:b/>
      <x:sz val="14"/>
      <x:color rgb="FF27343D"/>
      <x:name val="Arial"/>
    </x:font>
    <x:font>
      <x:b/>
      <x:sz val="9"/>
      <x:color rgb="FF687782"/>
      <x:name val="Arial"/>
    </x:font>
    <x:font>
      <x:b/>
      <x:sz val="12"/>
      <x:color rgb="FF19766F"/>
      <x:name val="Arial"/>
    </x:font>
    <x:font>
      <x:b/>
      <x:sz val="11"/>
      <x:color rgb="FF27343D"/>
      <x:name val="Arial"/>
    </x:font>
    <x:font>
      <x:sz val="11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75172"/>
      </x:patternFill>
    </x:fill>
    <x:fill>
      <x:patternFill patternType="solid">
        <x:fgColor rgb="FFEAF5EE"/>
      </x:patternFill>
    </x:fill>
    <x:fill>
      <x:patternFill patternType="solid">
        <x:fgColor rgb="FFFBECEC"/>
      </x:patternFill>
    </x:fill>
    <x:fill>
      <x:patternFill patternType="solid">
        <x:fgColor rgb="FFFFF4DE"/>
      </x:patternFill>
    </x:fill>
    <x:fill>
      <x:patternFill patternType="solid">
        <x:fgColor rgb="FF19766F"/>
      </x:patternFill>
    </x:fill>
    <x:fill>
      <x:patternFill patternType="solid">
        <x:fgColor rgb="FFE7F5F2"/>
      </x:patternFill>
    </x:fill>
    <x:fill>
      <x:patternFill patternType="solid">
        <x:fgColor rgb="FF4D87C7"/>
      </x:patternFill>
    </x:fill>
    <x:fill>
      <x:patternFill patternType="solid">
        <x:fgColor rgb="FFF6F8FA"/>
      </x:patternFill>
    </x:fill>
    <x:fill>
      <x:patternFill patternType="solid">
        <x:fgColor rgb="FF239A8F"/>
      </x:patternFill>
    </x:fill>
    <x:fill>
      <x:patternFill patternType="solid">
        <x:fgColor rgb="FF3C8D67"/>
      </x:patternFill>
    </x:fill>
    <x:fill>
      <x:patternFill patternType="solid">
        <x:fgColor rgb="FFF07F3C"/>
      </x:patternFill>
    </x:fill>
  </x:fills>
  <x:borders count="75">
    <x:border/>
    <x:border>
      <x:right style="thin">
        <x:color rgb="FFD8E0E7"/>
      </x:right>
    </x:border>
    <x:border>
      <x:left style="thin">
        <x:color rgb="FFD8E0E7"/>
      </x:left>
      <x:right style="thin">
        <x:color rgb="FFD8E0E7"/>
      </x:right>
    </x:border>
    <x:border>
      <x:left style="thin">
        <x:color rgb="FFD8E0E7"/>
      </x:left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top style="thin">
        <x:color rgb="FFD8E0E7"/>
      </x:top>
    </x:border>
    <x:border>
      <x:left style="thin">
        <x:color rgb="FFE9A23B"/>
      </x:left>
      <x:top style="thin">
        <x:color rgb="FFE9A23B"/>
      </x:top>
    </x:border>
    <x:border>
      <x:top style="thin">
        <x:color rgb="FFE9A23B"/>
      </x:top>
    </x:border>
    <x:border>
      <x:right style="thin">
        <x:color rgb="FFE9A23B"/>
      </x:right>
      <x:top style="thin">
        <x:color rgb="FFE9A23B"/>
      </x:top>
    </x:border>
    <x:border>
      <x:left style="thin">
        <x:color rgb="FFE9A23B"/>
      </x:left>
    </x:border>
    <x:border>
      <x:right style="thin">
        <x:color rgb="FFE9A23B"/>
      </x:right>
    </x:border>
    <x:border>
      <x:left style="thin">
        <x:color rgb="FFE9A23B"/>
      </x:left>
      <x:bottom style="thin">
        <x:color rgb="FFE9A23B"/>
      </x:bottom>
    </x:border>
    <x:border>
      <x:bottom style="thin">
        <x:color rgb="FFE9A23B"/>
      </x:bottom>
    </x:border>
    <x:border>
      <x:right style="thin">
        <x:color rgb="FFE9A23B"/>
      </x:right>
      <x:bottom style="thin">
        <x:color rgb="FFE9A23B"/>
      </x:bottom>
    </x:border>
    <x:border>
      <x:left style="thin">
        <x:color rgb="FFD85A5A"/>
      </x:left>
      <x:top style="thin">
        <x:color rgb="FFD85A5A"/>
      </x:top>
    </x:border>
    <x:border>
      <x:top style="thin">
        <x:color rgb="FFD85A5A"/>
      </x:top>
    </x:border>
    <x:border>
      <x:right style="thin">
        <x:color rgb="FFD85A5A"/>
      </x:right>
      <x:top style="thin">
        <x:color rgb="FFD85A5A"/>
      </x:top>
    </x:border>
    <x:border>
      <x:left style="thin">
        <x:color rgb="FFD85A5A"/>
      </x:left>
    </x:border>
    <x:border>
      <x:right style="thin">
        <x:color rgb="FFD85A5A"/>
      </x:right>
    </x:border>
    <x:border>
      <x:left style="thin">
        <x:color rgb="FFD85A5A"/>
      </x:left>
      <x:bottom style="thin">
        <x:color rgb="FFD85A5A"/>
      </x:bottom>
    </x:border>
    <x:border>
      <x:bottom style="thin">
        <x:color rgb="FFD85A5A"/>
      </x:bottom>
    </x:border>
    <x:border>
      <x:right style="thin">
        <x:color rgb="FFD85A5A"/>
      </x:right>
      <x:bottom style="thin">
        <x:color rgb="FFD85A5A"/>
      </x:bottom>
    </x:border>
    <x:border>
      <x:left style="thin">
        <x:color rgb="FF4D87C7"/>
      </x:left>
      <x:top style="thin">
        <x:color rgb="FF4D87C7"/>
      </x:top>
    </x:border>
    <x:border>
      <x:top style="thin">
        <x:color rgb="FF4D87C7"/>
      </x:top>
    </x:border>
    <x:border>
      <x:right style="thin">
        <x:color rgb="FF4D87C7"/>
      </x:right>
      <x:top style="thin">
        <x:color rgb="FF4D87C7"/>
      </x:top>
    </x:border>
    <x:border>
      <x:left style="thin">
        <x:color rgb="FF4D87C7"/>
      </x:left>
    </x:border>
    <x:border>
      <x:right style="thin">
        <x:color rgb="FF4D87C7"/>
      </x:right>
    </x:border>
    <x:border>
      <x:left style="thin">
        <x:color rgb="FF4D87C7"/>
      </x:left>
      <x:bottom style="thin">
        <x:color rgb="FF4D87C7"/>
      </x:bottom>
    </x:border>
    <x:border>
      <x:bottom style="thin">
        <x:color rgb="FF4D87C7"/>
      </x:bottom>
    </x:border>
    <x:border>
      <x:right style="thin">
        <x:color rgb="FF4D87C7"/>
      </x:right>
      <x:bottom style="thin">
        <x:color rgb="FF4D87C7"/>
      </x:bottom>
    </x:border>
    <x:border>
      <x:left style="thin">
        <x:color rgb="FF239A8F"/>
      </x:left>
      <x:top style="thin">
        <x:color rgb="FF239A8F"/>
      </x:top>
    </x:border>
    <x:border>
      <x:top style="thin">
        <x:color rgb="FF239A8F"/>
      </x:top>
    </x:border>
    <x:border>
      <x:right style="thin">
        <x:color rgb="FF239A8F"/>
      </x:right>
      <x:top style="thin">
        <x:color rgb="FF239A8F"/>
      </x:top>
    </x:border>
    <x:border>
      <x:left style="thin">
        <x:color rgb="FF239A8F"/>
      </x:left>
    </x:border>
    <x:border>
      <x:right style="thin">
        <x:color rgb="FF239A8F"/>
      </x:right>
    </x:border>
    <x:border>
      <x:left style="thin">
        <x:color rgb="FF239A8F"/>
      </x:left>
      <x:bottom style="thin">
        <x:color rgb="FF239A8F"/>
      </x:bottom>
    </x:border>
    <x:border>
      <x:bottom style="thin">
        <x:color rgb="FF239A8F"/>
      </x:bottom>
    </x:border>
    <x:border>
      <x:right style="thin">
        <x:color rgb="FF239A8F"/>
      </x:right>
      <x:bottom style="thin">
        <x:color rgb="FF239A8F"/>
      </x:bottom>
    </x:border>
    <x:border>
      <x:left style="thin">
        <x:color rgb="FF3C8D67"/>
      </x:left>
      <x:top style="thin">
        <x:color rgb="FF3C8D67"/>
      </x:top>
    </x:border>
    <x:border>
      <x:top style="thin">
        <x:color rgb="FF3C8D67"/>
      </x:top>
    </x:border>
    <x:border>
      <x:right style="thin">
        <x:color rgb="FF3C8D67"/>
      </x:right>
      <x:top style="thin">
        <x:color rgb="FF3C8D67"/>
      </x:top>
    </x:border>
    <x:border>
      <x:left style="thin">
        <x:color rgb="FF3C8D67"/>
      </x:left>
    </x:border>
    <x:border>
      <x:right style="thin">
        <x:color rgb="FF3C8D67"/>
      </x:right>
    </x:border>
    <x:border>
      <x:left style="thin">
        <x:color rgb="FF3C8D67"/>
      </x:left>
      <x:bottom style="thin">
        <x:color rgb="FF3C8D67"/>
      </x:bottom>
    </x:border>
    <x:border>
      <x:bottom style="thin">
        <x:color rgb="FF3C8D67"/>
      </x:bottom>
    </x:border>
    <x:border>
      <x:right style="thin">
        <x:color rgb="FF3C8D67"/>
      </x:right>
      <x:bottom style="thin">
        <x:color rgb="FF3C8D67"/>
      </x:bottom>
    </x:border>
    <x:border>
      <x:left style="thin">
        <x:color rgb="FFF07F3C"/>
      </x:left>
      <x:top style="thin">
        <x:color rgb="FFF07F3C"/>
      </x:top>
    </x:border>
    <x:border>
      <x:top style="thin">
        <x:color rgb="FFF07F3C"/>
      </x:top>
    </x:border>
    <x:border>
      <x:right style="thin">
        <x:color rgb="FFF07F3C"/>
      </x:right>
      <x:top style="thin">
        <x:color rgb="FFF07F3C"/>
      </x:top>
    </x:border>
    <x:border>
      <x:left style="thin">
        <x:color rgb="FFF07F3C"/>
      </x:left>
    </x:border>
    <x:border>
      <x:right style="thin">
        <x:color rgb="FFF07F3C"/>
      </x:right>
    </x:border>
    <x:border>
      <x:left style="thin">
        <x:color rgb="FFF07F3C"/>
      </x:left>
      <x:bottom style="thin">
        <x:color rgb="FFF07F3C"/>
      </x:bottom>
    </x:border>
    <x:border>
      <x:bottom style="thin">
        <x:color rgb="FFF07F3C"/>
      </x:bottom>
    </x:border>
    <x:border>
      <x:right style="thin">
        <x:color rgb="FFF07F3C"/>
      </x:right>
      <x:bottom style="thin">
        <x:color rgb="FFF07F3C"/>
      </x:bottom>
    </x:border>
    <x:border>
      <x:left style="medium">
        <x:color rgb="FF239A8F"/>
      </x:left>
      <x:top style="medium">
        <x:color rgb="FF239A8F"/>
      </x:top>
    </x:border>
    <x:border>
      <x:top style="medium">
        <x:color rgb="FF239A8F"/>
      </x:top>
    </x:border>
    <x:border>
      <x:right style="medium">
        <x:color rgb="FF239A8F"/>
      </x:right>
      <x:top style="medium">
        <x:color rgb="FF239A8F"/>
      </x:top>
    </x:border>
    <x:border>
      <x:left style="medium">
        <x:color rgb="FF239A8F"/>
      </x:left>
    </x:border>
    <x:border>
      <x:right style="medium">
        <x:color rgb="FF239A8F"/>
      </x:right>
    </x:border>
    <x:border>
      <x:left style="medium">
        <x:color rgb="FF239A8F"/>
      </x:left>
      <x:bottom style="medium">
        <x:color rgb="FF239A8F"/>
      </x:bottom>
    </x:border>
    <x:border>
      <x:bottom style="medium">
        <x:color rgb="FF239A8F"/>
      </x:bottom>
    </x:border>
    <x:border>
      <x:right style="medium">
        <x:color rgb="FF239A8F"/>
      </x:right>
      <x:bottom style="medium">
        <x:color rgb="FF239A8F"/>
      </x:bottom>
    </x:border>
    <x:border>
      <x:left style="thin">
        <x:color rgb="FFD8E0E7"/>
      </x:left>
      <x:top style="thin">
        <x:color rgb="FFD8E0E7"/>
      </x:top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bottom style="thin">
        <x:color rgb="FFD8E0E7"/>
      </x:bottom>
    </x:border>
    <x:border>
      <x:left style="medium">
        <x:color rgb="FFE9A23B"/>
      </x:left>
      <x:top style="medium">
        <x:color rgb="FFE9A23B"/>
      </x:top>
    </x:border>
    <x:border>
      <x:top style="medium">
        <x:color rgb="FFE9A23B"/>
      </x:top>
    </x:border>
    <x:border>
      <x:right style="medium">
        <x:color rgb="FFE9A23B"/>
      </x:right>
      <x:top style="medium">
        <x:color rgb="FFE9A23B"/>
      </x:top>
    </x:border>
    <x:border>
      <x:left style="medium">
        <x:color rgb="FFE9A23B"/>
      </x:left>
    </x:border>
    <x:border>
      <x:right style="medium">
        <x:color rgb="FFE9A23B"/>
      </x:right>
    </x:border>
    <x:border>
      <x:left style="medium">
        <x:color rgb="FFE9A23B"/>
      </x:left>
      <x:bottom style="medium">
        <x:color rgb="FFE9A23B"/>
      </x:bottom>
    </x:border>
    <x:border>
      <x:bottom style="medium">
        <x:color rgb="FFE9A23B"/>
      </x:bottom>
    </x:border>
    <x:border>
      <x:right style="medium">
        <x:color rgb="FFE9A23B"/>
      </x:right>
      <x:bottom style="medium">
        <x:color rgb="FFE9A23B"/>
      </x:bottom>
    </x:border>
  </x:borders>
  <x:cellStyleXfs count="1">
    <x:xf numFmtId="0" fontId="0" fillId="0" borderId="0"/>
  </x:cellStyleXfs>
  <x:cellXfs count="4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20" xfId="0" applyNumberFormat="1" applyFont="1" applyFill="1" applyBorder="1" applyAlignment="1">
      <x:alignment vertical="center"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23" xfId="0" applyNumberFormat="1" applyFont="1" applyFill="1" applyBorder="1"/>
    <x:xf numFmtId="0" fontId="7" fillId="11" borderId="24" xfId="0" applyNumberFormat="1" applyFont="1" applyFill="1" applyBorder="1"/>
    <x:xf numFmtId="0" fontId="7" fillId="11" borderId="25" xfId="0" applyNumberFormat="1" applyFont="1" applyFill="1" applyBorder="1"/>
    <x:xf numFmtId="0" fontId="7" fillId="11" borderId="26" xfId="0" applyNumberFormat="1" applyFont="1" applyFill="1" applyBorder="1"/>
    <x:xf numFmtId="0" fontId="7" fillId="11" borderId="27" xfId="0" applyNumberFormat="1" applyFont="1" applyFill="1" applyBorder="1"/>
    <x:xf numFmtId="0" fontId="7" fillId="11" borderId="28" xfId="0" applyNumberFormat="1" applyFont="1" applyFill="1" applyBorder="1"/>
    <x:xf numFmtId="0" fontId="7" fillId="11" borderId="29" xfId="0" applyNumberFormat="1" applyFont="1" applyFill="1" applyBorder="1"/>
    <x:xf numFmtId="0" fontId="7" fillId="11" borderId="30" xfId="0" applyNumberFormat="1" applyFont="1" applyFill="1" applyBorder="1"/>
    <x:xf numFmtId="0" fontId="7" fillId="11" borderId="23" xfId="0" applyNumberFormat="1" applyFont="1" applyFill="1" applyBorder="1" applyAlignment="1">
      <x:alignment wrapText="1"/>
    </x:xf>
    <x:xf numFmtId="0" fontId="7" fillId="11" borderId="24" xfId="0" applyNumberFormat="1" applyFont="1" applyFill="1" applyBorder="1" applyAlignment="1">
      <x:alignment wrapText="1"/>
    </x:xf>
    <x:xf numFmtId="0" fontId="7" fillId="11" borderId="25" xfId="0" applyNumberFormat="1" applyFont="1" applyFill="1" applyBorder="1" applyAlignment="1">
      <x:alignment wrapText="1"/>
    </x:xf>
    <x:xf numFmtId="0" fontId="7" fillId="11" borderId="26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wrapText="1"/>
    </x:xf>
    <x:xf numFmtId="0" fontId="7" fillId="11" borderId="27" xfId="0" applyNumberFormat="1" applyFont="1" applyFill="1" applyBorder="1" applyAlignment="1">
      <x:alignment wrapText="1"/>
    </x:xf>
    <x:xf numFmtId="0" fontId="7" fillId="11" borderId="28" xfId="0" applyNumberFormat="1" applyFont="1" applyFill="1" applyBorder="1" applyAlignment="1">
      <x:alignment wrapText="1"/>
    </x:xf>
    <x:xf numFmtId="0" fontId="7" fillId="11" borderId="29" xfId="0" applyNumberFormat="1" applyFont="1" applyFill="1" applyBorder="1" applyAlignment="1">
      <x:alignment wrapText="1"/>
    </x:xf>
    <x:xf numFmtId="0" fontId="7" fillId="11" borderId="30" xfId="0" applyNumberFormat="1" applyFont="1" applyFill="1" applyBorder="1" applyAlignment="1">
      <x:alignment wrapText="1"/>
    </x:xf>
    <x:xf numFmtId="0" fontId="7" fillId="11" borderId="23" xfId="0" applyNumberFormat="1" applyFont="1" applyFill="1" applyBorder="1" applyAlignment="1">
      <x:alignment horizontal="center" wrapText="1"/>
    </x:xf>
    <x:xf numFmtId="0" fontId="7" fillId="11" borderId="24" xfId="0" applyNumberFormat="1" applyFont="1" applyFill="1" applyBorder="1" applyAlignment="1">
      <x:alignment horizontal="center" wrapText="1"/>
    </x:xf>
    <x:xf numFmtId="0" fontId="7" fillId="11" borderId="25" xfId="0" applyNumberFormat="1" applyFont="1" applyFill="1" applyBorder="1" applyAlignment="1">
      <x:alignment horizontal="center" wrapText="1"/>
    </x:xf>
    <x:xf numFmtId="0" fontId="7" fillId="11" borderId="26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horizontal="center" wrapText="1"/>
    </x:xf>
    <x:xf numFmtId="0" fontId="7" fillId="11" borderId="27" xfId="0" applyNumberFormat="1" applyFont="1" applyFill="1" applyBorder="1" applyAlignment="1">
      <x:alignment horizontal="center" wrapText="1"/>
    </x:xf>
    <x:xf numFmtId="0" fontId="7" fillId="11" borderId="28" xfId="0" applyNumberFormat="1" applyFont="1" applyFill="1" applyBorder="1" applyAlignment="1">
      <x:alignment horizontal="center" wrapText="1"/>
    </x:xf>
    <x:xf numFmtId="0" fontId="7" fillId="11" borderId="29" xfId="0" applyNumberFormat="1" applyFont="1" applyFill="1" applyBorder="1" applyAlignment="1">
      <x:alignment horizontal="center" wrapText="1"/>
    </x:xf>
    <x:xf numFmtId="0" fontId="7" fillId="11" borderId="30" xfId="0" applyNumberFormat="1" applyFont="1" applyFill="1" applyBorder="1" applyAlignment="1">
      <x:alignment horizontal="center" wrapText="1"/>
    </x:xf>
    <x:xf numFmtId="0" fontId="7" fillId="11" borderId="23" xfId="0" applyNumberFormat="1" applyFont="1" applyFill="1" applyBorder="1" applyAlignment="1">
      <x:alignment horizontal="center" vertical="center" wrapText="1"/>
    </x:xf>
    <x:xf numFmtId="0" fontId="7" fillId="11" borderId="24" xfId="0" applyNumberFormat="1" applyFont="1" applyFill="1" applyBorder="1" applyAlignment="1">
      <x:alignment horizontal="center" vertical="center" wrapText="1"/>
    </x:xf>
    <x:xf numFmtId="0" fontId="7" fillId="11" borderId="25" xfId="0" applyNumberFormat="1" applyFont="1" applyFill="1" applyBorder="1" applyAlignment="1">
      <x:alignment horizontal="center" vertical="center" wrapText="1"/>
    </x:xf>
    <x:xf numFmtId="0" fontId="7" fillId="11" borderId="26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7" fillId="11" borderId="27" xfId="0" applyNumberFormat="1" applyFont="1" applyFill="1" applyBorder="1" applyAlignment="1">
      <x:alignment horizontal="center" vertical="center" wrapText="1"/>
    </x:xf>
    <x:xf numFmtId="0" fontId="7" fillId="11" borderId="28" xfId="0" applyNumberFormat="1" applyFont="1" applyFill="1" applyBorder="1" applyAlignment="1">
      <x:alignment horizontal="center" vertical="center" wrapText="1"/>
    </x:xf>
    <x:xf numFmtId="0" fontId="7" fillId="11" borderId="29" xfId="0" applyNumberFormat="1" applyFont="1" applyFill="1" applyBorder="1" applyAlignment="1">
      <x:alignment horizontal="center" vertical="center" wrapText="1"/>
    </x:xf>
    <x:xf numFmtId="0" fontId="7" fillId="11" borderId="3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7" fillId="11" borderId="31" xfId="0" applyNumberFormat="1" applyFont="1" applyFill="1" applyBorder="1"/>
    <x:xf numFmtId="0" fontId="7" fillId="11" borderId="32" xfId="0" applyNumberFormat="1" applyFont="1" applyFill="1" applyBorder="1"/>
    <x:xf numFmtId="0" fontId="7" fillId="11" borderId="33" xfId="0" applyNumberFormat="1" applyFont="1" applyFill="1" applyBorder="1"/>
    <x:xf numFmtId="0" fontId="7" fillId="11" borderId="34" xfId="0" applyNumberFormat="1" applyFont="1" applyFill="1" applyBorder="1"/>
    <x:xf numFmtId="0" fontId="7" fillId="11" borderId="35" xfId="0" applyNumberFormat="1" applyFont="1" applyFill="1" applyBorder="1"/>
    <x:xf numFmtId="0" fontId="7" fillId="11" borderId="36" xfId="0" applyNumberFormat="1" applyFont="1" applyFill="1" applyBorder="1"/>
    <x:xf numFmtId="0" fontId="7" fillId="11" borderId="37" xfId="0" applyNumberFormat="1" applyFont="1" applyFill="1" applyBorder="1"/>
    <x:xf numFmtId="0" fontId="7" fillId="11" borderId="38" xfId="0" applyNumberFormat="1" applyFont="1" applyFill="1" applyBorder="1"/>
    <x:xf numFmtId="0" fontId="7" fillId="11" borderId="31" xfId="0" applyNumberFormat="1" applyFont="1" applyFill="1" applyBorder="1" applyAlignment="1">
      <x:alignment wrapText="1"/>
    </x:xf>
    <x:xf numFmtId="0" fontId="7" fillId="11" borderId="32" xfId="0" applyNumberFormat="1" applyFont="1" applyFill="1" applyBorder="1" applyAlignment="1">
      <x:alignment wrapText="1"/>
    </x:xf>
    <x:xf numFmtId="0" fontId="7" fillId="11" borderId="33" xfId="0" applyNumberFormat="1" applyFont="1" applyFill="1" applyBorder="1" applyAlignment="1">
      <x:alignment wrapText="1"/>
    </x:xf>
    <x:xf numFmtId="0" fontId="7" fillId="11" borderId="34" xfId="0" applyNumberFormat="1" applyFont="1" applyFill="1" applyBorder="1" applyAlignment="1">
      <x:alignment wrapText="1"/>
    </x:xf>
    <x:xf numFmtId="0" fontId="7" fillId="11" borderId="35" xfId="0" applyNumberFormat="1" applyFont="1" applyFill="1" applyBorder="1" applyAlignment="1">
      <x:alignment wrapText="1"/>
    </x:xf>
    <x:xf numFmtId="0" fontId="7" fillId="11" borderId="36" xfId="0" applyNumberFormat="1" applyFont="1" applyFill="1" applyBorder="1" applyAlignment="1">
      <x:alignment wrapText="1"/>
    </x:xf>
    <x:xf numFmtId="0" fontId="7" fillId="11" borderId="37" xfId="0" applyNumberFormat="1" applyFont="1" applyFill="1" applyBorder="1" applyAlignment="1">
      <x:alignment wrapText="1"/>
    </x:xf>
    <x:xf numFmtId="0" fontId="7" fillId="11" borderId="38" xfId="0" applyNumberFormat="1" applyFont="1" applyFill="1" applyBorder="1" applyAlignment="1">
      <x:alignment wrapText="1"/>
    </x:xf>
    <x:xf numFmtId="0" fontId="7" fillId="11" borderId="31" xfId="0" applyNumberFormat="1" applyFont="1" applyFill="1" applyBorder="1" applyAlignment="1">
      <x:alignment horizontal="center" wrapText="1"/>
    </x:xf>
    <x:xf numFmtId="0" fontId="7" fillId="11" borderId="32" xfId="0" applyNumberFormat="1" applyFont="1" applyFill="1" applyBorder="1" applyAlignment="1">
      <x:alignment horizontal="center" wrapText="1"/>
    </x:xf>
    <x:xf numFmtId="0" fontId="7" fillId="11" borderId="33" xfId="0" applyNumberFormat="1" applyFont="1" applyFill="1" applyBorder="1" applyAlignment="1">
      <x:alignment horizontal="center" wrapText="1"/>
    </x:xf>
    <x:xf numFmtId="0" fontId="7" fillId="11" borderId="34" xfId="0" applyNumberFormat="1" applyFont="1" applyFill="1" applyBorder="1" applyAlignment="1">
      <x:alignment horizontal="center" wrapText="1"/>
    </x:xf>
    <x:xf numFmtId="0" fontId="7" fillId="11" borderId="35" xfId="0" applyNumberFormat="1" applyFont="1" applyFill="1" applyBorder="1" applyAlignment="1">
      <x:alignment horizontal="center" wrapText="1"/>
    </x:xf>
    <x:xf numFmtId="0" fontId="7" fillId="11" borderId="36" xfId="0" applyNumberFormat="1" applyFont="1" applyFill="1" applyBorder="1" applyAlignment="1">
      <x:alignment horizontal="center" wrapText="1"/>
    </x:xf>
    <x:xf numFmtId="0" fontId="7" fillId="11" borderId="37" xfId="0" applyNumberFormat="1" applyFont="1" applyFill="1" applyBorder="1" applyAlignment="1">
      <x:alignment horizontal="center" wrapText="1"/>
    </x:xf>
    <x:xf numFmtId="0" fontId="7" fillId="11" borderId="38" xfId="0" applyNumberFormat="1" applyFont="1" applyFill="1" applyBorder="1" applyAlignment="1">
      <x:alignment horizontal="center" wrapText="1"/>
    </x:xf>
    <x:xf numFmtId="0" fontId="7" fillId="11" borderId="31" xfId="0" applyNumberFormat="1" applyFont="1" applyFill="1" applyBorder="1" applyAlignment="1">
      <x:alignment horizontal="center" vertical="center" wrapText="1"/>
    </x:xf>
    <x:xf numFmtId="0" fontId="7" fillId="11" borderId="32" xfId="0" applyNumberFormat="1" applyFont="1" applyFill="1" applyBorder="1" applyAlignment="1">
      <x:alignment horizontal="center" vertical="center" wrapText="1"/>
    </x:xf>
    <x:xf numFmtId="0" fontId="7" fillId="11" borderId="33" xfId="0" applyNumberFormat="1" applyFont="1" applyFill="1" applyBorder="1" applyAlignment="1">
      <x:alignment horizontal="center" vertical="center" wrapText="1"/>
    </x:xf>
    <x:xf numFmtId="0" fontId="7" fillId="11" borderId="34" xfId="0" applyNumberFormat="1" applyFont="1" applyFill="1" applyBorder="1" applyAlignment="1">
      <x:alignment horizontal="center" vertical="center" wrapText="1"/>
    </x:xf>
    <x:xf numFmtId="0" fontId="7" fillId="11" borderId="35" xfId="0" applyNumberFormat="1" applyFont="1" applyFill="1" applyBorder="1" applyAlignment="1">
      <x:alignment horizontal="center" vertical="center" wrapText="1"/>
    </x:xf>
    <x:xf numFmtId="0" fontId="7" fillId="11" borderId="36" xfId="0" applyNumberFormat="1" applyFont="1" applyFill="1" applyBorder="1" applyAlignment="1">
      <x:alignment horizontal="center" vertical="center" wrapText="1"/>
    </x:xf>
    <x:xf numFmtId="0" fontId="7" fillId="11" borderId="37" xfId="0" applyNumberFormat="1" applyFont="1" applyFill="1" applyBorder="1" applyAlignment="1">
      <x:alignment horizontal="center" vertical="center" wrapText="1"/>
    </x:xf>
    <x:xf numFmtId="0" fontId="7" fillId="11" borderId="3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7" fillId="11" borderId="39" xfId="0" applyNumberFormat="1" applyFont="1" applyFill="1" applyBorder="1"/>
    <x:xf numFmtId="0" fontId="7" fillId="11" borderId="40" xfId="0" applyNumberFormat="1" applyFont="1" applyFill="1" applyBorder="1"/>
    <x:xf numFmtId="0" fontId="7" fillId="11" borderId="41" xfId="0" applyNumberFormat="1" applyFont="1" applyFill="1" applyBorder="1"/>
    <x:xf numFmtId="0" fontId="7" fillId="11" borderId="42" xfId="0" applyNumberFormat="1" applyFont="1" applyFill="1" applyBorder="1"/>
    <x:xf numFmtId="0" fontId="7" fillId="11" borderId="43" xfId="0" applyNumberFormat="1" applyFont="1" applyFill="1" applyBorder="1"/>
    <x:xf numFmtId="0" fontId="7" fillId="11" borderId="44" xfId="0" applyNumberFormat="1" applyFont="1" applyFill="1" applyBorder="1"/>
    <x:xf numFmtId="0" fontId="7" fillId="11" borderId="45" xfId="0" applyNumberFormat="1" applyFont="1" applyFill="1" applyBorder="1"/>
    <x:xf numFmtId="0" fontId="7" fillId="11" borderId="46" xfId="0" applyNumberFormat="1" applyFont="1" applyFill="1" applyBorder="1"/>
    <x:xf numFmtId="0" fontId="7" fillId="11" borderId="39" xfId="0" applyNumberFormat="1" applyFont="1" applyFill="1" applyBorder="1" applyAlignment="1">
      <x:alignment wrapText="1"/>
    </x:xf>
    <x:xf numFmtId="0" fontId="7" fillId="11" borderId="40" xfId="0" applyNumberFormat="1" applyFont="1" applyFill="1" applyBorder="1" applyAlignment="1">
      <x:alignment wrapText="1"/>
    </x:xf>
    <x:xf numFmtId="0" fontId="7" fillId="11" borderId="41" xfId="0" applyNumberFormat="1" applyFont="1" applyFill="1" applyBorder="1" applyAlignment="1">
      <x:alignment wrapText="1"/>
    </x:xf>
    <x:xf numFmtId="0" fontId="7" fillId="11" borderId="42" xfId="0" applyNumberFormat="1" applyFont="1" applyFill="1" applyBorder="1" applyAlignment="1">
      <x:alignment wrapText="1"/>
    </x:xf>
    <x:xf numFmtId="0" fontId="7" fillId="11" borderId="43" xfId="0" applyNumberFormat="1" applyFont="1" applyFill="1" applyBorder="1" applyAlignment="1">
      <x:alignment wrapText="1"/>
    </x:xf>
    <x:xf numFmtId="0" fontId="7" fillId="11" borderId="44" xfId="0" applyNumberFormat="1" applyFont="1" applyFill="1" applyBorder="1" applyAlignment="1">
      <x:alignment wrapText="1"/>
    </x:xf>
    <x:xf numFmtId="0" fontId="7" fillId="11" borderId="45" xfId="0" applyNumberFormat="1" applyFont="1" applyFill="1" applyBorder="1" applyAlignment="1">
      <x:alignment wrapText="1"/>
    </x:xf>
    <x:xf numFmtId="0" fontId="7" fillId="11" borderId="46" xfId="0" applyNumberFormat="1" applyFont="1" applyFill="1" applyBorder="1" applyAlignment="1">
      <x:alignment wrapText="1"/>
    </x:xf>
    <x:xf numFmtId="0" fontId="7" fillId="11" borderId="39" xfId="0" applyNumberFormat="1" applyFont="1" applyFill="1" applyBorder="1" applyAlignment="1">
      <x:alignment horizontal="center" wrapText="1"/>
    </x:xf>
    <x:xf numFmtId="0" fontId="7" fillId="11" borderId="40" xfId="0" applyNumberFormat="1" applyFont="1" applyFill="1" applyBorder="1" applyAlignment="1">
      <x:alignment horizontal="center" wrapText="1"/>
    </x:xf>
    <x:xf numFmtId="0" fontId="7" fillId="11" borderId="41" xfId="0" applyNumberFormat="1" applyFont="1" applyFill="1" applyBorder="1" applyAlignment="1">
      <x:alignment horizontal="center" wrapText="1"/>
    </x:xf>
    <x:xf numFmtId="0" fontId="7" fillId="11" borderId="42" xfId="0" applyNumberFormat="1" applyFont="1" applyFill="1" applyBorder="1" applyAlignment="1">
      <x:alignment horizontal="center" wrapText="1"/>
    </x:xf>
    <x:xf numFmtId="0" fontId="7" fillId="11" borderId="43" xfId="0" applyNumberFormat="1" applyFont="1" applyFill="1" applyBorder="1" applyAlignment="1">
      <x:alignment horizontal="center" wrapText="1"/>
    </x:xf>
    <x:xf numFmtId="0" fontId="7" fillId="11" borderId="44" xfId="0" applyNumberFormat="1" applyFont="1" applyFill="1" applyBorder="1" applyAlignment="1">
      <x:alignment horizontal="center" wrapText="1"/>
    </x:xf>
    <x:xf numFmtId="0" fontId="7" fillId="11" borderId="45" xfId="0" applyNumberFormat="1" applyFont="1" applyFill="1" applyBorder="1" applyAlignment="1">
      <x:alignment horizontal="center" wrapText="1"/>
    </x:xf>
    <x:xf numFmtId="0" fontId="7" fillId="11" borderId="46" xfId="0" applyNumberFormat="1" applyFont="1" applyFill="1" applyBorder="1" applyAlignment="1">
      <x:alignment horizontal="center" wrapText="1"/>
    </x:xf>
    <x:xf numFmtId="0" fontId="7" fillId="11" borderId="39" xfId="0" applyNumberFormat="1" applyFont="1" applyFill="1" applyBorder="1" applyAlignment="1">
      <x:alignment horizontal="center" vertical="center" wrapText="1"/>
    </x:xf>
    <x:xf numFmtId="0" fontId="7" fillId="11" borderId="40" xfId="0" applyNumberFormat="1" applyFont="1" applyFill="1" applyBorder="1" applyAlignment="1">
      <x:alignment horizontal="center" vertical="center" wrapText="1"/>
    </x:xf>
    <x:xf numFmtId="0" fontId="7" fillId="11" borderId="41" xfId="0" applyNumberFormat="1" applyFont="1" applyFill="1" applyBorder="1" applyAlignment="1">
      <x:alignment horizontal="center" vertical="center" wrapText="1"/>
    </x:xf>
    <x:xf numFmtId="0" fontId="7" fillId="11" borderId="42" xfId="0" applyNumberFormat="1" applyFont="1" applyFill="1" applyBorder="1" applyAlignment="1">
      <x:alignment horizontal="center" vertical="center" wrapText="1"/>
    </x:xf>
    <x:xf numFmtId="0" fontId="7" fillId="11" borderId="43" xfId="0" applyNumberFormat="1" applyFont="1" applyFill="1" applyBorder="1" applyAlignment="1">
      <x:alignment horizontal="center" vertical="center" wrapText="1"/>
    </x:xf>
    <x:xf numFmtId="0" fontId="7" fillId="11" borderId="44" xfId="0" applyNumberFormat="1" applyFont="1" applyFill="1" applyBorder="1" applyAlignment="1">
      <x:alignment horizontal="center" vertical="center" wrapText="1"/>
    </x:xf>
    <x:xf numFmtId="0" fontId="7" fillId="11" borderId="45" xfId="0" applyNumberFormat="1" applyFont="1" applyFill="1" applyBorder="1" applyAlignment="1">
      <x:alignment horizontal="center" vertical="center" wrapText="1"/>
    </x:xf>
    <x:xf numFmtId="0" fontId="7" fillId="11" borderId="4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7" fillId="11" borderId="47" xfId="0" applyNumberFormat="1" applyFont="1" applyFill="1" applyBorder="1"/>
    <x:xf numFmtId="0" fontId="7" fillId="11" borderId="48" xfId="0" applyNumberFormat="1" applyFont="1" applyFill="1" applyBorder="1"/>
    <x:xf numFmtId="0" fontId="7" fillId="11" borderId="49" xfId="0" applyNumberFormat="1" applyFont="1" applyFill="1" applyBorder="1"/>
    <x:xf numFmtId="0" fontId="7" fillId="11" borderId="50" xfId="0" applyNumberFormat="1" applyFont="1" applyFill="1" applyBorder="1"/>
    <x:xf numFmtId="0" fontId="7" fillId="11" borderId="51" xfId="0" applyNumberFormat="1" applyFont="1" applyFill="1" applyBorder="1"/>
    <x:xf numFmtId="0" fontId="7" fillId="11" borderId="52" xfId="0" applyNumberFormat="1" applyFont="1" applyFill="1" applyBorder="1"/>
    <x:xf numFmtId="0" fontId="7" fillId="11" borderId="53" xfId="0" applyNumberFormat="1" applyFont="1" applyFill="1" applyBorder="1"/>
    <x:xf numFmtId="0" fontId="7" fillId="11" borderId="54" xfId="0" applyNumberFormat="1" applyFont="1" applyFill="1" applyBorder="1"/>
    <x:xf numFmtId="0" fontId="7" fillId="11" borderId="47" xfId="0" applyNumberFormat="1" applyFont="1" applyFill="1" applyBorder="1" applyAlignment="1">
      <x:alignment wrapText="1"/>
    </x:xf>
    <x:xf numFmtId="0" fontId="7" fillId="11" borderId="48" xfId="0" applyNumberFormat="1" applyFont="1" applyFill="1" applyBorder="1" applyAlignment="1">
      <x:alignment wrapText="1"/>
    </x:xf>
    <x:xf numFmtId="0" fontId="7" fillId="11" borderId="49" xfId="0" applyNumberFormat="1" applyFont="1" applyFill="1" applyBorder="1" applyAlignment="1">
      <x:alignment wrapText="1"/>
    </x:xf>
    <x:xf numFmtId="0" fontId="7" fillId="11" borderId="50" xfId="0" applyNumberFormat="1" applyFont="1" applyFill="1" applyBorder="1" applyAlignment="1">
      <x:alignment wrapText="1"/>
    </x:xf>
    <x:xf numFmtId="0" fontId="7" fillId="11" borderId="51" xfId="0" applyNumberFormat="1" applyFont="1" applyFill="1" applyBorder="1" applyAlignment="1">
      <x:alignment wrapText="1"/>
    </x:xf>
    <x:xf numFmtId="0" fontId="7" fillId="11" borderId="52" xfId="0" applyNumberFormat="1" applyFont="1" applyFill="1" applyBorder="1" applyAlignment="1">
      <x:alignment wrapText="1"/>
    </x:xf>
    <x:xf numFmtId="0" fontId="7" fillId="11" borderId="53" xfId="0" applyNumberFormat="1" applyFont="1" applyFill="1" applyBorder="1" applyAlignment="1">
      <x:alignment wrapText="1"/>
    </x:xf>
    <x:xf numFmtId="0" fontId="7" fillId="11" borderId="54" xfId="0" applyNumberFormat="1" applyFont="1" applyFill="1" applyBorder="1" applyAlignment="1">
      <x:alignment wrapText="1"/>
    </x:xf>
    <x:xf numFmtId="0" fontId="7" fillId="11" borderId="47" xfId="0" applyNumberFormat="1" applyFont="1" applyFill="1" applyBorder="1" applyAlignment="1">
      <x:alignment horizontal="center" wrapText="1"/>
    </x:xf>
    <x:xf numFmtId="0" fontId="7" fillId="11" borderId="48" xfId="0" applyNumberFormat="1" applyFont="1" applyFill="1" applyBorder="1" applyAlignment="1">
      <x:alignment horizontal="center" wrapText="1"/>
    </x:xf>
    <x:xf numFmtId="0" fontId="7" fillId="11" borderId="49" xfId="0" applyNumberFormat="1" applyFont="1" applyFill="1" applyBorder="1" applyAlignment="1">
      <x:alignment horizontal="center" wrapText="1"/>
    </x:xf>
    <x:xf numFmtId="0" fontId="7" fillId="11" borderId="50" xfId="0" applyNumberFormat="1" applyFont="1" applyFill="1" applyBorder="1" applyAlignment="1">
      <x:alignment horizontal="center" wrapText="1"/>
    </x:xf>
    <x:xf numFmtId="0" fontId="7" fillId="11" borderId="51" xfId="0" applyNumberFormat="1" applyFont="1" applyFill="1" applyBorder="1" applyAlignment="1">
      <x:alignment horizontal="center" wrapText="1"/>
    </x:xf>
    <x:xf numFmtId="0" fontId="7" fillId="11" borderId="52" xfId="0" applyNumberFormat="1" applyFont="1" applyFill="1" applyBorder="1" applyAlignment="1">
      <x:alignment horizontal="center" wrapText="1"/>
    </x:xf>
    <x:xf numFmtId="0" fontId="7" fillId="11" borderId="53" xfId="0" applyNumberFormat="1" applyFont="1" applyFill="1" applyBorder="1" applyAlignment="1">
      <x:alignment horizontal="center" wrapText="1"/>
    </x:xf>
    <x:xf numFmtId="0" fontId="7" fillId="11" borderId="54" xfId="0" applyNumberFormat="1" applyFont="1" applyFill="1" applyBorder="1" applyAlignment="1">
      <x:alignment horizontal="center" wrapText="1"/>
    </x:xf>
    <x:xf numFmtId="0" fontId="7" fillId="11" borderId="47" xfId="0" applyNumberFormat="1" applyFont="1" applyFill="1" applyBorder="1" applyAlignment="1">
      <x:alignment horizontal="center" vertical="center" wrapText="1"/>
    </x:xf>
    <x:xf numFmtId="0" fontId="7" fillId="11" borderId="48" xfId="0" applyNumberFormat="1" applyFont="1" applyFill="1" applyBorder="1" applyAlignment="1">
      <x:alignment horizontal="center" vertical="center" wrapText="1"/>
    </x:xf>
    <x:xf numFmtId="0" fontId="7" fillId="11" borderId="49" xfId="0" applyNumberFormat="1" applyFont="1" applyFill="1" applyBorder="1" applyAlignment="1">
      <x:alignment horizontal="center" vertical="center" wrapText="1"/>
    </x:xf>
    <x:xf numFmtId="0" fontId="7" fillId="11" borderId="50" xfId="0" applyNumberFormat="1" applyFont="1" applyFill="1" applyBorder="1" applyAlignment="1">
      <x:alignment horizontal="center" vertical="center" wrapText="1"/>
    </x:xf>
    <x:xf numFmtId="0" fontId="7" fillId="11" borderId="51" xfId="0" applyNumberFormat="1" applyFont="1" applyFill="1" applyBorder="1" applyAlignment="1">
      <x:alignment horizontal="center" vertical="center" wrapText="1"/>
    </x:xf>
    <x:xf numFmtId="0" fontId="7" fillId="11" borderId="52" xfId="0" applyNumberFormat="1" applyFont="1" applyFill="1" applyBorder="1" applyAlignment="1">
      <x:alignment horizontal="center" vertical="center" wrapText="1"/>
    </x:xf>
    <x:xf numFmtId="0" fontId="7" fillId="11" borderId="53" xfId="0" applyNumberFormat="1" applyFont="1" applyFill="1" applyBorder="1" applyAlignment="1">
      <x:alignment horizontal="center" vertical="center" wrapText="1"/>
    </x:xf>
    <x:xf numFmtId="0" fontId="7" fillId="11" borderId="54" xfId="0" applyNumberFormat="1" applyFont="1" applyFill="1" applyBorder="1" applyAlignment="1">
      <x:alignment horizontal="center" vertical="center" wrapText="1"/>
    </x:xf>
    <x:xf numFmtId="201" fontId="7" fillId="11" borderId="39" xfId="0" applyNumberFormat="1" applyFont="1" applyFill="1" applyBorder="1" applyAlignment="1">
      <x:alignment horizontal="center" vertical="center" wrapText="1"/>
    </x:xf>
    <x:xf numFmtId="201" fontId="7" fillId="11" borderId="40" xfId="0" applyNumberFormat="1" applyFont="1" applyFill="1" applyBorder="1" applyAlignment="1">
      <x:alignment horizontal="center" vertical="center" wrapText="1"/>
    </x:xf>
    <x:xf numFmtId="201" fontId="7" fillId="11" borderId="41" xfId="0" applyNumberFormat="1" applyFont="1" applyFill="1" applyBorder="1" applyAlignment="1">
      <x:alignment horizontal="center" vertical="center" wrapText="1"/>
    </x:xf>
    <x:xf numFmtId="201" fontId="7" fillId="11" borderId="42" xfId="0" applyNumberFormat="1" applyFont="1" applyFill="1" applyBorder="1" applyAlignment="1">
      <x:alignment horizontal="center" vertical="center" wrapText="1"/>
    </x:xf>
    <x:xf numFmtId="201" fontId="7" fillId="11" borderId="0" xfId="0" applyNumberFormat="1" applyFont="1" applyFill="1" applyBorder="1" applyAlignment="1">
      <x:alignment horizontal="center" vertical="center" wrapText="1"/>
    </x:xf>
    <x:xf numFmtId="201" fontId="7" fillId="11" borderId="43" xfId="0" applyNumberFormat="1" applyFont="1" applyFill="1" applyBorder="1" applyAlignment="1">
      <x:alignment horizontal="center" vertical="center" wrapText="1"/>
    </x:xf>
    <x:xf numFmtId="201" fontId="8" fillId="11" borderId="39" xfId="0" applyNumberFormat="1" applyFont="1" applyFill="1" applyBorder="1" applyAlignment="1">
      <x:alignment horizontal="center" vertical="center" wrapText="1"/>
    </x:xf>
    <x:xf numFmtId="201" fontId="8" fillId="11" borderId="40" xfId="0" applyNumberFormat="1" applyFont="1" applyFill="1" applyBorder="1" applyAlignment="1">
      <x:alignment horizontal="center" vertical="center" wrapText="1"/>
    </x:xf>
    <x:xf numFmtId="201" fontId="8" fillId="11" borderId="41" xfId="0" applyNumberFormat="1" applyFont="1" applyFill="1" applyBorder="1" applyAlignment="1">
      <x:alignment horizontal="center" vertical="center" wrapText="1"/>
    </x:xf>
    <x:xf numFmtId="201" fontId="8" fillId="11" borderId="42" xfId="0" applyNumberFormat="1" applyFont="1" applyFill="1" applyBorder="1" applyAlignment="1">
      <x:alignment horizontal="center" vertical="center" wrapText="1"/>
    </x:xf>
    <x:xf numFmtId="201" fontId="8" fillId="11" borderId="0" xfId="0" applyNumberFormat="1" applyFont="1" applyFill="1" applyBorder="1" applyAlignment="1">
      <x:alignment horizontal="center" vertical="center" wrapText="1"/>
    </x:xf>
    <x:xf numFmtId="201" fontId="8" fillId="11" borderId="43" xfId="0" applyNumberFormat="1" applyFont="1" applyFill="1" applyBorder="1" applyAlignment="1">
      <x:alignment horizontal="center" vertical="center" wrapText="1"/>
    </x:xf>
    <x:xf numFmtId="0" fontId="9" fillId="11" borderId="44" xfId="0" applyNumberFormat="1" applyFont="1" applyFill="1" applyBorder="1" applyAlignment="1">
      <x:alignment horizontal="center" vertical="center" wrapText="1"/>
    </x:xf>
    <x:xf numFmtId="0" fontId="9" fillId="11" borderId="45" xfId="0" applyNumberFormat="1" applyFont="1" applyFill="1" applyBorder="1" applyAlignment="1">
      <x:alignment horizontal="center" vertical="center" wrapText="1"/>
    </x:xf>
    <x:xf numFmtId="0" fontId="9" fillId="11" borderId="46" xfId="0" applyNumberFormat="1" applyFont="1" applyFill="1" applyBorder="1" applyAlignment="1">
      <x:alignment horizontal="center" vertical="center" wrapText="1"/>
    </x:xf>
    <x:xf numFmtId="201" fontId="7" fillId="11" borderId="47" xfId="0" applyNumberFormat="1" applyFont="1" applyFill="1" applyBorder="1" applyAlignment="1">
      <x:alignment horizontal="center" vertical="center" wrapText="1"/>
    </x:xf>
    <x:xf numFmtId="201" fontId="7" fillId="11" borderId="48" xfId="0" applyNumberFormat="1" applyFont="1" applyFill="1" applyBorder="1" applyAlignment="1">
      <x:alignment horizontal="center" vertical="center" wrapText="1"/>
    </x:xf>
    <x:xf numFmtId="201" fontId="7" fillId="11" borderId="49" xfId="0" applyNumberFormat="1" applyFont="1" applyFill="1" applyBorder="1" applyAlignment="1">
      <x:alignment horizontal="center" vertical="center" wrapText="1"/>
    </x:xf>
    <x:xf numFmtId="201" fontId="7" fillId="11" borderId="50" xfId="0" applyNumberFormat="1" applyFont="1" applyFill="1" applyBorder="1" applyAlignment="1">
      <x:alignment horizontal="center" vertical="center" wrapText="1"/>
    </x:xf>
    <x:xf numFmtId="201" fontId="7" fillId="11" borderId="51" xfId="0" applyNumberFormat="1" applyFont="1" applyFill="1" applyBorder="1" applyAlignment="1">
      <x:alignment horizontal="center" vertical="center" wrapText="1"/>
    </x:xf>
    <x:xf numFmtId="201" fontId="8" fillId="11" borderId="47" xfId="0" applyNumberFormat="1" applyFont="1" applyFill="1" applyBorder="1" applyAlignment="1">
      <x:alignment horizontal="center" vertical="center" wrapText="1"/>
    </x:xf>
    <x:xf numFmtId="201" fontId="8" fillId="11" borderId="48" xfId="0" applyNumberFormat="1" applyFont="1" applyFill="1" applyBorder="1" applyAlignment="1">
      <x:alignment horizontal="center" vertical="center" wrapText="1"/>
    </x:xf>
    <x:xf numFmtId="201" fontId="8" fillId="11" borderId="49" xfId="0" applyNumberFormat="1" applyFont="1" applyFill="1" applyBorder="1" applyAlignment="1">
      <x:alignment horizontal="center" vertical="center" wrapText="1"/>
    </x:xf>
    <x:xf numFmtId="201" fontId="8" fillId="11" borderId="50" xfId="0" applyNumberFormat="1" applyFont="1" applyFill="1" applyBorder="1" applyAlignment="1">
      <x:alignment horizontal="center" vertical="center" wrapText="1"/>
    </x:xf>
    <x:xf numFmtId="201" fontId="8" fillId="11" borderId="51" xfId="0" applyNumberFormat="1" applyFont="1" applyFill="1" applyBorder="1" applyAlignment="1">
      <x:alignment horizontal="center" vertical="center" wrapText="1"/>
    </x:xf>
    <x:xf numFmtId="0" fontId="9" fillId="11" borderId="52" xfId="0" applyNumberFormat="1" applyFont="1" applyFill="1" applyBorder="1" applyAlignment="1">
      <x:alignment horizontal="center" vertical="center" wrapText="1"/>
    </x:xf>
    <x:xf numFmtId="0" fontId="9" fillId="11" borderId="53" xfId="0" applyNumberFormat="1" applyFont="1" applyFill="1" applyBorder="1" applyAlignment="1">
      <x:alignment horizontal="center" vertical="center" wrapText="1"/>
    </x:xf>
    <x:xf numFmtId="0" fontId="9" fillId="11" borderId="5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55" xfId="0" applyNumberFormat="1" applyFont="1" applyFill="1" applyBorder="1"/>
    <x:xf numFmtId="0" fontId="10" fillId="9" borderId="56" xfId="0" applyNumberFormat="1" applyFont="1" applyFill="1" applyBorder="1"/>
    <x:xf numFmtId="0" fontId="10" fillId="9" borderId="57" xfId="0" applyNumberFormat="1" applyFont="1" applyFill="1" applyBorder="1"/>
    <x:xf numFmtId="0" fontId="10" fillId="9" borderId="58" xfId="0" applyNumberFormat="1" applyFont="1" applyFill="1" applyBorder="1"/>
    <x:xf numFmtId="0" fontId="10" fillId="9" borderId="59" xfId="0" applyNumberFormat="1" applyFont="1" applyFill="1" applyBorder="1"/>
    <x:xf numFmtId="0" fontId="10" fillId="9" borderId="60" xfId="0" applyNumberFormat="1" applyFont="1" applyFill="1" applyBorder="1"/>
    <x:xf numFmtId="0" fontId="10" fillId="9" borderId="61" xfId="0" applyNumberFormat="1" applyFont="1" applyFill="1" applyBorder="1"/>
    <x:xf numFmtId="0" fontId="10" fillId="9" borderId="62" xfId="0" applyNumberFormat="1" applyFont="1" applyFill="1" applyBorder="1"/>
    <x:xf numFmtId="0" fontId="10" fillId="9" borderId="55" xfId="0" applyNumberFormat="1" applyFont="1" applyFill="1" applyBorder="1" applyAlignment="1">
      <x:alignment wrapText="1"/>
    </x:xf>
    <x:xf numFmtId="0" fontId="10" fillId="9" borderId="56" xfId="0" applyNumberFormat="1" applyFont="1" applyFill="1" applyBorder="1" applyAlignment="1">
      <x:alignment wrapText="1"/>
    </x:xf>
    <x:xf numFmtId="0" fontId="10" fillId="9" borderId="57" xfId="0" applyNumberFormat="1" applyFont="1" applyFill="1" applyBorder="1" applyAlignment="1">
      <x:alignment wrapText="1"/>
    </x:xf>
    <x:xf numFmtId="0" fontId="10" fillId="9" borderId="58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59" xfId="0" applyNumberFormat="1" applyFont="1" applyFill="1" applyBorder="1" applyAlignment="1">
      <x:alignment wrapText="1"/>
    </x:xf>
    <x:xf numFmtId="0" fontId="10" fillId="9" borderId="60" xfId="0" applyNumberFormat="1" applyFont="1" applyFill="1" applyBorder="1" applyAlignment="1">
      <x:alignment wrapText="1"/>
    </x:xf>
    <x:xf numFmtId="0" fontId="10" fillId="9" borderId="61" xfId="0" applyNumberFormat="1" applyFont="1" applyFill="1" applyBorder="1" applyAlignment="1">
      <x:alignment wrapText="1"/>
    </x:xf>
    <x:xf numFmtId="0" fontId="10" fillId="9" borderId="62" xfId="0" applyNumberFormat="1" applyFont="1" applyFill="1" applyBorder="1" applyAlignment="1">
      <x:alignment wrapText="1"/>
    </x:xf>
    <x:xf numFmtId="0" fontId="10" fillId="9" borderId="55" xfId="0" applyNumberFormat="1" applyFont="1" applyFill="1" applyBorder="1" applyAlignment="1">
      <x:alignment horizontal="center" wrapText="1"/>
    </x:xf>
    <x:xf numFmtId="0" fontId="10" fillId="9" borderId="56" xfId="0" applyNumberFormat="1" applyFont="1" applyFill="1" applyBorder="1" applyAlignment="1">
      <x:alignment horizontal="center" wrapText="1"/>
    </x:xf>
    <x:xf numFmtId="0" fontId="10" fillId="9" borderId="57" xfId="0" applyNumberFormat="1" applyFont="1" applyFill="1" applyBorder="1" applyAlignment="1">
      <x:alignment horizontal="center" wrapText="1"/>
    </x:xf>
    <x:xf numFmtId="0" fontId="10" fillId="9" borderId="58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59" xfId="0" applyNumberFormat="1" applyFont="1" applyFill="1" applyBorder="1" applyAlignment="1">
      <x:alignment horizontal="center" wrapText="1"/>
    </x:xf>
    <x:xf numFmtId="0" fontId="10" fillId="9" borderId="60" xfId="0" applyNumberFormat="1" applyFont="1" applyFill="1" applyBorder="1" applyAlignment="1">
      <x:alignment horizontal="center" wrapText="1"/>
    </x:xf>
    <x:xf numFmtId="0" fontId="10" fillId="9" borderId="61" xfId="0" applyNumberFormat="1" applyFont="1" applyFill="1" applyBorder="1" applyAlignment="1">
      <x:alignment horizontal="center" wrapText="1"/>
    </x:xf>
    <x:xf numFmtId="0" fontId="10" fillId="9" borderId="62" xfId="0" applyNumberFormat="1" applyFont="1" applyFill="1" applyBorder="1" applyAlignment="1">
      <x:alignment horizontal="center" wrapText="1"/>
    </x:xf>
    <x:xf numFmtId="0" fontId="10" fillId="9" borderId="55" xfId="0" applyNumberFormat="1" applyFont="1" applyFill="1" applyBorder="1" applyAlignment="1">
      <x:alignment horizontal="center" vertical="center" wrapText="1"/>
    </x:xf>
    <x:xf numFmtId="0" fontId="10" fillId="9" borderId="56" xfId="0" applyNumberFormat="1" applyFont="1" applyFill="1" applyBorder="1" applyAlignment="1">
      <x:alignment horizontal="center" vertical="center" wrapText="1"/>
    </x:xf>
    <x:xf numFmtId="0" fontId="10" fillId="9" borderId="57" xfId="0" applyNumberFormat="1" applyFont="1" applyFill="1" applyBorder="1" applyAlignment="1">
      <x:alignment horizontal="center" vertical="center" wrapText="1"/>
    </x:xf>
    <x:xf numFmtId="0" fontId="10" fillId="9" borderId="58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59" xfId="0" applyNumberFormat="1" applyFont="1" applyFill="1" applyBorder="1" applyAlignment="1">
      <x:alignment horizontal="center" vertical="center" wrapText="1"/>
    </x:xf>
    <x:xf numFmtId="0" fontId="10" fillId="9" borderId="60" xfId="0" applyNumberFormat="1" applyFont="1" applyFill="1" applyBorder="1" applyAlignment="1">
      <x:alignment horizontal="center" vertical="center" wrapText="1"/>
    </x:xf>
    <x:xf numFmtId="0" fontId="10" fillId="9" borderId="61" xfId="0" applyNumberFormat="1" applyFont="1" applyFill="1" applyBorder="1" applyAlignment="1">
      <x:alignment horizontal="center" vertical="center" wrapText="1"/>
    </x:xf>
    <x:xf numFmtId="0" fontId="10" fillId="9" borderId="62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/>
    <x:xf numFmtId="0" fontId="5" fillId="11" borderId="63" xfId="0" applyNumberFormat="1" applyFont="1" applyFill="1" applyBorder="1"/>
    <x:xf numFmtId="0" fontId="5" fillId="11" borderId="6" xfId="0" applyNumberFormat="1" applyFont="1" applyFill="1" applyBorder="1"/>
    <x:xf numFmtId="0" fontId="5" fillId="11" borderId="64" xfId="0" applyNumberFormat="1" applyFont="1" applyFill="1" applyBorder="1"/>
    <x:xf numFmtId="0" fontId="5" fillId="11" borderId="3" xfId="0" applyNumberFormat="1" applyFont="1" applyFill="1" applyBorder="1"/>
    <x:xf numFmtId="0" fontId="5" fillId="11" borderId="1" xfId="0" applyNumberFormat="1" applyFont="1" applyFill="1" applyBorder="1"/>
    <x:xf numFmtId="0" fontId="5" fillId="11" borderId="65" xfId="0" applyNumberFormat="1" applyFont="1" applyFill="1" applyBorder="1"/>
    <x:xf numFmtId="0" fontId="5" fillId="11" borderId="4" xfId="0" applyNumberFormat="1" applyFont="1" applyFill="1" applyBorder="1"/>
    <x:xf numFmtId="0" fontId="5" fillId="11" borderId="66" xfId="0" applyNumberFormat="1" applyFont="1" applyFill="1" applyBorder="1"/>
    <x:xf numFmtId="0" fontId="5" fillId="11" borderId="63" xfId="0" applyNumberFormat="1" applyFont="1" applyFill="1" applyBorder="1" applyAlignment="1">
      <x:alignment wrapText="1"/>
    </x:xf>
    <x:xf numFmtId="0" fontId="5" fillId="11" borderId="6" xfId="0" applyNumberFormat="1" applyFont="1" applyFill="1" applyBorder="1" applyAlignment="1">
      <x:alignment wrapText="1"/>
    </x:xf>
    <x:xf numFmtId="0" fontId="5" fillId="11" borderId="64" xfId="0" applyNumberFormat="1" applyFont="1" applyFill="1" applyBorder="1" applyAlignment="1">
      <x:alignment wrapText="1"/>
    </x:xf>
    <x:xf numFmtId="0" fontId="5" fillId="11" borderId="3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5" fillId="11" borderId="65" xfId="0" applyNumberFormat="1" applyFont="1" applyFill="1" applyBorder="1" applyAlignment="1">
      <x:alignment wrapText="1"/>
    </x:xf>
    <x:xf numFmtId="0" fontId="5" fillId="11" borderId="4" xfId="0" applyNumberFormat="1" applyFont="1" applyFill="1" applyBorder="1" applyAlignment="1">
      <x:alignment wrapText="1"/>
    </x:xf>
    <x:xf numFmtId="0" fontId="5" fillId="11" borderId="66" xfId="0" applyNumberFormat="1" applyFont="1" applyFill="1" applyBorder="1" applyAlignment="1">
      <x:alignment wrapText="1"/>
    </x:xf>
    <x:xf numFmtId="0" fontId="5" fillId="11" borderId="63" xfId="0" applyNumberFormat="1" applyFont="1" applyFill="1" applyBorder="1" applyAlignment="1">
      <x:alignment vertical="center" wrapText="1"/>
    </x:xf>
    <x:xf numFmtId="0" fontId="5" fillId="11" borderId="6" xfId="0" applyNumberFormat="1" applyFont="1" applyFill="1" applyBorder="1" applyAlignment="1">
      <x:alignment vertical="center" wrapText="1"/>
    </x:xf>
    <x:xf numFmtId="0" fontId="5" fillId="11" borderId="64" xfId="0" applyNumberFormat="1" applyFont="1" applyFill="1" applyBorder="1" applyAlignment="1">
      <x:alignment vertical="center" wrapText="1"/>
    </x:xf>
    <x:xf numFmtId="0" fontId="5" fillId="11" borderId="3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65" xfId="0" applyNumberFormat="1" applyFont="1" applyFill="1" applyBorder="1" applyAlignment="1">
      <x:alignment vertical="center" wrapText="1"/>
    </x:xf>
    <x:xf numFmtId="0" fontId="5" fillId="11" borderId="4" xfId="0" applyNumberFormat="1" applyFont="1" applyFill="1" applyBorder="1" applyAlignment="1">
      <x:alignment vertical="center" wrapText="1"/>
    </x:xf>
    <x:xf numFmtId="0" fontId="5" fillId="11" borderId="66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/>
    <x:xf numFmtId="0" fontId="11" fillId="7" borderId="67" xfId="0" applyNumberFormat="1" applyFont="1" applyFill="1" applyBorder="1"/>
    <x:xf numFmtId="0" fontId="11" fillId="7" borderId="68" xfId="0" applyNumberFormat="1" applyFont="1" applyFill="1" applyBorder="1"/>
    <x:xf numFmtId="0" fontId="11" fillId="7" borderId="69" xfId="0" applyNumberFormat="1" applyFont="1" applyFill="1" applyBorder="1"/>
    <x:xf numFmtId="0" fontId="11" fillId="7" borderId="70" xfId="0" applyNumberFormat="1" applyFont="1" applyFill="1" applyBorder="1"/>
    <x:xf numFmtId="0" fontId="11" fillId="7" borderId="71" xfId="0" applyNumberFormat="1" applyFont="1" applyFill="1" applyBorder="1"/>
    <x:xf numFmtId="0" fontId="11" fillId="7" borderId="72" xfId="0" applyNumberFormat="1" applyFont="1" applyFill="1" applyBorder="1"/>
    <x:xf numFmtId="0" fontId="11" fillId="7" borderId="73" xfId="0" applyNumberFormat="1" applyFont="1" applyFill="1" applyBorder="1"/>
    <x:xf numFmtId="0" fontId="11" fillId="7" borderId="74" xfId="0" applyNumberFormat="1" applyFont="1" applyFill="1" applyBorder="1"/>
    <x:xf numFmtId="0" fontId="11" fillId="7" borderId="67" xfId="0" applyNumberFormat="1" applyFont="1" applyFill="1" applyBorder="1" applyAlignment="1">
      <x:alignment wrapText="1"/>
    </x:xf>
    <x:xf numFmtId="0" fontId="11" fillId="7" borderId="68" xfId="0" applyNumberFormat="1" applyFont="1" applyFill="1" applyBorder="1" applyAlignment="1">
      <x:alignment wrapText="1"/>
    </x:xf>
    <x:xf numFmtId="0" fontId="11" fillId="7" borderId="69" xfId="0" applyNumberFormat="1" applyFont="1" applyFill="1" applyBorder="1" applyAlignment="1">
      <x:alignment wrapText="1"/>
    </x:xf>
    <x:xf numFmtId="0" fontId="11" fillId="7" borderId="7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71" xfId="0" applyNumberFormat="1" applyFont="1" applyFill="1" applyBorder="1" applyAlignment="1">
      <x:alignment wrapText="1"/>
    </x:xf>
    <x:xf numFmtId="0" fontId="11" fillId="7" borderId="72" xfId="0" applyNumberFormat="1" applyFont="1" applyFill="1" applyBorder="1" applyAlignment="1">
      <x:alignment wrapText="1"/>
    </x:xf>
    <x:xf numFmtId="0" fontId="11" fillId="7" borderId="73" xfId="0" applyNumberFormat="1" applyFont="1" applyFill="1" applyBorder="1" applyAlignment="1">
      <x:alignment wrapText="1"/>
    </x:xf>
    <x:xf numFmtId="0" fontId="11" fillId="7" borderId="74" xfId="0" applyNumberFormat="1" applyFont="1" applyFill="1" applyBorder="1" applyAlignment="1">
      <x:alignment wrapText="1"/>
    </x:xf>
    <x:xf numFmtId="0" fontId="11" fillId="7" borderId="67" xfId="0" applyNumberFormat="1" applyFont="1" applyFill="1" applyBorder="1" applyAlignment="1">
      <x:alignment horizontal="center" wrapText="1"/>
    </x:xf>
    <x:xf numFmtId="0" fontId="11" fillId="7" borderId="68" xfId="0" applyNumberFormat="1" applyFont="1" applyFill="1" applyBorder="1" applyAlignment="1">
      <x:alignment horizontal="center" wrapText="1"/>
    </x:xf>
    <x:xf numFmtId="0" fontId="11" fillId="7" borderId="69" xfId="0" applyNumberFormat="1" applyFont="1" applyFill="1" applyBorder="1" applyAlignment="1">
      <x:alignment horizontal="center" wrapText="1"/>
    </x:xf>
    <x:xf numFmtId="0" fontId="11" fillId="7" borderId="7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71" xfId="0" applyNumberFormat="1" applyFont="1" applyFill="1" applyBorder="1" applyAlignment="1">
      <x:alignment horizontal="center" wrapText="1"/>
    </x:xf>
    <x:xf numFmtId="0" fontId="11" fillId="7" borderId="72" xfId="0" applyNumberFormat="1" applyFont="1" applyFill="1" applyBorder="1" applyAlignment="1">
      <x:alignment horizontal="center" wrapText="1"/>
    </x:xf>
    <x:xf numFmtId="0" fontId="11" fillId="7" borderId="73" xfId="0" applyNumberFormat="1" applyFont="1" applyFill="1" applyBorder="1" applyAlignment="1">
      <x:alignment horizontal="center" wrapText="1"/>
    </x:xf>
    <x:xf numFmtId="0" fontId="11" fillId="7" borderId="74" xfId="0" applyNumberFormat="1" applyFont="1" applyFill="1" applyBorder="1" applyAlignment="1">
      <x:alignment horizontal="center" wrapText="1"/>
    </x:xf>
    <x:xf numFmtId="0" fontId="11" fillId="7" borderId="67" xfId="0" applyNumberFormat="1" applyFont="1" applyFill="1" applyBorder="1" applyAlignment="1">
      <x:alignment horizontal="center" vertical="center" wrapText="1"/>
    </x:xf>
    <x:xf numFmtId="0" fontId="11" fillId="7" borderId="68" xfId="0" applyNumberFormat="1" applyFont="1" applyFill="1" applyBorder="1" applyAlignment="1">
      <x:alignment horizontal="center" vertical="center" wrapText="1"/>
    </x:xf>
    <x:xf numFmtId="0" fontId="11" fillId="7" borderId="69" xfId="0" applyNumberFormat="1" applyFont="1" applyFill="1" applyBorder="1" applyAlignment="1">
      <x:alignment horizontal="center" vertical="center" wrapText="1"/>
    </x:xf>
    <x:xf numFmtId="0" fontId="11" fillId="7" borderId="7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71" xfId="0" applyNumberFormat="1" applyFont="1" applyFill="1" applyBorder="1" applyAlignment="1">
      <x:alignment horizontal="center" vertical="center" wrapText="1"/>
    </x:xf>
    <x:xf numFmtId="0" fontId="11" fillId="7" borderId="72" xfId="0" applyNumberFormat="1" applyFont="1" applyFill="1" applyBorder="1" applyAlignment="1">
      <x:alignment horizontal="center" vertical="center" wrapText="1"/>
    </x:xf>
    <x:xf numFmtId="0" fontId="11" fillId="7" borderId="73" xfId="0" applyNumberFormat="1" applyFont="1" applyFill="1" applyBorder="1" applyAlignment="1">
      <x:alignment horizontal="center" vertical="center" wrapText="1"/>
    </x:xf>
    <x:xf numFmtId="0" fontId="11" fillId="7" borderId="7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ee0b9663e49b5" /><Relationship Type="http://schemas.openxmlformats.org/officeDocument/2006/relationships/theme" Target="/xl/theme/theme1.xml" Id="Rb992e7210e8b40bb" /><Relationship Type="http://schemas.openxmlformats.org/officeDocument/2006/relationships/sharedStrings" Target="/xl/sharedStrings.xml" Id="Rc7d0525c46694a5a" /><Relationship Type="http://schemas.openxmlformats.org/officeDocument/2006/relationships/worksheet" Target="/xl/worksheets/sheet1.xml" Id="Rd0cb04dffcc74171" /><Relationship Type="http://schemas.openxmlformats.org/officeDocument/2006/relationships/worksheet" Target="/xl/worksheets/sheet2.xml" Id="R2ae05c5107184102" /><Relationship Type="http://schemas.openxmlformats.org/officeDocument/2006/relationships/worksheet" Target="/xl/worksheets/sheet3.xml" Id="R87225efba78a4212" /><Relationship Type="http://schemas.openxmlformats.org/officeDocument/2006/relationships/worksheet" Target="/xl/worksheets/sheet4.xml" Id="Rb71e4aa4a28943e3" /><Relationship Type="http://schemas.openxmlformats.org/officeDocument/2006/relationships/worksheet" Target="/xl/worksheets/sheet5.xml" Id="R292d368751234567" /><Relationship Type="http://schemas.microsoft.com/office/2017/10/relationships/person" Target="/xl/persons/person.xml" Id="R65612498b70740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cf7356a5864974" /><Relationship Type="http://schemas.openxmlformats.org/officeDocument/2006/relationships/chart" Target="/xl/drawings/charts/chart2.xml" Id="Rfd4f51c2621440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1a2f9e5074a43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公平比較：相同 4,152 筆警示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Precision</c:v>
          </c:tx>
          <c:spPr>
            <a:solidFill xmlns:a="http://schemas.openxmlformats.org/drawingml/2006/main">
              <a:srgbClr val="239A8F"/>
            </a:solidFill>
          </c:spPr>
          <c:cat>
            <c:strRef>
              <c:f>'K10比較'!$A$5:$A$6</c:f>
              <c:strCache>
                <c:ptCount val="0"/>
              </c:strCache>
            </c:strRef>
          </c:cat>
          <c:val>
            <c:numRef>
              <c:f>'K10比較'!$G$5:$G$6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模型不只提高Precision，也多抓247筆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Recall</c:v>
          </c:tx>
          <c:spPr>
            <a:solidFill xmlns:a="http://schemas.openxmlformats.org/drawingml/2006/main">
              <a:srgbClr val="4D87C7"/>
            </a:solidFill>
          </c:spPr>
          <c:cat>
            <c:strRef>
              <c:f>'K10比較'!$A$5:$A$6</c:f>
              <c:strCache>
                <c:ptCount val="0"/>
              </c:strCache>
            </c:strRef>
          </c:cat>
          <c:val>
            <c:numRef>
              <c:f>'K10比較'!$H$5:$H$6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六月 Precision｜先看同工作量前兩列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Precision</c:v>
          </c:tx>
          <c:spPr>
            <a:solidFill xmlns:a="http://schemas.openxmlformats.org/drawingml/2006/main">
              <a:srgbClr val="239A8F"/>
            </a:solidFill>
          </c:spPr>
          <c:cat>
            <c:strRef>
              <c:f>'K10比較'!$A$5:$A$9</c:f>
              <c:strCache>
                <c:ptCount val="0"/>
              </c:strCache>
            </c:strRef>
          </c:cat>
          <c:val>
            <c:numRef>
              <c:f>'K10比較'!$G$5:$G$9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cf7356a5864974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4f51c2621440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a2f9e5074a43e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YouBike Team" id="{2E501145-533E-44B0-B3D9-61C2B2571F2B}"/>
</xltc:personList>
</file>

<file path=xl/tables/table1.xml><?xml version="1.0" encoding="utf-8"?>
<x:table xmlns:x="http://schemas.openxmlformats.org/spreadsheetml/2006/main" id="1" name="AllExperimentMetrics" displayName="AllExperimentMetrics" ref="A4:P70" headerRowCount="1" totalsRowCount="0" totalsRowShown="0">
  <x:autoFilter ref="A4:P70"/>
  <x:tableColumns count="16">
    <x:tableColumn id="1" name="編號"/>
    <x:tableColumn id="2" name="階段"/>
    <x:tableColumn id="3" name="預測目標"/>
    <x:tableColumn id="4" name="方法"/>
    <x:tableColumn id="5" name="評估期間"/>
    <x:tableColumn id="6" name="母體筆數"/>
    <x:tableColumn id="7" name="正例數"/>
    <x:tableColumn id="8" name="基準率"/>
    <x:tableColumn id="9" name="PR-AUC"/>
    <x:tableColumn id="10" name="Precision"/>
    <x:tableColumn id="11" name="Recall"/>
    <x:tableColumn id="12" name="F2"/>
    <x:tableColumn id="13" name="警示數"/>
    <x:tableColumn id="14" name="門檻"/>
    <x:tableColumn id="15" name="狀態"/>
    <x:tableColumn id="16" name="判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10Evidence" displayName="K10Evidence" ref="A4:M9" headerRowCount="1" totalsRowCount="0" totalsRowShown="0">
  <x:autoFilter ref="A4:M9"/>
  <x:tableColumns count="13">
    <x:tableColumn id="1" name="方法ID"/>
    <x:tableColumn id="2" name="選取規則"/>
    <x:tableColumn id="3" name="門檻"/>
    <x:tableColumn id="4" name="警示數"/>
    <x:tableColumn id="5" name="TP"/>
    <x:tableColumn id="6" name="FP"/>
    <x:tableColumn id="7" name="Precision"/>
    <x:tableColumn id="8" name="Recall"/>
    <x:tableColumn id="9" name="平均每時點"/>
    <x:tableColumn id="10" name="時點數"/>
    <x:tableColumn id="11" name="母體筆數"/>
    <x:tableColumn id="12" name="正例數"/>
    <x:tableColumn id="13" name="比較說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Inventory" displayName="DataInventory" ref="A4:H23" headerRowCount="1" totalsRowCount="0" totalsRowShown="0">
  <x:autoFilter ref="A4:H23"/>
  <x:tableColumns count="8">
    <x:tableColumn id="1" name="資產"/>
    <x:tableColumn id="2" name="路徑／位置"/>
    <x:tableColumn id="3" name="規模"/>
    <x:tableColumn id="4" name="GitHub"/>
    <x:tableColumn id="5" name="含未來答案"/>
    <x:tableColumn id="6" name="Demo必需"/>
    <x:tableColumn id="7" name="用途"/>
    <x:tableColumn id="8" name="未上傳原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Definitions" displayName="MetricDefinitions" ref="A4:D13" headerRowCount="1" totalsRowCount="0" totalsRowShown="0">
  <x:autoFilter ref="A4:D13"/>
  <x:tableColumns count="4">
    <x:tableColumn id="1" name="名詞"/>
    <x:tableColumn id="2" name="在本專案的意思"/>
    <x:tableColumn id="3" name="公式／判斷"/>
    <x:tableColumn id="4" name="為何重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ae9aca99e94d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78b9cd7af64f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7ea6f526bfb431f" /><Relationship Type="http://schemas.openxmlformats.org/officeDocument/2006/relationships/table" Target="/xl/tables/table2.xml" Id="R861bc417594449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d14afa1e09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b06590a62844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4" t="str">
        <x:v>YouBike 30分鐘持續缺車｜完整實驗與資料證據包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9" t="str">
        <x:v>13,324,945筆快照 → 第一版低Precision → 事件持續性重定義 → 動態LightGBM → 六月凍結核對。數字皆採逐筆決策，不用Episode any-hit。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401"/>
      <x:c r="B3" s="401"/>
      <x:c r="C3" s="401"/>
      <x:c r="D3" s="401"/>
      <x:c r="E3" s="401"/>
      <x:c r="F3" s="401"/>
      <x:c r="G3" s="401"/>
      <x:c r="H3" s="401"/>
      <x:c r="I3" s="401"/>
      <x:c r="J3" s="401"/>
      <x:c r="K3" s="401"/>
      <x:c r="L3" s="401"/>
    </x:row>
    <x:row r="4">
      <x:c r="A4" s="127" t="str">
        <x:v>原始快照</x:v>
      </x:c>
      <x:c r="B4" s="127"/>
      <x:c r="C4" s="127"/>
      <x:c r="D4" s="168" t="str">
        <x:v>實驗節點</x:v>
      </x:c>
      <x:c r="E4" s="168"/>
      <x:c r="F4" s="168"/>
      <x:c r="G4" s="204" t="str">
        <x:v>六月平衡模式</x:v>
      </x:c>
      <x:c r="H4" s="204"/>
      <x:c r="I4" s="204"/>
      <x:c r="J4" s="240" t="str">
        <x:v>六月門檻＋K10</x:v>
      </x:c>
      <x:c r="K4" s="240"/>
      <x:c r="L4" s="240"/>
    </x:row>
    <x:row r="5">
      <x:c r="A5" s="156" t="str">
        <x:v>13,324,945</x:v>
      </x:c>
      <x:c r="B5" s="157"/>
      <x:c r="C5" s="158"/>
      <x:c r="D5" s="193" t="str">
        <x:v>24</x:v>
      </x:c>
      <x:c r="E5" s="194"/>
      <x:c r="F5" s="195"/>
      <x:c r="G5" s="279" t="n">
        <x:f>'K10比較'!G7</x:f>
        <x:v>0.6583528189</x:v>
      </x:c>
      <x:c r="H5" s="280"/>
      <x:c r="I5" s="281"/>
      <x:c r="J5" s="293" t="n">
        <x:f>'K10比較'!G8</x:f>
        <x:v>0.6858134156</x:v>
      </x:c>
      <x:c r="K5" s="294"/>
      <x:c r="L5" s="295"/>
    </x:row>
    <x:row r="6">
      <x:c r="A6" s="159"/>
      <x:c r="B6" s="160"/>
      <x:c r="C6" s="161"/>
      <x:c r="D6" s="196"/>
      <x:c r="E6" s="160"/>
      <x:c r="F6" s="197"/>
      <x:c r="G6" s="282" t="n">
        <x:f>'K10比較'!H7</x:f>
        <x:v>0.2125660599</x:v>
      </x:c>
      <x:c r="H6" s="283"/>
      <x:c r="I6" s="284"/>
      <x:c r="J6" s="296" t="n">
        <x:f>'K10比較'!H8</x:f>
        <x:v>0.1492324469</x:v>
      </x:c>
      <x:c r="K6" s="283"/>
      <x:c r="L6" s="297"/>
    </x:row>
    <x:row r="7">
      <x:c r="A7" s="162"/>
      <x:c r="B7" s="163"/>
      <x:c r="C7" s="164"/>
      <x:c r="D7" s="198"/>
      <x:c r="E7" s="199"/>
      <x:c r="F7" s="200"/>
      <x:c r="G7" s="285" t="str">
        <x:v>上：Precision｜下：Recall</x:v>
      </x:c>
      <x:c r="H7" s="286"/>
      <x:c r="I7" s="287"/>
      <x:c r="J7" s="298" t="str">
        <x:v>上：Precision｜下：Recall</x:v>
      </x:c>
      <x:c r="K7" s="299"/>
      <x:c r="L7" s="300"/>
    </x:row>
    <x:row r="8">
      <x:c r="A8" s="401"/>
      <x:c r="B8" s="401"/>
      <x:c r="C8" s="401"/>
      <x:c r="D8" s="401"/>
      <x:c r="E8" s="401"/>
      <x:c r="F8" s="401"/>
      <x:c r="G8" s="401"/>
      <x:c r="H8" s="401"/>
      <x:c r="I8" s="401"/>
      <x:c r="J8" s="401"/>
      <x:c r="K8" s="401"/>
      <x:c r="L8" s="401"/>
    </x:row>
    <x:row r="9">
      <x:c r="A9" s="329" t="str">
        <x:v>核心發現：多數紅燈很短暫。模型不再預測所有正常站何時突然變成0車，而是在紅燈已發生後，辨識30分鐘後仍會缺車、較值得持續關注的站。</x:v>
      </x:c>
      <x:c r="B9" s="330"/>
      <x:c r="C9" s="330"/>
      <x:c r="D9" s="330"/>
      <x:c r="E9" s="330"/>
      <x:c r="F9" s="330"/>
      <x:c r="G9" s="330"/>
      <x:c r="H9" s="330"/>
      <x:c r="I9" s="330"/>
      <x:c r="J9" s="330"/>
      <x:c r="K9" s="330"/>
      <x:c r="L9" s="331"/>
    </x:row>
    <x:row r="10">
      <x:c r="A10" s="332"/>
      <x:c r="B10" s="333"/>
      <x:c r="C10" s="333"/>
      <x:c r="D10" s="333"/>
      <x:c r="E10" s="333"/>
      <x:c r="F10" s="333"/>
      <x:c r="G10" s="333"/>
      <x:c r="H10" s="333"/>
      <x:c r="I10" s="333"/>
      <x:c r="J10" s="333"/>
      <x:c r="K10" s="333"/>
      <x:c r="L10" s="334"/>
    </x:row>
    <x:row r="11">
      <x:c r="A11" s="335"/>
      <x:c r="B11" s="336"/>
      <x:c r="C11" s="336"/>
      <x:c r="D11" s="336"/>
      <x:c r="E11" s="336"/>
      <x:c r="F11" s="336"/>
      <x:c r="G11" s="336"/>
      <x:c r="H11" s="336"/>
      <x:c r="I11" s="336"/>
      <x:c r="J11" s="336"/>
      <x:c r="K11" s="336"/>
      <x:c r="L11" s="337"/>
    </x:row>
    <x:row r="12">
      <x:c r="A12" s="401"/>
      <x:c r="B12" s="401"/>
      <x:c r="C12" s="401"/>
      <x:c r="D12" s="401"/>
      <x:c r="E12" s="401"/>
      <x:c r="F12" s="401"/>
      <x:c r="G12" s="401"/>
      <x:c r="H12" s="401"/>
      <x:c r="I12" s="401"/>
      <x:c r="J12" s="401"/>
      <x:c r="K12" s="401"/>
      <x:c r="L12" s="401"/>
    </x:row>
    <x:row r="13">
      <x:c r="A13" s="401"/>
      <x:c r="B13" s="401"/>
      <x:c r="C13" s="401"/>
      <x:c r="D13" s="401"/>
      <x:c r="E13" s="401"/>
      <x:c r="F13" s="401"/>
      <x:c r="G13" s="401"/>
      <x:c r="H13" s="401"/>
      <x:c r="I13" s="401"/>
      <x:c r="J13" s="401"/>
      <x:c r="K13" s="401"/>
      <x:c r="L13" s="401"/>
    </x:row>
    <x:row r="14">
      <x:c r="A14" s="401"/>
      <x:c r="B14" s="401"/>
      <x:c r="C14" s="401"/>
      <x:c r="D14" s="401"/>
      <x:c r="E14" s="401"/>
      <x:c r="F14" s="401"/>
      <x:c r="G14" s="401"/>
      <x:c r="H14" s="401"/>
      <x:c r="I14" s="401"/>
      <x:c r="J14" s="401"/>
      <x:c r="K14" s="401"/>
      <x:c r="L14" s="401"/>
    </x:row>
    <x:row r="15">
      <x:c r="A15" s="401"/>
      <x:c r="B15" s="401"/>
      <x:c r="C15" s="401"/>
      <x:c r="D15" s="401"/>
      <x:c r="E15" s="401"/>
      <x:c r="F15" s="401"/>
      <x:c r="G15" s="401"/>
      <x:c r="H15" s="401"/>
      <x:c r="I15" s="401"/>
      <x:c r="J15" s="401"/>
      <x:c r="K15" s="401"/>
      <x:c r="L15" s="401"/>
    </x:row>
    <x:row r="16">
      <x:c r="A16" s="401"/>
      <x:c r="B16" s="401"/>
      <x:c r="C16" s="401"/>
      <x:c r="D16" s="401"/>
      <x:c r="E16" s="401"/>
      <x:c r="F16" s="401"/>
      <x:c r="G16" s="401"/>
      <x:c r="H16" s="401"/>
      <x:c r="I16" s="401"/>
      <x:c r="J16" s="401"/>
      <x:c r="K16" s="401"/>
      <x:c r="L16" s="401"/>
    </x:row>
    <x:row r="17">
      <x:c r="A17" s="401"/>
      <x:c r="B17" s="401"/>
      <x:c r="C17" s="401"/>
      <x:c r="D17" s="401"/>
      <x:c r="E17" s="401"/>
      <x:c r="F17" s="401"/>
      <x:c r="G17" s="401"/>
      <x:c r="H17" s="401"/>
      <x:c r="I17" s="401"/>
      <x:c r="J17" s="401"/>
      <x:c r="K17" s="401"/>
      <x:c r="L17" s="401"/>
    </x:row>
    <x:row r="18">
      <x:c r="A18" s="401"/>
      <x:c r="B18" s="401"/>
      <x:c r="C18" s="401"/>
      <x:c r="D18" s="401"/>
      <x:c r="E18" s="401"/>
      <x:c r="F18" s="401"/>
      <x:c r="G18" s="401"/>
      <x:c r="H18" s="401"/>
      <x:c r="I18" s="401"/>
      <x:c r="J18" s="401"/>
      <x:c r="K18" s="401"/>
      <x:c r="L18" s="401"/>
    </x:row>
    <x:row r="19">
      <x:c r="A19" s="401"/>
      <x:c r="B19" s="401"/>
      <x:c r="C19" s="401"/>
      <x:c r="D19" s="401"/>
      <x:c r="E19" s="401"/>
      <x:c r="F19" s="401"/>
      <x:c r="G19" s="401"/>
      <x:c r="H19" s="401"/>
      <x:c r="I19" s="401"/>
      <x:c r="J19" s="401"/>
      <x:c r="K19" s="401"/>
      <x:c r="L19" s="401"/>
    </x:row>
    <x:row r="20">
      <x:c r="A20" s="401"/>
      <x:c r="B20" s="401"/>
      <x:c r="C20" s="401"/>
      <x:c r="D20" s="401"/>
      <x:c r="E20" s="401"/>
      <x:c r="F20" s="401"/>
      <x:c r="G20" s="401"/>
      <x:c r="H20" s="401"/>
      <x:c r="I20" s="401"/>
      <x:c r="J20" s="401"/>
      <x:c r="K20" s="401"/>
      <x:c r="L20" s="401"/>
    </x:row>
    <x:row r="21">
      <x:c r="A21" s="401"/>
      <x:c r="B21" s="401"/>
      <x:c r="C21" s="401"/>
      <x:c r="D21" s="401"/>
      <x:c r="E21" s="401"/>
      <x:c r="F21" s="401"/>
      <x:c r="G21" s="401"/>
      <x:c r="H21" s="401"/>
      <x:c r="I21" s="401"/>
      <x:c r="J21" s="401"/>
      <x:c r="K21" s="401"/>
      <x:c r="L21" s="401"/>
    </x:row>
    <x:row r="22">
      <x:c r="A22" s="401"/>
      <x:c r="B22" s="401"/>
      <x:c r="C22" s="401"/>
      <x:c r="D22" s="401"/>
      <x:c r="E22" s="401"/>
      <x:c r="F22" s="401"/>
      <x:c r="G22" s="401"/>
      <x:c r="H22" s="401"/>
      <x:c r="I22" s="401"/>
      <x:c r="J22" s="401"/>
      <x:c r="K22" s="401"/>
      <x:c r="L22" s="401"/>
    </x:row>
    <x:row r="23">
      <x:c r="A23" s="401"/>
      <x:c r="B23" s="401"/>
      <x:c r="C23" s="401"/>
      <x:c r="D23" s="401"/>
      <x:c r="E23" s="401"/>
      <x:c r="F23" s="401"/>
      <x:c r="G23" s="401"/>
      <x:c r="H23" s="401"/>
      <x:c r="I23" s="401"/>
      <x:c r="J23" s="401"/>
      <x:c r="K23" s="401"/>
      <x:c r="L23" s="401"/>
    </x:row>
    <x:row r="24">
      <x:c r="A24" s="401"/>
      <x:c r="B24" s="401"/>
      <x:c r="C24" s="401"/>
      <x:c r="D24" s="401"/>
      <x:c r="E24" s="401"/>
      <x:c r="F24" s="401"/>
      <x:c r="G24" s="401"/>
      <x:c r="H24" s="401"/>
      <x:c r="I24" s="401"/>
      <x:c r="J24" s="401"/>
      <x:c r="K24" s="401"/>
      <x:c r="L24" s="401"/>
    </x:row>
    <x:row r="25">
      <x:c r="A25" s="401"/>
      <x:c r="B25" s="401"/>
      <x:c r="C25" s="401"/>
      <x:c r="D25" s="401"/>
      <x:c r="E25" s="401"/>
      <x:c r="F25" s="401"/>
      <x:c r="G25" s="401"/>
      <x:c r="H25" s="401"/>
      <x:c r="I25" s="401"/>
      <x:c r="J25" s="401"/>
      <x:c r="K25" s="401"/>
      <x:c r="L25" s="401"/>
    </x:row>
    <x:row r="26">
      <x:c r="A26" s="401"/>
      <x:c r="B26" s="401"/>
      <x:c r="C26" s="401"/>
      <x:c r="D26" s="401"/>
      <x:c r="E26" s="401"/>
      <x:c r="F26" s="401"/>
      <x:c r="G26" s="401"/>
      <x:c r="H26" s="401"/>
      <x:c r="I26" s="401"/>
      <x:c r="J26" s="401"/>
      <x:c r="K26" s="401"/>
      <x:c r="L26" s="401"/>
    </x:row>
    <x:row r="27">
      <x:c r="A27" s="401"/>
      <x:c r="B27" s="401"/>
      <x:c r="C27" s="401"/>
      <x:c r="D27" s="401"/>
      <x:c r="E27" s="401"/>
      <x:c r="F27" s="401"/>
      <x:c r="G27" s="401"/>
      <x:c r="H27" s="401"/>
      <x:c r="I27" s="401"/>
      <x:c r="J27" s="401"/>
      <x:c r="K27" s="401"/>
      <x:c r="L27" s="401"/>
    </x:row>
    <x:row r="28">
      <x:c r="A28" s="401"/>
      <x:c r="B28" s="401"/>
      <x:c r="C28" s="401"/>
      <x:c r="D28" s="401"/>
      <x:c r="E28" s="401"/>
      <x:c r="F28" s="401"/>
      <x:c r="G28" s="401"/>
      <x:c r="H28" s="401"/>
      <x:c r="I28" s="401"/>
      <x:c r="J28" s="401"/>
      <x:c r="K28" s="401"/>
      <x:c r="L28" s="401"/>
    </x:row>
    <x:row r="29">
      <x:c r="A29" s="401"/>
      <x:c r="B29" s="401"/>
      <x:c r="C29" s="401"/>
      <x:c r="D29" s="401"/>
      <x:c r="E29" s="401"/>
      <x:c r="F29" s="401"/>
      <x:c r="G29" s="401"/>
      <x:c r="H29" s="401"/>
      <x:c r="I29" s="401"/>
      <x:c r="J29" s="401"/>
      <x:c r="K29" s="401"/>
      <x:c r="L29" s="401"/>
    </x:row>
    <x:row r="30">
      <x:c r="A30" s="21" t="str">
        <x:v>研究路徑</x:v>
      </x:c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3"/>
    </x:row>
    <x:row r="31">
      <x:c r="A31" s="356" t="str">
        <x:v>1｜資料探索
59.1%缺車事件下一張即恢復，先辨識真正持續的紅燈。</x:v>
      </x:c>
      <x:c r="B31" s="357"/>
      <x:c r="C31" s="358"/>
      <x:c r="D31" s="356" t="str">
        <x:v>2｜證明舊目標太難
正常站t+30新缺車的LightGBM Precision僅20.37%。</x:v>
      </x:c>
      <x:c r="E31" s="357"/>
      <x:c r="F31" s="358"/>
      <x:c r="G31" s="356" t="str">
        <x:v>3｜逐路排除
多時點、隔日尖峰、存活、共識、加權均未穩定勝出。</x:v>
      </x:c>
      <x:c r="H31" s="357"/>
      <x:c r="I31" s="358"/>
      <x:c r="J31" s="356" t="str">
        <x:v>4｜採用動態模型
每張紅燈重新判斷；六月平衡Precision 65.84%。</x:v>
      </x:c>
      <x:c r="K31" s="357"/>
      <x:c r="L31" s="358"/>
    </x:row>
    <x:row r="32">
      <x:c r="A32" s="359"/>
      <x:c r="B32" s="360"/>
      <x:c r="C32" s="361"/>
      <x:c r="D32" s="359"/>
      <x:c r="E32" s="360"/>
      <x:c r="F32" s="361"/>
      <x:c r="G32" s="359"/>
      <x:c r="H32" s="360"/>
      <x:c r="I32" s="361"/>
      <x:c r="J32" s="359"/>
      <x:c r="K32" s="360"/>
      <x:c r="L32" s="361"/>
    </x:row>
    <x:row r="33">
      <x:c r="A33" s="359"/>
      <x:c r="B33" s="360"/>
      <x:c r="C33" s="361"/>
      <x:c r="D33" s="359"/>
      <x:c r="E33" s="360"/>
      <x:c r="F33" s="361"/>
      <x:c r="G33" s="359"/>
      <x:c r="H33" s="360"/>
      <x:c r="I33" s="361"/>
      <x:c r="J33" s="359"/>
      <x:c r="K33" s="360"/>
      <x:c r="L33" s="361"/>
    </x:row>
    <x:row r="34">
      <x:c r="A34" s="359"/>
      <x:c r="B34" s="360"/>
      <x:c r="C34" s="361"/>
      <x:c r="D34" s="359"/>
      <x:c r="E34" s="360"/>
      <x:c r="F34" s="361"/>
      <x:c r="G34" s="359"/>
      <x:c r="H34" s="360"/>
      <x:c r="I34" s="361"/>
      <x:c r="J34" s="359"/>
      <x:c r="K34" s="360"/>
      <x:c r="L34" s="361"/>
    </x:row>
    <x:row r="35">
      <x:c r="A35" s="362"/>
      <x:c r="B35" s="363"/>
      <x:c r="C35" s="364"/>
      <x:c r="D35" s="362"/>
      <x:c r="E35" s="363"/>
      <x:c r="F35" s="364"/>
      <x:c r="G35" s="362"/>
      <x:c r="H35" s="363"/>
      <x:c r="I35" s="364"/>
      <x:c r="J35" s="362"/>
      <x:c r="K35" s="363"/>
      <x:c r="L35" s="364"/>
    </x:row>
    <x:row r="36">
      <x:c r="A36" s="401"/>
      <x:c r="B36" s="401"/>
      <x:c r="C36" s="401"/>
      <x:c r="D36" s="401"/>
      <x:c r="E36" s="401"/>
      <x:c r="F36" s="401"/>
      <x:c r="G36" s="401"/>
      <x:c r="H36" s="401"/>
      <x:c r="I36" s="401"/>
      <x:c r="J36" s="401"/>
      <x:c r="K36" s="401"/>
      <x:c r="L36" s="401"/>
    </x:row>
    <x:row r="37">
      <x:c r="A37" s="401"/>
      <x:c r="B37" s="401"/>
      <x:c r="C37" s="401"/>
      <x:c r="D37" s="401"/>
      <x:c r="E37" s="401"/>
      <x:c r="F37" s="401"/>
      <x:c r="G37" s="401"/>
      <x:c r="H37" s="401"/>
      <x:c r="I37" s="401"/>
      <x:c r="J37" s="401"/>
      <x:c r="K37" s="401"/>
      <x:c r="L37" s="401"/>
    </x:row>
    <x:row r="38">
      <x:c r="A38" s="392" t="str">
        <x:v>現場一句話：在相同每時點最多10站的工作量下，模型風險排序的Precision為61.99%，高於『持續缺車最久』規則的56.05%；若再套用凍結平衡門檻，行動清單Precision為68.58%，但Recall下降到14.92%。</x:v>
      </x:c>
      <x:c r="B38" s="393"/>
      <x:c r="C38" s="393"/>
      <x:c r="D38" s="393"/>
      <x:c r="E38" s="393"/>
      <x:c r="F38" s="393"/>
      <x:c r="G38" s="393"/>
      <x:c r="H38" s="393"/>
      <x:c r="I38" s="393"/>
      <x:c r="J38" s="393"/>
      <x:c r="K38" s="393"/>
      <x:c r="L38" s="394"/>
    </x:row>
    <x:row r="39">
      <x:c r="A39" s="395"/>
      <x:c r="B39" s="396"/>
      <x:c r="C39" s="396"/>
      <x:c r="D39" s="396"/>
      <x:c r="E39" s="396"/>
      <x:c r="F39" s="396"/>
      <x:c r="G39" s="396"/>
      <x:c r="H39" s="396"/>
      <x:c r="I39" s="396"/>
      <x:c r="J39" s="396"/>
      <x:c r="K39" s="396"/>
      <x:c r="L39" s="397"/>
    </x:row>
    <x:row r="40">
      <x:c r="A40" s="395"/>
      <x:c r="B40" s="396"/>
      <x:c r="C40" s="396"/>
      <x:c r="D40" s="396"/>
      <x:c r="E40" s="396"/>
      <x:c r="F40" s="396"/>
      <x:c r="G40" s="396"/>
      <x:c r="H40" s="396"/>
      <x:c r="I40" s="396"/>
      <x:c r="J40" s="396"/>
      <x:c r="K40" s="396"/>
      <x:c r="L40" s="397"/>
    </x:row>
    <x:row r="41">
      <x:c r="A41" s="398"/>
      <x:c r="B41" s="399"/>
      <x:c r="C41" s="399"/>
      <x:c r="D41" s="399"/>
      <x:c r="E41" s="399"/>
      <x:c r="F41" s="399"/>
      <x:c r="G41" s="399"/>
      <x:c r="H41" s="399"/>
      <x:c r="I41" s="399"/>
      <x:c r="J41" s="399"/>
      <x:c r="K41" s="399"/>
      <x:c r="L41" s="400"/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J4:L4"/>
    <x:mergeCell ref="G5:I5"/>
    <x:mergeCell ref="G6:I6"/>
    <x:mergeCell ref="G7:I7"/>
    <x:mergeCell ref="J5:L5"/>
    <x:mergeCell ref="J6:L6"/>
    <x:mergeCell ref="J7:L7"/>
    <x:mergeCell ref="A9:L11"/>
    <x:mergeCell ref="A30:L30"/>
    <x:mergeCell ref="A31:C35"/>
    <x:mergeCell ref="D31:F35"/>
    <x:mergeCell ref="G31:I35"/>
    <x:mergeCell ref="J31:L35"/>
    <x:mergeCell ref="A38:L41"/>
  </x:mergeCells>
  <x:pageMargins left="0.7" right="0.7" top="0.75" bottom="0.75" header="0.3" footer="0.3"/>
  <x:drawing xmlns:r="http://schemas.openxmlformats.org/officeDocument/2006/relationships" r:id="R7eae9aca99e94d0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28" hidden="0" customWidth="1"/>
    <x:col min="4" max="4" width="28" hidden="0" customWidth="1"/>
    <x:col min="5" max="5" width="22" hidden="0" customWidth="1"/>
    <x:col min="6" max="6" width="12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1" hidden="0" customWidth="1"/>
    <x:col min="14" max="14" width="11" hidden="0" customWidth="1"/>
    <x:col min="15" max="15" width="17" hidden="0" customWidth="1"/>
    <x:col min="16" max="16" width="42" hidden="0" customWidth="1"/>
  </x:cols>
  <x:sheetData>
    <x:row r="1" ht="34" customHeight="1">
      <x:c r="A1" s="4" t="str">
        <x:v>完整實驗總表｜從 EDA、失敗路線到最終動態模型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9" t="str">
        <x:v>共 24 個實驗節點、66 筆可搬資料；同一列才可直接讀 Precision／Recall，跨列比較前先確認目標、期間、門檻與 Top-K。紅色代表未採用，不代表實驗沒價值，而是它提供了轉向證據。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A3" s="401"/>
      <x:c r="B3" s="401"/>
      <x:c r="C3" s="401"/>
      <x:c r="D3" s="401"/>
      <x:c r="E3" s="401"/>
      <x:c r="F3" s="401"/>
      <x:c r="G3" s="401"/>
      <x:c r="H3" s="401"/>
      <x:c r="I3" s="401"/>
      <x:c r="J3" s="401"/>
      <x:c r="K3" s="401"/>
      <x:c r="L3" s="401"/>
      <x:c r="M3" s="401"/>
      <x:c r="N3" s="401"/>
      <x:c r="O3" s="401"/>
      <x:c r="P3" s="401"/>
    </x:row>
    <x:row r="4" ht="15" hidden="0" customHeight="1">
      <x:c r="A4" s="21" t="str">
        <x:v>編號</x:v>
      </x:c>
      <x:c r="B4" s="22" t="str">
        <x:v>階段</x:v>
      </x:c>
      <x:c r="C4" s="22" t="str">
        <x:v>預測目標</x:v>
      </x:c>
      <x:c r="D4" s="22" t="str">
        <x:v>方法</x:v>
      </x:c>
      <x:c r="E4" s="22" t="str">
        <x:v>評估期間</x:v>
      </x:c>
      <x:c r="F4" s="22" t="str">
        <x:v>母體筆數</x:v>
      </x:c>
      <x:c r="G4" s="22" t="str">
        <x:v>正例數</x:v>
      </x:c>
      <x:c r="H4" s="22" t="str">
        <x:v>基準率</x:v>
      </x:c>
      <x:c r="I4" s="22" t="str">
        <x:v>PR-AUC</x:v>
      </x:c>
      <x:c r="J4" s="22" t="str">
        <x:v>Precision</x:v>
      </x:c>
      <x:c r="K4" s="22" t="str">
        <x:v>Recall</x:v>
      </x:c>
      <x:c r="L4" s="22" t="str">
        <x:v>F2</x:v>
      </x:c>
      <x:c r="M4" s="22" t="str">
        <x:v>警示數</x:v>
      </x:c>
      <x:c r="N4" s="22" t="str">
        <x:v>門檻</x:v>
      </x:c>
      <x:c r="O4" s="22" t="str">
        <x:v>狀態</x:v>
      </x:c>
      <x:c r="P4" s="23" t="str">
        <x:v>判斷</x:v>
      </x:c>
    </x:row>
    <x:row r="5" ht="15" hidden="0" customHeight="1">
      <x:c r="A5" s="31" t="str">
        <x:v>E01</x:v>
      </x:c>
      <x:c r="B5" s="31" t="str">
        <x:v>資料探索</x:v>
      </x:c>
      <x:c r="C5" s="31" t="str">
        <x:v>缺車事件長度</x:v>
      </x:c>
      <x:c r="D5" s="31" t="str">
        <x:v>只出現一個30分鐘快照</x:v>
      </x:c>
      <x:c r="E5" s="31" t="str">
        <x:v>2026-01至2026-04</x:v>
      </x:c>
      <x:c r="F5" s="34"/>
      <x:c r="G5" s="34"/>
      <x:c r="H5" s="37"/>
      <x:c r="I5" s="37"/>
      <x:c r="J5" s="37"/>
      <x:c r="K5" s="37"/>
      <x:c r="L5" s="37"/>
      <x:c r="M5" s="34"/>
      <x:c r="N5" s="37"/>
      <x:c r="O5" s="40" t="str">
        <x:v>採用證據</x:v>
      </x:c>
      <x:c r="P5" s="40" t="str">
        <x:v>59.1%事件下一張即恢復</x:v>
      </x:c>
    </x:row>
    <x:row r="6" ht="15" hidden="0" customHeight="1">
      <x:c r="A6" s="32" t="str">
        <x:v>E01</x:v>
      </x:c>
      <x:c r="B6" s="32" t="str">
        <x:v>資料探索</x:v>
      </x:c>
      <x:c r="C6" s="32" t="str">
        <x:v>缺車事件長度</x:v>
      </x:c>
      <x:c r="D6" s="32" t="str">
        <x:v>持續至少60分鐘</x:v>
      </x:c>
      <x:c r="E6" s="32" t="str">
        <x:v>2026-01至2026-04</x:v>
      </x:c>
      <x:c r="F6" s="35"/>
      <x:c r="G6" s="35"/>
      <x:c r="H6" s="38"/>
      <x:c r="I6" s="38"/>
      <x:c r="J6" s="38"/>
      <x:c r="K6" s="38"/>
      <x:c r="L6" s="38"/>
      <x:c r="M6" s="35"/>
      <x:c r="N6" s="38"/>
      <x:c r="O6" s="41" t="str">
        <x:v>採用證據</x:v>
      </x:c>
      <x:c r="P6" s="41" t="str">
        <x:v>40.9%事件值得進一步辨識</x:v>
      </x:c>
    </x:row>
    <x:row r="7" ht="15" hidden="0" customHeight="1">
      <x:c r="A7" s="32" t="str">
        <x:v>E01</x:v>
      </x:c>
      <x:c r="B7" s="32" t="str">
        <x:v>資料探索</x:v>
      </x:c>
      <x:c r="C7" s="32" t="str">
        <x:v>缺車事件長度</x:v>
      </x:c>
      <x:c r="D7" s="32" t="str">
        <x:v>只出現一個30分鐘快照</x:v>
      </x:c>
      <x:c r="E7" s="32" t="str">
        <x:v>2026-05</x:v>
      </x:c>
      <x:c r="F7" s="35"/>
      <x:c r="G7" s="35"/>
      <x:c r="H7" s="38"/>
      <x:c r="I7" s="38"/>
      <x:c r="J7" s="38"/>
      <x:c r="K7" s="38"/>
      <x:c r="L7" s="38"/>
      <x:c r="M7" s="35"/>
      <x:c r="N7" s="38"/>
      <x:c r="O7" s="41" t="str">
        <x:v>採用證據</x:v>
      </x:c>
      <x:c r="P7" s="41" t="str">
        <x:v>59.6%事件下一張即恢復且與開發期接近</x:v>
      </x:c>
    </x:row>
    <x:row r="8" ht="15" hidden="0" customHeight="1">
      <x:c r="A8" s="32" t="str">
        <x:v>E01</x:v>
      </x:c>
      <x:c r="B8" s="32" t="str">
        <x:v>資料探索</x:v>
      </x:c>
      <x:c r="C8" s="32" t="str">
        <x:v>缺車事件長度</x:v>
      </x:c>
      <x:c r="D8" s="32" t="str">
        <x:v>持續至少60分鐘</x:v>
      </x:c>
      <x:c r="E8" s="32" t="str">
        <x:v>2026-05</x:v>
      </x:c>
      <x:c r="F8" s="35"/>
      <x:c r="G8" s="35"/>
      <x:c r="H8" s="38"/>
      <x:c r="I8" s="38"/>
      <x:c r="J8" s="38"/>
      <x:c r="K8" s="38"/>
      <x:c r="L8" s="38"/>
      <x:c r="M8" s="35"/>
      <x:c r="N8" s="38"/>
      <x:c r="O8" s="41" t="str">
        <x:v>採用證據</x:v>
      </x:c>
      <x:c r="P8" s="41" t="str">
        <x:v>40.4%事件持續且與開發期接近</x:v>
      </x:c>
    </x:row>
    <x:row r="9" ht="15" hidden="0" customHeight="1">
      <x:c r="A9" s="32" t="str">
        <x:v>E02</x:v>
      </x:c>
      <x:c r="B9" s="32" t="str">
        <x:v>站點重要性</x:v>
      </x:c>
      <x:c r="C9" s="32" t="str">
        <x:v>前25%重要站</x:v>
      </x:c>
      <x:c r="D9" s="32" t="str">
        <x:v>一般變動與總變動敏感度</x:v>
      </x:c>
      <x:c r="E9" s="32" t="str">
        <x:v>2026-01至2026-05</x:v>
      </x:c>
      <x:c r="F9" s="35"/>
      <x:c r="G9" s="35"/>
      <x:c r="H9" s="38"/>
      <x:c r="I9" s="38"/>
      <x:c r="J9" s="38"/>
      <x:c r="K9" s="38"/>
      <x:c r="L9" s="38"/>
      <x:c r="M9" s="35"/>
      <x:c r="N9" s="38"/>
      <x:c r="O9" s="41" t="str">
        <x:v>採用證據</x:v>
      </x:c>
      <x:c r="P9" s="41" t="str">
        <x:v>名單會隨定義變動所以不硬塞成訓練母體</x:v>
      </x:c>
    </x:row>
    <x:row r="10" ht="15" hidden="0" customHeight="1">
      <x:c r="A10" s="32" t="str">
        <x:v>E03</x:v>
      </x:c>
      <x:c r="B10" s="32" t="str">
        <x:v>雙優先分析</x:v>
      </x:c>
      <x:c r="C10" s="32" t="str">
        <x:v>高失衡與高價值站</x:v>
      </x:c>
      <x:c r="D10" s="32" t="str">
        <x:v>尖峰失衡率交叉使用流量代理</x:v>
      </x:c>
      <x:c r="E10" s="32" t="str">
        <x:v>2026-01至2026-05</x:v>
      </x:c>
      <x:c r="F10" s="35"/>
      <x:c r="G10" s="35"/>
      <x:c r="H10" s="38"/>
      <x:c r="I10" s="38"/>
      <x:c r="J10" s="38"/>
      <x:c r="K10" s="38"/>
      <x:c r="L10" s="38"/>
      <x:c r="M10" s="35"/>
      <x:c r="N10" s="38"/>
      <x:c r="O10" s="41" t="str">
        <x:v>採用證據</x:v>
      </x:c>
      <x:c r="P10" s="41" t="str">
        <x:v>問題嚴重度與營運影響力留在決策層</x:v>
      </x:c>
    </x:row>
    <x:row r="11" ht="15" hidden="0" customHeight="1">
      <x:c r="A11" s="32" t="str">
        <x:v>E04</x:v>
      </x:c>
      <x:c r="B11" s="32" t="str">
        <x:v>初始baseline</x:v>
      </x:c>
      <x:c r="C11" s="32" t="str">
        <x:v>正常站t+30新缺車</x:v>
      </x:c>
      <x:c r="D11" s="32" t="str">
        <x:v>可借比例規則</x:v>
      </x:c>
      <x:c r="E11" s="32" t="str">
        <x:v>2026-05-21至2026-05-31尖峰</x:v>
      </x:c>
      <x:c r="F11" s="35" t="n">
        <x:v>219578</x:v>
      </x:c>
      <x:c r="G11" s="35" t="n">
        <x:v>8854</x:v>
      </x:c>
      <x:c r="H11" s="38" t="n">
        <x:v>0.0403228</x:v>
      </x:c>
      <x:c r="I11" s="38" t="n">
        <x:v>0.1566107</x:v>
      </x:c>
      <x:c r="J11" s="38" t="n">
        <x:v>0.1365785</x:v>
      </x:c>
      <x:c r="K11" s="38" t="n">
        <x:v>0.6622995</x:v>
      </x:c>
      <x:c r="L11" s="38" t="n">
        <x:v>0.3742135</x:v>
      </x:c>
      <x:c r="M11" s="35"/>
      <x:c r="N11" s="38"/>
      <x:c r="O11" s="42" t="str">
        <x:v>Baseline</x:v>
      </x:c>
      <x:c r="P11" s="42" t="str">
        <x:v>簡單比例基準</x:v>
      </x:c>
    </x:row>
    <x:row r="12" ht="15" hidden="0" customHeight="1">
      <x:c r="A12" s="32" t="str">
        <x:v>E04</x:v>
      </x:c>
      <x:c r="B12" s="32" t="str">
        <x:v>初始baseline</x:v>
      </x:c>
      <x:c r="C12" s="32" t="str">
        <x:v>正常站t+30新缺車</x:v>
      </x:c>
      <x:c r="D12" s="32" t="str">
        <x:v>線性外推</x:v>
      </x:c>
      <x:c r="E12" s="32" t="str">
        <x:v>2026-05-21至2026-05-31尖峰</x:v>
      </x:c>
      <x:c r="F12" s="35" t="n">
        <x:v>219578</x:v>
      </x:c>
      <x:c r="G12" s="35" t="n">
        <x:v>8854</x:v>
      </x:c>
      <x:c r="H12" s="38" t="n">
        <x:v>0.0403228</x:v>
      </x:c>
      <x:c r="I12" s="38" t="n">
        <x:v>0.1273939</x:v>
      </x:c>
      <x:c r="J12" s="38" t="n">
        <x:v>0.1245011</x:v>
      </x:c>
      <x:c r="K12" s="38" t="n">
        <x:v>0.6659137</x:v>
      </x:c>
      <x:c r="L12" s="38" t="n">
        <x:v>0.3561548</x:v>
      </x:c>
      <x:c r="M12" s="35"/>
      <x:c r="N12" s="38"/>
      <x:c r="O12" s="42" t="str">
        <x:v>Baseline</x:v>
      </x:c>
      <x:c r="P12" s="42" t="str">
        <x:v>簡單趨勢基準</x:v>
      </x:c>
    </x:row>
    <x:row r="13" ht="15" hidden="0" customHeight="1">
      <x:c r="A13" s="32" t="str">
        <x:v>E04</x:v>
      </x:c>
      <x:c r="B13" s="32" t="str">
        <x:v>初始baseline</x:v>
      </x:c>
      <x:c r="C13" s="32" t="str">
        <x:v>正常站t+30新缺車</x:v>
      </x:c>
      <x:c r="D13" s="32" t="str">
        <x:v>Logistic</x:v>
      </x:c>
      <x:c r="E13" s="32" t="str">
        <x:v>2026-05-21至2026-05-31尖峰</x:v>
      </x:c>
      <x:c r="F13" s="35" t="n">
        <x:v>219578</x:v>
      </x:c>
      <x:c r="G13" s="35" t="n">
        <x:v>8854</x:v>
      </x:c>
      <x:c r="H13" s="38" t="n">
        <x:v>0.0403228</x:v>
      </x:c>
      <x:c r="I13" s="38" t="n">
        <x:v>0.1902829</x:v>
      </x:c>
      <x:c r="J13" s="38" t="n">
        <x:v>0.1560569</x:v>
      </x:c>
      <x:c r="K13" s="38" t="n">
        <x:v>0.6874859</x:v>
      </x:c>
      <x:c r="L13" s="38" t="n">
        <x:v>0.4089571</x:v>
      </x:c>
      <x:c r="M13" s="35"/>
      <x:c r="N13" s="38"/>
      <x:c r="O13" s="42" t="str">
        <x:v>Baseline</x:v>
      </x:c>
      <x:c r="P13" s="42" t="str">
        <x:v>統計學習基準</x:v>
      </x:c>
    </x:row>
    <x:row r="14" ht="15" hidden="0" customHeight="1">
      <x:c r="A14" s="32" t="str">
        <x:v>E05</x:v>
      </x:c>
      <x:c r="B14" s="32" t="str">
        <x:v>初始樹模型</x:v>
      </x:c>
      <x:c r="C14" s="32" t="str">
        <x:v>正常站t+30新缺車</x:v>
      </x:c>
      <x:c r="D14" s="32" t="str">
        <x:v>LightGBM v1</x:v>
      </x:c>
      <x:c r="E14" s="32" t="str">
        <x:v>2026-05-21至2026-05-31尖峰</x:v>
      </x:c>
      <x:c r="F14" s="35" t="n">
        <x:v>219578</x:v>
      </x:c>
      <x:c r="G14" s="35" t="n">
        <x:v>8854</x:v>
      </x:c>
      <x:c r="H14" s="38" t="n">
        <x:v>0.0403228</x:v>
      </x:c>
      <x:c r="I14" s="38" t="n">
        <x:v>0.2688269</x:v>
      </x:c>
      <x:c r="J14" s="38" t="n">
        <x:v>0.2015643</x:v>
      </x:c>
      <x:c r="K14" s="38" t="n">
        <x:v>0.6839846</x:v>
      </x:c>
      <x:c r="L14" s="38" t="n">
        <x:v>0.4625655</x:v>
      </x:c>
      <x:c r="M14" s="35"/>
      <x:c r="N14" s="38"/>
      <x:c r="O14" s="43" t="str">
        <x:v>未採用</x:v>
      </x:c>
      <x:c r="P14" s="43" t="str">
        <x:v>排序改善但警示Precision不足</x:v>
      </x:c>
    </x:row>
    <x:row r="15" ht="15" hidden="0" customHeight="1">
      <x:c r="A15" s="32" t="str">
        <x:v>E05</x:v>
      </x:c>
      <x:c r="B15" s="32" t="str">
        <x:v>初始樹模型</x:v>
      </x:c>
      <x:c r="C15" s="32" t="str">
        <x:v>正常站t+30新缺車</x:v>
      </x:c>
      <x:c r="D15" s="32" t="str">
        <x:v>LightGBM調參</x:v>
      </x:c>
      <x:c r="E15" s="32" t="str">
        <x:v>2026-05-21至2026-05-31尖峰</x:v>
      </x:c>
      <x:c r="F15" s="35" t="n">
        <x:v>219578</x:v>
      </x:c>
      <x:c r="G15" s="35" t="n">
        <x:v>8854</x:v>
      </x:c>
      <x:c r="H15" s="38" t="n">
        <x:v>0.0403228</x:v>
      </x:c>
      <x:c r="I15" s="38" t="n">
        <x:v>0.2708344</x:v>
      </x:c>
      <x:c r="J15" s="38" t="n">
        <x:v>0.2036561</x:v>
      </x:c>
      <x:c r="K15" s="38" t="n">
        <x:v>0.6807093</x:v>
      </x:c>
      <x:c r="L15" s="38" t="n">
        <x:v>0.4635441</x:v>
      </x:c>
      <x:c r="M15" s="35"/>
      <x:c r="N15" s="38"/>
      <x:c r="O15" s="43" t="str">
        <x:v>未採用</x:v>
      </x:c>
      <x:c r="P15" s="43" t="str">
        <x:v>第一版缺車最佳PR-AUC但不適合直接派工</x:v>
      </x:c>
    </x:row>
    <x:row r="16" ht="15" hidden="0" customHeight="1">
      <x:c r="A16" s="32" t="str">
        <x:v>E05</x:v>
      </x:c>
      <x:c r="B16" s="32" t="str">
        <x:v>初始樹模型</x:v>
      </x:c>
      <x:c r="C16" s="32" t="str">
        <x:v>正常站t+30新缺車</x:v>
      </x:c>
      <x:c r="D16" s="32" t="str">
        <x:v>XGBoost調參</x:v>
      </x:c>
      <x:c r="E16" s="32" t="str">
        <x:v>2026-05-21至2026-05-31尖峰</x:v>
      </x:c>
      <x:c r="F16" s="35" t="n">
        <x:v>219578</x:v>
      </x:c>
      <x:c r="G16" s="35" t="n">
        <x:v>8854</x:v>
      </x:c>
      <x:c r="H16" s="38" t="n">
        <x:v>0.0403228</x:v>
      </x:c>
      <x:c r="I16" s="38" t="n">
        <x:v>0.2697259</x:v>
      </x:c>
      <x:c r="J16" s="38" t="n">
        <x:v>0.1965866</x:v>
      </x:c>
      <x:c r="K16" s="38" t="n">
        <x:v>0.705105</x:v>
      </x:c>
      <x:c r="L16" s="38" t="n">
        <x:v>0.4646956</x:v>
      </x:c>
      <x:c r="M16" s="35"/>
      <x:c r="N16" s="38"/>
      <x:c r="O16" s="43" t="str">
        <x:v>未採用</x:v>
      </x:c>
      <x:c r="P16" s="43" t="str">
        <x:v>F2略高但Precision仍低</x:v>
      </x:c>
    </x:row>
    <x:row r="17" ht="15" hidden="0" customHeight="1">
      <x:c r="A17" s="32" t="str">
        <x:v>E05</x:v>
      </x:c>
      <x:c r="B17" s="32" t="str">
        <x:v>初始樹模型</x:v>
      </x:c>
      <x:c r="C17" s="32" t="str">
        <x:v>正常站t+30新滿柱</x:v>
      </x:c>
      <x:c r="D17" s="32" t="str">
        <x:v>LightGBM v1</x:v>
      </x:c>
      <x:c r="E17" s="32" t="str">
        <x:v>2026-05-21至2026-05-31尖峰</x:v>
      </x:c>
      <x:c r="F17" s="35" t="n">
        <x:v>219578</x:v>
      </x:c>
      <x:c r="G17" s="35" t="n">
        <x:v>1484</x:v>
      </x:c>
      <x:c r="H17" s="38" t="n">
        <x:v>0.0067584</x:v>
      </x:c>
      <x:c r="I17" s="38" t="n">
        <x:v>0.1622078</x:v>
      </x:c>
      <x:c r="J17" s="38" t="n">
        <x:v>0.1249092</x:v>
      </x:c>
      <x:c r="K17" s="38" t="n">
        <x:v>0.5795148</x:v>
      </x:c>
      <x:c r="L17" s="38" t="n">
        <x:v>0.3353873</x:v>
      </x:c>
      <x:c r="M17" s="35"/>
      <x:c r="N17" s="38"/>
      <x:c r="O17" s="43" t="str">
        <x:v>未採用</x:v>
      </x:c>
      <x:c r="P17" s="43" t="str">
        <x:v>事件更稀少</x:v>
      </x:c>
    </x:row>
    <x:row r="18" ht="15" hidden="0" customHeight="1">
      <x:c r="A18" s="32" t="str">
        <x:v>E05</x:v>
      </x:c>
      <x:c r="B18" s="32" t="str">
        <x:v>初始樹模型</x:v>
      </x:c>
      <x:c r="C18" s="32" t="str">
        <x:v>正常站t+30新滿柱</x:v>
      </x:c>
      <x:c r="D18" s="32" t="str">
        <x:v>LightGBM調參</x:v>
      </x:c>
      <x:c r="E18" s="32" t="str">
        <x:v>2026-05-21至2026-05-31尖峰</x:v>
      </x:c>
      <x:c r="F18" s="35" t="n">
        <x:v>219578</x:v>
      </x:c>
      <x:c r="G18" s="35" t="n">
        <x:v>1484</x:v>
      </x:c>
      <x:c r="H18" s="38" t="n">
        <x:v>0.0067584</x:v>
      </x:c>
      <x:c r="I18" s="38" t="n">
        <x:v>0.1605747</x:v>
      </x:c>
      <x:c r="J18" s="38" t="n">
        <x:v>0.1227614</x:v>
      </x:c>
      <x:c r="K18" s="38" t="n">
        <x:v>0.5727763</x:v>
      </x:c>
      <x:c r="L18" s="38" t="n">
        <x:v>0.3304821</x:v>
      </x:c>
      <x:c r="M18" s="35"/>
      <x:c r="N18" s="38"/>
      <x:c r="O18" s="43" t="str">
        <x:v>未採用</x:v>
      </x:c>
      <x:c r="P18" s="43" t="str">
        <x:v>未勝過v1</x:v>
      </x:c>
    </x:row>
    <x:row r="19" ht="15" hidden="0" customHeight="1">
      <x:c r="A19" s="32" t="str">
        <x:v>E05</x:v>
      </x:c>
      <x:c r="B19" s="32" t="str">
        <x:v>初始樹模型</x:v>
      </x:c>
      <x:c r="C19" s="32" t="str">
        <x:v>正常站t+30新滿柱</x:v>
      </x:c>
      <x:c r="D19" s="32" t="str">
        <x:v>XGBoost調參</x:v>
      </x:c>
      <x:c r="E19" s="32" t="str">
        <x:v>2026-05-21至2026-05-31尖峰</x:v>
      </x:c>
      <x:c r="F19" s="35" t="n">
        <x:v>219578</x:v>
      </x:c>
      <x:c r="G19" s="35" t="n">
        <x:v>1484</x:v>
      </x:c>
      <x:c r="H19" s="38" t="n">
        <x:v>0.0067584</x:v>
      </x:c>
      <x:c r="I19" s="38" t="n">
        <x:v>0.157934</x:v>
      </x:c>
      <x:c r="J19" s="38" t="n">
        <x:v>0.1279628</x:v>
      </x:c>
      <x:c r="K19" s="38" t="n">
        <x:v>0.5384097</x:v>
      </x:c>
      <x:c r="L19" s="38" t="n">
        <x:v>0.3279967</x:v>
      </x:c>
      <x:c r="M19" s="35"/>
      <x:c r="N19" s="38"/>
      <x:c r="O19" s="43" t="str">
        <x:v>未採用</x:v>
      </x:c>
      <x:c r="P19" s="43" t="str">
        <x:v>未形成可用警示</x:v>
      </x:c>
    </x:row>
    <x:row r="20" ht="15" hidden="0" customHeight="1">
      <x:c r="A20" s="32" t="str">
        <x:v>E06</x:v>
      </x:c>
      <x:c r="B20" s="32" t="str">
        <x:v>行動政策</x:v>
      </x:c>
      <x:c r="C20" s="32" t="str">
        <x:v>新失衡警示清單</x:v>
      </x:c>
      <x:c r="D20" s="32" t="str">
        <x:v>F2門檻與K5 K10 K20</x:v>
      </x:c>
      <x:c r="E20" s="32" t="str">
        <x:v>2026-05</x:v>
      </x:c>
      <x:c r="F20" s="35"/>
      <x:c r="G20" s="35"/>
      <x:c r="H20" s="38"/>
      <x:c r="I20" s="38"/>
      <x:c r="J20" s="38"/>
      <x:c r="K20" s="38"/>
      <x:c r="L20" s="38"/>
      <x:c r="M20" s="35"/>
      <x:c r="N20" s="38"/>
      <x:c r="O20" s="42" t="str">
        <x:v>Baseline</x:v>
      </x:c>
      <x:c r="P20" s="42" t="str">
        <x:v>TopK控制工作量但純K會硬湊低風險站</x:v>
      </x:c>
    </x:row>
    <x:row r="21" ht="15" hidden="0" customHeight="1">
      <x:c r="A21" s="32" t="str">
        <x:v>E07</x:v>
      </x:c>
      <x:c r="B21" s="32" t="str">
        <x:v>營運容量代理</x:v>
      </x:c>
      <x:c r="C21" s="32" t="str">
        <x:v>疑似運補跳動</x:v>
      </x:c>
      <x:c r="D21" s="32" t="str">
        <x:v>大量車數跳動與介入容量情境</x:v>
      </x:c>
      <x:c r="E21" s="32" t="str">
        <x:v>2026-01至2026-05</x:v>
      </x:c>
      <x:c r="F21" s="35"/>
      <x:c r="G21" s="35"/>
      <x:c r="H21" s="38"/>
      <x:c r="I21" s="38"/>
      <x:c r="J21" s="38"/>
      <x:c r="K21" s="38"/>
      <x:c r="L21" s="38"/>
      <x:c r="M21" s="35"/>
      <x:c r="N21" s="38"/>
      <x:c r="O21" s="44" t="str">
        <x:v>探索性</x:v>
      </x:c>
      <x:c r="P21" s="44" t="str">
        <x:v>只能作代理不可宣稱真實運補或成本</x:v>
      </x:c>
    </x:row>
    <x:row r="22" ht="15" hidden="0" customHeight="1">
      <x:c r="A22" s="32" t="str">
        <x:v>E08</x:v>
      </x:c>
      <x:c r="B22" s="32" t="str">
        <x:v>加權實驗</x:v>
      </x:c>
      <x:c r="C22" s="32" t="str">
        <x:v>exact-zero缺車</x:v>
      </x:c>
      <x:c r="D22" s="32" t="str">
        <x:v>未加權基準</x:v>
      </x:c>
      <x:c r="E22" s="32" t="str">
        <x:v>2026-05</x:v>
      </x:c>
      <x:c r="F22" s="35"/>
      <x:c r="G22" s="35"/>
      <x:c r="H22" s="38"/>
      <x:c r="I22" s="38" t="n">
        <x:v>0.12874</x:v>
      </x:c>
      <x:c r="J22" s="38"/>
      <x:c r="K22" s="38"/>
      <x:c r="L22" s="38"/>
      <x:c r="M22" s="35"/>
      <x:c r="N22" s="38"/>
      <x:c r="O22" s="43" t="str">
        <x:v>未採用</x:v>
      </x:c>
      <x:c r="P22" s="43" t="str">
        <x:v>canonical PR-AUC</x:v>
      </x:c>
    </x:row>
    <x:row r="23" ht="15" hidden="0" customHeight="1">
      <x:c r="A23" s="32" t="str">
        <x:v>E08</x:v>
      </x:c>
      <x:c r="B23" s="32" t="str">
        <x:v>加權實驗</x:v>
      </x:c>
      <x:c r="C23" s="32" t="str">
        <x:v>exact-zero缺車</x:v>
      </x:c>
      <x:c r="D23" s="32" t="str">
        <x:v>正例權重2倍</x:v>
      </x:c>
      <x:c r="E23" s="32" t="str">
        <x:v>2026-05</x:v>
      </x:c>
      <x:c r="F23" s="35"/>
      <x:c r="G23" s="35"/>
      <x:c r="H23" s="38"/>
      <x:c r="I23" s="38" t="n">
        <x:v>0.12966</x:v>
      </x:c>
      <x:c r="J23" s="38"/>
      <x:c r="K23" s="38"/>
      <x:c r="L23" s="38"/>
      <x:c r="M23" s="35"/>
      <x:c r="N23" s="38"/>
      <x:c r="O23" s="43" t="str">
        <x:v>未採用</x:v>
      </x:c>
      <x:c r="P23" s="43" t="str">
        <x:v>改善僅約0.09個百分點</x:v>
      </x:c>
    </x:row>
    <x:row r="24" ht="15" hidden="0" customHeight="1">
      <x:c r="A24" s="32" t="str">
        <x:v>E08</x:v>
      </x:c>
      <x:c r="B24" s="32" t="str">
        <x:v>加權實驗</x:v>
      </x:c>
      <x:c r="C24" s="32" t="str">
        <x:v>exact-zero缺車</x:v>
      </x:c>
      <x:c r="D24" s="32" t="str">
        <x:v>困難負例權重2倍</x:v>
      </x:c>
      <x:c r="E24" s="32" t="str">
        <x:v>2026-05</x:v>
      </x:c>
      <x:c r="F24" s="35"/>
      <x:c r="G24" s="35"/>
      <x:c r="H24" s="38"/>
      <x:c r="I24" s="38" t="n">
        <x:v>0.12371</x:v>
      </x:c>
      <x:c r="J24" s="38"/>
      <x:c r="K24" s="38"/>
      <x:c r="L24" s="38"/>
      <x:c r="M24" s="35"/>
      <x:c r="N24" s="38"/>
      <x:c r="O24" s="43" t="str">
        <x:v>未採用</x:v>
      </x:c>
      <x:c r="P24" s="43" t="str">
        <x:v>反而下降</x:v>
      </x:c>
    </x:row>
    <x:row r="25" ht="15" hidden="0" customHeight="1">
      <x:c r="A25" s="32" t="str">
        <x:v>E08</x:v>
      </x:c>
      <x:c r="B25" s="32" t="str">
        <x:v>加權實驗</x:v>
      </x:c>
      <x:c r="C25" s="32" t="str">
        <x:v>exact-zero缺車</x:v>
      </x:c>
      <x:c r="D25" s="32" t="str">
        <x:v>組合權重2倍</x:v>
      </x:c>
      <x:c r="E25" s="32" t="str">
        <x:v>2026-05</x:v>
      </x:c>
      <x:c r="F25" s="35"/>
      <x:c r="G25" s="35"/>
      <x:c r="H25" s="38"/>
      <x:c r="I25" s="38" t="n">
        <x:v>0.12323</x:v>
      </x:c>
      <x:c r="J25" s="38"/>
      <x:c r="K25" s="38"/>
      <x:c r="L25" s="38"/>
      <x:c r="M25" s="35"/>
      <x:c r="N25" s="38"/>
      <x:c r="O25" s="43" t="str">
        <x:v>未採用</x:v>
      </x:c>
      <x:c r="P25" s="43" t="str">
        <x:v>反而下降</x:v>
      </x:c>
    </x:row>
    <x:row r="26" ht="15" hidden="0" customHeight="1">
      <x:c r="A26" s="32" t="str">
        <x:v>E08</x:v>
      </x:c>
      <x:c r="B26" s="32" t="str">
        <x:v>加權實驗</x:v>
      </x:c>
      <x:c r="C26" s="32" t="str">
        <x:v>exact-zero滿柱</x:v>
      </x:c>
      <x:c r="D26" s="32" t="str">
        <x:v>未加權基準</x:v>
      </x:c>
      <x:c r="E26" s="32" t="str">
        <x:v>2026-05</x:v>
      </x:c>
      <x:c r="F26" s="35"/>
      <x:c r="G26" s="35"/>
      <x:c r="H26" s="38"/>
      <x:c r="I26" s="38" t="n">
        <x:v>0.05187</x:v>
      </x:c>
      <x:c r="J26" s="38"/>
      <x:c r="K26" s="38"/>
      <x:c r="L26" s="38"/>
      <x:c r="M26" s="35"/>
      <x:c r="N26" s="38"/>
      <x:c r="O26" s="43" t="str">
        <x:v>未採用</x:v>
      </x:c>
      <x:c r="P26" s="43" t="str">
        <x:v>canonical PR-AUC</x:v>
      </x:c>
    </x:row>
    <x:row r="27" ht="15" hidden="0" customHeight="1">
      <x:c r="A27" s="32" t="str">
        <x:v>E08</x:v>
      </x:c>
      <x:c r="B27" s="32" t="str">
        <x:v>加權實驗</x:v>
      </x:c>
      <x:c r="C27" s="32" t="str">
        <x:v>exact-zero滿柱</x:v>
      </x:c>
      <x:c r="D27" s="32" t="str">
        <x:v>正例權重4倍</x:v>
      </x:c>
      <x:c r="E27" s="32" t="str">
        <x:v>2026-05</x:v>
      </x:c>
      <x:c r="F27" s="35"/>
      <x:c r="G27" s="35"/>
      <x:c r="H27" s="38"/>
      <x:c r="I27" s="38" t="n">
        <x:v>0.05497</x:v>
      </x:c>
      <x:c r="J27" s="38"/>
      <x:c r="K27" s="38"/>
      <x:c r="L27" s="38"/>
      <x:c r="M27" s="35"/>
      <x:c r="N27" s="38"/>
      <x:c r="O27" s="43" t="str">
        <x:v>未採用</x:v>
      </x:c>
      <x:c r="P27" s="43" t="str">
        <x:v>小幅提升仍不足</x:v>
      </x:c>
    </x:row>
    <x:row r="28" ht="15" hidden="0" customHeight="1">
      <x:c r="A28" s="32" t="str">
        <x:v>E09</x:v>
      </x:c>
      <x:c r="B28" s="32" t="str">
        <x:v>標籤實驗</x:v>
      </x:c>
      <x:c r="C28" s="32" t="str">
        <x:v>替代失衡定義</x:v>
      </x:c>
      <x:c r="D28" s="32" t="str">
        <x:v>小於等於1或2車及容量5%</x:v>
      </x:c>
      <x:c r="E28" s="32" t="str">
        <x:v>2026-05</x:v>
      </x:c>
      <x:c r="F28" s="35"/>
      <x:c r="G28" s="35"/>
      <x:c r="H28" s="38"/>
      <x:c r="I28" s="38"/>
      <x:c r="J28" s="38"/>
      <x:c r="K28" s="38"/>
      <x:c r="L28" s="38"/>
      <x:c r="M28" s="35"/>
      <x:c r="N28" s="38"/>
      <x:c r="O28" s="43" t="str">
        <x:v>未採用</x:v>
      </x:c>
      <x:c r="P28" s="43" t="str">
        <x:v>自身任務較容易但exact-zero沒有穩定改善</x:v>
      </x:c>
    </x:row>
    <x:row r="29" ht="15" hidden="0" customHeight="1">
      <x:c r="A29" s="32" t="str">
        <x:v>E10</x:v>
      </x:c>
      <x:c r="B29" s="32" t="str">
        <x:v>隔日尖峰</x:v>
      </x:c>
      <x:c r="C29" s="32" t="str">
        <x:v>早尖峰確切時槽缺車</x:v>
      </x:c>
      <x:c r="D29" s="32" t="str">
        <x:v>05:30預測06:00至10:00</x:v>
      </x:c>
      <x:c r="E29" s="32" t="str">
        <x:v>2026-05</x:v>
      </x:c>
      <x:c r="F29" s="35"/>
      <x:c r="G29" s="35"/>
      <x:c r="H29" s="38"/>
      <x:c r="I29" s="38" t="n">
        <x:v>0.0385</x:v>
      </x:c>
      <x:c r="J29" s="38"/>
      <x:c r="K29" s="38"/>
      <x:c r="L29" s="38"/>
      <x:c r="M29" s="35"/>
      <x:c r="N29" s="38"/>
      <x:c r="O29" s="43" t="str">
        <x:v>未採用</x:v>
      </x:c>
      <x:c r="P29" s="43" t="str">
        <x:v>欄位為相對基線PR-AUC增量而非絕對值</x:v>
      </x:c>
    </x:row>
    <x:row r="30" ht="15" hidden="0" customHeight="1">
      <x:c r="A30" s="32" t="str">
        <x:v>E11</x:v>
      </x:c>
      <x:c r="B30" s="32" t="str">
        <x:v>多時點</x:v>
      </x:c>
      <x:c r="C30" s="32" t="str">
        <x:v>缺車t+30且t+60皆失衡</x:v>
      </x:c>
      <x:c r="D30" s="32" t="str">
        <x:v>LightGBM joint label</x:v>
      </x:c>
      <x:c r="E30" s="32" t="str">
        <x:v>2026-05</x:v>
      </x:c>
      <x:c r="F30" s="35"/>
      <x:c r="G30" s="35"/>
      <x:c r="H30" s="38" t="n">
        <x:v>0.0109</x:v>
      </x:c>
      <x:c r="I30" s="38" t="n">
        <x:v>0.1328</x:v>
      </x:c>
      <x:c r="J30" s="38" t="n">
        <x:v>0.1915</x:v>
      </x:c>
      <x:c r="K30" s="38" t="n">
        <x:v>0.2047</x:v>
      </x:c>
      <x:c r="L30" s="38"/>
      <x:c r="M30" s="35"/>
      <x:c r="N30" s="38"/>
      <x:c r="O30" s="43" t="str">
        <x:v>未採用</x:v>
      </x:c>
      <x:c r="P30" s="43" t="str">
        <x:v>正例過稀疏</x:v>
      </x:c>
    </x:row>
    <x:row r="31" ht="15" hidden="0" customHeight="1">
      <x:c r="A31" s="32" t="str">
        <x:v>E11</x:v>
      </x:c>
      <x:c r="B31" s="32" t="str">
        <x:v>多時點</x:v>
      </x:c>
      <x:c r="C31" s="32" t="str">
        <x:v>滿柱t+30且t+60皆失衡</x:v>
      </x:c>
      <x:c r="D31" s="32" t="str">
        <x:v>LightGBM joint label</x:v>
      </x:c>
      <x:c r="E31" s="32" t="str">
        <x:v>2026-05</x:v>
      </x:c>
      <x:c r="F31" s="35"/>
      <x:c r="G31" s="35"/>
      <x:c r="H31" s="38" t="n">
        <x:v>0.001</x:v>
      </x:c>
      <x:c r="I31" s="38" t="n">
        <x:v>0.0654</x:v>
      </x:c>
      <x:c r="J31" s="38" t="n">
        <x:v>0.0909</x:v>
      </x:c>
      <x:c r="K31" s="38" t="n">
        <x:v>0.2869</x:v>
      </x:c>
      <x:c r="L31" s="38"/>
      <x:c r="M31" s="35"/>
      <x:c r="N31" s="38"/>
      <x:c r="O31" s="43" t="str">
        <x:v>未採用</x:v>
      </x:c>
      <x:c r="P31" s="43" t="str">
        <x:v>正例更稀疏</x:v>
      </x:c>
    </x:row>
    <x:row r="32" ht="15" hidden="0" customHeight="1">
      <x:c r="A32" s="32" t="str">
        <x:v>E12</x:v>
      </x:c>
      <x:c r="B32" s="32" t="str">
        <x:v>首次紅燈</x:v>
      </x:c>
      <x:c r="C32" s="32" t="str">
        <x:v>缺車持續30分鐘</x:v>
      </x:c>
      <x:c r="D32" s="32" t="str">
        <x:v>LightGBM二元模型</x:v>
      </x:c>
      <x:c r="E32" s="32" t="str">
        <x:v>2026-05</x:v>
      </x:c>
      <x:c r="F32" s="35"/>
      <x:c r="G32" s="35"/>
      <x:c r="H32" s="38" t="n">
        <x:v>0.3826</x:v>
      </x:c>
      <x:c r="I32" s="38" t="n">
        <x:v>0.5098</x:v>
      </x:c>
      <x:c r="J32" s="38" t="n">
        <x:v>0.5902</x:v>
      </x:c>
      <x:c r="K32" s="38" t="n">
        <x:v>0.1908</x:v>
      </x:c>
      <x:c r="L32" s="38"/>
      <x:c r="M32" s="35"/>
      <x:c r="N32" s="38"/>
      <x:c r="O32" s="44" t="str">
        <x:v>方向成立／非最終</x:v>
      </x:c>
      <x:c r="P32" s="44" t="str">
        <x:v>只在Episode第一張紅燈預測</x:v>
      </x:c>
    </x:row>
    <x:row r="33" ht="15" hidden="0" customHeight="1">
      <x:c r="A33" s="32" t="str">
        <x:v>E12</x:v>
      </x:c>
      <x:c r="B33" s="32" t="str">
        <x:v>首次紅燈</x:v>
      </x:c>
      <x:c r="C33" s="32" t="str">
        <x:v>缺車持續30與60分鐘</x:v>
      </x:c>
      <x:c r="D33" s="32" t="str">
        <x:v>LightGBM二元模型</x:v>
      </x:c>
      <x:c r="E33" s="32" t="str">
        <x:v>2026-05</x:v>
      </x:c>
      <x:c r="F33" s="35"/>
      <x:c r="G33" s="35"/>
      <x:c r="H33" s="38" t="n">
        <x:v>0.1603</x:v>
      </x:c>
      <x:c r="I33" s="38" t="n">
        <x:v>0.2822</x:v>
      </x:c>
      <x:c r="J33" s="38" t="n">
        <x:v>0.3535</x:v>
      </x:c>
      <x:c r="K33" s="38" t="n">
        <x:v>0.1836</x:v>
      </x:c>
      <x:c r="L33" s="38"/>
      <x:c r="M33" s="35"/>
      <x:c r="N33" s="38"/>
      <x:c r="O33" s="43" t="str">
        <x:v>未採用</x:v>
      </x:c>
      <x:c r="P33" s="43" t="str">
        <x:v>較難且覆蓋低</x:v>
      </x:c>
    </x:row>
    <x:row r="34" ht="15" hidden="0" customHeight="1">
      <x:c r="A34" s="32" t="str">
        <x:v>E12</x:v>
      </x:c>
      <x:c r="B34" s="32" t="str">
        <x:v>首次紅燈</x:v>
      </x:c>
      <x:c r="C34" s="32" t="str">
        <x:v>滿柱持續30分鐘</x:v>
      </x:c>
      <x:c r="D34" s="32" t="str">
        <x:v>LightGBM二元模型</x:v>
      </x:c>
      <x:c r="E34" s="32" t="str">
        <x:v>2026-05</x:v>
      </x:c>
      <x:c r="F34" s="35"/>
      <x:c r="G34" s="35"/>
      <x:c r="H34" s="38" t="n">
        <x:v>0.2095</x:v>
      </x:c>
      <x:c r="I34" s="38" t="n">
        <x:v>0.3691</x:v>
      </x:c>
      <x:c r="J34" s="38" t="n">
        <x:v>0.4737</x:v>
      </x:c>
      <x:c r="K34" s="38" t="n">
        <x:v>0.1852</x:v>
      </x:c>
      <x:c r="L34" s="38"/>
      <x:c r="M34" s="35"/>
      <x:c r="N34" s="38"/>
      <x:c r="O34" s="44" t="str">
        <x:v>方向成立／非最終</x:v>
      </x:c>
      <x:c r="P34" s="44" t="str">
        <x:v>只在Episode第一張紅燈預測</x:v>
      </x:c>
    </x:row>
    <x:row r="35" ht="15" hidden="0" customHeight="1">
      <x:c r="A35" s="32" t="str">
        <x:v>E12</x:v>
      </x:c>
      <x:c r="B35" s="32" t="str">
        <x:v>首次紅燈</x:v>
      </x:c>
      <x:c r="C35" s="32" t="str">
        <x:v>滿柱持續30與60分鐘</x:v>
      </x:c>
      <x:c r="D35" s="32" t="str">
        <x:v>LightGBM二元模型</x:v>
      </x:c>
      <x:c r="E35" s="32" t="str">
        <x:v>2026-05</x:v>
      </x:c>
      <x:c r="F35" s="35"/>
      <x:c r="G35" s="35"/>
      <x:c r="H35" s="38" t="n">
        <x:v>0.0573</x:v>
      </x:c>
      <x:c r="I35" s="38" t="n">
        <x:v>0.1569</x:v>
      </x:c>
      <x:c r="J35" s="38" t="n">
        <x:v>0.1691</x:v>
      </x:c>
      <x:c r="K35" s="38" t="n">
        <x:v>0.2611</x:v>
      </x:c>
      <x:c r="L35" s="38"/>
      <x:c r="M35" s="35"/>
      <x:c r="N35" s="38"/>
      <x:c r="O35" s="43" t="str">
        <x:v>未採用</x:v>
      </x:c>
      <x:c r="P35" s="43" t="str">
        <x:v>精確度不足</x:v>
      </x:c>
    </x:row>
    <x:row r="36" ht="15" hidden="0" customHeight="1">
      <x:c r="A36" s="32" t="str">
        <x:v>E13</x:v>
      </x:c>
      <x:c r="B36" s="32" t="str">
        <x:v>存活模型</x:v>
      </x:c>
      <x:c r="C36" s="32" t="str">
        <x:v>缺車持續30分鐘</x:v>
      </x:c>
      <x:c r="D36" s="32" t="str">
        <x:v>離散存活模型</x:v>
      </x:c>
      <x:c r="E36" s="32" t="str">
        <x:v>2026-05</x:v>
      </x:c>
      <x:c r="F36" s="35"/>
      <x:c r="G36" s="35"/>
      <x:c r="H36" s="38" t="n">
        <x:v>0.3827</x:v>
      </x:c>
      <x:c r="I36" s="38" t="n">
        <x:v>0.5196</x:v>
      </x:c>
      <x:c r="J36" s="38" t="n">
        <x:v>0.5951</x:v>
      </x:c>
      <x:c r="K36" s="38" t="n">
        <x:v>0.1849</x:v>
      </x:c>
      <x:c r="L36" s="38"/>
      <x:c r="M36" s="35"/>
      <x:c r="N36" s="38"/>
      <x:c r="O36" s="43" t="str">
        <x:v>未採用</x:v>
      </x:c>
      <x:c r="P36" s="43" t="str">
        <x:v>只比公平二元模型略高</x:v>
      </x:c>
    </x:row>
    <x:row r="37" ht="15" hidden="0" customHeight="1">
      <x:c r="A37" s="32" t="str">
        <x:v>E13</x:v>
      </x:c>
      <x:c r="B37" s="32" t="str">
        <x:v>存活模型</x:v>
      </x:c>
      <x:c r="C37" s="32" t="str">
        <x:v>缺車持續30分鐘</x:v>
      </x:c>
      <x:c r="D37" s="32" t="str">
        <x:v>公平二元模型</x:v>
      </x:c>
      <x:c r="E37" s="32" t="str">
        <x:v>2026-05</x:v>
      </x:c>
      <x:c r="F37" s="35"/>
      <x:c r="G37" s="35"/>
      <x:c r="H37" s="38" t="n">
        <x:v>0.3827</x:v>
      </x:c>
      <x:c r="I37" s="38" t="n">
        <x:v>0.5121</x:v>
      </x:c>
      <x:c r="J37" s="38" t="n">
        <x:v>0.588</x:v>
      </x:c>
      <x:c r="K37" s="38" t="n">
        <x:v>0.1993</x:v>
      </x:c>
      <x:c r="L37" s="38"/>
      <x:c r="M37" s="35"/>
      <x:c r="N37" s="38"/>
      <x:c r="O37" s="43" t="str">
        <x:v>未採用</x:v>
      </x:c>
      <x:c r="P37" s="43" t="str">
        <x:v>Recall反而較高</x:v>
      </x:c>
    </x:row>
    <x:row r="38" ht="15" hidden="0" customHeight="1">
      <x:c r="A38" s="32" t="str">
        <x:v>E13</x:v>
      </x:c>
      <x:c r="B38" s="32" t="str">
        <x:v>存活模型</x:v>
      </x:c>
      <x:c r="C38" s="32" t="str">
        <x:v>缺車持續30與60分鐘</x:v>
      </x:c>
      <x:c r="D38" s="32" t="str">
        <x:v>離散存活模型</x:v>
      </x:c>
      <x:c r="E38" s="32" t="str">
        <x:v>2026-05</x:v>
      </x:c>
      <x:c r="F38" s="35"/>
      <x:c r="G38" s="35"/>
      <x:c r="H38" s="38" t="n">
        <x:v>0.1603</x:v>
      </x:c>
      <x:c r="I38" s="38" t="n">
        <x:v>0.2918</x:v>
      </x:c>
      <x:c r="J38" s="38" t="n">
        <x:v>0.3647</x:v>
      </x:c>
      <x:c r="K38" s="38" t="n">
        <x:v>0.1774</x:v>
      </x:c>
      <x:c r="L38" s="38"/>
      <x:c r="M38" s="35"/>
      <x:c r="N38" s="38"/>
      <x:c r="O38" s="43" t="str">
        <x:v>未採用</x:v>
      </x:c>
      <x:c r="P38" s="43" t="str">
        <x:v>提升有限</x:v>
      </x:c>
    </x:row>
    <x:row r="39" ht="15" hidden="0" customHeight="1">
      <x:c r="A39" s="32" t="str">
        <x:v>E13</x:v>
      </x:c>
      <x:c r="B39" s="32" t="str">
        <x:v>存活模型</x:v>
      </x:c>
      <x:c r="C39" s="32" t="str">
        <x:v>滿柱持續30分鐘</x:v>
      </x:c>
      <x:c r="D39" s="32" t="str">
        <x:v>離散存活模型</x:v>
      </x:c>
      <x:c r="E39" s="32" t="str">
        <x:v>2026-05</x:v>
      </x:c>
      <x:c r="F39" s="35"/>
      <x:c r="G39" s="35"/>
      <x:c r="H39" s="38" t="n">
        <x:v>0.2097</x:v>
      </x:c>
      <x:c r="I39" s="38" t="n">
        <x:v>0.3716</x:v>
      </x:c>
      <x:c r="J39" s="38" t="n">
        <x:v>0.4563</x:v>
      </x:c>
      <x:c r="K39" s="38" t="n">
        <x:v>0.1705</x:v>
      </x:c>
      <x:c r="L39" s="38"/>
      <x:c r="M39" s="35"/>
      <x:c r="N39" s="38"/>
      <x:c r="O39" s="43" t="str">
        <x:v>未採用</x:v>
      </x:c>
      <x:c r="P39" s="43" t="str">
        <x:v>提升有限</x:v>
      </x:c>
    </x:row>
    <x:row r="40" ht="15" hidden="0" customHeight="1">
      <x:c r="A40" s="32" t="str">
        <x:v>E14</x:v>
      </x:c>
      <x:c r="B40" s="32" t="str">
        <x:v>首次紅燈TopK</x:v>
      </x:c>
      <x:c r="C40" s="32" t="str">
        <x:v>缺車持續30分鐘</x:v>
      </x:c>
      <x:c r="D40" s="32" t="str">
        <x:v>純風險K10</x:v>
      </x:c>
      <x:c r="E40" s="32" t="str">
        <x:v>2026-05</x:v>
      </x:c>
      <x:c r="F40" s="35"/>
      <x:c r="G40" s="35"/>
      <x:c r="H40" s="38"/>
      <x:c r="I40" s="38"/>
      <x:c r="J40" s="38" t="n">
        <x:v>0.5219</x:v>
      </x:c>
      <x:c r="K40" s="38" t="n">
        <x:v>0.2525</x:v>
      </x:c>
      <x:c r="L40" s="38"/>
      <x:c r="M40" s="35" t="n">
        <x:v>4265</x:v>
      </x:c>
      <x:c r="N40" s="38"/>
      <x:c r="O40" s="43" t="str">
        <x:v>未採用</x:v>
      </x:c>
      <x:c r="P40" s="43" t="str">
        <x:v>會在低風險時硬湊名額</x:v>
      </x:c>
    </x:row>
    <x:row r="41" ht="15" hidden="0" customHeight="1">
      <x:c r="A41" s="32" t="str">
        <x:v>E14</x:v>
      </x:c>
      <x:c r="B41" s="32" t="str">
        <x:v>首次紅燈TopK</x:v>
      </x:c>
      <x:c r="C41" s="32" t="str">
        <x:v>缺車持續30分鐘</x:v>
      </x:c>
      <x:c r="D41" s="32" t="str">
        <x:v>門檻後K10</x:v>
      </x:c>
      <x:c r="E41" s="32" t="str">
        <x:v>2026-05</x:v>
      </x:c>
      <x:c r="F41" s="35"/>
      <x:c r="G41" s="35"/>
      <x:c r="H41" s="38"/>
      <x:c r="I41" s="38"/>
      <x:c r="J41" s="38" t="n">
        <x:v>0.5967</x:v>
      </x:c>
      <x:c r="K41" s="38" t="n">
        <x:v>0.1522</x:v>
      </x:c>
      <x:c r="L41" s="38"/>
      <x:c r="M41" s="35" t="n">
        <x:v>2249</x:v>
      </x:c>
      <x:c r="N41" s="38"/>
      <x:c r="O41" s="43" t="str">
        <x:v>未採用</x:v>
      </x:c>
      <x:c r="P41" s="43" t="str">
        <x:v>Precision上升但仍是首次紅燈模型</x:v>
      </x:c>
    </x:row>
    <x:row r="42" ht="15" hidden="0" customHeight="1">
      <x:c r="A42" s="32" t="str">
        <x:v>E15</x:v>
      </x:c>
      <x:c r="B42" s="32" t="str">
        <x:v>共識與歷史篩選</x:v>
      </x:c>
      <x:c r="C42" s="32" t="str">
        <x:v>缺車持續30分鐘</x:v>
      </x:c>
      <x:c r="D42" s="32" t="str">
        <x:v>雙模型共識K10</x:v>
      </x:c>
      <x:c r="E42" s="32" t="str">
        <x:v>2026-05</x:v>
      </x:c>
      <x:c r="F42" s="35"/>
      <x:c r="G42" s="35"/>
      <x:c r="H42" s="38"/>
      <x:c r="I42" s="38"/>
      <x:c r="J42" s="38" t="n">
        <x:v>0.6088</x:v>
      </x:c>
      <x:c r="K42" s="38" t="n">
        <x:v>0.1352</x:v>
      </x:c>
      <x:c r="L42" s="38"/>
      <x:c r="M42" s="35"/>
      <x:c r="N42" s="38"/>
      <x:c r="O42" s="43" t="str">
        <x:v>未採用</x:v>
      </x:c>
      <x:c r="P42" s="43" t="str">
        <x:v>Recall下降</x:v>
      </x:c>
    </x:row>
    <x:row r="43" ht="15" hidden="0" customHeight="1">
      <x:c r="A43" s="32" t="str">
        <x:v>E15</x:v>
      </x:c>
      <x:c r="B43" s="32" t="str">
        <x:v>共識與歷史篩選</x:v>
      </x:c>
      <x:c r="C43" s="32" t="str">
        <x:v>缺車持續30分鐘</x:v>
      </x:c>
      <x:c r="D43" s="32" t="str">
        <x:v>共識加歷史LCB 0.75倍K10</x:v>
      </x:c>
      <x:c r="E43" s="32" t="str">
        <x:v>2026-05</x:v>
      </x:c>
      <x:c r="F43" s="35"/>
      <x:c r="G43" s="35"/>
      <x:c r="H43" s="38"/>
      <x:c r="I43" s="38"/>
      <x:c r="J43" s="38" t="n">
        <x:v>0.6478</x:v>
      </x:c>
      <x:c r="K43" s="38" t="n">
        <x:v>0.092</x:v>
      </x:c>
      <x:c r="L43" s="38"/>
      <x:c r="M43" s="35"/>
      <x:c r="N43" s="38"/>
      <x:c r="O43" s="43" t="str">
        <x:v>未採用</x:v>
      </x:c>
      <x:c r="P43" s="43" t="str">
        <x:v>Precision提高但覆蓋過低</x:v>
      </x:c>
    </x:row>
    <x:row r="44" ht="15" hidden="0" customHeight="1">
      <x:c r="A44" s="32" t="str">
        <x:v>E16</x:v>
      </x:c>
      <x:c r="B44" s="32" t="str">
        <x:v>歷史倍率ML</x:v>
      </x:c>
      <x:c r="C44" s="32" t="str">
        <x:v>缺車持續30分鐘</x:v>
      </x:c>
      <x:c r="D44" s="32" t="str">
        <x:v>固定歷史0.75倍K10</x:v>
      </x:c>
      <x:c r="E44" s="32" t="str">
        <x:v>2026-04 gate</x:v>
      </x:c>
      <x:c r="F44" s="35"/>
      <x:c r="G44" s="35"/>
      <x:c r="H44" s="38"/>
      <x:c r="I44" s="38"/>
      <x:c r="J44" s="38" t="n">
        <x:v>0.6578</x:v>
      </x:c>
      <x:c r="K44" s="38" t="n">
        <x:v>0.1105</x:v>
      </x:c>
      <x:c r="L44" s="38"/>
      <x:c r="M44" s="35"/>
      <x:c r="N44" s="38"/>
      <x:c r="O44" s="43" t="str">
        <x:v>未採用</x:v>
      </x:c>
      <x:c r="P44" s="43" t="str">
        <x:v>較穩定的規則基準</x:v>
      </x:c>
    </x:row>
    <x:row r="45" ht="15" hidden="0" customHeight="1">
      <x:c r="A45" s="32" t="str">
        <x:v>E16</x:v>
      </x:c>
      <x:c r="B45" s="32" t="str">
        <x:v>歷史倍率ML</x:v>
      </x:c>
      <x:c r="C45" s="32" t="str">
        <x:v>缺車持續30分鐘</x:v>
      </x:c>
      <x:c r="D45" s="32" t="str">
        <x:v>小型LightGBM第二層</x:v>
      </x:c>
      <x:c r="E45" s="32" t="str">
        <x:v>2026-04 gate</x:v>
      </x:c>
      <x:c r="F45" s="35"/>
      <x:c r="G45" s="35"/>
      <x:c r="H45" s="38"/>
      <x:c r="I45" s="38"/>
      <x:c r="J45" s="38" t="n">
        <x:v>0.6598</x:v>
      </x:c>
      <x:c r="K45" s="38" t="n">
        <x:v>0.1108</x:v>
      </x:c>
      <x:c r="L45" s="38"/>
      <x:c r="M45" s="35"/>
      <x:c r="N45" s="38"/>
      <x:c r="O45" s="44" t="str">
        <x:v>探索性</x:v>
      </x:c>
      <x:c r="P45" s="44" t="str">
        <x:v>約260筆且缺週末過擬合風險高</x:v>
      </x:c>
    </x:row>
    <x:row r="46" ht="15" hidden="0" customHeight="1">
      <x:c r="A46" s="32" t="str">
        <x:v>E16</x:v>
      </x:c>
      <x:c r="B46" s="32" t="str">
        <x:v>歷史倍率ML</x:v>
      </x:c>
      <x:c r="C46" s="32" t="str">
        <x:v>缺車持續30分鐘</x:v>
      </x:c>
      <x:c r="D46" s="32" t="str">
        <x:v>Logistic第二層</x:v>
      </x:c>
      <x:c r="E46" s="32" t="str">
        <x:v>2026-05</x:v>
      </x:c>
      <x:c r="F46" s="35"/>
      <x:c r="G46" s="35"/>
      <x:c r="H46" s="38"/>
      <x:c r="I46" s="38"/>
      <x:c r="J46" s="38" t="n">
        <x:v>0.6148</x:v>
      </x:c>
      <x:c r="K46" s="38" t="n">
        <x:v>0.1312</x:v>
      </x:c>
      <x:c r="L46" s="38"/>
      <x:c r="M46" s="35"/>
      <x:c r="N46" s="38"/>
      <x:c r="O46" s="43" t="str">
        <x:v>未採用</x:v>
      </x:c>
      <x:c r="P46" s="43" t="str">
        <x:v>未勝固定歷史規則</x:v>
      </x:c>
    </x:row>
    <x:row r="47" ht="15" hidden="0" customHeight="1">
      <x:c r="A47" s="32" t="str">
        <x:v>E17</x:v>
      </x:c>
      <x:c r="B47" s="32" t="str">
        <x:v>動態模型</x:v>
      </x:c>
      <x:c r="C47" s="32" t="str">
        <x:v>當下缺車預測t+30仍缺車</x:v>
      </x:c>
      <x:c r="D47" s="32" t="str">
        <x:v>全部紅燈皆警示</x:v>
      </x:c>
      <x:c r="E47" s="32" t="str">
        <x:v>2026-05</x:v>
      </x:c>
      <x:c r="F47" s="35"/>
      <x:c r="G47" s="35"/>
      <x:c r="H47" s="38"/>
      <x:c r="I47" s="38"/>
      <x:c r="J47" s="38" t="n">
        <x:v>0.42</x:v>
      </x:c>
      <x:c r="K47" s="38" t="n">
        <x:v>1</x:v>
      </x:c>
      <x:c r="L47" s="38"/>
      <x:c r="M47" s="35" t="n">
        <x:v>37535</x:v>
      </x:c>
      <x:c r="N47" s="38"/>
      <x:c r="O47" s="42" t="str">
        <x:v>Baseline</x:v>
      </x:c>
      <x:c r="P47" s="42" t="str">
        <x:v>最低限度基準</x:v>
      </x:c>
    </x:row>
    <x:row r="48" ht="15" hidden="0" customHeight="1">
      <x:c r="A48" s="32" t="str">
        <x:v>E17</x:v>
      </x:c>
      <x:c r="B48" s="32" t="str">
        <x:v>動態模型</x:v>
      </x:c>
      <x:c r="C48" s="32" t="str">
        <x:v>當下缺車預測t+30仍缺車</x:v>
      </x:c>
      <x:c r="D48" s="32" t="str">
        <x:v>已缺車至少60分鐘</x:v>
      </x:c>
      <x:c r="E48" s="32" t="str">
        <x:v>2026-05</x:v>
      </x:c>
      <x:c r="F48" s="35"/>
      <x:c r="G48" s="35"/>
      <x:c r="H48" s="38"/>
      <x:c r="I48" s="38"/>
      <x:c r="J48" s="38" t="n">
        <x:v>0.5627</x:v>
      </x:c>
      <x:c r="K48" s="38" t="n">
        <x:v>0.2231</x:v>
      </x:c>
      <x:c r="L48" s="38"/>
      <x:c r="M48" s="35"/>
      <x:c r="N48" s="38"/>
      <x:c r="O48" s="42" t="str">
        <x:v>Baseline</x:v>
      </x:c>
      <x:c r="P48" s="42" t="str">
        <x:v>持續時間規則</x:v>
      </x:c>
    </x:row>
    <x:row r="49" ht="15" hidden="0" customHeight="1">
      <x:c r="A49" s="32" t="str">
        <x:v>E17</x:v>
      </x:c>
      <x:c r="B49" s="32" t="str">
        <x:v>動態模型</x:v>
      </x:c>
      <x:c r="C49" s="32" t="str">
        <x:v>當下缺車預測t+30仍缺車</x:v>
      </x:c>
      <x:c r="D49" s="32" t="str">
        <x:v>平衡LightGBM</x:v>
      </x:c>
      <x:c r="E49" s="32" t="str">
        <x:v>2026-05</x:v>
      </x:c>
      <x:c r="F49" s="35"/>
      <x:c r="G49" s="35"/>
      <x:c r="H49" s="38"/>
      <x:c r="I49" s="38"/>
      <x:c r="J49" s="38" t="n">
        <x:v>0.6587</x:v>
      </x:c>
      <x:c r="K49" s="38" t="n">
        <x:v>0.2066</x:v>
      </x:c>
      <x:c r="L49" s="38"/>
      <x:c r="M49" s="35" t="n">
        <x:v>4943</x:v>
      </x:c>
      <x:c r="N49" s="38"/>
      <x:c r="O49" s="41" t="str">
        <x:v>採用</x:v>
      </x:c>
      <x:c r="P49" s="41" t="str">
        <x:v>動態重評估主模型</x:v>
      </x:c>
    </x:row>
    <x:row r="50" ht="15" hidden="0" customHeight="1">
      <x:c r="A50" s="32" t="str">
        <x:v>E17</x:v>
      </x:c>
      <x:c r="B50" s="32" t="str">
        <x:v>動態模型</x:v>
      </x:c>
      <x:c r="C50" s="32" t="str">
        <x:v>當下缺車預測t+30仍缺車</x:v>
      </x:c>
      <x:c r="D50" s="32" t="str">
        <x:v>嚴格LightGBM</x:v>
      </x:c>
      <x:c r="E50" s="32" t="str">
        <x:v>2026-05</x:v>
      </x:c>
      <x:c r="F50" s="35"/>
      <x:c r="G50" s="35"/>
      <x:c r="H50" s="38"/>
      <x:c r="I50" s="38"/>
      <x:c r="J50" s="38" t="n">
        <x:v>0.7004</x:v>
      </x:c>
      <x:c r="K50" s="38" t="n">
        <x:v>0.0755</x:v>
      </x:c>
      <x:c r="L50" s="38"/>
      <x:c r="M50" s="35" t="n">
        <x:v>1699</x:v>
      </x:c>
      <x:c r="N50" s="38"/>
      <x:c r="O50" s="44" t="str">
        <x:v>可選嚴格模式</x:v>
      </x:c>
      <x:c r="P50" s="44" t="str">
        <x:v>Precision換取低Recall</x:v>
      </x:c>
    </x:row>
    <x:row r="51" ht="15" hidden="0" customHeight="1">
      <x:c r="A51" s="32" t="str">
        <x:v>E18</x:v>
      </x:c>
      <x:c r="B51" s="32" t="str">
        <x:v>動態模型bakeoff</x:v>
      </x:c>
      <x:c r="C51" s="32" t="str">
        <x:v>當下缺車預測t+30仍缺車</x:v>
      </x:c>
      <x:c r="D51" s="32" t="str">
        <x:v>Logistic</x:v>
      </x:c>
      <x:c r="E51" s="32" t="str">
        <x:v>2026-05</x:v>
      </x:c>
      <x:c r="F51" s="35"/>
      <x:c r="G51" s="35"/>
      <x:c r="H51" s="38"/>
      <x:c r="I51" s="38" t="n">
        <x:v>0.563521</x:v>
      </x:c>
      <x:c r="J51" s="38" t="n">
        <x:v>0.5708</x:v>
      </x:c>
      <x:c r="K51" s="38" t="n">
        <x:v>0.288</x:v>
      </x:c>
      <x:c r="L51" s="38"/>
      <x:c r="M51" s="35"/>
      <x:c r="N51" s="38"/>
      <x:c r="O51" s="43" t="str">
        <x:v>未採用</x:v>
      </x:c>
      <x:c r="P51" s="43" t="str">
        <x:v>Recall較高但Precision較低</x:v>
      </x:c>
    </x:row>
    <x:row r="52" ht="15" hidden="0" customHeight="1">
      <x:c r="A52" s="32" t="str">
        <x:v>E18</x:v>
      </x:c>
      <x:c r="B52" s="32" t="str">
        <x:v>動態模型bakeoff</x:v>
      </x:c>
      <x:c r="C52" s="32" t="str">
        <x:v>當下缺車預測t+30仍缺車</x:v>
      </x:c>
      <x:c r="D52" s="32" t="str">
        <x:v>XGBoost</x:v>
      </x:c>
      <x:c r="E52" s="32" t="str">
        <x:v>2026-05</x:v>
      </x:c>
      <x:c r="F52" s="35"/>
      <x:c r="G52" s="35"/>
      <x:c r="H52" s="38"/>
      <x:c r="I52" s="38" t="n">
        <x:v>0.563013</x:v>
      </x:c>
      <x:c r="J52" s="38" t="n">
        <x:v>0.6265</x:v>
      </x:c>
      <x:c r="K52" s="38" t="n">
        <x:v>0.1814</x:v>
      </x:c>
      <x:c r="L52" s="38"/>
      <x:c r="M52" s="35"/>
      <x:c r="N52" s="38"/>
      <x:c r="O52" s="43" t="str">
        <x:v>未採用</x:v>
      </x:c>
      <x:c r="P52" s="43" t="str">
        <x:v>未勝LightGBM</x:v>
      </x:c>
    </x:row>
    <x:row r="53" ht="15" hidden="0" customHeight="1">
      <x:c r="A53" s="32" t="str">
        <x:v>E18</x:v>
      </x:c>
      <x:c r="B53" s="32" t="str">
        <x:v>動態模型bakeoff</x:v>
      </x:c>
      <x:c r="C53" s="32" t="str">
        <x:v>當下缺車預測t+30仍缺車</x:v>
      </x:c>
      <x:c r="D53" s="32" t="str">
        <x:v>LightGBM</x:v>
      </x:c>
      <x:c r="E53" s="32" t="str">
        <x:v>2026-05</x:v>
      </x:c>
      <x:c r="F53" s="35"/>
      <x:c r="G53" s="35"/>
      <x:c r="H53" s="38"/>
      <x:c r="I53" s="38" t="n">
        <x:v>0.574976</x:v>
      </x:c>
      <x:c r="J53" s="38" t="n">
        <x:v>0.6587</x:v>
      </x:c>
      <x:c r="K53" s="38" t="n">
        <x:v>0.2066</x:v>
      </x:c>
      <x:c r="L53" s="38"/>
      <x:c r="M53" s="35"/>
      <x:c r="N53" s="38"/>
      <x:c r="O53" s="41" t="str">
        <x:v>採用</x:v>
      </x:c>
      <x:c r="P53" s="41" t="str">
        <x:v>May PR-AUC與Precision最佳且Recall超過20%</x:v>
      </x:c>
    </x:row>
    <x:row r="54" ht="15" hidden="0" customHeight="1">
      <x:c r="A54" s="32" t="str">
        <x:v>E19</x:v>
      </x:c>
      <x:c r="B54" s="32" t="str">
        <x:v>動態存活共識</x:v>
      </x:c>
      <x:c r="C54" s="32" t="str">
        <x:v>當下缺車預測t+30仍缺車</x:v>
      </x:c>
      <x:c r="D54" s="32" t="str">
        <x:v>平衡LightGBM</x:v>
      </x:c>
      <x:c r="E54" s="32" t="str">
        <x:v>2026-04 gate</x:v>
      </x:c>
      <x:c r="F54" s="35"/>
      <x:c r="G54" s="35"/>
      <x:c r="H54" s="38"/>
      <x:c r="I54" s="38"/>
      <x:c r="J54" s="38" t="n">
        <x:v>0.6218</x:v>
      </x:c>
      <x:c r="K54" s="38" t="n">
        <x:v>0.2117</x:v>
      </x:c>
      <x:c r="L54" s="38"/>
      <x:c r="M54" s="35"/>
      <x:c r="N54" s="38"/>
      <x:c r="O54" s="41" t="str">
        <x:v>正式基準</x:v>
      </x:c>
      <x:c r="P54" s="41" t="str">
        <x:v>共識前基準</x:v>
      </x:c>
    </x:row>
    <x:row r="55" ht="15" hidden="0" customHeight="1">
      <x:c r="A55" s="32" t="str">
        <x:v>E19</x:v>
      </x:c>
      <x:c r="B55" s="32" t="str">
        <x:v>動態存活共識</x:v>
      </x:c>
      <x:c r="C55" s="32" t="str">
        <x:v>當下缺車預測t+30仍缺車</x:v>
      </x:c>
      <x:c r="D55" s="32" t="str">
        <x:v>LGBM AND條件式存活</x:v>
      </x:c>
      <x:c r="E55" s="32" t="str">
        <x:v>2026-04 gate</x:v>
      </x:c>
      <x:c r="F55" s="35"/>
      <x:c r="G55" s="35"/>
      <x:c r="H55" s="38"/>
      <x:c r="I55" s="38"/>
      <x:c r="J55" s="38" t="n">
        <x:v>0.6646</x:v>
      </x:c>
      <x:c r="K55" s="38" t="n">
        <x:v>0.1098</x:v>
      </x:c>
      <x:c r="L55" s="38"/>
      <x:c r="M55" s="35"/>
      <x:c r="N55" s="38"/>
      <x:c r="O55" s="43" t="str">
        <x:v>未採用</x:v>
      </x:c>
      <x:c r="P55" s="43" t="str">
        <x:v>Recall近乎減半</x:v>
      </x:c>
    </x:row>
    <x:row r="56" ht="15" hidden="0" customHeight="1">
      <x:c r="A56" s="32" t="str">
        <x:v>E19</x:v>
      </x:c>
      <x:c r="B56" s="32" t="str">
        <x:v>動態存活共識</x:v>
      </x:c>
      <x:c r="C56" s="32" t="str">
        <x:v>當下缺車預測t+30仍缺車</x:v>
      </x:c>
      <x:c r="D56" s="32" t="str">
        <x:v>平衡LightGBM</x:v>
      </x:c>
      <x:c r="E56" s="32" t="str">
        <x:v>2026-05</x:v>
      </x:c>
      <x:c r="F56" s="35"/>
      <x:c r="G56" s="35"/>
      <x:c r="H56" s="38"/>
      <x:c r="I56" s="38"/>
      <x:c r="J56" s="38" t="n">
        <x:v>0.6587</x:v>
      </x:c>
      <x:c r="K56" s="38" t="n">
        <x:v>0.2066</x:v>
      </x:c>
      <x:c r="L56" s="38"/>
      <x:c r="M56" s="35"/>
      <x:c r="N56" s="38"/>
      <x:c r="O56" s="41" t="str">
        <x:v>正式基準</x:v>
      </x:c>
      <x:c r="P56" s="41" t="str">
        <x:v>共識前基準</x:v>
      </x:c>
    </x:row>
    <x:row r="57" ht="15" hidden="0" customHeight="1">
      <x:c r="A57" s="32" t="str">
        <x:v>E19</x:v>
      </x:c>
      <x:c r="B57" s="32" t="str">
        <x:v>動態存活共識</x:v>
      </x:c>
      <x:c r="C57" s="32" t="str">
        <x:v>當下缺車預測t+30仍缺車</x:v>
      </x:c>
      <x:c r="D57" s="32" t="str">
        <x:v>LGBM AND條件式存活</x:v>
      </x:c>
      <x:c r="E57" s="32" t="str">
        <x:v>2026-05</x:v>
      </x:c>
      <x:c r="F57" s="35"/>
      <x:c r="G57" s="35"/>
      <x:c r="H57" s="38"/>
      <x:c r="I57" s="38"/>
      <x:c r="J57" s="38" t="n">
        <x:v>0.6453</x:v>
      </x:c>
      <x:c r="K57" s="38" t="n">
        <x:v>0.09</x:v>
      </x:c>
      <x:c r="L57" s="38"/>
      <x:c r="M57" s="35"/>
      <x:c r="N57" s="38"/>
      <x:c r="O57" s="43" t="str">
        <x:v>未採用</x:v>
      </x:c>
      <x:c r="P57" s="43" t="str">
        <x:v>Precision與Recall皆不理想</x:v>
      </x:c>
    </x:row>
    <x:row r="58" ht="15" hidden="0" customHeight="1">
      <x:c r="A58" s="32" t="str">
        <x:v>E20</x:v>
      </x:c>
      <x:c r="B58" s="32" t="str">
        <x:v>動態Logistic共識</x:v>
      </x:c>
      <x:c r="C58" s="32" t="str">
        <x:v>當下缺車預測t+30仍缺車</x:v>
      </x:c>
      <x:c r="D58" s="32" t="str">
        <x:v>平衡LightGBM</x:v>
      </x:c>
      <x:c r="E58" s="32" t="str">
        <x:v>2026-06 retrospective</x:v>
      </x:c>
      <x:c r="F58" s="35" t="n">
        <x:v>27962</x:v>
      </x:c>
      <x:c r="G58" s="35" t="n">
        <x:v>11921</x:v>
      </x:c>
      <x:c r="H58" s="38" t="n">
        <x:v>0.426329</x:v>
      </x:c>
      <x:c r="I58" s="38"/>
      <x:c r="J58" s="38" t="n">
        <x:v>0.6584</x:v>
      </x:c>
      <x:c r="K58" s="38" t="n">
        <x:v>0.2126</x:v>
      </x:c>
      <x:c r="L58" s="38"/>
      <x:c r="M58" s="35"/>
      <x:c r="N58" s="38"/>
      <x:c r="O58" s="41" t="str">
        <x:v>正式基準</x:v>
      </x:c>
      <x:c r="P58" s="41" t="str">
        <x:v>共識前基準</x:v>
      </x:c>
    </x:row>
    <x:row r="59" ht="15" hidden="0" customHeight="1">
      <x:c r="A59" s="32" t="str">
        <x:v>E20</x:v>
      </x:c>
      <x:c r="B59" s="32" t="str">
        <x:v>動態Logistic共識</x:v>
      </x:c>
      <x:c r="C59" s="32" t="str">
        <x:v>當下缺車預測t+30仍缺車</x:v>
      </x:c>
      <x:c r="D59" s="32" t="str">
        <x:v>pooled Logistic</x:v>
      </x:c>
      <x:c r="E59" s="32" t="str">
        <x:v>2026-06 retrospective</x:v>
      </x:c>
      <x:c r="F59" s="35" t="n">
        <x:v>27962</x:v>
      </x:c>
      <x:c r="G59" s="35" t="n">
        <x:v>11921</x:v>
      </x:c>
      <x:c r="H59" s="38" t="n">
        <x:v>0.426329</x:v>
      </x:c>
      <x:c r="I59" s="38"/>
      <x:c r="J59" s="38" t="n">
        <x:v>0.5477</x:v>
      </x:c>
      <x:c r="K59" s="38" t="n">
        <x:v>0.3653</x:v>
      </x:c>
      <x:c r="L59" s="38"/>
      <x:c r="M59" s="35"/>
      <x:c r="N59" s="38"/>
      <x:c r="O59" s="43" t="str">
        <x:v>未採用</x:v>
      </x:c>
      <x:c r="P59" s="43" t="str">
        <x:v>Recall較高但Precision較低</x:v>
      </x:c>
    </x:row>
    <x:row r="60" ht="15" hidden="0" customHeight="1">
      <x:c r="A60" s="32" t="str">
        <x:v>E20</x:v>
      </x:c>
      <x:c r="B60" s="32" t="str">
        <x:v>動態Logistic共識</x:v>
      </x:c>
      <x:c r="C60" s="32" t="str">
        <x:v>當下缺車預測t+30仍缺車</x:v>
      </x:c>
      <x:c r="D60" s="32" t="str">
        <x:v>LGBM AND Logistic</x:v>
      </x:c>
      <x:c r="E60" s="32" t="str">
        <x:v>2026-06 retrospective</x:v>
      </x:c>
      <x:c r="F60" s="35" t="n">
        <x:v>27962</x:v>
      </x:c>
      <x:c r="G60" s="35" t="n">
        <x:v>11921</x:v>
      </x:c>
      <x:c r="H60" s="38" t="n">
        <x:v>0.426329</x:v>
      </x:c>
      <x:c r="I60" s="38"/>
      <x:c r="J60" s="38" t="n">
        <x:v>0.6808</x:v>
      </x:c>
      <x:c r="K60" s="38" t="n">
        <x:v>0.1278</x:v>
      </x:c>
      <x:c r="L60" s="38"/>
      <x:c r="M60" s="35"/>
      <x:c r="N60" s="38"/>
      <x:c r="O60" s="43" t="str">
        <x:v>未採用</x:v>
      </x:c>
      <x:c r="P60" s="43" t="str">
        <x:v>改善主要來自超長事件且未通過早期事件檢查</x:v>
      </x:c>
    </x:row>
    <x:row r="61" ht="15" hidden="0" customHeight="1">
      <x:c r="A61" s="32" t="str">
        <x:v>E21</x:v>
      </x:c>
      <x:c r="B61" s="32" t="str">
        <x:v>六月凍結最終</x:v>
      </x:c>
      <x:c r="C61" s="32" t="str">
        <x:v>當下缺車預測t+30仍缺車</x:v>
      </x:c>
      <x:c r="D61" s="32" t="str">
        <x:v>全部紅燈皆警示</x:v>
      </x:c>
      <x:c r="E61" s="32" t="str">
        <x:v>2026-06</x:v>
      </x:c>
      <x:c r="F61" s="35" t="n">
        <x:v>27962</x:v>
      </x:c>
      <x:c r="G61" s="35" t="n">
        <x:v>11921</x:v>
      </x:c>
      <x:c r="H61" s="38" t="n">
        <x:v>0.426329</x:v>
      </x:c>
      <x:c r="I61" s="38"/>
      <x:c r="J61" s="38" t="n">
        <x:v>0.426329</x:v>
      </x:c>
      <x:c r="K61" s="38" t="n">
        <x:v>1</x:v>
      </x:c>
      <x:c r="L61" s="38"/>
      <x:c r="M61" s="35" t="n">
        <x:v>27962</x:v>
      </x:c>
      <x:c r="N61" s="38"/>
      <x:c r="O61" s="42" t="str">
        <x:v>Baseline</x:v>
      </x:c>
      <x:c r="P61" s="42" t="str">
        <x:v>六月母體基準率</x:v>
      </x:c>
    </x:row>
    <x:row r="62" ht="15" hidden="0" customHeight="1">
      <x:c r="A62" s="32" t="str">
        <x:v>E21</x:v>
      </x:c>
      <x:c r="B62" s="32" t="str">
        <x:v>六月凍結最終</x:v>
      </x:c>
      <x:c r="C62" s="32" t="str">
        <x:v>當下缺車預測t+30仍缺車</x:v>
      </x:c>
      <x:c r="D62" s="32" t="str">
        <x:v>已缺車至少60分鐘</x:v>
      </x:c>
      <x:c r="E62" s="32" t="str">
        <x:v>2026-06</x:v>
      </x:c>
      <x:c r="F62" s="35" t="n">
        <x:v>27962</x:v>
      </x:c>
      <x:c r="G62" s="35" t="n">
        <x:v>11921</x:v>
      </x:c>
      <x:c r="H62" s="38" t="n">
        <x:v>0.426329</x:v>
      </x:c>
      <x:c r="I62" s="38"/>
      <x:c r="J62" s="38" t="n">
        <x:v>0.564884</x:v>
      </x:c>
      <x:c r="K62" s="38" t="n">
        <x:v>0.222381</x:v>
      </x:c>
      <x:c r="L62" s="38"/>
      <x:c r="M62" s="35" t="n">
        <x:v>4693</x:v>
      </x:c>
      <x:c r="N62" s="38"/>
      <x:c r="O62" s="42" t="str">
        <x:v>Baseline</x:v>
      </x:c>
      <x:c r="P62" s="42" t="str">
        <x:v>持續時間規則</x:v>
      </x:c>
    </x:row>
    <x:row r="63" ht="15" hidden="0" customHeight="1">
      <x:c r="A63" s="32" t="str">
        <x:v>E21</x:v>
      </x:c>
      <x:c r="B63" s="32" t="str">
        <x:v>六月凍結最終</x:v>
      </x:c>
      <x:c r="C63" s="32" t="str">
        <x:v>當下缺車預測t+30仍缺車</x:v>
      </x:c>
      <x:c r="D63" s="32" t="str">
        <x:v>平衡LightGBM</x:v>
      </x:c>
      <x:c r="E63" s="32" t="str">
        <x:v>2026-06</x:v>
      </x:c>
      <x:c r="F63" s="35" t="n">
        <x:v>27962</x:v>
      </x:c>
      <x:c r="G63" s="35" t="n">
        <x:v>11921</x:v>
      </x:c>
      <x:c r="H63" s="38" t="n">
        <x:v>0.426329</x:v>
      </x:c>
      <x:c r="I63" s="38" t="n">
        <x:v>0.5661</x:v>
      </x:c>
      <x:c r="J63" s="38" t="n">
        <x:v>0.658353</x:v>
      </x:c>
      <x:c r="K63" s="38" t="n">
        <x:v>0.212566</x:v>
      </x:c>
      <x:c r="L63" s="38"/>
      <x:c r="M63" s="35" t="n">
        <x:v>3849</x:v>
      </x:c>
      <x:c r="N63" s="38" t="n">
        <x:v>0.566812</x:v>
      </x:c>
      <x:c r="O63" s="41" t="str">
        <x:v>採用</x:v>
      </x:c>
      <x:c r="P63" s="41" t="str">
        <x:v>Demo預設模型</x:v>
      </x:c>
    </x:row>
    <x:row r="64" ht="15" hidden="0" customHeight="1">
      <x:c r="A64" s="32" t="str">
        <x:v>E21</x:v>
      </x:c>
      <x:c r="B64" s="32" t="str">
        <x:v>六月凍結最終</x:v>
      </x:c>
      <x:c r="C64" s="32" t="str">
        <x:v>當下缺車預測t+30仍缺車</x:v>
      </x:c>
      <x:c r="D64" s="32" t="str">
        <x:v>平衡LightGBM加K10</x:v>
      </x:c>
      <x:c r="E64" s="32" t="str">
        <x:v>2026-06</x:v>
      </x:c>
      <x:c r="F64" s="35" t="n">
        <x:v>27962</x:v>
      </x:c>
      <x:c r="G64" s="35" t="n">
        <x:v>11921</x:v>
      </x:c>
      <x:c r="H64" s="38" t="n">
        <x:v>0.426329</x:v>
      </x:c>
      <x:c r="I64" s="38"/>
      <x:c r="J64" s="38" t="n">
        <x:v>0.685813</x:v>
      </x:c>
      <x:c r="K64" s="38" t="n">
        <x:v>0.149232</x:v>
      </x:c>
      <x:c r="L64" s="38"/>
      <x:c r="M64" s="35" t="n">
        <x:v>2594</x:v>
      </x:c>
      <x:c r="N64" s="38" t="n">
        <x:v>0.566812</x:v>
      </x:c>
      <x:c r="O64" s="41" t="str">
        <x:v>採用／容量模式</x:v>
      </x:c>
      <x:c r="P64" s="41" t="str">
        <x:v>有限行動清單</x:v>
      </x:c>
    </x:row>
    <x:row r="65" ht="15" hidden="0" customHeight="1">
      <x:c r="A65" s="32" t="str">
        <x:v>E21</x:v>
      </x:c>
      <x:c r="B65" s="32" t="str">
        <x:v>六月凍結最終</x:v>
      </x:c>
      <x:c r="C65" s="32" t="str">
        <x:v>當下缺車預測t+30仍缺車</x:v>
      </x:c>
      <x:c r="D65" s="32" t="str">
        <x:v>嚴格LightGBM</x:v>
      </x:c>
      <x:c r="E65" s="32" t="str">
        <x:v>2026-06</x:v>
      </x:c>
      <x:c r="F65" s="35" t="n">
        <x:v>27962</x:v>
      </x:c>
      <x:c r="G65" s="35" t="n">
        <x:v>11921</x:v>
      </x:c>
      <x:c r="H65" s="38" t="n">
        <x:v>0.426329</x:v>
      </x:c>
      <x:c r="I65" s="38"/>
      <x:c r="J65" s="38" t="n">
        <x:v>0.68555</x:v>
      </x:c>
      <x:c r="K65" s="38" t="n">
        <x:v>0.070044</x:v>
      </x:c>
      <x:c r="L65" s="38"/>
      <x:c r="M65" s="35" t="n">
        <x:v>1218</x:v>
      </x:c>
      <x:c r="N65" s="38" t="n">
        <x:v>0.651777</x:v>
      </x:c>
      <x:c r="O65" s="44" t="str">
        <x:v>可選嚴格模式</x:v>
      </x:c>
      <x:c r="P65" s="44" t="str">
        <x:v>Precision優先模式</x:v>
      </x:c>
    </x:row>
    <x:row r="66" ht="15" hidden="0" customHeight="1">
      <x:c r="A66" s="32" t="str">
        <x:v>E22</x:v>
      </x:c>
      <x:c r="B66" s="32" t="str">
        <x:v>六月公平K10</x:v>
      </x:c>
      <x:c r="C66" s="32" t="str">
        <x:v>當下缺車預測t+30仍缺車</x:v>
      </x:c>
      <x:c r="D66" s="32" t="str">
        <x:v>持續缺車最久Top10無門檻</x:v>
      </x:c>
      <x:c r="E66" s="32" t="str">
        <x:v>2026-06</x:v>
      </x:c>
      <x:c r="F66" s="35" t="n">
        <x:v>27962</x:v>
      </x:c>
      <x:c r="G66" s="35" t="n">
        <x:v>11921</x:v>
      </x:c>
      <x:c r="H66" s="38" t="n">
        <x:v>0.426329</x:v>
      </x:c>
      <x:c r="I66" s="38"/>
      <x:c r="J66" s="38" t="n">
        <x:v>0.560453</x:v>
      </x:c>
      <x:c r="K66" s="38" t="n">
        <x:v>0.195202</x:v>
      </x:c>
      <x:c r="L66" s="38"/>
      <x:c r="M66" s="35" t="n">
        <x:v>4152</x:v>
      </x:c>
      <x:c r="N66" s="38"/>
      <x:c r="O66" s="42" t="str">
        <x:v>Baseline</x:v>
      </x:c>
      <x:c r="P66" s="42" t="str">
        <x:v>相同工作量比較</x:v>
      </x:c>
    </x:row>
    <x:row r="67" ht="15" hidden="0" customHeight="1">
      <x:c r="A67" s="32" t="str">
        <x:v>E22</x:v>
      </x:c>
      <x:c r="B67" s="32" t="str">
        <x:v>六月公平K10</x:v>
      </x:c>
      <x:c r="C67" s="32" t="str">
        <x:v>當下缺車預測t+30仍缺車</x:v>
      </x:c>
      <x:c r="D67" s="32" t="str">
        <x:v>模型風險Top10無門檻</x:v>
      </x:c>
      <x:c r="E67" s="32" t="str">
        <x:v>2026-06</x:v>
      </x:c>
      <x:c r="F67" s="35" t="n">
        <x:v>27962</x:v>
      </x:c>
      <x:c r="G67" s="35" t="n">
        <x:v>11921</x:v>
      </x:c>
      <x:c r="H67" s="38" t="n">
        <x:v>0.426329</x:v>
      </x:c>
      <x:c r="I67" s="38"/>
      <x:c r="J67" s="38" t="n">
        <x:v>0.619942</x:v>
      </x:c>
      <x:c r="K67" s="38" t="n">
        <x:v>0.215921</x:v>
      </x:c>
      <x:c r="L67" s="38"/>
      <x:c r="M67" s="35" t="n">
        <x:v>4152</x:v>
      </x:c>
      <x:c r="N67" s="38"/>
      <x:c r="O67" s="41" t="str">
        <x:v>採用證據</x:v>
      </x:c>
      <x:c r="P67" s="41" t="str">
        <x:v>同工作量多命中247筆</x:v>
      </x:c>
    </x:row>
    <x:row r="68" ht="15" hidden="0" customHeight="1">
      <x:c r="A68" s="32" t="str">
        <x:v>E23</x:v>
      </x:c>
      <x:c r="B68" s="32" t="str">
        <x:v>動態滿柱</x:v>
      </x:c>
      <x:c r="C68" s="32" t="str">
        <x:v>當下滿柱預測t+30仍滿柱</x:v>
      </x:c>
      <x:c r="D68" s="32" t="str">
        <x:v>平衡LightGBM</x:v>
      </x:c>
      <x:c r="E68" s="32" t="str">
        <x:v>2026-06</x:v>
      </x:c>
      <x:c r="F68" s="35" t="n">
        <x:v>3776</x:v>
      </x:c>
      <x:c r="G68" s="35" t="n">
        <x:v>907</x:v>
      </x:c>
      <x:c r="H68" s="38" t="n">
        <x:v>0.240201</x:v>
      </x:c>
      <x:c r="I68" s="38" t="n">
        <x:v>0.3993</x:v>
      </x:c>
      <x:c r="J68" s="38" t="n">
        <x:v>0.4771</x:v>
      </x:c>
      <x:c r="K68" s="38" t="n">
        <x:v>0.172</x:v>
      </x:c>
      <x:c r="L68" s="38"/>
      <x:c r="M68" s="35" t="n">
        <x:v>327</x:v>
      </x:c>
      <x:c r="N68" s="38" t="n">
        <x:v>0.420596</x:v>
      </x:c>
      <x:c r="O68" s="44" t="str">
        <x:v>輔助功能</x:v>
      </x:c>
      <x:c r="P68" s="44" t="str">
        <x:v>前端輔助模式</x:v>
      </x:c>
    </x:row>
    <x:row r="69" ht="15" hidden="0" customHeight="1">
      <x:c r="A69" s="32" t="str">
        <x:v>E23</x:v>
      </x:c>
      <x:c r="B69" s="32" t="str">
        <x:v>動態滿柱</x:v>
      </x:c>
      <x:c r="C69" s="32" t="str">
        <x:v>當下滿柱預測t+30仍滿柱</x:v>
      </x:c>
      <x:c r="D69" s="32" t="str">
        <x:v>嚴格LightGBM</x:v>
      </x:c>
      <x:c r="E69" s="32" t="str">
        <x:v>2026-06</x:v>
      </x:c>
      <x:c r="F69" s="35" t="n">
        <x:v>3776</x:v>
      </x:c>
      <x:c r="G69" s="35" t="n">
        <x:v>907</x:v>
      </x:c>
      <x:c r="H69" s="38" t="n">
        <x:v>0.240201</x:v>
      </x:c>
      <x:c r="I69" s="38"/>
      <x:c r="J69" s="38" t="n">
        <x:v>0.5679</x:v>
      </x:c>
      <x:c r="K69" s="38" t="n">
        <x:v>0.1014</x:v>
      </x:c>
      <x:c r="L69" s="38"/>
      <x:c r="M69" s="35" t="n">
        <x:v>162</x:v>
      </x:c>
      <x:c r="N69" s="38" t="n">
        <x:v>0.481074</x:v>
      </x:c>
      <x:c r="O69" s="44" t="str">
        <x:v>可選嚴格模式</x:v>
      </x:c>
      <x:c r="P69" s="44" t="str">
        <x:v>不作簡報主張</x:v>
      </x:c>
    </x:row>
    <x:row r="70" ht="15" hidden="0" customHeight="1">
      <x:c r="A70" s="33" t="str">
        <x:v>E24</x:v>
      </x:c>
      <x:c r="B70" s="33" t="str">
        <x:v>反事實Demo</x:v>
      </x:c>
      <x:c r="C70" s="33" t="str">
        <x:v>命中站點若接受派車</x:v>
      </x:c>
      <x:c r="D70" s="33" t="str">
        <x:v>可復原派車情境</x:v>
      </x:c>
      <x:c r="E70" s="33" t="str">
        <x:v>六月歷史回放</x:v>
      </x:c>
      <x:c r="F70" s="36"/>
      <x:c r="G70" s="36"/>
      <x:c r="H70" s="39"/>
      <x:c r="I70" s="39"/>
      <x:c r="J70" s="39"/>
      <x:c r="K70" s="39"/>
      <x:c r="L70" s="39"/>
      <x:c r="M70" s="36"/>
      <x:c r="N70" s="39"/>
      <x:c r="O70" s="45" t="str">
        <x:v>僅Demo情境</x:v>
      </x:c>
      <x:c r="P70" s="45" t="str">
        <x:v>非因果估計且非路線最佳化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278b9cd7af64f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6" hidden="0" customWidth="1"/>
    <x:col min="2" max="2" width="48" hidden="0" customWidth="1"/>
    <x:col min="3" max="3" width="13" hidden="0" customWidth="1"/>
    <x:col min="4" max="4" width="11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4" hidden="0" customWidth="1"/>
    <x:col min="10" max="10" width="10" hidden="0" customWidth="1"/>
    <x:col min="11" max="11" width="12" hidden="0" customWidth="1"/>
    <x:col min="12" max="12" width="11" hidden="0" customWidth="1"/>
    <x:col min="13" max="13" width="35" hidden="0" customWidth="1"/>
  </x:cols>
  <x:sheetData>
    <x:row r="1" ht="34" customHeight="1">
      <x:c r="A1" s="4" t="str">
        <x:v>K10 比較｜模型風險排序 vs 已持續缺車最久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9" t="str">
        <x:v>六月 420 個時點。前兩列完全相同工作量，才能公平判斷模型是否比持續時間規則更會排序；門檻＋K10 是另一個營運取捨。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401"/>
      <x:c r="B3" s="401"/>
      <x:c r="C3" s="401"/>
      <x:c r="D3" s="401"/>
      <x:c r="E3" s="401"/>
      <x:c r="F3" s="401"/>
      <x:c r="G3" s="401"/>
      <x:c r="H3" s="401"/>
      <x:c r="I3" s="401"/>
      <x:c r="J3" s="401"/>
      <x:c r="K3" s="401"/>
      <x:c r="L3" s="401"/>
      <x:c r="M3" s="401"/>
    </x:row>
    <x:row r="4">
      <x:c r="A4" s="21" t="str">
        <x:v>方法ID</x:v>
      </x:c>
      <x:c r="B4" s="22" t="str">
        <x:v>選取規則</x:v>
      </x:c>
      <x:c r="C4" s="22" t="str">
        <x:v>門檻</x:v>
      </x:c>
      <x:c r="D4" s="22" t="str">
        <x:v>警示數</x:v>
      </x:c>
      <x:c r="E4" s="22" t="str">
        <x:v>TP</x:v>
      </x:c>
      <x:c r="F4" s="22" t="str">
        <x:v>FP</x:v>
      </x:c>
      <x:c r="G4" s="22" t="str">
        <x:v>Precision</x:v>
      </x:c>
      <x:c r="H4" s="22" t="str">
        <x:v>Recall</x:v>
      </x:c>
      <x:c r="I4" s="22" t="str">
        <x:v>平均每時點</x:v>
      </x:c>
      <x:c r="J4" s="22" t="str">
        <x:v>時點數</x:v>
      </x:c>
      <x:c r="K4" s="22" t="str">
        <x:v>母體筆數</x:v>
      </x:c>
      <x:c r="L4" s="22" t="str">
        <x:v>正例數</x:v>
      </x:c>
      <x:c r="M4" s="23" t="str">
        <x:v>比較說明</x:v>
      </x:c>
    </x:row>
    <x:row r="5">
      <x:c r="A5" s="31" t="str">
        <x:v>持續最久 Top10</x:v>
      </x:c>
      <x:c r="B5" s="31" t="str">
        <x:v>每時點按目前已連續缺車分鐘由長到短取前10</x:v>
      </x:c>
      <x:c r="C5" s="37" t="str">
        <x:v>無</x:v>
      </x:c>
      <x:c r="D5" s="34" t="n">
        <x:v>4152</x:v>
      </x:c>
      <x:c r="E5" s="34" t="n">
        <x:v>2327</x:v>
      </x:c>
      <x:c r="F5" s="34" t="n">
        <x:v>1825</x:v>
      </x:c>
      <x:c r="G5" s="37" t="n">
        <x:v>0.5604527938</x:v>
      </x:c>
      <x:c r="H5" s="37" t="n">
        <x:v>0.1952017448</x:v>
      </x:c>
      <x:c r="I5" s="46" t="n">
        <x:v>9.885714286</x:v>
      </x:c>
      <x:c r="J5" s="34" t="n">
        <x:v>420</x:v>
      </x:c>
      <x:c r="K5" s="34" t="n">
        <x:v>27962</x:v>
      </x:c>
      <x:c r="L5" s="34" t="n">
        <x:v>11921</x:v>
      </x:c>
      <x:c r="M5" s="31" t="str">
        <x:v>公平工作量基準</x:v>
      </x:c>
    </x:row>
    <x:row r="6">
      <x:c r="A6" s="32" t="str">
        <x:v>模型風險 Top10</x:v>
      </x:c>
      <x:c r="B6" s="32" t="str">
        <x:v>每時點按校正後LightGBM風險由高到低取前10</x:v>
      </x:c>
      <x:c r="C6" s="38" t="str">
        <x:v>無</x:v>
      </x:c>
      <x:c r="D6" s="35" t="n">
        <x:v>4152</x:v>
      </x:c>
      <x:c r="E6" s="35" t="n">
        <x:v>2574</x:v>
      </x:c>
      <x:c r="F6" s="35" t="n">
        <x:v>1578</x:v>
      </x:c>
      <x:c r="G6" s="38" t="n">
        <x:v>0.6199421965</x:v>
      </x:c>
      <x:c r="H6" s="38" t="n">
        <x:v>0.2159214831</x:v>
      </x:c>
      <x:c r="I6" s="47" t="n">
        <x:v>9.885714286</x:v>
      </x:c>
      <x:c r="J6" s="35" t="n">
        <x:v>420</x:v>
      </x:c>
      <x:c r="K6" s="35" t="n">
        <x:v>27962</x:v>
      </x:c>
      <x:c r="L6" s="35" t="n">
        <x:v>11921</x:v>
      </x:c>
      <x:c r="M6" s="32" t="str">
        <x:v>與duration_top10警示數完全相同</x:v>
      </x:c>
    </x:row>
    <x:row r="7">
      <x:c r="A7" s="32" t="str">
        <x:v>平衡門檻（無K）</x:v>
      </x:c>
      <x:c r="B7" s="32" t="str">
        <x:v>只保留風險至少56.6812%的站且不限制K</x:v>
      </x:c>
      <x:c r="C7" s="38" t="n">
        <x:v>0.5668120503</x:v>
      </x:c>
      <x:c r="D7" s="35" t="n">
        <x:v>3849</x:v>
      </x:c>
      <x:c r="E7" s="35" t="n">
        <x:v>2534</x:v>
      </x:c>
      <x:c r="F7" s="35" t="n">
        <x:v>1315</x:v>
      </x:c>
      <x:c r="G7" s="38" t="n">
        <x:v>0.6583528189</x:v>
      </x:c>
      <x:c r="H7" s="38" t="n">
        <x:v>0.2125660599</x:v>
      </x:c>
      <x:c r="I7" s="47" t="n">
        <x:v>9.164285714</x:v>
      </x:c>
      <x:c r="J7" s="35" t="n">
        <x:v>420</x:v>
      </x:c>
      <x:c r="K7" s="35" t="n">
        <x:v>27962</x:v>
      </x:c>
      <x:c r="L7" s="35" t="n">
        <x:v>11921</x:v>
      </x:c>
      <x:c r="M7" s="32" t="str">
        <x:v>最終平衡模型完整警示層</x:v>
      </x:c>
    </x:row>
    <x:row r="8">
      <x:c r="A8" s="32" t="str">
        <x:v>平衡門檻＋K10</x:v>
      </x:c>
      <x:c r="B8" s="32" t="str">
        <x:v>先過56.6812%門檻再於每時點最多取風險前10</x:v>
      </x:c>
      <x:c r="C8" s="38" t="n">
        <x:v>0.5668120503</x:v>
      </x:c>
      <x:c r="D8" s="35" t="n">
        <x:v>2594</x:v>
      </x:c>
      <x:c r="E8" s="35" t="n">
        <x:v>1779</x:v>
      </x:c>
      <x:c r="F8" s="35" t="n">
        <x:v>815</x:v>
      </x:c>
      <x:c r="G8" s="38" t="n">
        <x:v>0.6858134156</x:v>
      </x:c>
      <x:c r="H8" s="38" t="n">
        <x:v>0.1492324469</x:v>
      </x:c>
      <x:c r="I8" s="47" t="n">
        <x:v>6.176190476</x:v>
      </x:c>
      <x:c r="J8" s="35" t="n">
        <x:v>420</x:v>
      </x:c>
      <x:c r="K8" s="35" t="n">
        <x:v>27962</x:v>
      </x:c>
      <x:c r="L8" s="35" t="n">
        <x:v>11921</x:v>
      </x:c>
      <x:c r="M8" s="32" t="str">
        <x:v>容量受限Demo模式</x:v>
      </x:c>
    </x:row>
    <x:row r="9">
      <x:c r="A9" s="33" t="str">
        <x:v>嚴格門檻＋K10</x:v>
      </x:c>
      <x:c r="B9" s="33" t="str">
        <x:v>先過65.1777%門檻再於每時點最多取風險前10</x:v>
      </x:c>
      <x:c r="C9" s="39" t="n">
        <x:v>0.6517772727</x:v>
      </x:c>
      <x:c r="D9" s="36" t="n">
        <x:v>1191</x:v>
      </x:c>
      <x:c r="E9" s="36" t="n">
        <x:v>818</x:v>
      </x:c>
      <x:c r="F9" s="36" t="n">
        <x:v>373</x:v>
      </x:c>
      <x:c r="G9" s="39" t="n">
        <x:v>0.6868178002</x:v>
      </x:c>
      <x:c r="H9" s="39" t="n">
        <x:v>0.0686184045</x:v>
      </x:c>
      <x:c r="I9" s="48" t="n">
        <x:v>2.835714286</x:v>
      </x:c>
      <x:c r="J9" s="36" t="n">
        <x:v>420</x:v>
      </x:c>
      <x:c r="K9" s="36" t="n">
        <x:v>27962</x:v>
      </x:c>
      <x:c r="L9" s="36" t="n">
        <x:v>11921</x:v>
      </x:c>
      <x:c r="M9" s="33" t="str">
        <x:v>高精確低覆蓋選項</x:v>
      </x:c>
    </x:row>
    <x:row r="10">
      <x:c r="A10" s="401"/>
      <x:c r="B10" s="401"/>
      <x:c r="C10" s="401"/>
      <x:c r="D10" s="401"/>
      <x:c r="E10" s="401"/>
      <x:c r="F10" s="401"/>
      <x:c r="G10" s="401"/>
      <x:c r="H10" s="401"/>
      <x:c r="I10" s="401"/>
      <x:c r="J10" s="401"/>
      <x:c r="K10" s="401"/>
      <x:c r="L10" s="401"/>
      <x:c r="M10" s="401"/>
    </x:row>
    <x:row r="11">
      <x:c r="A11" s="401"/>
      <x:c r="B11" s="401"/>
      <x:c r="C11" s="401"/>
      <x:c r="D11" s="401"/>
      <x:c r="E11" s="401"/>
      <x:c r="F11" s="401"/>
      <x:c r="G11" s="401"/>
      <x:c r="H11" s="401"/>
      <x:c r="I11" s="401"/>
      <x:c r="J11" s="401"/>
      <x:c r="K11" s="401"/>
      <x:c r="L11" s="401"/>
      <x:c r="M11" s="401"/>
    </x:row>
    <x:row r="12">
      <x:c r="A12" s="60" t="str">
        <x:v>公平比較：相同 4,152 筆警示</x:v>
      </x:c>
      <x:c r="B12" s="61"/>
      <x:c r="C12" s="61"/>
      <x:c r="D12" s="62"/>
      <x:c r="E12" s="401"/>
      <x:c r="F12" s="401"/>
      <x:c r="G12" s="401"/>
      <x:c r="H12" s="401"/>
      <x:c r="I12" s="401"/>
      <x:c r="J12" s="401"/>
      <x:c r="K12" s="401"/>
      <x:c r="L12" s="401"/>
      <x:c r="M12" s="401"/>
    </x:row>
    <x:row r="13">
      <x:c r="A13" s="63" t="str">
        <x:v>模型 Precision 增益</x:v>
      </x:c>
      <x:c r="B13" s="37" t="n">
        <x:f>G6-G5</x:f>
        <x:v>0.05948940270000003</x:v>
      </x:c>
      <x:c r="C13" s="401"/>
      <x:c r="D13" s="401"/>
      <x:c r="E13" s="401"/>
      <x:c r="F13" s="401"/>
      <x:c r="G13" s="401"/>
      <x:c r="H13" s="401"/>
      <x:c r="I13" s="401"/>
      <x:c r="J13" s="401"/>
      <x:c r="K13" s="401"/>
      <x:c r="L13" s="401"/>
      <x:c r="M13" s="401"/>
    </x:row>
    <x:row r="14">
      <x:c r="A14" s="64" t="str">
        <x:v>模型多命中 TP</x:v>
      </x:c>
      <x:c r="B14" s="35" t="n">
        <x:f>E6-E5</x:f>
        <x:v>247</x:v>
      </x:c>
      <x:c r="C14" s="401"/>
      <x:c r="D14" s="401"/>
      <x:c r="E14" s="401"/>
      <x:c r="F14" s="401"/>
      <x:c r="G14" s="401"/>
      <x:c r="H14" s="401"/>
      <x:c r="I14" s="401"/>
      <x:c r="J14" s="401"/>
      <x:c r="K14" s="401"/>
      <x:c r="L14" s="401"/>
      <x:c r="M14" s="401"/>
    </x:row>
    <x:row r="15">
      <x:c r="A15" s="64" t="str">
        <x:v>模型 Recall 增益</x:v>
      </x:c>
      <x:c r="B15" s="38" t="n">
        <x:f>H6-H5</x:f>
        <x:v>0.020719738300000012</x:v>
      </x:c>
      <x:c r="C15" s="401"/>
      <x:c r="D15" s="401"/>
      <x:c r="E15" s="401"/>
      <x:c r="F15" s="401"/>
      <x:c r="G15" s="401"/>
      <x:c r="H15" s="401"/>
      <x:c r="I15" s="401"/>
      <x:c r="J15" s="401"/>
      <x:c r="K15" s="401"/>
      <x:c r="L15" s="401"/>
      <x:c r="M15" s="401"/>
    </x:row>
    <x:row r="16">
      <x:c r="A16" s="65" t="str">
        <x:v>兩份名單重疊率</x:v>
      </x:c>
      <x:c r="B16" s="39" t="n">
        <x:v>0.356214</x:v>
      </x:c>
      <x:c r="C16" s="401"/>
      <x:c r="D16" s="401"/>
      <x:c r="E16" s="401"/>
      <x:c r="F16" s="401"/>
      <x:c r="G16" s="401"/>
      <x:c r="H16" s="401"/>
      <x:c r="I16" s="401"/>
      <x:c r="J16" s="401"/>
      <x:c r="K16" s="401"/>
      <x:c r="L16" s="401"/>
      <x:c r="M16" s="401"/>
    </x:row>
    <x:row r="17">
      <x:c r="A17" s="401"/>
      <x:c r="B17" s="401"/>
      <x:c r="C17" s="401"/>
      <x:c r="D17" s="401"/>
      <x:c r="E17" s="401"/>
      <x:c r="F17" s="401"/>
      <x:c r="G17" s="401"/>
      <x:c r="H17" s="401"/>
      <x:c r="I17" s="401"/>
      <x:c r="J17" s="401"/>
      <x:c r="K17" s="401"/>
      <x:c r="L17" s="401"/>
      <x:c r="M17" s="401"/>
    </x:row>
    <x:row r="18">
      <x:c r="A18" s="85" t="str">
        <x:v>解讀：風險 Top10 與持續時間 Top10 的警示量完全相同，因此 +5.95 個百分點 Precision 可歸因於排序差異。68.58% 的門檻＋K10 同時把警示降到 2,594 筆，不可把全部 +12.54 點都說成純模型排序增益。</x:v>
      </x:c>
      <x:c r="B18" s="86"/>
      <x:c r="C18" s="86"/>
      <x:c r="D18" s="87"/>
      <x:c r="E18" s="401"/>
      <x:c r="F18" s="401"/>
      <x:c r="G18" s="401"/>
      <x:c r="H18" s="401"/>
      <x:c r="I18" s="401"/>
      <x:c r="J18" s="401"/>
      <x:c r="K18" s="401"/>
      <x:c r="L18" s="401"/>
      <x:c r="M18" s="401"/>
    </x:row>
    <x:row r="19">
      <x:c r="A19" s="88"/>
      <x:c r="B19" s="89"/>
      <x:c r="C19" s="89"/>
      <x:c r="D19" s="90"/>
      <x:c r="E19" s="401"/>
      <x:c r="F19" s="401"/>
      <x:c r="G19" s="401"/>
      <x:c r="H19" s="401"/>
      <x:c r="I19" s="401"/>
      <x:c r="J19" s="401"/>
      <x:c r="K19" s="401"/>
      <x:c r="L19" s="401"/>
      <x:c r="M19" s="401"/>
    </x:row>
    <x:row r="20">
      <x:c r="A20" s="88"/>
      <x:c r="B20" s="89"/>
      <x:c r="C20" s="89"/>
      <x:c r="D20" s="90"/>
      <x:c r="E20" s="401"/>
      <x:c r="F20" s="401"/>
      <x:c r="G20" s="401"/>
      <x:c r="H20" s="401"/>
      <x:c r="I20" s="401"/>
      <x:c r="J20" s="401"/>
      <x:c r="K20" s="401"/>
      <x:c r="L20" s="401"/>
      <x:c r="M20" s="401"/>
    </x:row>
    <x:row r="21">
      <x:c r="A21" s="91"/>
      <x:c r="B21" s="92"/>
      <x:c r="C21" s="92"/>
      <x:c r="D21" s="93"/>
      <x:c r="E21" s="401"/>
      <x:c r="F21" s="401"/>
      <x:c r="G21" s="401"/>
      <x:c r="H21" s="401"/>
      <x:c r="I21" s="401"/>
      <x:c r="J21" s="401"/>
      <x:c r="K21" s="401"/>
      <x:c r="L21" s="401"/>
      <x:c r="M21" s="401"/>
    </x:row>
  </x:sheetData>
  <x:mergeCells>
    <x:mergeCell ref="A1:M1"/>
    <x:mergeCell ref="A2:M2"/>
    <x:mergeCell ref="A12:D12"/>
    <x:mergeCell ref="A18:D21"/>
  </x:mergeCells>
  <x:pageMargins left="0.7" right="0.7" top="0.75" bottom="0.75" header="0.3" footer="0.3"/>
  <x:drawing xmlns:r="http://schemas.openxmlformats.org/officeDocument/2006/relationships" r:id="R07ea6f526bfb431f"/>
  <x:tableParts count="1">
    <x:tablePart xmlns:r="http://schemas.openxmlformats.org/officeDocument/2006/relationships" r:id="R861bc417594449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52" hidden="0" customWidth="1"/>
    <x:col min="3" max="3" width="23" hidden="0" customWidth="1"/>
    <x:col min="4" max="4" width="10" hidden="0" customWidth="1"/>
    <x:col min="5" max="5" width="13" hidden="0" customWidth="1"/>
    <x:col min="6" max="6" width="12" hidden="0" customWidth="1"/>
    <x:col min="7" max="7" width="38" hidden="0" customWidth="1"/>
    <x:col min="8" max="8" width="28" hidden="0" customWidth="1"/>
  </x:cols>
  <x:sheetData>
    <x:row r="1" ht="34" customHeight="1">
      <x:c r="A1" s="4" t="str">
        <x:v>資料與模型資產清單｜哪些已上 GitHub、哪些刻意不公開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正常 Demo 不需要 1～6 月原始 CSV；只有重新訓練或完整重做 EDA 才需要原始資料。truth-free input 可送模型，reference 只用於揭曉與核對。</x:v>
      </x:c>
      <x:c r="B2" s="9"/>
      <x:c r="C2" s="9"/>
      <x:c r="D2" s="9"/>
      <x:c r="E2" s="9"/>
      <x:c r="F2" s="9"/>
      <x:c r="G2" s="9"/>
      <x:c r="H2" s="9"/>
    </x:row>
    <x:row r="3">
      <x:c r="A3" s="401"/>
      <x:c r="B3" s="401"/>
      <x:c r="C3" s="401"/>
      <x:c r="D3" s="401"/>
      <x:c r="E3" s="401"/>
      <x:c r="F3" s="401"/>
      <x:c r="G3" s="401"/>
      <x:c r="H3" s="401"/>
    </x:row>
    <x:row r="4" ht="15" hidden="0" customHeight="1">
      <x:c r="A4" s="21" t="str">
        <x:v>資產</x:v>
      </x:c>
      <x:c r="B4" s="22" t="str">
        <x:v>路徑／位置</x:v>
      </x:c>
      <x:c r="C4" s="22" t="str">
        <x:v>規模</x:v>
      </x:c>
      <x:c r="D4" s="22" t="str">
        <x:v>GitHub</x:v>
      </x:c>
      <x:c r="E4" s="22" t="str">
        <x:v>含未來答案</x:v>
      </x:c>
      <x:c r="F4" s="22" t="str">
        <x:v>Demo必需</x:v>
      </x:c>
      <x:c r="G4" s="22" t="str">
        <x:v>用途</x:v>
      </x:c>
      <x:c r="H4" s="23" t="str">
        <x:v>未上傳原因</x:v>
      </x:c>
    </x:row>
    <x:row r="5" ht="15" hidden="0" customHeight="1">
      <x:c r="A5" s="31" t="str">
        <x:v>主辦方1至6月原始快照</x:v>
      </x:c>
      <x:c r="B5" s="31" t="str">
        <x:v>本機A_交通局-資料集</x:v>
      </x:c>
      <x:c r="C5" s="31" t="n">
        <x:v>13324945</x:v>
      </x:c>
      <x:c r="D5" s="94" t="str">
        <x:v>否</x:v>
      </x:c>
      <x:c r="E5" s="94" t="str">
        <x:v>是</x:v>
      </x:c>
      <x:c r="F5" s="94" t="str">
        <x:v>否</x:v>
      </x:c>
      <x:c r="G5" s="31" t="str">
        <x:v>完整EDA與重新訓練</x:v>
      </x:c>
      <x:c r="H5" s="31" t="str">
        <x:v>授權與檔案大小</x:v>
      </x:c>
    </x:row>
    <x:row r="6" ht="15" hidden="0" customHeight="1">
      <x:c r="A6" s="32" t="str">
        <x:v>1至4月開發資料</x:v>
      </x:c>
      <x:c r="B6" s="32" t="str">
        <x:v>主辦方原始快照子集</x:v>
      </x:c>
      <x:c r="C6" s="32" t="n">
        <x:v>8787329</x:v>
      </x:c>
      <x:c r="D6" s="44" t="str">
        <x:v>否</x:v>
      </x:c>
      <x:c r="E6" s="44" t="str">
        <x:v>是</x:v>
      </x:c>
      <x:c r="F6" s="44" t="str">
        <x:v>否</x:v>
      </x:c>
      <x:c r="G6" s="32" t="str">
        <x:v>早期EDA與第一版開發</x:v>
      </x:c>
      <x:c r="H6" s="32" t="str">
        <x:v>由原始資料衍生</x:v>
      </x:c>
    </x:row>
    <x:row r="7" ht="15" hidden="0" customHeight="1">
      <x:c r="A7" s="32" t="str">
        <x:v>5月資料</x:v>
      </x:c>
      <x:c r="B7" s="32" t="str">
        <x:v>主辦方原始快照子集</x:v>
      </x:c>
      <x:c r="C7" s="32" t="n">
        <x:v>2297154</x:v>
      </x:c>
      <x:c r="D7" s="44" t="str">
        <x:v>否</x:v>
      </x:c>
      <x:c r="E7" s="44" t="str">
        <x:v>是</x:v>
      </x:c>
      <x:c r="F7" s="44" t="str">
        <x:v>否</x:v>
      </x:c>
      <x:c r="G7" s="32" t="str">
        <x:v>時間外回顧與實驗比較</x:v>
      </x:c>
      <x:c r="H7" s="32" t="str">
        <x:v>由原始資料衍生</x:v>
      </x:c>
    </x:row>
    <x:row r="8" ht="15" hidden="0" customHeight="1">
      <x:c r="A8" s="32" t="str">
        <x:v>6月原始資料</x:v>
      </x:c>
      <x:c r="B8" s="32" t="str">
        <x:v>主辦方原始快照子集</x:v>
      </x:c>
      <x:c r="C8" s="32" t="n">
        <x:v>2240462</x:v>
      </x:c>
      <x:c r="D8" s="44" t="str">
        <x:v>否</x:v>
      </x:c>
      <x:c r="E8" s="44" t="str">
        <x:v>是</x:v>
      </x:c>
      <x:c r="F8" s="44" t="str">
        <x:v>否</x:v>
      </x:c>
      <x:c r="G8" s="32" t="str">
        <x:v>最終時間外核對來源</x:v>
      </x:c>
      <x:c r="H8" s="32" t="str">
        <x:v>由原始資料衍生</x:v>
      </x:c>
    </x:row>
    <x:row r="9" ht="15" hidden="0" customHeight="1">
      <x:c r="A9" s="32" t="str">
        <x:v>站點維度表</x:v>
      </x:c>
      <x:c r="B9" s="32" t="str">
        <x:v>data/stations/dim_station.csv</x:v>
      </x:c>
      <x:c r="C9" s="32" t="str">
        <x:v>1586 station identities</x:v>
      </x:c>
      <x:c r="D9" s="41" t="str">
        <x:v>是</x:v>
      </x:c>
      <x:c r="E9" s="41" t="str">
        <x:v>否</x:v>
      </x:c>
      <x:c r="F9" s="41" t="str">
        <x:v>是</x:v>
      </x:c>
      <x:c r="G9" s="32" t="str">
        <x:v>名稱行政區座標與容量</x:v>
      </x:c>
      <x:c r="H9" s="32"/>
    </x:row>
    <x:row r="10" ht="15" hidden="0" customHeight="1">
      <x:c r="A10" s="32" t="str">
        <x:v>六月缺車完整feature cache</x:v>
      </x:c>
      <x:c r="B10" s="32" t="str">
        <x:v>data/source/dynamic_red_empty_2026_06.parquet</x:v>
      </x:c>
      <x:c r="C10" s="32" t="str">
        <x:v>92882 candidate snapshots</x:v>
      </x:c>
      <x:c r="D10" s="41" t="str">
        <x:v>是</x:v>
      </x:c>
      <x:c r="E10" s="41" t="str">
        <x:v>是</x:v>
      </x:c>
      <x:c r="F10" s="41" t="str">
        <x:v>是</x:v>
      </x:c>
      <x:c r="G10" s="32" t="str">
        <x:v>離線稽核與凍結特徵來源</x:v>
      </x:c>
      <x:c r="H10" s="32"/>
    </x:row>
    <x:row r="11" ht="15" hidden="0" customHeight="1">
      <x:c r="A11" s="32" t="str">
        <x:v>六月缺車truth-free輸入</x:v>
      </x:c>
      <x:c r="B11" s="32" t="str">
        <x:v>data/source/dynamic_red_empty_2026_06_input.parquet</x:v>
      </x:c>
      <x:c r="C11" s="32" t="str">
        <x:v>92882 candidate snapshots</x:v>
      </x:c>
      <x:c r="D11" s="41" t="str">
        <x:v>是</x:v>
      </x:c>
      <x:c r="E11" s="41" t="str">
        <x:v>否</x:v>
      </x:c>
      <x:c r="F11" s="41" t="str">
        <x:v>是</x:v>
      </x:c>
      <x:c r="G11" s="32" t="str">
        <x:v>API與Lambda安全推論輸入</x:v>
      </x:c>
      <x:c r="H11" s="32"/>
    </x:row>
    <x:row r="12" ht="15" hidden="0" customHeight="1">
      <x:c r="A12" s="32" t="str">
        <x:v>六月缺車凍結決策表</x:v>
      </x:c>
      <x:c r="B12" s="32" t="str">
        <x:v>data/reference/june_all_eligible_decisions.parquet</x:v>
      </x:c>
      <x:c r="C12" s="32" t="str">
        <x:v>27962 eligible decisions</x:v>
      </x:c>
      <x:c r="D12" s="41" t="str">
        <x:v>是</x:v>
      </x:c>
      <x:c r="E12" s="41" t="str">
        <x:v>是</x:v>
      </x:c>
      <x:c r="F12" s="41" t="str">
        <x:v>是</x:v>
      </x:c>
      <x:c r="G12" s="32" t="str">
        <x:v>30分鐘後揭曉與parity測試</x:v>
      </x:c>
      <x:c r="H12" s="32"/>
    </x:row>
    <x:row r="13" ht="15" hidden="0" customHeight="1">
      <x:c r="A13" s="32" t="str">
        <x:v>六月滿柱完整feature cache</x:v>
      </x:c>
      <x:c r="B13" s="32" t="str">
        <x:v>data/source/dynamic_red_full_2026_06.parquet</x:v>
      </x:c>
      <x:c r="C13" s="32" t="str">
        <x:v>9960 candidate snapshots</x:v>
      </x:c>
      <x:c r="D13" s="41" t="str">
        <x:v>是</x:v>
      </x:c>
      <x:c r="E13" s="41" t="str">
        <x:v>是</x:v>
      </x:c>
      <x:c r="F13" s="41" t="str">
        <x:v>是</x:v>
      </x:c>
      <x:c r="G13" s="32" t="str">
        <x:v>滿柱離線稽核</x:v>
      </x:c>
      <x:c r="H13" s="32"/>
    </x:row>
    <x:row r="14" ht="15" hidden="0" customHeight="1">
      <x:c r="A14" s="32" t="str">
        <x:v>六月滿柱truth-free輸入</x:v>
      </x:c>
      <x:c r="B14" s="32" t="str">
        <x:v>data/source/dynamic_red_full_2026_06_input.parquet</x:v>
      </x:c>
      <x:c r="C14" s="32" t="str">
        <x:v>9960 candidate snapshots</x:v>
      </x:c>
      <x:c r="D14" s="41" t="str">
        <x:v>是</x:v>
      </x:c>
      <x:c r="E14" s="41" t="str">
        <x:v>否</x:v>
      </x:c>
      <x:c r="F14" s="41" t="str">
        <x:v>是</x:v>
      </x:c>
      <x:c r="G14" s="32" t="str">
        <x:v>滿柱API安全推論輸入</x:v>
      </x:c>
      <x:c r="H14" s="32"/>
    </x:row>
    <x:row r="15" ht="15" hidden="0" customHeight="1">
      <x:c r="A15" s="32" t="str">
        <x:v>六月滿柱凍結決策表</x:v>
      </x:c>
      <x:c r="B15" s="32" t="str">
        <x:v>data/reference/june_full_dock_all_eligible_decisions.parquet</x:v>
      </x:c>
      <x:c r="C15" s="32" t="str">
        <x:v>3776 eligible decisions</x:v>
      </x:c>
      <x:c r="D15" s="41" t="str">
        <x:v>是</x:v>
      </x:c>
      <x:c r="E15" s="41" t="str">
        <x:v>是</x:v>
      </x:c>
      <x:c r="F15" s="41" t="str">
        <x:v>是</x:v>
      </x:c>
      <x:c r="G15" s="32" t="str">
        <x:v>滿柱揭曉與parity測試</x:v>
      </x:c>
      <x:c r="H15" s="32"/>
    </x:row>
    <x:row r="16" ht="15" hidden="0" customHeight="1">
      <x:c r="A16" s="32" t="str">
        <x:v>缺車LightGBM</x:v>
      </x:c>
      <x:c r="B16" s="32" t="str">
        <x:v>model/lgbm_full.txt</x:v>
      </x:c>
      <x:c r="C16" s="32" t="str">
        <x:v>242 trees and 68 features</x:v>
      </x:c>
      <x:c r="D16" s="41" t="str">
        <x:v>是</x:v>
      </x:c>
      <x:c r="E16" s="41" t="str">
        <x:v>否</x:v>
      </x:c>
      <x:c r="F16" s="41" t="str">
        <x:v>是</x:v>
      </x:c>
      <x:c r="G16" s="32" t="str">
        <x:v>凍結模型推論</x:v>
      </x:c>
      <x:c r="H16" s="32"/>
    </x:row>
    <x:row r="17" ht="15" hidden="0" customHeight="1">
      <x:c r="A17" s="32" t="str">
        <x:v>滿柱LightGBM</x:v>
      </x:c>
      <x:c r="B17" s="32" t="str">
        <x:v>model/lgbm_full_dock.txt</x:v>
      </x:c>
      <x:c r="C17" s="32" t="str">
        <x:v>114 trees and 68 features</x:v>
      </x:c>
      <x:c r="D17" s="41" t="str">
        <x:v>是</x:v>
      </x:c>
      <x:c r="E17" s="41" t="str">
        <x:v>否</x:v>
      </x:c>
      <x:c r="F17" s="41" t="str">
        <x:v>是</x:v>
      </x:c>
      <x:c r="G17" s="32" t="str">
        <x:v>滿柱輔助推論</x:v>
      </x:c>
      <x:c r="H17" s="32"/>
    </x:row>
    <x:row r="18" ht="21.600000381469727" hidden="0" customHeight="1">
      <x:c r="A18" s="32" t="str">
        <x:v>缺車校正與門檻</x:v>
      </x:c>
      <x:c r="B18" s="32" t="str">
        <x:v>config/final_policy_freeze_before_may.json</x:v>
      </x:c>
      <x:c r="C18" s="32" t="str">
        <x:v>Platt plus feature order plus thresholds</x:v>
      </x:c>
      <x:c r="D18" s="41" t="str">
        <x:v>是</x:v>
      </x:c>
      <x:c r="E18" s="41" t="str">
        <x:v>否</x:v>
      </x:c>
      <x:c r="F18" s="41" t="str">
        <x:v>是</x:v>
      </x:c>
      <x:c r="G18" s="32" t="str">
        <x:v>重現相同風險與決策</x:v>
      </x:c>
      <x:c r="H18" s="32"/>
    </x:row>
    <x:row r="19" ht="21.600000381469727" hidden="0" customHeight="1">
      <x:c r="A19" s="32" t="str">
        <x:v>滿柱校正與門檻</x:v>
      </x:c>
      <x:c r="B19" s="32" t="str">
        <x:v>config/final_policy_freeze_full_dock_before_may.json</x:v>
      </x:c>
      <x:c r="C19" s="32" t="str">
        <x:v>Platt plus feature order plus thresholds</x:v>
      </x:c>
      <x:c r="D19" s="41" t="str">
        <x:v>是</x:v>
      </x:c>
      <x:c r="E19" s="41" t="str">
        <x:v>否</x:v>
      </x:c>
      <x:c r="F19" s="41" t="str">
        <x:v>是</x:v>
      </x:c>
      <x:c r="G19" s="32" t="str">
        <x:v>重現滿柱風險與決策</x:v>
      </x:c>
      <x:c r="H19" s="32"/>
    </x:row>
    <x:row r="20" ht="15" hidden="0" customHeight="1">
      <x:c r="A20" s="32" t="str">
        <x:v>舊分析報告</x:v>
      </x:c>
      <x:c r="B20" s="32" t="str">
        <x:v>analysis/reports/01至10</x:v>
      </x:c>
      <x:c r="C20" s="32" t="str">
        <x:v>10 workbooks</x:v>
      </x:c>
      <x:c r="D20" s="41" t="str">
        <x:v>是</x:v>
      </x:c>
      <x:c r="E20" s="41" t="str">
        <x:v>混合</x:v>
      </x:c>
      <x:c r="F20" s="41" t="str">
        <x:v>否</x:v>
      </x:c>
      <x:c r="G20" s="32" t="str">
        <x:v>保留探索到目標轉換的證據</x:v>
      </x:c>
      <x:c r="H20" s="32"/>
    </x:row>
    <x:row r="21" ht="15" hidden="0" customHeight="1">
      <x:c r="A21" s="32" t="str">
        <x:v>完整實驗證據包</x:v>
      </x:c>
      <x:c r="B21" s="32" t="str">
        <x:v>analysis/reports/11_complete_experiments_and_data.xlsx</x:v>
      </x:c>
      <x:c r="C21" s="32" t="str">
        <x:v>5 sheets</x:v>
      </x:c>
      <x:c r="D21" s="41" t="str">
        <x:v>是</x:v>
      </x:c>
      <x:c r="E21" s="41" t="str">
        <x:v>否</x:v>
      </x:c>
      <x:c r="F21" s="41" t="str">
        <x:v>否</x:v>
      </x:c>
      <x:c r="G21" s="32" t="str">
        <x:v>現場簡報與實驗查核</x:v>
      </x:c>
      <x:c r="H21" s="32"/>
    </x:row>
    <x:row r="22" ht="15" hidden="0" customHeight="1">
      <x:c r="A22" s="32" t="str">
        <x:v>實驗搬運CSV</x:v>
      </x:c>
      <x:c r="B22" s="32" t="str">
        <x:v>analysis/data</x:v>
      </x:c>
      <x:c r="C22" s="32" t="str">
        <x:v>3 csv files</x:v>
      </x:c>
      <x:c r="D22" s="41" t="str">
        <x:v>是</x:v>
      </x:c>
      <x:c r="E22" s="41" t="str">
        <x:v>否</x:v>
      </x:c>
      <x:c r="F22" s="41" t="str">
        <x:v>否</x:v>
      </x:c>
      <x:c r="G22" s="32" t="str">
        <x:v>現場匯入Excel PowerPoint或Power BI</x:v>
      </x:c>
      <x:c r="H22" s="32"/>
    </x:row>
    <x:row r="23" ht="15" hidden="0" customHeight="1">
      <x:c r="A23" s="33" t="str">
        <x:v>AWS與本機密鑰</x:v>
      </x:c>
      <x:c r="B23" s="33" t="str">
        <x:v>.env and AWS credentials</x:v>
      </x:c>
      <x:c r="C23" s="33" t="str">
        <x:v>secret</x:v>
      </x:c>
      <x:c r="D23" s="45" t="str">
        <x:v>否</x:v>
      </x:c>
      <x:c r="E23" s="45" t="str">
        <x:v>否</x:v>
      </x:c>
      <x:c r="F23" s="45" t="str">
        <x:v>否</x:v>
      </x:c>
      <x:c r="G23" s="33" t="str">
        <x:v>部署身分驗證</x:v>
      </x:c>
      <x:c r="H23" s="33" t="str">
        <x:v>安全禁止提交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0d14afa1e0948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2" hidden="0" customWidth="1"/>
    <x:col min="4" max="4" width="36" hidden="0" customWidth="1"/>
    <x:col min="5" max="5" width="4" hidden="0" customWidth="1"/>
    <x:col min="6" max="6" width="26" hidden="0" customWidth="1"/>
    <x:col min="7" max="7" width="34" hidden="0" customWidth="1"/>
    <x:col min="8" max="8" width="35" hidden="0" customWidth="1"/>
  </x:cols>
  <x:sheetData>
    <x:row r="1" ht="34" customHeight="1">
      <x:c r="A1" s="4" t="str">
        <x:v>評估口徑與時間界線｜避免現場把不同數字混在一起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最終模型是條件式動態預測：只有站點當下已缺車時才判斷 30 分鐘後是否仍缺車；恢復有車就停止該段追蹤。</x:v>
      </x:c>
      <x:c r="B2" s="9"/>
      <x:c r="C2" s="9"/>
      <x:c r="D2" s="9"/>
      <x:c r="E2" s="9"/>
      <x:c r="F2" s="9"/>
      <x:c r="G2" s="9"/>
      <x:c r="H2" s="9"/>
    </x:row>
    <x:row r="3">
      <x:c r="A3" s="401"/>
      <x:c r="B3" s="401"/>
      <x:c r="C3" s="401"/>
      <x:c r="D3" s="401"/>
      <x:c r="E3" s="401"/>
      <x:c r="F3" s="401"/>
      <x:c r="G3" s="401"/>
      <x:c r="H3" s="401"/>
    </x:row>
    <x:row r="4">
      <x:c r="A4" s="21" t="str">
        <x:v>名詞</x:v>
      </x:c>
      <x:c r="B4" s="22" t="str">
        <x:v>在本專案的意思</x:v>
      </x:c>
      <x:c r="C4" s="22" t="str">
        <x:v>公式／判斷</x:v>
      </x:c>
      <x:c r="D4" s="23" t="str">
        <x:v>為何重要</x:v>
      </x:c>
      <x:c r="E4" s="401"/>
      <x:c r="F4" s="60" t="str">
        <x:v>期間</x:v>
      </x:c>
      <x:c r="G4" s="61" t="str">
        <x:v>用途</x:v>
      </x:c>
      <x:c r="H4" s="62" t="str">
        <x:v>能否調整</x:v>
      </x:c>
    </x:row>
    <x:row r="5">
      <x:c r="A5" s="31" t="str">
        <x:v>TP</x:v>
      </x:c>
      <x:c r="B5" s="31" t="str">
        <x:v>模型發出警示，30分鐘後仍為0車</x:v>
      </x:c>
      <x:c r="C5" s="31" t="str">
        <x:v>警示=1 且 y=1</x:v>
      </x:c>
      <x:c r="D5" s="31" t="str">
        <x:v>真正有用的警示</x:v>
      </x:c>
      <x:c r="E5" s="401"/>
      <x:c r="F5" s="31" t="str">
        <x:v>2026年1～3月</x:v>
      </x:c>
      <x:c r="G5" s="31" t="str">
        <x:v>訓練動態LightGBM</x:v>
      </x:c>
      <x:c r="H5" s="31" t="str">
        <x:v>可以</x:v>
      </x:c>
    </x:row>
    <x:row r="6">
      <x:c r="A6" s="32" t="str">
        <x:v>FP</x:v>
      </x:c>
      <x:c r="B6" s="32" t="str">
        <x:v>模型發出警示，但30分鐘後已恢復</x:v>
      </x:c>
      <x:c r="C6" s="32" t="str">
        <x:v>警示=1 且 y=0</x:v>
      </x:c>
      <x:c r="D6" s="32" t="str">
        <x:v>可能浪費注意力</x:v>
      </x:c>
      <x:c r="E6" s="401"/>
      <x:c r="F6" s="32" t="str">
        <x:v>4/1～4/14</x:v>
      </x:c>
      <x:c r="G6" s="32" t="str">
        <x:v>Platt機率校正</x:v>
      </x:c>
      <x:c r="H6" s="32" t="str">
        <x:v>只學A/B</x:v>
      </x:c>
    </x:row>
    <x:row r="7">
      <x:c r="A7" s="32" t="str">
        <x:v>FN</x:v>
      </x:c>
      <x:c r="B7" s="32" t="str">
        <x:v>模型未警示，但30分鐘後仍為0車</x:v>
      </x:c>
      <x:c r="C7" s="32" t="str">
        <x:v>警示=0 且 y=1</x:v>
      </x:c>
      <x:c r="D7" s="32" t="str">
        <x:v>漏掉的持續缺車</x:v>
      </x:c>
      <x:c r="E7" s="401"/>
      <x:c r="F7" s="32" t="str">
        <x:v>4/15～4/20</x:v>
      </x:c>
      <x:c r="G7" s="32" t="str">
        <x:v>選平衡／嚴格門檻</x:v>
      </x:c>
      <x:c r="H7" s="32" t="str">
        <x:v>只選門檻</x:v>
      </x:c>
    </x:row>
    <x:row r="8">
      <x:c r="A8" s="32" t="str">
        <x:v>Precision</x:v>
      </x:c>
      <x:c r="B8" s="32" t="str">
        <x:v>警示裡有多少是真的</x:v>
      </x:c>
      <x:c r="C8" s="32" t="str">
        <x:v>TP / (TP + FP)</x:v>
      </x:c>
      <x:c r="D8" s="32" t="str">
        <x:v>回答清單可信度</x:v>
      </x:c>
      <x:c r="E8" s="401"/>
      <x:c r="F8" s="32" t="str">
        <x:v>4/21～4/30</x:v>
      </x:c>
      <x:c r="G8" s="32" t="str">
        <x:v>上線前gate</x:v>
      </x:c>
      <x:c r="H8" s="43" t="str">
        <x:v>不可回頭調</x:v>
      </x:c>
    </x:row>
    <x:row r="9">
      <x:c r="A9" s="32" t="str">
        <x:v>Recall</x:v>
      </x:c>
      <x:c r="B9" s="32" t="str">
        <x:v>真實持續缺車裡抓到多少</x:v>
      </x:c>
      <x:c r="C9" s="32" t="str">
        <x:v>TP / (TP + FN)</x:v>
      </x:c>
      <x:c r="D9" s="32" t="str">
        <x:v>回答覆蓋能力</x:v>
      </x:c>
      <x:c r="E9" s="401"/>
      <x:c r="F9" s="32" t="str">
        <x:v>5月</x:v>
      </x:c>
      <x:c r="G9" s="32" t="str">
        <x:v>時間外回顧／模型比較</x:v>
      </x:c>
      <x:c r="H9" s="43" t="str">
        <x:v>不重訓最終模型</x:v>
      </x:c>
    </x:row>
    <x:row r="10">
      <x:c r="A10" s="32" t="str">
        <x:v>PR-AUC</x:v>
      </x:c>
      <x:c r="B10" s="32" t="str">
        <x:v>跨所有門檻的排序品質</x:v>
      </x:c>
      <x:c r="C10" s="32" t="str">
        <x:v>Precision–Recall 曲線面積</x:v>
      </x:c>
      <x:c r="D10" s="32" t="str">
        <x:v>適合正負樣本不均衡</x:v>
      </x:c>
      <x:c r="E10" s="401"/>
      <x:c r="F10" s="33" t="str">
        <x:v>6月</x:v>
      </x:c>
      <x:c r="G10" s="33" t="str">
        <x:v>凍結最終核對與Demo replay</x:v>
      </x:c>
      <x:c r="H10" s="95" t="str">
        <x:v>禁止調參</x:v>
      </x:c>
    </x:row>
    <x:row r="11">
      <x:c r="A11" s="32" t="str">
        <x:v>Platt校正</x:v>
      </x:c>
      <x:c r="B11" s="32" t="str">
        <x:v>把模型原始分數轉成可比較的機率</x:v>
      </x:c>
      <x:c r="C11" s="32" t="str">
        <x:v>sigmoid(A×score+B)</x:v>
      </x:c>
      <x:c r="D11" s="32" t="str">
        <x:v>門檻才有一致尺度</x:v>
      </x:c>
      <x:c r="E11" s="401"/>
      <x:c r="F11" s="401"/>
      <x:c r="G11" s="401"/>
      <x:c r="H11" s="401"/>
    </x:row>
    <x:row r="12">
      <x:c r="A12" s="32" t="str">
        <x:v>Top-K</x:v>
      </x:c>
      <x:c r="B12" s="32" t="str">
        <x:v>每時點最多顯示K站</x:v>
      </x:c>
      <x:c r="C12" s="32" t="str">
        <x:v>先門檻、再按風險排序取K</x:v>
      </x:c>
      <x:c r="D12" s="32" t="str">
        <x:v>代表人力容量，不是訓練目標</x:v>
      </x:c>
      <x:c r="E12" s="401"/>
      <x:c r="F12" s="401"/>
      <x:c r="G12" s="401"/>
      <x:c r="H12" s="401"/>
    </x:row>
    <x:row r="13">
      <x:c r="A13" s="33" t="str">
        <x:v>Episode</x:v>
      </x:c>
      <x:c r="B13" s="33" t="str">
        <x:v>從首次0車到恢復有車的一段事件</x:v>
      </x:c>
      <x:c r="C13" s="33" t="str">
        <x:v>連續紅燈區間</x:v>
      </x:c>
      <x:c r="D13" s="33" t="str">
        <x:v>最終不用any-hit計分</x:v>
      </x:c>
      <x:c r="E13" s="401"/>
      <x:c r="F13" s="115" t="str">
        <x:v>不能直接混比：
• 第一版是『正常站30分鐘後新失衡』，基準率約4%。
• 最終版是『當下已缺車，30分鐘後仍缺車』，六月基準率42.63%。
• 目標母體不同，Precision提高不等於只靠換模型。真正貢獻是資料發現、任務重定義，再加上模型排序。</x:v>
      </x:c>
      <x:c r="G13" s="116"/>
      <x:c r="H13" s="117"/>
    </x:row>
    <x:row r="14">
      <x:c r="A14" s="401"/>
      <x:c r="B14" s="401"/>
      <x:c r="C14" s="401"/>
      <x:c r="D14" s="401"/>
      <x:c r="E14" s="401"/>
      <x:c r="F14" s="118"/>
      <x:c r="G14" s="119"/>
      <x:c r="H14" s="120"/>
    </x:row>
    <x:row r="15">
      <x:c r="A15" s="401"/>
      <x:c r="B15" s="401"/>
      <x:c r="C15" s="401"/>
      <x:c r="D15" s="401"/>
      <x:c r="E15" s="401"/>
      <x:c r="F15" s="118"/>
      <x:c r="G15" s="119"/>
      <x:c r="H15" s="120"/>
    </x:row>
    <x:row r="16">
      <x:c r="A16" s="401"/>
      <x:c r="B16" s="401"/>
      <x:c r="C16" s="401"/>
      <x:c r="D16" s="401"/>
      <x:c r="E16" s="401"/>
      <x:c r="F16" s="118"/>
      <x:c r="G16" s="119"/>
      <x:c r="H16" s="120"/>
    </x:row>
    <x:row r="17">
      <x:c r="A17" s="85" t="str">
        <x:v>限制：資料沒有真實派車、人力、成本、到站時間與介入結果；大量跳動只能稱為疑似運補。前端路線與派車後結果屬可復原情境模擬，不是因果估計，也不是最佳化派車演算法。</x:v>
      </x:c>
      <x:c r="B17" s="86"/>
      <x:c r="C17" s="86"/>
      <x:c r="D17" s="87"/>
      <x:c r="E17" s="401"/>
      <x:c r="F17" s="121"/>
      <x:c r="G17" s="122"/>
      <x:c r="H17" s="123"/>
    </x:row>
    <x:row r="18">
      <x:c r="A18" s="88"/>
      <x:c r="B18" s="89"/>
      <x:c r="C18" s="89"/>
      <x:c r="D18" s="90"/>
      <x:c r="E18" s="401"/>
      <x:c r="F18" s="401"/>
      <x:c r="G18" s="401"/>
      <x:c r="H18" s="401"/>
    </x:row>
    <x:row r="19">
      <x:c r="A19" s="88"/>
      <x:c r="B19" s="89"/>
      <x:c r="C19" s="89"/>
      <x:c r="D19" s="90"/>
      <x:c r="E19" s="401"/>
      <x:c r="F19" s="401"/>
      <x:c r="G19" s="401"/>
      <x:c r="H19" s="401"/>
    </x:row>
    <x:row r="20">
      <x:c r="A20" s="88"/>
      <x:c r="B20" s="89"/>
      <x:c r="C20" s="89"/>
      <x:c r="D20" s="90"/>
      <x:c r="E20" s="401"/>
      <x:c r="F20" s="401"/>
      <x:c r="G20" s="401"/>
      <x:c r="H20" s="401"/>
    </x:row>
    <x:row r="21">
      <x:c r="A21" s="91"/>
      <x:c r="B21" s="92"/>
      <x:c r="C21" s="92"/>
      <x:c r="D21" s="93"/>
      <x:c r="E21" s="401"/>
      <x:c r="F21" s="401"/>
      <x:c r="G21" s="401"/>
      <x:c r="H21" s="401"/>
    </x:row>
  </x:sheetData>
  <x:mergeCells>
    <x:mergeCell ref="A1:H1"/>
    <x:mergeCell ref="A2:H2"/>
    <x:mergeCell ref="F13:H17"/>
    <x:mergeCell ref="A17:D21"/>
  </x:mergeCells>
  <x:pageMargins left="0.7" right="0.7" top="0.75" bottom="0.75" header="0.3" footer="0.3"/>
  <x:tableParts count="1">
    <x:tablePart xmlns:r="http://schemas.openxmlformats.org/officeDocument/2006/relationships" r:id="Rbdb06590a628443b"/>
  </x:tableParts>
</x:worksheet>
</file>
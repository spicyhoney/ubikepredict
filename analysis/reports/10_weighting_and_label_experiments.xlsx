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e82edf059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a949003c6cf34ec3"/>
    <x:sheet xmlns:r="http://schemas.openxmlformats.org/officeDocument/2006/relationships" name="標籤比較" sheetId="2" r:id="R86767ae356e84e25"/>
    <x:sheet xmlns:r="http://schemas.openxmlformats.org/officeDocument/2006/relationships" name="權重比較" sheetId="3" r:id="R687739c9d13c4165"/>
    <x:sheet xmlns:r="http://schemas.openxmlformats.org/officeDocument/2006/relationships" name="六月無K" sheetId="4" r:id="Rbc6e7173807a49b0"/>
    <x:sheet xmlns:r="http://schemas.openxmlformats.org/officeDocument/2006/relationships" name="事件去重" sheetId="5" r:id="Rba327d5cd85a462e"/>
    <x:sheet xmlns:r="http://schemas.openxmlformats.org/officeDocument/2006/relationships" name="實驗設計" sheetId="6" r:id="R183f3a7e3fa9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&quot;x&quot;"/>
    <x:numFmt numFmtId="202" formatCode="#,##0"/>
    <x:numFmt numFmtId="203" formatCode="+0.00%;-0.00%;0.00%"/>
    <x:numFmt numFmtId="204" formatCode="#,##0.0"/>
    <x:numFmt numFmtId="205" formatCode="0.0%"/>
    <x:numFmt numFmtId="206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7375E"/>
      <x:name val="Carlito"/>
    </x:font>
    <x:font>
      <x:sz val="11"/>
      <x:color rgb="FF263238"/>
      <x:name val="Carlito"/>
    </x:font>
    <x:font>
      <x:b/>
      <x:sz val="11"/>
      <x:color rgb="FFD95D39"/>
      <x:name val="Carlito"/>
    </x:font>
    <x:font>
      <x:b/>
      <x:sz val="11"/>
      <x:color rgb="FF17375E"/>
      <x:name val="Carlito"/>
    </x:font>
    <x:font>
      <x:b/>
      <x:sz val="11"/>
      <x:color rgb="FF263238"/>
      <x:name val="Carlito"/>
    </x:font>
    <x:font>
      <x:sz val="11"/>
      <x:color rgb="FF607D8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EAF2F8"/>
      </x:patternFill>
    </x:fill>
    <x:fill>
      <x:patternFill patternType="solid">
        <x:fgColor rgb="FF244A73"/>
      </x:patternFill>
    </x:fill>
    <x:fill>
      <x:patternFill patternType="solid">
        <x:fgColor rgb="FF1F776E"/>
      </x:patternFill>
    </x:fill>
    <x:fill>
      <x:patternFill patternType="solid">
        <x:fgColor rgb="FFFFF1E3"/>
      </x:patternFill>
    </x:fill>
    <x:fill>
      <x:patternFill patternType="solid">
        <x:fgColor rgb="FFFCEBE7"/>
      </x:patternFill>
    </x:fill>
    <x:fill>
      <x:patternFill patternType="solid">
        <x:fgColor rgb="FF2A9D8F"/>
      </x:patternFill>
    </x:fill>
    <x:fill>
      <x:patternFill patternType="solid">
        <x:fgColor rgb="FFF7F9FB"/>
      </x:patternFill>
    </x:fill>
    <x:fill>
      <x:patternFill patternType="solid">
        <x:fgColor rgb="FF4C78A8"/>
      </x:patternFill>
    </x:fill>
    <x:fill>
      <x:patternFill patternType="solid">
        <x:fgColor rgb="FFF4A261"/>
      </x:patternFill>
    </x:fill>
    <x:fill>
      <x:patternFill patternType="solid">
        <x:fgColor rgb="FFD95D39"/>
      </x:patternFill>
    </x:fill>
    <x:fill>
      <x:patternFill patternType="solid">
        <x:fgColor rgb="FFE8F5F2"/>
      </x:patternFill>
    </x:fill>
  </x:fills>
  <x:borders count="47">
    <x:border/>
    <x:border>
      <x:right style="thin">
        <x:color rgb="FFD7E0E8"/>
      </x:right>
    </x:border>
    <x:border>
      <x:left style="thin">
        <x:color rgb="FFD7E0E8"/>
      </x:left>
      <x:right style="thin">
        <x:color rgb="FFD7E0E8"/>
      </x:right>
    </x:border>
    <x:border>
      <x:left style="thin">
        <x:color rgb="FFD7E0E8"/>
      </x:left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4C78A8"/>
      </x:left>
      <x:top style="thin">
        <x:color rgb="FF4C78A8"/>
      </x:top>
    </x:border>
    <x:border>
      <x:top style="thin">
        <x:color rgb="FF4C78A8"/>
      </x:top>
    </x:border>
    <x:border>
      <x:right style="thin">
        <x:color rgb="FF4C78A8"/>
      </x:right>
      <x:top style="thin">
        <x:color rgb="FF4C78A8"/>
      </x:top>
    </x:border>
    <x:border>
      <x:left style="thin">
        <x:color rgb="FF4C78A8"/>
      </x:left>
    </x:border>
    <x:border>
      <x:right style="thin">
        <x:color rgb="FF4C78A8"/>
      </x:right>
    </x:border>
    <x:border>
      <x:left style="thin">
        <x:color rgb="FF4C78A8"/>
      </x:left>
      <x:bottom style="thin">
        <x:color rgb="FF4C78A8"/>
      </x:bottom>
    </x:border>
    <x:border>
      <x:bottom style="thin">
        <x:color rgb="FF4C78A8"/>
      </x:bottom>
    </x:border>
    <x:border>
      <x:right style="thin">
        <x:color rgb="FF4C78A8"/>
      </x:right>
      <x:bottom style="thin">
        <x:color rgb="FF4C78A8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D95D39"/>
      </x:left>
      <x:top style="thin">
        <x:color rgb="FFD95D39"/>
      </x:top>
    </x:border>
    <x:border>
      <x:top style="thin">
        <x:color rgb="FFD95D39"/>
      </x:top>
    </x:border>
    <x:border>
      <x:right style="thin">
        <x:color rgb="FFD95D39"/>
      </x:right>
      <x:top style="thin">
        <x:color rgb="FFD95D39"/>
      </x:top>
    </x:border>
    <x:border>
      <x:left style="thin">
        <x:color rgb="FFD95D39"/>
      </x:left>
    </x:border>
    <x:border>
      <x:right style="thin">
        <x:color rgb="FFD95D39"/>
      </x:right>
    </x:border>
    <x:border>
      <x:left style="thin">
        <x:color rgb="FFD95D39"/>
      </x:left>
      <x:bottom style="thin">
        <x:color rgb="FFD95D39"/>
      </x:bottom>
    </x:border>
    <x:border>
      <x:bottom style="thin">
        <x:color rgb="FFD95D39"/>
      </x:bottom>
    </x:border>
    <x:border>
      <x:right style="thin">
        <x:color rgb="FFD95D39"/>
      </x:right>
      <x:bottom style="thin">
        <x:color rgb="FFD95D39"/>
      </x:bottom>
    </x:border>
    <x:border>
      <x:left style="medium">
        <x:color rgb="FFD95D39"/>
      </x:left>
      <x:top style="medium">
        <x:color rgb="FFD95D39"/>
      </x:top>
    </x:border>
    <x:border>
      <x:top style="medium">
        <x:color rgb="FFD95D39"/>
      </x:top>
    </x:border>
    <x:border>
      <x:right style="medium">
        <x:color rgb="FFD95D39"/>
      </x:right>
      <x:top style="medium">
        <x:color rgb="FFD95D39"/>
      </x:top>
    </x:border>
    <x:border>
      <x:left style="medium">
        <x:color rgb="FFD95D39"/>
      </x:left>
    </x:border>
    <x:border>
      <x:right style="medium">
        <x:color rgb="FFD95D39"/>
      </x:right>
    </x:border>
    <x:border>
      <x:left style="medium">
        <x:color rgb="FFD95D39"/>
      </x:left>
      <x:bottom style="medium">
        <x:color rgb="FFD95D39"/>
      </x:bottom>
    </x:border>
    <x:border>
      <x:bottom style="medium">
        <x:color rgb="FFD95D39"/>
      </x:bottom>
    </x:border>
    <x:border>
      <x:right style="medium">
        <x:color rgb="FFD95D39"/>
      </x:right>
      <x:bottom style="medium">
        <x:color rgb="FFD95D39"/>
      </x:bottom>
    </x:border>
  </x:borders>
  <x:cellStyleXfs count="1">
    <x:xf numFmtId="0" fontId="0" fillId="0" borderId="0"/>
  </x:cellStyleXfs>
  <x:cellXfs count="3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3" fontId="3" fillId="0" borderId="4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3" fillId="0" borderId="4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5" fontId="3" fillId="0" borderId="4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206" fontId="3" fillId="0" borderId="5" xfId="0" applyNumberFormat="1" applyFont="1" applyFill="1" applyBorder="1" applyAlignment="1">
      <x:alignment vertical="center"/>
    </x:xf>
    <x:xf numFmtId="206" fontId="3" fillId="0" borderId="6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9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7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6" fillId="9" borderId="1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horizontal="center" wrapText="1"/>
    </x:xf>
    <x:xf numFmtId="0" fontId="6" fillId="9" borderId="8" xfId="0" applyNumberFormat="1" applyFont="1" applyFill="1" applyBorder="1" applyAlignment="1">
      <x:alignment horizontal="center" wrapText="1"/>
    </x:xf>
    <x:xf numFmtId="0" fontId="6" fillId="9" borderId="9" xfId="0" applyNumberFormat="1" applyFont="1" applyFill="1" applyBorder="1" applyAlignment="1">
      <x:alignment horizontal="center" wrapText="1"/>
    </x:xf>
    <x:xf numFmtId="0" fontId="6" fillId="9" borderId="1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11" xfId="0" applyNumberFormat="1" applyFont="1" applyFill="1" applyBorder="1" applyAlignment="1">
      <x:alignment horizontal="center" wrapText="1"/>
    </x:xf>
    <x:xf numFmtId="0" fontId="6" fillId="9" borderId="12" xfId="0" applyNumberFormat="1" applyFont="1" applyFill="1" applyBorder="1" applyAlignment="1">
      <x:alignment horizontal="center" wrapText="1"/>
    </x:xf>
    <x:xf numFmtId="0" fontId="6" fillId="9" borderId="13" xfId="0" applyNumberFormat="1" applyFont="1" applyFill="1" applyBorder="1" applyAlignment="1">
      <x:alignment horizontal="center" wrapText="1"/>
    </x:xf>
    <x:xf numFmtId="0" fontId="6" fillId="9" borderId="14" xfId="0" applyNumberFormat="1" applyFont="1" applyFill="1" applyBorder="1" applyAlignment="1">
      <x:alignment horizont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6" fillId="9" borderId="13" xfId="0" applyNumberFormat="1" applyFont="1" applyFill="1" applyBorder="1" applyAlignment="1">
      <x:alignment horizontal="center" vertical="center" wrapText="1"/>
    </x:xf>
    <x:xf numFmtId="0" fontId="6" fillId="9" borderId="1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8" xfId="0" applyNumberFormat="1" applyFont="1" applyFill="1" applyBorder="1"/>
    <x:xf numFmtId="0" fontId="6" fillId="9" borderId="19" xfId="0" applyNumberFormat="1" applyFont="1" applyFill="1" applyBorder="1"/>
    <x:xf numFmtId="0" fontId="6" fillId="9" borderId="20" xfId="0" applyNumberFormat="1" applyFont="1" applyFill="1" applyBorder="1"/>
    <x:xf numFmtId="0" fontId="6" fillId="9" borderId="21" xfId="0" applyNumberFormat="1" applyFont="1" applyFill="1" applyBorder="1"/>
    <x:xf numFmtId="0" fontId="6" fillId="9" borderId="22" xfId="0" applyNumberFormat="1" applyFont="1" applyFill="1" applyBorder="1"/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wrapText="1"/>
    </x:xf>
    <x:xf numFmtId="0" fontId="6" fillId="9" borderId="19" xfId="0" applyNumberFormat="1" applyFont="1" applyFill="1" applyBorder="1" applyAlignment="1">
      <x:alignment wrapText="1"/>
    </x:xf>
    <x:xf numFmtId="0" fontId="6" fillId="9" borderId="20" xfId="0" applyNumberFormat="1" applyFont="1" applyFill="1" applyBorder="1" applyAlignment="1">
      <x:alignment wrapText="1"/>
    </x:xf>
    <x:xf numFmtId="0" fontId="6" fillId="9" borderId="21" xfId="0" applyNumberFormat="1" applyFont="1" applyFill="1" applyBorder="1" applyAlignment="1">
      <x:alignment wrapText="1"/>
    </x:xf>
    <x:xf numFmtId="0" fontId="6" fillId="9" borderId="22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horizontal="center" wrapText="1"/>
    </x:xf>
    <x:xf numFmtId="0" fontId="6" fillId="9" borderId="16" xfId="0" applyNumberFormat="1" applyFont="1" applyFill="1" applyBorder="1" applyAlignment="1">
      <x:alignment horizontal="center" wrapText="1"/>
    </x:xf>
    <x:xf numFmtId="0" fontId="6" fillId="9" borderId="17" xfId="0" applyNumberFormat="1" applyFont="1" applyFill="1" applyBorder="1" applyAlignment="1">
      <x:alignment horizontal="center" wrapText="1"/>
    </x:xf>
    <x:xf numFmtId="0" fontId="6" fillId="9" borderId="18" xfId="0" applyNumberFormat="1" applyFont="1" applyFill="1" applyBorder="1" applyAlignment="1">
      <x:alignment horizontal="center" wrapText="1"/>
    </x:xf>
    <x:xf numFmtId="0" fontId="6" fillId="9" borderId="19" xfId="0" applyNumberFormat="1" applyFont="1" applyFill="1" applyBorder="1" applyAlignment="1">
      <x:alignment horizontal="center" wrapText="1"/>
    </x:xf>
    <x:xf numFmtId="0" fontId="6" fillId="9" borderId="20" xfId="0" applyNumberFormat="1" applyFont="1" applyFill="1" applyBorder="1" applyAlignment="1">
      <x:alignment horizontal="center" wrapText="1"/>
    </x:xf>
    <x:xf numFmtId="0" fontId="6" fillId="9" borderId="21" xfId="0" applyNumberFormat="1" applyFont="1" applyFill="1" applyBorder="1" applyAlignment="1">
      <x:alignment horizontal="center" wrapText="1"/>
    </x:xf>
    <x:xf numFmtId="0" fontId="6" fillId="9" borderId="22" xfId="0" applyNumberFormat="1" applyFont="1" applyFill="1" applyBorder="1" applyAlignment="1">
      <x:alignment horizontal="center" wrapText="1"/>
    </x:xf>
    <x:xf numFmtId="0" fontId="6" fillId="9" borderId="15" xfId="0" applyNumberFormat="1" applyFont="1" applyFill="1" applyBorder="1" applyAlignment="1">
      <x:alignment horizontal="center" vertical="center" wrapText="1"/>
    </x:xf>
    <x:xf numFmtId="0" fontId="6" fillId="9" borderId="16" xfId="0" applyNumberFormat="1" applyFont="1" applyFill="1" applyBorder="1" applyAlignment="1">
      <x:alignment horizontal="center" vertical="center" wrapText="1"/>
    </x:xf>
    <x:xf numFmtId="0" fontId="6" fillId="9" borderId="17" xfId="0" applyNumberFormat="1" applyFont="1" applyFill="1" applyBorder="1" applyAlignment="1">
      <x:alignment horizontal="center" vertical="center" wrapText="1"/>
    </x:xf>
    <x:xf numFmtId="0" fontId="6" fillId="9" borderId="18" xfId="0" applyNumberFormat="1" applyFont="1" applyFill="1" applyBorder="1" applyAlignment="1">
      <x:alignment horizontal="center"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6" fillId="9" borderId="20" xfId="0" applyNumberFormat="1" applyFont="1" applyFill="1" applyBorder="1" applyAlignment="1">
      <x:alignment horizontal="center" vertical="center" wrapText="1"/>
    </x:xf>
    <x:xf numFmtId="0" fontId="6" fillId="9" borderId="21" xfId="0" applyNumberFormat="1" applyFont="1" applyFill="1" applyBorder="1" applyAlignment="1">
      <x:alignment horizontal="center" vertical="center" wrapText="1"/>
    </x:xf>
    <x:xf numFmtId="0" fontId="6" fillId="9" borderId="2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6" fillId="9" borderId="23" xfId="0" applyNumberFormat="1" applyFont="1" applyFill="1" applyBorder="1"/>
    <x:xf numFmtId="0" fontId="6" fillId="9" borderId="24" xfId="0" applyNumberFormat="1" applyFont="1" applyFill="1" applyBorder="1"/>
    <x:xf numFmtId="0" fontId="6" fillId="9" borderId="25" xfId="0" applyNumberFormat="1" applyFont="1" applyFill="1" applyBorder="1"/>
    <x:xf numFmtId="0" fontId="6" fillId="9" borderId="26" xfId="0" applyNumberFormat="1" applyFont="1" applyFill="1" applyBorder="1"/>
    <x:xf numFmtId="0" fontId="6" fillId="9" borderId="27" xfId="0" applyNumberFormat="1" applyFont="1" applyFill="1" applyBorder="1"/>
    <x:xf numFmtId="0" fontId="6" fillId="9" borderId="28" xfId="0" applyNumberFormat="1" applyFont="1" applyFill="1" applyBorder="1"/>
    <x:xf numFmtId="0" fontId="6" fillId="9" borderId="29" xfId="0" applyNumberFormat="1" applyFont="1" applyFill="1" applyBorder="1"/>
    <x:xf numFmtId="0" fontId="6" fillId="9" borderId="30" xfId="0" applyNumberFormat="1" applyFont="1" applyFill="1" applyBorder="1"/>
    <x:xf numFmtId="0" fontId="6" fillId="9" borderId="23" xfId="0" applyNumberFormat="1" applyFont="1" applyFill="1" applyBorder="1" applyAlignment="1">
      <x:alignment wrapText="1"/>
    </x:xf>
    <x:xf numFmtId="0" fontId="6" fillId="9" borderId="24" xfId="0" applyNumberFormat="1" applyFont="1" applyFill="1" applyBorder="1" applyAlignment="1">
      <x:alignment wrapText="1"/>
    </x:xf>
    <x:xf numFmtId="0" fontId="6" fillId="9" borderId="25" xfId="0" applyNumberFormat="1" applyFont="1" applyFill="1" applyBorder="1" applyAlignment="1">
      <x:alignment wrapText="1"/>
    </x:xf>
    <x:xf numFmtId="0" fontId="6" fillId="9" borderId="26" xfId="0" applyNumberFormat="1" applyFont="1" applyFill="1" applyBorder="1" applyAlignment="1">
      <x:alignment wrapText="1"/>
    </x:xf>
    <x:xf numFmtId="0" fontId="6" fillId="9" borderId="27" xfId="0" applyNumberFormat="1" applyFont="1" applyFill="1" applyBorder="1" applyAlignment="1">
      <x:alignment wrapText="1"/>
    </x:xf>
    <x:xf numFmtId="0" fontId="6" fillId="9" borderId="28" xfId="0" applyNumberFormat="1" applyFont="1" applyFill="1" applyBorder="1" applyAlignment="1">
      <x:alignment wrapText="1"/>
    </x:xf>
    <x:xf numFmtId="0" fontId="6" fillId="9" borderId="29" xfId="0" applyNumberFormat="1" applyFont="1" applyFill="1" applyBorder="1" applyAlignment="1">
      <x:alignment wrapText="1"/>
    </x:xf>
    <x:xf numFmtId="0" fontId="6" fillId="9" borderId="30" xfId="0" applyNumberFormat="1" applyFont="1" applyFill="1" applyBorder="1" applyAlignment="1">
      <x:alignment wrapText="1"/>
    </x:xf>
    <x:xf numFmtId="0" fontId="6" fillId="9" borderId="23" xfId="0" applyNumberFormat="1" applyFont="1" applyFill="1" applyBorder="1" applyAlignment="1">
      <x:alignment horizontal="center" wrapText="1"/>
    </x:xf>
    <x:xf numFmtId="0" fontId="6" fillId="9" borderId="24" xfId="0" applyNumberFormat="1" applyFont="1" applyFill="1" applyBorder="1" applyAlignment="1">
      <x:alignment horizontal="center" wrapText="1"/>
    </x:xf>
    <x:xf numFmtId="0" fontId="6" fillId="9" borderId="25" xfId="0" applyNumberFormat="1" applyFont="1" applyFill="1" applyBorder="1" applyAlignment="1">
      <x:alignment horizontal="center" wrapText="1"/>
    </x:xf>
    <x:xf numFmtId="0" fontId="6" fillId="9" borderId="26" xfId="0" applyNumberFormat="1" applyFont="1" applyFill="1" applyBorder="1" applyAlignment="1">
      <x:alignment horizontal="center" wrapText="1"/>
    </x:xf>
    <x:xf numFmtId="0" fontId="6" fillId="9" borderId="27" xfId="0" applyNumberFormat="1" applyFont="1" applyFill="1" applyBorder="1" applyAlignment="1">
      <x:alignment horizontal="center" wrapText="1"/>
    </x:xf>
    <x:xf numFmtId="0" fontId="6" fillId="9" borderId="28" xfId="0" applyNumberFormat="1" applyFont="1" applyFill="1" applyBorder="1" applyAlignment="1">
      <x:alignment horizontal="center" wrapText="1"/>
    </x:xf>
    <x:xf numFmtId="0" fontId="6" fillId="9" borderId="29" xfId="0" applyNumberFormat="1" applyFont="1" applyFill="1" applyBorder="1" applyAlignment="1">
      <x:alignment horizontal="center" wrapText="1"/>
    </x:xf>
    <x:xf numFmtId="0" fontId="6" fillId="9" borderId="30" xfId="0" applyNumberFormat="1" applyFont="1" applyFill="1" applyBorder="1" applyAlignment="1">
      <x:alignment horizontal="center" wrapText="1"/>
    </x:xf>
    <x:xf numFmtId="0" fontId="6" fillId="9" borderId="23" xfId="0" applyNumberFormat="1" applyFont="1" applyFill="1" applyBorder="1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0" fontId="6" fillId="9" borderId="28" xfId="0" applyNumberFormat="1" applyFont="1" applyFill="1" applyBorder="1" applyAlignment="1">
      <x:alignment horizontal="center" vertical="center" wrapText="1"/>
    </x:xf>
    <x:xf numFmtId="0" fontId="6" fillId="9" borderId="29" xfId="0" applyNumberFormat="1" applyFont="1" applyFill="1" applyBorder="1" applyAlignment="1">
      <x:alignment horizontal="center" vertical="center" wrapText="1"/>
    </x:xf>
    <x:xf numFmtId="0" fontId="6" fillId="9" borderId="3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6" fillId="9" borderId="31" xfId="0" applyNumberFormat="1" applyFont="1" applyFill="1" applyBorder="1"/>
    <x:xf numFmtId="0" fontId="6" fillId="9" borderId="32" xfId="0" applyNumberFormat="1" applyFont="1" applyFill="1" applyBorder="1"/>
    <x:xf numFmtId="0" fontId="6" fillId="9" borderId="33" xfId="0" applyNumberFormat="1" applyFont="1" applyFill="1" applyBorder="1"/>
    <x:xf numFmtId="0" fontId="6" fillId="9" borderId="34" xfId="0" applyNumberFormat="1" applyFont="1" applyFill="1" applyBorder="1"/>
    <x:xf numFmtId="0" fontId="6" fillId="9" borderId="35" xfId="0" applyNumberFormat="1" applyFont="1" applyFill="1" applyBorder="1"/>
    <x:xf numFmtId="0" fontId="6" fillId="9" borderId="36" xfId="0" applyNumberFormat="1" applyFont="1" applyFill="1" applyBorder="1"/>
    <x:xf numFmtId="0" fontId="6" fillId="9" borderId="37" xfId="0" applyNumberFormat="1" applyFont="1" applyFill="1" applyBorder="1"/>
    <x:xf numFmtId="0" fontId="6" fillId="9" borderId="38" xfId="0" applyNumberFormat="1" applyFont="1" applyFill="1" applyBorder="1"/>
    <x:xf numFmtId="0" fontId="6" fillId="9" borderId="31" xfId="0" applyNumberFormat="1" applyFont="1" applyFill="1" applyBorder="1" applyAlignment="1">
      <x:alignment wrapText="1"/>
    </x:xf>
    <x:xf numFmtId="0" fontId="6" fillId="9" borderId="32" xfId="0" applyNumberFormat="1" applyFont="1" applyFill="1" applyBorder="1" applyAlignment="1">
      <x:alignment wrapText="1"/>
    </x:xf>
    <x:xf numFmtId="0" fontId="6" fillId="9" borderId="33" xfId="0" applyNumberFormat="1" applyFont="1" applyFill="1" applyBorder="1" applyAlignment="1">
      <x:alignment wrapText="1"/>
    </x:xf>
    <x:xf numFmtId="0" fontId="6" fillId="9" borderId="34" xfId="0" applyNumberFormat="1" applyFont="1" applyFill="1" applyBorder="1" applyAlignment="1">
      <x:alignment wrapText="1"/>
    </x:xf>
    <x:xf numFmtId="0" fontId="6" fillId="9" borderId="35" xfId="0" applyNumberFormat="1" applyFont="1" applyFill="1" applyBorder="1" applyAlignment="1">
      <x:alignment wrapText="1"/>
    </x:xf>
    <x:xf numFmtId="0" fontId="6" fillId="9" borderId="36" xfId="0" applyNumberFormat="1" applyFont="1" applyFill="1" applyBorder="1" applyAlignment="1">
      <x:alignment wrapText="1"/>
    </x:xf>
    <x:xf numFmtId="0" fontId="6" fillId="9" borderId="37" xfId="0" applyNumberFormat="1" applyFont="1" applyFill="1" applyBorder="1" applyAlignment="1">
      <x:alignment wrapText="1"/>
    </x:xf>
    <x:xf numFmtId="0" fontId="6" fillId="9" borderId="38" xfId="0" applyNumberFormat="1" applyFont="1" applyFill="1" applyBorder="1" applyAlignment="1">
      <x:alignment wrapText="1"/>
    </x:xf>
    <x:xf numFmtId="0" fontId="6" fillId="9" borderId="31" xfId="0" applyNumberFormat="1" applyFont="1" applyFill="1" applyBorder="1" applyAlignment="1">
      <x:alignment horizontal="center" wrapText="1"/>
    </x:xf>
    <x:xf numFmtId="0" fontId="6" fillId="9" borderId="32" xfId="0" applyNumberFormat="1" applyFont="1" applyFill="1" applyBorder="1" applyAlignment="1">
      <x:alignment horizontal="center" wrapText="1"/>
    </x:xf>
    <x:xf numFmtId="0" fontId="6" fillId="9" borderId="33" xfId="0" applyNumberFormat="1" applyFont="1" applyFill="1" applyBorder="1" applyAlignment="1">
      <x:alignment horizontal="center" wrapText="1"/>
    </x:xf>
    <x:xf numFmtId="0" fontId="6" fillId="9" borderId="34" xfId="0" applyNumberFormat="1" applyFont="1" applyFill="1" applyBorder="1" applyAlignment="1">
      <x:alignment horizontal="center" wrapText="1"/>
    </x:xf>
    <x:xf numFmtId="0" fontId="6" fillId="9" borderId="35" xfId="0" applyNumberFormat="1" applyFont="1" applyFill="1" applyBorder="1" applyAlignment="1">
      <x:alignment horizontal="center" wrapText="1"/>
    </x:xf>
    <x:xf numFmtId="0" fontId="6" fillId="9" borderId="36" xfId="0" applyNumberFormat="1" applyFont="1" applyFill="1" applyBorder="1" applyAlignment="1">
      <x:alignment horizontal="center" wrapText="1"/>
    </x:xf>
    <x:xf numFmtId="0" fontId="6" fillId="9" borderId="37" xfId="0" applyNumberFormat="1" applyFont="1" applyFill="1" applyBorder="1" applyAlignment="1">
      <x:alignment horizontal="center" wrapText="1"/>
    </x:xf>
    <x:xf numFmtId="0" fontId="6" fillId="9" borderId="38" xfId="0" applyNumberFormat="1" applyFont="1" applyFill="1" applyBorder="1" applyAlignment="1">
      <x:alignment horizontal="center" wrapText="1"/>
    </x:xf>
    <x:xf numFmtId="0" fontId="6" fillId="9" borderId="31" xfId="0" applyNumberFormat="1" applyFont="1" applyFill="1" applyBorder="1" applyAlignment="1">
      <x:alignment horizontal="center" vertical="center" wrapText="1"/>
    </x:xf>
    <x:xf numFmtId="0" fontId="6" fillId="9" borderId="32" xfId="0" applyNumberFormat="1" applyFont="1" applyFill="1" applyBorder="1" applyAlignment="1">
      <x:alignment horizontal="center" vertical="center" wrapText="1"/>
    </x:xf>
    <x:xf numFmtId="0" fontId="6" fillId="9" borderId="33" xfId="0" applyNumberFormat="1" applyFont="1" applyFill="1" applyBorder="1" applyAlignment="1">
      <x:alignment horizontal="center" vertical="center" wrapText="1"/>
    </x:xf>
    <x:xf numFmtId="0" fontId="6" fillId="9" borderId="34" xfId="0" applyNumberFormat="1" applyFont="1" applyFill="1" applyBorder="1" applyAlignment="1">
      <x:alignment horizontal="center" vertical="center" wrapText="1"/>
    </x:xf>
    <x:xf numFmtId="0" fontId="6" fillId="9" borderId="35" xfId="0" applyNumberFormat="1" applyFont="1" applyFill="1" applyBorder="1" applyAlignment="1">
      <x:alignment horizontal="center" vertical="center" wrapText="1"/>
    </x:xf>
    <x:xf numFmtId="0" fontId="6" fillId="9" borderId="36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9" borderId="38" xfId="0" applyNumberFormat="1" applyFont="1" applyFill="1" applyBorder="1" applyAlignment="1">
      <x:alignment horizontal="center" vertical="center" wrapText="1"/>
    </x:xf>
    <x:xf numFmtId="200" fontId="6" fillId="9" borderId="23" xfId="0" applyNumberFormat="1" applyFont="1" applyFill="1" applyBorder="1" applyAlignment="1">
      <x:alignment horizontal="center" vertical="center" wrapText="1"/>
    </x:xf>
    <x:xf numFmtId="200" fontId="6" fillId="9" borderId="24" xfId="0" applyNumberFormat="1" applyFont="1" applyFill="1" applyBorder="1" applyAlignment="1">
      <x:alignment horizontal="center" vertical="center" wrapText="1"/>
    </x:xf>
    <x:xf numFmtId="200" fontId="6" fillId="9" borderId="25" xfId="0" applyNumberFormat="1" applyFont="1" applyFill="1" applyBorder="1" applyAlignment="1">
      <x:alignment horizontal="center" vertical="center" wrapText="1"/>
    </x:xf>
    <x:xf numFmtId="200" fontId="6" fillId="9" borderId="26" xfId="0" applyNumberFormat="1" applyFont="1" applyFill="1" applyBorder="1" applyAlignment="1">
      <x:alignment horizontal="center" vertical="center" wrapText="1"/>
    </x:xf>
    <x:xf numFmtId="200" fontId="6" fillId="9" borderId="0" xfId="0" applyNumberFormat="1" applyFont="1" applyFill="1" applyBorder="1" applyAlignment="1">
      <x:alignment horizontal="center" vertical="center" wrapText="1"/>
    </x:xf>
    <x:xf numFmtId="200" fontId="6" fillId="9" borderId="27" xfId="0" applyNumberFormat="1" applyFont="1" applyFill="1" applyBorder="1" applyAlignment="1">
      <x:alignment horizontal="center" vertical="center" wrapText="1"/>
    </x:xf>
    <x:xf numFmtId="200" fontId="6" fillId="9" borderId="28" xfId="0" applyNumberFormat="1" applyFont="1" applyFill="1" applyBorder="1" applyAlignment="1">
      <x:alignment horizontal="center" vertical="center" wrapText="1"/>
    </x:xf>
    <x:xf numFmtId="200" fontId="6" fillId="9" borderId="29" xfId="0" applyNumberFormat="1" applyFont="1" applyFill="1" applyBorder="1" applyAlignment="1">
      <x:alignment horizontal="center" vertical="center" wrapText="1"/>
    </x:xf>
    <x:xf numFmtId="200" fontId="6" fillId="9" borderId="30" xfId="0" applyNumberFormat="1" applyFont="1" applyFill="1" applyBorder="1" applyAlignment="1">
      <x:alignment horizontal="center" vertical="center" wrapText="1"/>
    </x:xf>
    <x:xf numFmtId="200" fontId="6" fillId="9" borderId="31" xfId="0" applyNumberFormat="1" applyFont="1" applyFill="1" applyBorder="1" applyAlignment="1">
      <x:alignment horizontal="center" vertical="center" wrapText="1"/>
    </x:xf>
    <x:xf numFmtId="200" fontId="6" fillId="9" borderId="32" xfId="0" applyNumberFormat="1" applyFont="1" applyFill="1" applyBorder="1" applyAlignment="1">
      <x:alignment horizontal="center" vertical="center" wrapText="1"/>
    </x:xf>
    <x:xf numFmtId="200" fontId="6" fillId="9" borderId="33" xfId="0" applyNumberFormat="1" applyFont="1" applyFill="1" applyBorder="1" applyAlignment="1">
      <x:alignment horizontal="center" vertical="center" wrapText="1"/>
    </x:xf>
    <x:xf numFmtId="200" fontId="6" fillId="9" borderId="34" xfId="0" applyNumberFormat="1" applyFont="1" applyFill="1" applyBorder="1" applyAlignment="1">
      <x:alignment horizontal="center" vertical="center" wrapText="1"/>
    </x:xf>
    <x:xf numFmtId="200" fontId="6" fillId="9" borderId="35" xfId="0" applyNumberFormat="1" applyFont="1" applyFill="1" applyBorder="1" applyAlignment="1">
      <x:alignment horizontal="center" vertical="center" wrapText="1"/>
    </x:xf>
    <x:xf numFmtId="200" fontId="6" fillId="9" borderId="36" xfId="0" applyNumberFormat="1" applyFont="1" applyFill="1" applyBorder="1" applyAlignment="1">
      <x:alignment horizontal="center" vertical="center" wrapText="1"/>
    </x:xf>
    <x:xf numFmtId="200" fontId="6" fillId="9" borderId="37" xfId="0" applyNumberFormat="1" applyFont="1" applyFill="1" applyBorder="1" applyAlignment="1">
      <x:alignment horizontal="center" vertical="center" wrapText="1"/>
    </x:xf>
    <x:xf numFmtId="200" fontId="6" fillId="9" borderId="38" xfId="0" applyNumberFormat="1" applyFont="1" applyFill="1" applyBorder="1" applyAlignment="1">
      <x:alignment horizontal="center" vertical="center" wrapText="1"/>
    </x:xf>
    <x:xf numFmtId="0" fontId="4" fillId="7" borderId="39" xfId="0" applyNumberFormat="1" applyFont="1" applyFill="1" applyBorder="1"/>
    <x:xf numFmtId="0" fontId="4" fillId="7" borderId="40" xfId="0" applyNumberFormat="1" applyFont="1" applyFill="1" applyBorder="1"/>
    <x:xf numFmtId="0" fontId="4" fillId="7" borderId="41" xfId="0" applyNumberFormat="1" applyFont="1" applyFill="1" applyBorder="1"/>
    <x:xf numFmtId="0" fontId="4" fillId="7" borderId="42" xfId="0" applyNumberFormat="1" applyFont="1" applyFill="1" applyBorder="1"/>
    <x:xf numFmtId="0" fontId="4" fillId="7" borderId="43" xfId="0" applyNumberFormat="1" applyFont="1" applyFill="1" applyBorder="1"/>
    <x:xf numFmtId="0" fontId="4" fillId="7" borderId="44" xfId="0" applyNumberFormat="1" applyFont="1" applyFill="1" applyBorder="1"/>
    <x:xf numFmtId="0" fontId="4" fillId="7" borderId="45" xfId="0" applyNumberFormat="1" applyFont="1" applyFill="1" applyBorder="1"/>
    <x:xf numFmtId="0" fontId="4" fillId="7" borderId="46" xfId="0" applyNumberFormat="1" applyFont="1" applyFill="1" applyBorder="1"/>
    <x:xf numFmtId="0" fontId="4" fillId="7" borderId="39" xfId="0" applyNumberFormat="1" applyFont="1" applyFill="1" applyBorder="1" applyAlignment="1">
      <x:alignment wrapText="1"/>
    </x:xf>
    <x:xf numFmtId="0" fontId="4" fillId="7" borderId="40" xfId="0" applyNumberFormat="1" applyFont="1" applyFill="1" applyBorder="1" applyAlignment="1">
      <x:alignment wrapText="1"/>
    </x:xf>
    <x:xf numFmtId="0" fontId="4" fillId="7" borderId="41" xfId="0" applyNumberFormat="1" applyFont="1" applyFill="1" applyBorder="1" applyAlignment="1">
      <x:alignment wrapText="1"/>
    </x:xf>
    <x:xf numFmtId="0" fontId="4" fillId="7" borderId="42" xfId="0" applyNumberFormat="1" applyFont="1" applyFill="1" applyBorder="1" applyAlignment="1">
      <x:alignment wrapText="1"/>
    </x:xf>
    <x:xf numFmtId="0" fontId="4" fillId="7" borderId="43" xfId="0" applyNumberFormat="1" applyFont="1" applyFill="1" applyBorder="1" applyAlignment="1">
      <x:alignment wrapText="1"/>
    </x:xf>
    <x:xf numFmtId="0" fontId="4" fillId="7" borderId="44" xfId="0" applyNumberFormat="1" applyFont="1" applyFill="1" applyBorder="1" applyAlignment="1">
      <x:alignment wrapText="1"/>
    </x:xf>
    <x:xf numFmtId="0" fontId="4" fillId="7" borderId="45" xfId="0" applyNumberFormat="1" applyFont="1" applyFill="1" applyBorder="1" applyAlignment="1">
      <x:alignment wrapText="1"/>
    </x:xf>
    <x:xf numFmtId="0" fontId="4" fillId="7" borderId="46" xfId="0" applyNumberFormat="1" applyFont="1" applyFill="1" applyBorder="1" applyAlignment="1">
      <x:alignment wrapText="1"/>
    </x:xf>
    <x:xf numFmtId="0" fontId="4" fillId="7" borderId="39" xfId="0" applyNumberFormat="1" applyFont="1" applyFill="1" applyBorder="1" applyAlignment="1">
      <x:alignment vertical="center" wrapText="1"/>
    </x:xf>
    <x:xf numFmtId="0" fontId="4" fillId="7" borderId="40" xfId="0" applyNumberFormat="1" applyFont="1" applyFill="1" applyBorder="1" applyAlignment="1">
      <x:alignment vertical="center" wrapText="1"/>
    </x:xf>
    <x:xf numFmtId="0" fontId="4" fillId="7" borderId="41" xfId="0" applyNumberFormat="1" applyFont="1" applyFill="1" applyBorder="1" applyAlignment="1">
      <x:alignment vertical="center" wrapText="1"/>
    </x:xf>
    <x:xf numFmtId="0" fontId="4" fillId="7" borderId="42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43" xfId="0" applyNumberFormat="1" applyFont="1" applyFill="1" applyBorder="1" applyAlignment="1">
      <x:alignment vertical="center" wrapText="1"/>
    </x:xf>
    <x:xf numFmtId="0" fontId="4" fillId="7" borderId="44" xfId="0" applyNumberFormat="1" applyFont="1" applyFill="1" applyBorder="1" applyAlignment="1">
      <x:alignment vertical="center" wrapText="1"/>
    </x:xf>
    <x:xf numFmtId="0" fontId="4" fillId="7" borderId="45" xfId="0" applyNumberFormat="1" applyFont="1" applyFill="1" applyBorder="1" applyAlignment="1">
      <x:alignment vertical="center" wrapText="1"/>
    </x:xf>
    <x:xf numFmtId="0" fontId="4" fillId="7" borderId="46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7" xfId="0" applyNumberFormat="1" applyFont="1" applyFill="1" applyBorder="1"/>
    <x:xf numFmtId="0" fontId="3" fillId="13" borderId="8" xfId="0" applyNumberFormat="1" applyFont="1" applyFill="1" applyBorder="1"/>
    <x:xf numFmtId="0" fontId="3" fillId="13" borderId="9" xfId="0" applyNumberFormat="1" applyFont="1" applyFill="1" applyBorder="1"/>
    <x:xf numFmtId="0" fontId="3" fillId="13" borderId="10" xfId="0" applyNumberFormat="1" applyFont="1" applyFill="1" applyBorder="1"/>
    <x:xf numFmtId="0" fontId="3" fillId="13" borderId="11" xfId="0" applyNumberFormat="1" applyFont="1" applyFill="1" applyBorder="1"/>
    <x:xf numFmtId="0" fontId="3" fillId="13" borderId="12" xfId="0" applyNumberFormat="1" applyFont="1" applyFill="1" applyBorder="1"/>
    <x:xf numFmtId="0" fontId="3" fillId="13" borderId="13" xfId="0" applyNumberFormat="1" applyFont="1" applyFill="1" applyBorder="1"/>
    <x:xf numFmtId="0" fontId="3" fillId="13" borderId="14" xfId="0" applyNumberFormat="1" applyFont="1" applyFill="1" applyBorder="1"/>
    <x:xf numFmtId="0" fontId="3" fillId="13" borderId="7" xfId="0" applyNumberFormat="1" applyFont="1" applyFill="1" applyBorder="1" applyAlignment="1">
      <x:alignment wrapText="1"/>
    </x:xf>
    <x:xf numFmtId="0" fontId="3" fillId="13" borderId="8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wrapText="1"/>
    </x:xf>
    <x:xf numFmtId="0" fontId="3" fillId="13" borderId="1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11" xfId="0" applyNumberFormat="1" applyFont="1" applyFill="1" applyBorder="1" applyAlignment="1">
      <x:alignment wrapText="1"/>
    </x:xf>
    <x:xf numFmtId="0" fontId="3" fillId="13" borderId="12" xfId="0" applyNumberFormat="1" applyFont="1" applyFill="1" applyBorder="1" applyAlignment="1">
      <x:alignment wrapText="1"/>
    </x:xf>
    <x:xf numFmtId="0" fontId="3" fillId="13" borderId="13" xfId="0" applyNumberFormat="1" applyFont="1" applyFill="1" applyBorder="1" applyAlignment="1">
      <x:alignment wrapText="1"/>
    </x:xf>
    <x:xf numFmtId="0" fontId="3" fillId="13" borderId="14" xfId="0" applyNumberFormat="1" applyFont="1" applyFill="1" applyBorder="1" applyAlignment="1">
      <x:alignment wrapText="1"/>
    </x:xf>
    <x:xf numFmtId="0" fontId="3" fillId="13" borderId="7" xfId="0" applyNumberFormat="1" applyFont="1" applyFill="1" applyBorder="1" applyAlignment="1">
      <x:alignment vertical="center" wrapText="1"/>
    </x:xf>
    <x:xf numFmtId="0" fontId="3" fillId="13" borderId="8" xfId="0" applyNumberFormat="1" applyFont="1" applyFill="1" applyBorder="1" applyAlignment="1">
      <x:alignment vertical="center" wrapText="1"/>
    </x:xf>
    <x:xf numFmtId="0" fontId="3" fillId="13" borderId="9" xfId="0" applyNumberFormat="1" applyFont="1" applyFill="1" applyBorder="1" applyAlignment="1">
      <x:alignment vertical="center" wrapText="1"/>
    </x:xf>
    <x:xf numFmtId="0" fontId="3" fillId="13" borderId="1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11" xfId="0" applyNumberFormat="1" applyFont="1" applyFill="1" applyBorder="1" applyAlignment="1">
      <x:alignment vertical="center" wrapText="1"/>
    </x:xf>
    <x:xf numFmtId="0" fontId="3" fillId="13" borderId="12" xfId="0" applyNumberFormat="1" applyFont="1" applyFill="1" applyBorder="1" applyAlignment="1">
      <x:alignment vertical="center" wrapText="1"/>
    </x:xf>
    <x:xf numFmtId="0" fontId="3" fillId="13" borderId="13" xfId="0" applyNumberFormat="1" applyFont="1" applyFill="1" applyBorder="1" applyAlignment="1">
      <x:alignment vertical="center" wrapText="1"/>
    </x:xf>
    <x:xf numFmtId="0" fontId="3" fillId="13" borderId="14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A8D5D"/>
      </x:font>
      <x:fill>
        <x:patternFill patternType="solid">
          <x:bgColor rgb="FFE8F5F2"/>
        </x:patternFill>
      </x:fill>
    </x:dxf>
    <x:dxf>
      <x:font>
        <x:b/>
        <x:color rgb="FF3A8D5D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68c57daee4667" /><Relationship Type="http://schemas.openxmlformats.org/officeDocument/2006/relationships/theme" Target="/xl/theme/theme1.xml" Id="R7c1953c3390742f6" /><Relationship Type="http://schemas.microsoft.com/office/2022/11/relationships/FeaturePropertyBag" Target="/xl/featurePropertyBag/featurePropertyBag.xml" Id="R379e0e52ac3146eb" /><Relationship Type="http://schemas.openxmlformats.org/officeDocument/2006/relationships/sharedStrings" Target="/xl/sharedStrings.xml" Id="Rdd423ced5bb549d9" /><Relationship Type="http://schemas.openxmlformats.org/officeDocument/2006/relationships/worksheet" Target="/xl/worksheets/sheet1.xml" Id="Ra949003c6cf34ec3" /><Relationship Type="http://schemas.openxmlformats.org/officeDocument/2006/relationships/worksheet" Target="/xl/worksheets/sheet2.xml" Id="R86767ae356e84e25" /><Relationship Type="http://schemas.openxmlformats.org/officeDocument/2006/relationships/worksheet" Target="/xl/worksheets/sheet3.xml" Id="R687739c9d13c4165" /><Relationship Type="http://schemas.openxmlformats.org/officeDocument/2006/relationships/worksheet" Target="/xl/worksheets/sheet4.xml" Id="Rbc6e7173807a49b0" /><Relationship Type="http://schemas.openxmlformats.org/officeDocument/2006/relationships/worksheet" Target="/xl/worksheets/sheet5.xml" Id="Rba327d5cd85a462e" /><Relationship Type="http://schemas.openxmlformats.org/officeDocument/2006/relationships/worksheet" Target="/xl/worksheets/sheet6.xml" Id="R183f3a7e3fa9403d" /><Relationship Type="http://schemas.microsoft.com/office/2017/10/relationships/person" Target="/xl/persons/person.xml" Id="R786001d68d5c47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5a1098688841d2" /><Relationship Type="http://schemas.openxmlformats.org/officeDocument/2006/relationships/chart" Target="/xl/drawings/charts/chart2.xml" Id="R885ea48244344156" /><Relationship Type="http://schemas.openxmlformats.org/officeDocument/2006/relationships/chart" Target="/xl/drawings/charts/chart3.xml" Id="R07bfe1d7f2364350" /><Relationship Type="http://schemas.openxmlformats.org/officeDocument/2006/relationships/chart" Target="/xl/drawings/charts/chart4.xml" Id="Rcb279edfed4644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同題比較：原始0台標籤仍最佳（AP）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缺車 AP</c:v>
          </c:tx>
          <c:spPr>
            <a:solidFill xmlns:a="http://schemas.openxmlformats.org/drawingml/2006/main">
              <a:srgbClr val="4C78A8"/>
            </a:solidFill>
          </c:spPr>
          <c:cat>
            <c:strRef>
              <c:f>'標籤比較'!$M$2:$M$5</c:f>
              <c:strCache>
                <c:ptCount val="0"/>
              </c:strCache>
            </c:strRef>
          </c:cat>
          <c:val>
            <c:numRef>
              <c:f>'標籤比較'!$N$2:$N$5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滿柱 AP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'標籤比較'!$M$2:$M$5</c:f>
              <c:strCache>
                <c:ptCount val="0"/>
              </c:strCache>
            </c:strRef>
          </c:cat>
          <c:val>
            <c:numRef>
              <c:f>'標籤比較'!$O$2:$O$5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固定Recall Precision：困難負例加權反而變差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缺車 P@R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'權重比較'!$M$2:$M$8</c:f>
              <c:strCache>
                <c:ptCount val="0"/>
              </c:strCache>
            </c:strRef>
          </c:cat>
          <c:val>
            <c:numRef>
              <c:f>'權重比較'!$N$2:$N$8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滿柱 P@R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'權重比較'!$M$2:$M$8</c:f>
              <c:strCache>
                <c:ptCount val="0"/>
              </c:strCache>
            </c:strRef>
          </c:cat>
          <c:val>
            <c:numRef>
              <c:f>'權重比較'!$O$2:$O$8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六月無K：高Recall伴隨低Precision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'六月無K'!$T$2:$T$4</c:f>
              <c:strCache>
                <c:ptCount val="0"/>
              </c:strCache>
            </c:strRef>
          </c:cat>
          <c:val>
            <c:numRef>
              <c:f>'六月無K'!$U$2:$U$4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'六月無K'!$T$2:$T$4</c:f>
              <c:strCache>
                <c:ptCount val="0"/>
              </c:strCache>
            </c:strRef>
          </c:cat>
          <c:val>
            <c:numRef>
              <c:f>'六月無K'!$V$2:$V$4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門檻-only仍產生過量警示（站／半小時）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平均警示</c:v>
          </c:tx>
          <c:spPr>
            <a:solidFill xmlns:a="http://schemas.openxmlformats.org/drawingml/2006/main">
              <a:srgbClr val="4C78A8"/>
            </a:solidFill>
          </c:spPr>
          <c:cat>
            <c:strRef>
              <c:f>'六月無K'!$X$2:$X$4</c:f>
              <c:strCache>
                <c:ptCount val="0"/>
              </c:strCache>
            </c:strRef>
          </c:cat>
          <c:val>
            <c:numRef>
              <c:f>'六月無K'!$Y$2:$Y$4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P95警示</c:v>
          </c:tx>
          <c:spPr>
            <a:solidFill xmlns:a="http://schemas.openxmlformats.org/drawingml/2006/main">
              <a:srgbClr val="D95D39"/>
            </a:solidFill>
          </c:spPr>
          <c:cat>
            <c:strRef>
              <c:f>'六月無K'!$X$2:$X$4</c:f>
              <c:strCache>
                <c:ptCount val="0"/>
              </c:strCache>
            </c:strRef>
          </c:cat>
          <c:val>
            <c:numRef>
              <c:f>'六月無K'!$Z$2:$Z$4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5a1098688841d2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5ea48244344156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bfe1d7f2364350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279edfed4644d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CB6F49A-0FE6-4E4C-B94C-23237278B830}"/>
</xltc:personList>
</file>

<file path=xl/tables/table1.xml><?xml version="1.0" encoding="utf-8"?>
<x:table xmlns:x="http://schemas.openxmlformats.org/spreadsheetml/2006/main" id="1" name="LabelCanonicalTable" displayName="LabelCanonicalTable" ref="A4:J12" headerRowCount="1" totalsRowCount="0" totalsRowShown="0">
  <x:autoFilter ref="A4:J12"/>
  <x:tableColumns count="10">
    <x:tableColumn id="1" name="train_label_id"/>
    <x:tableColumn id="2" name="event"/>
    <x:tableColumn id="3" name="folds"/>
    <x:tableColumn id="4" name="mean_prevalence"/>
    <x:tableColumn id="5" name="mean_average_precision"/>
    <x:tableColumn id="6" name="worst_fold_average_precision"/>
    <x:tableColumn id="7" name="mean_lift_over_prevalence"/>
    <x:tableColumn id="8" name="mean_precision_at_recall_target"/>
    <x:tableColumn id="9" name="mean_alert_rate_at_recall_target"/>
    <x:tableColumn id="10" name="median_best_ite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ightGridTable" displayName="WeightGridTable" ref="A4:J18" headerRowCount="1" totalsRowCount="0" totalsRowShown="0">
  <x:autoFilter ref="A4:J18"/>
  <x:tableColumns count="10">
    <x:tableColumn id="1" name="event"/>
    <x:tableColumn id="2" name="weight_scheme"/>
    <x:tableColumn id="3" name="mean_average_precision"/>
    <x:tableColumn id="4" name="worst_fold_average_precision"/>
    <x:tableColumn id="5" name="mean_precision_at_recall_target"/>
    <x:tableColumn id="6" name="worst_precision_at_recall_target"/>
    <x:tableColumn id="7" name="mean_alert_rate_at_recall_target"/>
    <x:tableColumn id="8" name="median_best_iteration"/>
    <x:tableColumn id="9" name="Δ Precision vs baseline"/>
    <x:tableColumn id="10" name="正式選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uneNoKTable" displayName="JuneNoKTable" ref="A4:Q10" headerRowCount="1" totalsRowCount="0" totalsRowShown="0">
  <x:autoFilter ref="A4:Q10"/>
  <x:tableColumns count="17">
    <x:tableColumn id="1" name="event"/>
    <x:tableColumn id="2" name="method"/>
    <x:tableColumn id="3" name="policy_id"/>
    <x:tableColumn id="4" name="selected_for_primary"/>
    <x:tableColumn id="5" name="prevalence"/>
    <x:tableColumn id="6" name="average_precision"/>
    <x:tableColumn id="7" name="lift_over_prevalence"/>
    <x:tableColumn id="8" name="precision"/>
    <x:tableColumn id="9" name="recall"/>
    <x:tableColumn id="10" name="f2"/>
    <x:tableColumn id="11" name="tp"/>
    <x:tableColumn id="12" name="fp"/>
    <x:tableColumn id="13" name="fn"/>
    <x:tableColumn id="14" name="alerts"/>
    <x:tableColumn id="15" name="mean_alerts_per_decision"/>
    <x:tableColumn id="16" name="p95_alerts_per_decision"/>
    <x:tableColumn id="17" name="max_alerts_per_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pisodeSummaryTable" displayName="EpisodeSummaryTable" ref="A4:O10" headerRowCount="1" totalsRowCount="0" totalsRowShown="0">
  <x:autoFilter ref="A4:O10"/>
  <x:tableColumns count="15">
    <x:tableColumn id="1" name="event"/>
    <x:tableColumn id="2" name="method"/>
    <x:tableColumn id="3" name="policy_id"/>
    <x:tableColumn id="4" name="selected_for_primary"/>
    <x:tableColumn id="5" name="alert_snapshots"/>
    <x:tableColumn id="6" name="alert_episodes"/>
    <x:tableColumn id="7" name="first_alert_precision"/>
    <x:tableColumn id="8" name="episode_any_hit_precision"/>
    <x:tableColumn id="9" name="near_miss_1_share"/>
    <x:tableColumn id="10" name="near_miss_2_share"/>
    <x:tableColumn id="11" name="dedup_reduction"/>
    <x:tableColumn id="12" name="actual_event_episodes"/>
    <x:tableColumn id="13" name="covered_actual_event_episodes"/>
    <x:tableColumn id="14" name="unique_event_coverage"/>
    <x:tableColumn id="15" name="episodes_per_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75b31741694c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fcb2a5d28545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87c56dce94b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7ff7ea6234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362d65271d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4" t="str">
        <x:v>YouBike 30分鐘失衡預測｜標籤與加權正式實驗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90" t="str">
        <x:v>Jan–Apr 時序CV選模｜May校正與凍結門檻｜June只作回顧｜主政策不設Top-K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4">
      <x:c r="A4" s="94" t="str">
        <x:v>訓練目標</x:v>
      </x:c>
      <x:c r="B4" s="94"/>
      <x:c r="C4" s="94"/>
      <x:c r="D4" s="135" t="str">
        <x:v>缺車權重</x:v>
      </x:c>
      <x:c r="E4" s="135"/>
      <x:c r="F4" s="135"/>
      <x:c r="G4" s="171" t="str">
        <x:v>六月缺車 Precision</x:v>
      </x:c>
      <x:c r="H4" s="171"/>
      <x:c r="I4" s="171"/>
      <x:c r="J4" s="207" t="str">
        <x:v>六月滿柱 Precision</x:v>
      </x:c>
      <x:c r="K4" s="207"/>
      <x:c r="L4" s="207"/>
    </x:row>
    <x:row r="5">
      <x:c r="A5" s="123" t="str">
        <x:v>嚴格0台／0空位</x:v>
      </x:c>
      <x:c r="B5" s="124"/>
      <x:c r="C5" s="125"/>
      <x:c r="D5" s="160" t="str">
        <x:v>正例2倍</x:v>
      </x:c>
      <x:c r="E5" s="161"/>
      <x:c r="F5" s="162"/>
      <x:c r="G5" s="240" t="n">
        <x:f>'六月無K'!$H$8</x:f>
        <x:v>0.1770446917505741</x:v>
      </x:c>
      <x:c r="H5" s="241"/>
      <x:c r="I5" s="242"/>
      <x:c r="J5" s="249" t="n">
        <x:f>'六月無K'!$H$10</x:f>
        <x:v>0.07139643017849108</x:v>
      </x:c>
      <x:c r="K5" s="250"/>
      <x:c r="L5" s="251"/>
    </x:row>
    <x:row r="6">
      <x:c r="A6" s="126"/>
      <x:c r="B6" s="127"/>
      <x:c r="C6" s="128"/>
      <x:c r="D6" s="163"/>
      <x:c r="E6" s="127"/>
      <x:c r="F6" s="164"/>
      <x:c r="G6" s="243"/>
      <x:c r="H6" s="244"/>
      <x:c r="I6" s="245"/>
      <x:c r="J6" s="252"/>
      <x:c r="K6" s="244"/>
      <x:c r="L6" s="253"/>
    </x:row>
    <x:row r="7">
      <x:c r="A7" s="129"/>
      <x:c r="B7" s="130"/>
      <x:c r="C7" s="131"/>
      <x:c r="D7" s="165"/>
      <x:c r="E7" s="166"/>
      <x:c r="F7" s="167"/>
      <x:c r="G7" s="246"/>
      <x:c r="H7" s="247"/>
      <x:c r="I7" s="248"/>
      <x:c r="J7" s="254"/>
      <x:c r="K7" s="255"/>
      <x:c r="L7" s="256"/>
    </x:row>
    <x:row r="9">
      <x:c r="A9" s="273" t="str">
        <x:v>結論：標籤放寬沒有提升真正 0 台／0 空位的排序；缺車正例 2 倍只帶來約 +0.5 個百分點 Precision。維持高 Recall 的門檻-only政策平均仍需同時警示約 162 個缺車站與 63 個滿柱站，不能直接當成有限人力行動清單。</x:v>
      </x:c>
      <x:c r="B9" s="274"/>
      <x:c r="C9" s="274"/>
      <x:c r="D9" s="274"/>
      <x:c r="E9" s="274"/>
      <x:c r="F9" s="274"/>
      <x:c r="G9" s="274"/>
      <x:c r="H9" s="274"/>
      <x:c r="I9" s="274"/>
      <x:c r="J9" s="274"/>
      <x:c r="K9" s="274"/>
      <x:c r="L9" s="275"/>
    </x:row>
    <x:row r="10">
      <x:c r="A10" s="276"/>
      <x:c r="B10" s="277"/>
      <x:c r="C10" s="277"/>
      <x:c r="D10" s="277"/>
      <x:c r="E10" s="277"/>
      <x:c r="F10" s="277"/>
      <x:c r="G10" s="277"/>
      <x:c r="H10" s="277"/>
      <x:c r="I10" s="277"/>
      <x:c r="J10" s="277"/>
      <x:c r="K10" s="277"/>
      <x:c r="L10" s="278"/>
    </x:row>
    <x:row r="11">
      <x:c r="A11" s="279"/>
      <x:c r="B11" s="280"/>
      <x:c r="C11" s="280"/>
      <x:c r="D11" s="280"/>
      <x:c r="E11" s="280"/>
      <x:c r="F11" s="280"/>
      <x:c r="G11" s="280"/>
      <x:c r="H11" s="280"/>
      <x:c r="I11" s="280"/>
      <x:c r="J11" s="280"/>
      <x:c r="K11" s="280"/>
      <x:c r="L11" s="281"/>
    </x:row>
    <x:row r="49">
      <x:c r="A49" s="283" t="str">
        <x:v>建議下一步</x:v>
      </x:c>
      <x:c r="B49" s="283"/>
      <x:c r="C49" s="283"/>
      <x:c r="D49" s="283"/>
      <x:c r="E49" s="283"/>
      <x:c r="F49" s="283"/>
      <x:c r="G49" s="283"/>
      <x:c r="H49" s="283"/>
      <x:c r="I49" s="283"/>
      <x:c r="J49" s="283"/>
      <x:c r="K49" s="283"/>
      <x:c r="L49" s="283"/>
    </x:row>
    <x:row r="50">
      <x:c r="A50" s="303" t="str">
        <x:v>1｜模型
缺車保留正例2倍；滿柱保留baseline。不要採困難負例加權。</x:v>
      </x:c>
      <x:c r="B50" s="304"/>
      <x:c r="C50" s="305"/>
      <x:c r="D50" s="303" t="str">
        <x:v>2｜輸出
保留全部風險監控，但行動層仍需依可處理量設定優先清單。</x:v>
      </x:c>
      <x:c r="E50" s="304"/>
      <x:c r="F50" s="305"/>
      <x:c r="G50" s="303" t="str">
        <x:v>3｜特徵
優先加入天氣、節慶／活動、捷運人流與可驗證運補紀錄。</x:v>
      </x:c>
      <x:c r="H50" s="304"/>
      <x:c r="I50" s="305"/>
      <x:c r="J50" s="303" t="str">
        <x:v>4｜評估
主報告同時放Precision、Recall、警示量與First-alert，不只放Episode any-hit。</x:v>
      </x:c>
      <x:c r="K50" s="304"/>
      <x:c r="L50" s="305"/>
    </x:row>
    <x:row r="51">
      <x:c r="A51" s="306"/>
      <x:c r="B51" s="307"/>
      <x:c r="C51" s="308"/>
      <x:c r="D51" s="306"/>
      <x:c r="E51" s="307"/>
      <x:c r="F51" s="308"/>
      <x:c r="G51" s="306"/>
      <x:c r="H51" s="307"/>
      <x:c r="I51" s="308"/>
      <x:c r="J51" s="306"/>
      <x:c r="K51" s="307"/>
      <x:c r="L51" s="308"/>
    </x:row>
    <x:row r="52">
      <x:c r="A52" s="306"/>
      <x:c r="B52" s="307"/>
      <x:c r="C52" s="308"/>
      <x:c r="D52" s="306"/>
      <x:c r="E52" s="307"/>
      <x:c r="F52" s="308"/>
      <x:c r="G52" s="306"/>
      <x:c r="H52" s="307"/>
      <x:c r="I52" s="308"/>
      <x:c r="J52" s="306"/>
      <x:c r="K52" s="307"/>
      <x:c r="L52" s="308"/>
    </x:row>
    <x:row r="53">
      <x:c r="A53" s="309"/>
      <x:c r="B53" s="310"/>
      <x:c r="C53" s="311"/>
      <x:c r="D53" s="309"/>
      <x:c r="E53" s="310"/>
      <x:c r="F53" s="311"/>
      <x:c r="G53" s="309"/>
      <x:c r="H53" s="310"/>
      <x:c r="I53" s="311"/>
      <x:c r="J53" s="309"/>
      <x:c r="K53" s="310"/>
      <x:c r="L53" s="311"/>
    </x:row>
    <x:row r="55">
      <x:c r="A55" s="314" t="str">
        <x:v>口徑提醒：AP／Precision不同標籤不可直接比較；本報告跨標籤結論只使用 common population 的 exact-zero outcome。June已封存為回顧資料，後續新增規則需另列為新實驗。</x:v>
      </x:c>
      <x:c r="B55" s="314"/>
      <x:c r="C55" s="314"/>
      <x:c r="D55" s="314"/>
      <x:c r="E55" s="314"/>
      <x:c r="F55" s="314"/>
      <x:c r="G55" s="314"/>
      <x:c r="H55" s="314"/>
      <x:c r="I55" s="314"/>
      <x:c r="J55" s="314"/>
      <x:c r="K55" s="314"/>
      <x:c r="L55" s="314"/>
    </x:row>
    <x:row r="56">
      <x:c r="A56" s="314"/>
      <x:c r="B56" s="314"/>
      <x:c r="C56" s="314"/>
      <x:c r="D56" s="314"/>
      <x:c r="E56" s="314"/>
      <x:c r="F56" s="314"/>
      <x:c r="G56" s="314"/>
      <x:c r="H56" s="314"/>
      <x:c r="I56" s="314"/>
      <x:c r="J56" s="314"/>
      <x:c r="K56" s="314"/>
      <x:c r="L56" s="314"/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9:L11"/>
    <x:mergeCell ref="A49:L49"/>
    <x:mergeCell ref="A50:C53"/>
    <x:mergeCell ref="D50:F53"/>
    <x:mergeCell ref="G50:I53"/>
    <x:mergeCell ref="J50:L53"/>
    <x:mergeCell ref="A55:L56"/>
  </x:mergeCells>
  <x:pageMargins left="0.7" right="0.7" top="0.75" bottom="0.75" header="0.3" footer="0.3"/>
  <x:drawing xmlns:r="http://schemas.openxmlformats.org/officeDocument/2006/relationships" r:id="R0975b31741694c3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9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5" hidden="0" customWidth="1"/>
    <x:col min="11" max="11" width="3" hidden="0" customWidth="1"/>
    <x:col min="12" max="12" width="3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15" hidden="0" customHeight="1">
      <x:c r="A1" s="4" t="str">
        <x:v>標籤定義比較｜同一個嚴格 0 台／0 空位答案</x:v>
      </x:c>
      <x:c r="B1" s="4"/>
      <x:c r="C1" s="4"/>
      <x:c r="D1" s="4"/>
      <x:c r="E1" s="4"/>
      <x:c r="F1" s="4"/>
      <x:c r="G1" s="4"/>
      <x:c r="H1" s="4"/>
      <x:c r="I1" s="4"/>
      <x:c r="J1" s="4"/>
      <x:c r="M1" s="49" t="str">
        <x:v>訓練標籤</x:v>
      </x:c>
      <x:c r="N1" s="50" t="str">
        <x:v>缺車 AP</x:v>
      </x:c>
      <x:c r="O1" s="51" t="str">
        <x:v>滿柱 AP</x:v>
      </x:c>
    </x:row>
    <x:row r="2" ht="15" hidden="0" customHeight="1">
      <x:c r="A2" s="7" t="str">
        <x:v>不同訓練標籤都回到相同 common population 與 exact-zero outcome 評分，避免換題目後誤稱模型進步。</x:v>
      </x:c>
      <x:c r="B2" s="7"/>
      <x:c r="C2" s="7"/>
      <x:c r="D2" s="7"/>
      <x:c r="E2" s="7"/>
      <x:c r="F2" s="7"/>
      <x:c r="G2" s="7"/>
      <x:c r="H2" s="7"/>
      <x:c r="I2" s="7"/>
      <x:c r="J2" s="7"/>
      <x:c r="M2" t="str">
        <x:v>zero</x:v>
      </x:c>
      <x:c r="N2" s="52" t="n">
        <x:f>'標籤比較'!$E$11</x:f>
        <x:v>0.1296261842885008</x:v>
      </x:c>
      <x:c r="O2" s="52" t="n">
        <x:f>'標籤比較'!$E$12</x:f>
        <x:v>0.07613911554247212</x:v>
      </x:c>
    </x:row>
    <x:row r="3" ht="15" hidden="0" customHeight="1">
      <x:c r="M3" t="str">
        <x:v>le1</x:v>
      </x:c>
      <x:c r="N3" s="52" t="n">
        <x:f>'標籤比較'!$E$7</x:f>
        <x:v>0.12389377776658116</x:v>
      </x:c>
      <x:c r="O3" s="52" t="n">
        <x:f>'標籤比較'!$E$8</x:f>
        <x:v>0.07290717661342304</x:v>
      </x:c>
    </x:row>
    <x:row r="4" ht="26.399999618530273" hidden="0" customHeight="1">
      <x:c r="A4" s="19" t="str">
        <x:v>train_label_id</x:v>
      </x:c>
      <x:c r="B4" s="20" t="str">
        <x:v>event</x:v>
      </x:c>
      <x:c r="C4" s="20" t="str">
        <x:v>folds</x:v>
      </x:c>
      <x:c r="D4" s="20" t="str">
        <x:v>mean_prevalence</x:v>
      </x:c>
      <x:c r="E4" s="20" t="str">
        <x:v>mean_average_precision</x:v>
      </x:c>
      <x:c r="F4" s="20" t="str">
        <x:v>worst_fold_average_precision</x:v>
      </x:c>
      <x:c r="G4" s="20" t="str">
        <x:v>mean_lift_over_prevalence</x:v>
      </x:c>
      <x:c r="H4" s="20" t="str">
        <x:v>mean_precision_at_recall_target</x:v>
      </x:c>
      <x:c r="I4" s="20" t="str">
        <x:v>mean_alert_rate_at_recall_target</x:v>
      </x:c>
      <x:c r="J4" s="21" t="str">
        <x:v>median_best_iteration</x:v>
      </x:c>
      <x:c r="M4" t="str">
        <x:v>le2</x:v>
      </x:c>
      <x:c r="N4" s="52" t="n">
        <x:f>'標籤比較'!$E$9</x:f>
        <x:v>0.11377503816130667</x:v>
      </x:c>
      <x:c r="O4" s="52" t="n">
        <x:f>'標籤比較'!$E$10</x:f>
        <x:v>0.06455362668461048</x:v>
      </x:c>
    </x:row>
    <x:row r="5" ht="15" hidden="0" customHeight="1">
      <x:c r="A5" s="26" t="str">
        <x:v>cap5pct_min1</x:v>
      </x:c>
      <x:c r="B5" s="26" t="str">
        <x:v>empty</x:v>
      </x:c>
      <x:c r="C5" s="26" t="n">
        <x:v>3</x:v>
      </x:c>
      <x:c r="D5" s="29" t="n">
        <x:v>0.015331491835878624</x:v>
      </x:c>
      <x:c r="E5" s="29" t="n">
        <x:v>0.11548213612653636</x:v>
      </x:c>
      <x:c r="F5" s="29" t="n">
        <x:v>0.0664971245522801</x:v>
      </x:c>
      <x:c r="G5" s="32" t="n">
        <x:v>7.387896927474261</x:v>
      </x:c>
      <x:c r="H5" s="29" t="n">
        <x:v>0.07020822654351133</x:v>
      </x:c>
      <x:c r="I5" s="29" t="n">
        <x:v>0.17585296170918566</x:v>
      </x:c>
      <x:c r="J5" s="35" t="n">
        <x:v>800</x:v>
      </x:c>
      <x:c r="M5" t="str">
        <x:v>5%且至少1</x:v>
      </x:c>
      <x:c r="N5" s="52" t="n">
        <x:f>'標籤比較'!$E$5</x:f>
        <x:v>0.11548213612653636</x:v>
      </x:c>
      <x:c r="O5" s="52" t="n">
        <x:f>'標籤比較'!$E$6</x:f>
        <x:v>0.07272212444423633</x:v>
      </x:c>
    </x:row>
    <x:row r="6" ht="15" hidden="0" customHeight="1">
      <x:c r="A6" s="27" t="str">
        <x:v>cap5pct_min1</x:v>
      </x:c>
      <x:c r="B6" s="27" t="str">
        <x:v>full</x:v>
      </x:c>
      <x:c r="C6" s="27" t="n">
        <x:v>3</x:v>
      </x:c>
      <x:c r="D6" s="30" t="n">
        <x:v>0.004186167730652955</x:v>
      </x:c>
      <x:c r="E6" s="30" t="n">
        <x:v>0.07272212444423633</x:v>
      </x:c>
      <x:c r="F6" s="30" t="n">
        <x:v>0.04498825655590282</x:v>
      </x:c>
      <x:c r="G6" s="33" t="n">
        <x:v>17.056657841765002</x:v>
      </x:c>
      <x:c r="H6" s="30" t="n">
        <x:v>0.0481218294440063</x:v>
      </x:c>
      <x:c r="I6" s="30" t="n">
        <x:v>0.06195583236993302</x:v>
      </x:c>
      <x:c r="J6" s="36" t="n">
        <x:v>797</x:v>
      </x:c>
    </x:row>
    <x:row r="7" ht="15" hidden="0" customHeight="1">
      <x:c r="A7" s="27" t="str">
        <x:v>le1</x:v>
      </x:c>
      <x:c r="B7" s="27" t="str">
        <x:v>empty</x:v>
      </x:c>
      <x:c r="C7" s="27" t="n">
        <x:v>3</x:v>
      </x:c>
      <x:c r="D7" s="30" t="n">
        <x:v>0.015331491835878624</x:v>
      </x:c>
      <x:c r="E7" s="30" t="n">
        <x:v>0.12389377776658116</x:v>
      </x:c>
      <x:c r="F7" s="30" t="n">
        <x:v>0.0670286307199923</x:v>
      </x:c>
      <x:c r="G7" s="33" t="n">
        <x:v>7.910314883072888</x:v>
      </x:c>
      <x:c r="H7" s="30" t="n">
        <x:v>0.07178890321700003</x:v>
      </x:c>
      <x:c r="I7" s="30" t="n">
        <x:v>0.17255674739743634</x:v>
      </x:c>
      <x:c r="J7" s="36" t="n">
        <x:v>797</x:v>
      </x:c>
    </x:row>
    <x:row r="8" ht="15" hidden="0" customHeight="1">
      <x:c r="A8" s="27" t="str">
        <x:v>le1</x:v>
      </x:c>
      <x:c r="B8" s="27" t="str">
        <x:v>full</x:v>
      </x:c>
      <x:c r="C8" s="27" t="n">
        <x:v>3</x:v>
      </x:c>
      <x:c r="D8" s="30" t="n">
        <x:v>0.004186167730652955</x:v>
      </x:c>
      <x:c r="E8" s="30" t="n">
        <x:v>0.07290717661342304</x:v>
      </x:c>
      <x:c r="F8" s="30" t="n">
        <x:v>0.038723613957826176</x:v>
      </x:c>
      <x:c r="G8" s="33" t="n">
        <x:v>16.931045047687235</x:v>
      </x:c>
      <x:c r="H8" s="30" t="n">
        <x:v>0.0485254254665143</x:v>
      </x:c>
      <x:c r="I8" s="30" t="n">
        <x:v>0.06197976936526372</x:v>
      </x:c>
      <x:c r="J8" s="36" t="n">
        <x:v>685</x:v>
      </x:c>
    </x:row>
    <x:row r="9" ht="15" hidden="0" customHeight="1">
      <x:c r="A9" s="27" t="str">
        <x:v>le2</x:v>
      </x:c>
      <x:c r="B9" s="27" t="str">
        <x:v>empty</x:v>
      </x:c>
      <x:c r="C9" s="27" t="n">
        <x:v>3</x:v>
      </x:c>
      <x:c r="D9" s="30" t="n">
        <x:v>0.015331491835878624</x:v>
      </x:c>
      <x:c r="E9" s="30" t="n">
        <x:v>0.11377503816130667</x:v>
      </x:c>
      <x:c r="F9" s="30" t="n">
        <x:v>0.06619541271124957</x:v>
      </x:c>
      <x:c r="G9" s="33" t="n">
        <x:v>7.285822353626744</x:v>
      </x:c>
      <x:c r="H9" s="30" t="n">
        <x:v>0.06838332905940692</x:v>
      </x:c>
      <x:c r="I9" s="30" t="n">
        <x:v>0.17577153937744586</x:v>
      </x:c>
      <x:c r="J9" s="36" t="n">
        <x:v>800</x:v>
      </x:c>
    </x:row>
    <x:row r="10" ht="15" hidden="0" customHeight="1">
      <x:c r="A10" s="27" t="str">
        <x:v>le2</x:v>
      </x:c>
      <x:c r="B10" s="27" t="str">
        <x:v>full</x:v>
      </x:c>
      <x:c r="C10" s="27" t="n">
        <x:v>3</x:v>
      </x:c>
      <x:c r="D10" s="30" t="n">
        <x:v>0.004186167730652955</x:v>
      </x:c>
      <x:c r="E10" s="30" t="n">
        <x:v>0.06455362668461048</x:v>
      </x:c>
      <x:c r="F10" s="30" t="n">
        <x:v>0.030948616844025726</x:v>
      </x:c>
      <x:c r="G10" s="33" t="n">
        <x:v>14.90504887277172</x:v>
      </x:c>
      <x:c r="H10" s="30" t="n">
        <x:v>0.04639001652354291</x:v>
      </x:c>
      <x:c r="I10" s="30" t="n">
        <x:v>0.06625152647390575</x:v>
      </x:c>
      <x:c r="J10" s="36" t="n">
        <x:v>784</x:v>
      </x:c>
    </x:row>
    <x:row r="11" ht="15" hidden="0" customHeight="1">
      <x:c r="A11" s="27" t="str">
        <x:v>zero</x:v>
      </x:c>
      <x:c r="B11" s="27" t="str">
        <x:v>empty</x:v>
      </x:c>
      <x:c r="C11" s="27" t="n">
        <x:v>3</x:v>
      </x:c>
      <x:c r="D11" s="30" t="n">
        <x:v>0.015331491835878624</x:v>
      </x:c>
      <x:c r="E11" s="30" t="n">
        <x:v>0.1296261842885008</x:v>
      </x:c>
      <x:c r="F11" s="30" t="n">
        <x:v>0.07122088330100211</x:v>
      </x:c>
      <x:c r="G11" s="33" t="n">
        <x:v>8.279210587995157</x:v>
      </x:c>
      <x:c r="H11" s="30" t="n">
        <x:v>0.071256635635646</x:v>
      </x:c>
      <x:c r="I11" s="30" t="n">
        <x:v>0.17522997490835598</x:v>
      </x:c>
      <x:c r="J11" s="36" t="n">
        <x:v>760</x:v>
      </x:c>
    </x:row>
    <x:row r="12" ht="15" hidden="0" customHeight="1">
      <x:c r="A12" s="28" t="str">
        <x:v>zero</x:v>
      </x:c>
      <x:c r="B12" s="28" t="str">
        <x:v>full</x:v>
      </x:c>
      <x:c r="C12" s="28" t="n">
        <x:v>3</x:v>
      </x:c>
      <x:c r="D12" s="31" t="n">
        <x:v>0.004186167730652955</x:v>
      </x:c>
      <x:c r="E12" s="31" t="n">
        <x:v>0.07613911554247212</x:v>
      </x:c>
      <x:c r="F12" s="31" t="n">
        <x:v>0.03907539203651678</x:v>
      </x:c>
      <x:c r="G12" s="34" t="n">
        <x:v>17.633051061011226</x:v>
      </x:c>
      <x:c r="H12" s="31" t="n">
        <x:v>0.04745069395380074</x:v>
      </x:c>
      <x:c r="I12" s="31" t="n">
        <x:v>0.06041394212457321</x:v>
      </x:c>
      <x:c r="J12" s="37" t="n">
        <x:v>553</x:v>
      </x:c>
    </x:row>
    <x:row r="13"/>
    <x:row r="14"/>
    <x:row r="15"/>
    <x:row r="16" ht="15" hidden="0" customHeight="1">
      <x:c r="A16" s="49" t="str">
        <x:v>month</x:v>
      </x:c>
      <x:c r="B16" s="50" t="str">
        <x:v>label_id</x:v>
      </x:c>
      <x:c r="C16" s="50" t="str">
        <x:v>event</x:v>
      </x:c>
      <x:c r="D16" s="50" t="str">
        <x:v>observations</x:v>
      </x:c>
      <x:c r="E16" s="50" t="str">
        <x:v>positives</x:v>
      </x:c>
      <x:c r="F16" s="50" t="str">
        <x:v>prevalence</x:v>
      </x:c>
      <x:c r="G16" s="51" t="str">
        <x:v>subset</x:v>
      </x:c>
    </x:row>
    <x:row r="17" ht="15" hidden="0" customHeight="1">
      <x:c r="A17" s="26" t="n">
        <x:v>1</x:v>
      </x:c>
      <x:c r="B17" s="26" t="str">
        <x:v>zero</x:v>
      </x:c>
      <x:c r="C17" s="26" t="str">
        <x:v>empty</x:v>
      </x:c>
      <x:c r="D17" s="35" t="n">
        <x:v>617795</x:v>
      </x:c>
      <x:c r="E17" s="35" t="n">
        <x:v>16885</x:v>
      </x:c>
      <x:c r="F17" s="29" t="n">
        <x:v>0.02733107260499033</x:v>
      </x:c>
      <x:c r="G17" s="26" t="str">
        <x:v>peak</x:v>
      </x:c>
    </x:row>
    <x:row r="18" ht="15" hidden="0" customHeight="1">
      <x:c r="A18" s="27" t="n">
        <x:v>1</x:v>
      </x:c>
      <x:c r="B18" s="27" t="str">
        <x:v>zero</x:v>
      </x:c>
      <x:c r="C18" s="27" t="str">
        <x:v>full</x:v>
      </x:c>
      <x:c r="D18" s="36" t="n">
        <x:v>617795</x:v>
      </x:c>
      <x:c r="E18" s="36" t="n">
        <x:v>3409</x:v>
      </x:c>
      <x:c r="F18" s="30" t="n">
        <x:v>0.005518011638164763</x:v>
      </x:c>
      <x:c r="G18" s="27" t="str">
        <x:v>peak</x:v>
      </x:c>
    </x:row>
    <x:row r="19" ht="15" hidden="0" customHeight="1">
      <x:c r="A19" s="27" t="n">
        <x:v>1</x:v>
      </x:c>
      <x:c r="B19" s="27" t="str">
        <x:v>le1</x:v>
      </x:c>
      <x:c r="C19" s="27" t="str">
        <x:v>empty</x:v>
      </x:c>
      <x:c r="D19" s="36" t="n">
        <x:v>537371</x:v>
      </x:c>
      <x:c r="E19" s="36" t="n">
        <x:v>18122</x:v>
      </x:c>
      <x:c r="F19" s="30" t="n">
        <x:v>0.03372344246340052</x:v>
      </x:c>
      <x:c r="G19" s="27" t="str">
        <x:v>peak</x:v>
      </x:c>
    </x:row>
    <x:row r="20" ht="15" hidden="0" customHeight="1">
      <x:c r="A20" s="27" t="n">
        <x:v>1</x:v>
      </x:c>
      <x:c r="B20" s="27" t="str">
        <x:v>le1</x:v>
      </x:c>
      <x:c r="C20" s="27" t="str">
        <x:v>full</x:v>
      </x:c>
      <x:c r="D20" s="36" t="n">
        <x:v>537371</x:v>
      </x:c>
      <x:c r="E20" s="36" t="n">
        <x:v>4347</x:v>
      </x:c>
      <x:c r="F20" s="30" t="n">
        <x:v>0.008089383312460107</x:v>
      </x:c>
      <x:c r="G20" s="27" t="str">
        <x:v>peak</x:v>
      </x:c>
    </x:row>
    <x:row r="21" ht="15" hidden="0" customHeight="1">
      <x:c r="A21" s="27" t="n">
        <x:v>1</x:v>
      </x:c>
      <x:c r="B21" s="27" t="str">
        <x:v>le2</x:v>
      </x:c>
      <x:c r="C21" s="27" t="str">
        <x:v>empty</x:v>
      </x:c>
      <x:c r="D21" s="36" t="n">
        <x:v>490896</x:v>
      </x:c>
      <x:c r="E21" s="36" t="n">
        <x:v>17172</x:v>
      </x:c>
      <x:c r="F21" s="30" t="n">
        <x:v>0.03498093282487533</x:v>
      </x:c>
      <x:c r="G21" s="27" t="str">
        <x:v>peak</x:v>
      </x:c>
    </x:row>
    <x:row r="22" ht="15" hidden="0" customHeight="1">
      <x:c r="A22" s="27" t="n">
        <x:v>1</x:v>
      </x:c>
      <x:c r="B22" s="27" t="str">
        <x:v>le2</x:v>
      </x:c>
      <x:c r="C22" s="27" t="str">
        <x:v>full</x:v>
      </x:c>
      <x:c r="D22" s="36" t="n">
        <x:v>490896</x:v>
      </x:c>
      <x:c r="E22" s="36" t="n">
        <x:v>4642</x:v>
      </x:c>
      <x:c r="F22" s="30" t="n">
        <x:v>0.00945617809067501</x:v>
      </x:c>
      <x:c r="G22" s="27" t="str">
        <x:v>peak</x:v>
      </x:c>
    </x:row>
    <x:row r="23" ht="15" hidden="0" customHeight="1">
      <x:c r="A23" s="27" t="n">
        <x:v>1</x:v>
      </x:c>
      <x:c r="B23" s="27" t="str">
        <x:v>cap5pct_min1</x:v>
      </x:c>
      <x:c r="C23" s="27" t="str">
        <x:v>empty</x:v>
      </x:c>
      <x:c r="D23" s="36" t="n">
        <x:v>528185</x:v>
      </x:c>
      <x:c r="E23" s="36" t="n">
        <x:v>18081</x:v>
      </x:c>
      <x:c r="F23" s="30" t="n">
        <x:v>0.034232323901663246</x:v>
      </x:c>
      <x:c r="G23" s="27" t="str">
        <x:v>peak</x:v>
      </x:c>
    </x:row>
    <x:row r="24" ht="15" hidden="0" customHeight="1">
      <x:c r="A24" s="27" t="n">
        <x:v>1</x:v>
      </x:c>
      <x:c r="B24" s="27" t="str">
        <x:v>cap5pct_min1</x:v>
      </x:c>
      <x:c r="C24" s="27" t="str">
        <x:v>full</x:v>
      </x:c>
      <x:c r="D24" s="36" t="n">
        <x:v>528185</x:v>
      </x:c>
      <x:c r="E24" s="36" t="n">
        <x:v>4540</x:v>
      </x:c>
      <x:c r="F24" s="30" t="n">
        <x:v>0.008595473177011842</x:v>
      </x:c>
      <x:c r="G24" s="27" t="str">
        <x:v>peak</x:v>
      </x:c>
    </x:row>
    <x:row r="25" ht="15" hidden="0" customHeight="1">
      <x:c r="A25" s="27" t="n">
        <x:v>2</x:v>
      </x:c>
      <x:c r="B25" s="27" t="str">
        <x:v>zero</x:v>
      </x:c>
      <x:c r="C25" s="27" t="str">
        <x:v>empty</x:v>
      </x:c>
      <x:c r="D25" s="36" t="n">
        <x:v>566776</x:v>
      </x:c>
      <x:c r="E25" s="36" t="n">
        <x:v>12827</x:v>
      </x:c>
      <x:c r="F25" s="30" t="n">
        <x:v>0.022631515801657093</x:v>
      </x:c>
      <x:c r="G25" s="27" t="str">
        <x:v>peak</x:v>
      </x:c>
    </x:row>
    <x:row r="26" ht="15" hidden="0" customHeight="1">
      <x:c r="A26" s="27" t="n">
        <x:v>2</x:v>
      </x:c>
      <x:c r="B26" s="27" t="str">
        <x:v>zero</x:v>
      </x:c>
      <x:c r="C26" s="27" t="str">
        <x:v>full</x:v>
      </x:c>
      <x:c r="D26" s="36" t="n">
        <x:v>566776</x:v>
      </x:c>
      <x:c r="E26" s="36" t="n">
        <x:v>2880</x:v>
      </x:c>
      <x:c r="F26" s="30" t="n">
        <x:v>0.005081372535181448</x:v>
      </x:c>
      <x:c r="G26" s="27" t="str">
        <x:v>peak</x:v>
      </x:c>
    </x:row>
    <x:row r="27" ht="15" hidden="0" customHeight="1">
      <x:c r="A27" s="27" t="n">
        <x:v>2</x:v>
      </x:c>
      <x:c r="B27" s="27" t="str">
        <x:v>le1</x:v>
      </x:c>
      <x:c r="C27" s="27" t="str">
        <x:v>empty</x:v>
      </x:c>
      <x:c r="D27" s="36" t="n">
        <x:v>495897</x:v>
      </x:c>
      <x:c r="E27" s="36" t="n">
        <x:v>14032</x:v>
      </x:c>
      <x:c r="F27" s="30" t="n">
        <x:v>0.028296198605758858</x:v>
      </x:c>
      <x:c r="G27" s="27" t="str">
        <x:v>peak</x:v>
      </x:c>
    </x:row>
    <x:row r="28" ht="15" hidden="0" customHeight="1">
      <x:c r="A28" s="27" t="n">
        <x:v>2</x:v>
      </x:c>
      <x:c r="B28" s="27" t="str">
        <x:v>le1</x:v>
      </x:c>
      <x:c r="C28" s="27" t="str">
        <x:v>full</x:v>
      </x:c>
      <x:c r="D28" s="36" t="n">
        <x:v>495897</x:v>
      </x:c>
      <x:c r="E28" s="36" t="n">
        <x:v>3563</x:v>
      </x:c>
      <x:c r="F28" s="30" t="n">
        <x:v>0.0071849597799543054</x:v>
      </x:c>
      <x:c r="G28" s="27" t="str">
        <x:v>peak</x:v>
      </x:c>
    </x:row>
    <x:row r="29" ht="15" hidden="0" customHeight="1">
      <x:c r="A29" s="27" t="n">
        <x:v>2</x:v>
      </x:c>
      <x:c r="B29" s="27" t="str">
        <x:v>le2</x:v>
      </x:c>
      <x:c r="C29" s="27" t="str">
        <x:v>empty</x:v>
      </x:c>
      <x:c r="D29" s="36" t="n">
        <x:v>456215</x:v>
      </x:c>
      <x:c r="E29" s="36" t="n">
        <x:v>13536</x:v>
      </x:c>
      <x:c r="F29" s="30" t="n">
        <x:v>0.029670221277248665</x:v>
      </x:c>
      <x:c r="G29" s="27" t="str">
        <x:v>peak</x:v>
      </x:c>
    </x:row>
    <x:row r="30" ht="15" hidden="0" customHeight="1">
      <x:c r="A30" s="27" t="n">
        <x:v>2</x:v>
      </x:c>
      <x:c r="B30" s="27" t="str">
        <x:v>le2</x:v>
      </x:c>
      <x:c r="C30" s="27" t="str">
        <x:v>full</x:v>
      </x:c>
      <x:c r="D30" s="36" t="n">
        <x:v>456215</x:v>
      </x:c>
      <x:c r="E30" s="36" t="n">
        <x:v>3884</x:v>
      </x:c>
      <x:c r="F30" s="30" t="n">
        <x:v>0.008513529805026138</x:v>
      </x:c>
      <x:c r="G30" s="27" t="str">
        <x:v>peak</x:v>
      </x:c>
    </x:row>
    <x:row r="31" ht="15" hidden="0" customHeight="1">
      <x:c r="A31" s="27" t="n">
        <x:v>2</x:v>
      </x:c>
      <x:c r="B31" s="27" t="str">
        <x:v>cap5pct_min1</x:v>
      </x:c>
      <x:c r="C31" s="27" t="str">
        <x:v>empty</x:v>
      </x:c>
      <x:c r="D31" s="36" t="n">
        <x:v>488026</x:v>
      </x:c>
      <x:c r="E31" s="36" t="n">
        <x:v>14087</x:v>
      </x:c>
      <x:c r="F31" s="30" t="n">
        <x:v>0.02886526537520542</x:v>
      </x:c>
      <x:c r="G31" s="27" t="str">
        <x:v>peak</x:v>
      </x:c>
    </x:row>
    <x:row r="32" ht="15" hidden="0" customHeight="1">
      <x:c r="A32" s="27" t="n">
        <x:v>2</x:v>
      </x:c>
      <x:c r="B32" s="27" t="str">
        <x:v>cap5pct_min1</x:v>
      </x:c>
      <x:c r="C32" s="27" t="str">
        <x:v>full</x:v>
      </x:c>
      <x:c r="D32" s="36" t="n">
        <x:v>488026</x:v>
      </x:c>
      <x:c r="E32" s="36" t="n">
        <x:v>3698</x:v>
      </x:c>
      <x:c r="F32" s="30" t="n">
        <x:v>0.00757746513505428</x:v>
      </x:c>
      <x:c r="G32" s="27" t="str">
        <x:v>peak</x:v>
      </x:c>
    </x:row>
    <x:row r="33" ht="15" hidden="0" customHeight="1">
      <x:c r="A33" s="27" t="n">
        <x:v>3</x:v>
      </x:c>
      <x:c r="B33" s="27" t="str">
        <x:v>zero</x:v>
      </x:c>
      <x:c r="C33" s="27" t="str">
        <x:v>empty</x:v>
      </x:c>
      <x:c r="D33" s="36" t="n">
        <x:v>617158</x:v>
      </x:c>
      <x:c r="E33" s="36" t="n">
        <x:v>21615</x:v>
      </x:c>
      <x:c r="F33" s="30" t="n">
        <x:v>0.035023446183959375</x:v>
      </x:c>
      <x:c r="G33" s="27" t="str">
        <x:v>peak</x:v>
      </x:c>
    </x:row>
    <x:row r="34" ht="15" hidden="0" customHeight="1">
      <x:c r="A34" s="27" t="n">
        <x:v>3</x:v>
      </x:c>
      <x:c r="B34" s="27" t="str">
        <x:v>zero</x:v>
      </x:c>
      <x:c r="C34" s="27" t="str">
        <x:v>full</x:v>
      </x:c>
      <x:c r="D34" s="36" t="n">
        <x:v>617158</x:v>
      </x:c>
      <x:c r="E34" s="36" t="n">
        <x:v>4069</x:v>
      </x:c>
      <x:c r="F34" s="30" t="n">
        <x:v>0.0065931252612783115</x:v>
      </x:c>
      <x:c r="G34" s="27" t="str">
        <x:v>peak</x:v>
      </x:c>
    </x:row>
    <x:row r="35" ht="15" hidden="0" customHeight="1">
      <x:c r="A35" s="27" t="n">
        <x:v>3</x:v>
      </x:c>
      <x:c r="B35" s="27" t="str">
        <x:v>le1</x:v>
      </x:c>
      <x:c r="C35" s="27" t="str">
        <x:v>empty</x:v>
      </x:c>
      <x:c r="D35" s="36" t="n">
        <x:v>574348</x:v>
      </x:c>
      <x:c r="E35" s="36" t="n">
        <x:v>33793</x:v>
      </x:c>
      <x:c r="F35" s="30" t="n">
        <x:v>0.058837150995563664</x:v>
      </x:c>
      <x:c r="G35" s="27" t="str">
        <x:v>peak</x:v>
      </x:c>
    </x:row>
    <x:row r="36" ht="15" hidden="0" customHeight="1">
      <x:c r="A36" s="27" t="n">
        <x:v>3</x:v>
      </x:c>
      <x:c r="B36" s="27" t="str">
        <x:v>le1</x:v>
      </x:c>
      <x:c r="C36" s="27" t="str">
        <x:v>full</x:v>
      </x:c>
      <x:c r="D36" s="36" t="n">
        <x:v>574348</x:v>
      </x:c>
      <x:c r="E36" s="36" t="n">
        <x:v>7227</x:v>
      </x:c>
      <x:c r="F36" s="30" t="n">
        <x:v>0.012582963638769526</x:v>
      </x:c>
      <x:c r="G36" s="27" t="str">
        <x:v>peak</x:v>
      </x:c>
    </x:row>
    <x:row r="37" ht="15" hidden="0" customHeight="1">
      <x:c r="A37" s="27" t="n">
        <x:v>3</x:v>
      </x:c>
      <x:c r="B37" s="27" t="str">
        <x:v>le2</x:v>
      </x:c>
      <x:c r="C37" s="27" t="str">
        <x:v>empty</x:v>
      </x:c>
      <x:c r="D37" s="36" t="n">
        <x:v>527160</x:v>
      </x:c>
      <x:c r="E37" s="36" t="n">
        <x:v>39947</x:v>
      </x:c>
      <x:c r="F37" s="30" t="n">
        <x:v>0.07577775248501403</x:v>
      </x:c>
      <x:c r="G37" s="27" t="str">
        <x:v>peak</x:v>
      </x:c>
    </x:row>
    <x:row r="38" ht="15" hidden="0" customHeight="1">
      <x:c r="A38" s="27" t="n">
        <x:v>3</x:v>
      </x:c>
      <x:c r="B38" s="27" t="str">
        <x:v>le2</x:v>
      </x:c>
      <x:c r="C38" s="27" t="str">
        <x:v>full</x:v>
      </x:c>
      <x:c r="D38" s="36" t="n">
        <x:v>527160</x:v>
      </x:c>
      <x:c r="E38" s="36" t="n">
        <x:v>10103</x:v>
      </x:c>
      <x:c r="F38" s="30" t="n">
        <x:v>0.019164959405114198</x:v>
      </x:c>
      <x:c r="G38" s="27" t="str">
        <x:v>peak</x:v>
      </x:c>
    </x:row>
    <x:row r="39" ht="15" hidden="0" customHeight="1">
      <x:c r="A39" s="27" t="n">
        <x:v>3</x:v>
      </x:c>
      <x:c r="B39" s="27" t="str">
        <x:v>cap5pct_min1</x:v>
      </x:c>
      <x:c r="C39" s="27" t="str">
        <x:v>empty</x:v>
      </x:c>
      <x:c r="D39" s="36" t="n">
        <x:v>565793</x:v>
      </x:c>
      <x:c r="E39" s="36" t="n">
        <x:v>35414</x:v>
      </x:c>
      <x:c r="F39" s="30" t="n">
        <x:v>0.06259179593950438</x:v>
      </x:c>
      <x:c r="G39" s="27" t="str">
        <x:v>peak</x:v>
      </x:c>
    </x:row>
    <x:row r="40" ht="15" hidden="0" customHeight="1">
      <x:c r="A40" s="27" t="n">
        <x:v>3</x:v>
      </x:c>
      <x:c r="B40" s="27" t="str">
        <x:v>cap5pct_min1</x:v>
      </x:c>
      <x:c r="C40" s="27" t="str">
        <x:v>full</x:v>
      </x:c>
      <x:c r="D40" s="36" t="n">
        <x:v>565793</x:v>
      </x:c>
      <x:c r="E40" s="36" t="n">
        <x:v>7521</x:v>
      </x:c>
      <x:c r="F40" s="30" t="n">
        <x:v>0.013292847384113978</x:v>
      </x:c>
      <x:c r="G40" s="27" t="str">
        <x:v>peak</x:v>
      </x:c>
    </x:row>
    <x:row r="41" ht="15" hidden="0" customHeight="1">
      <x:c r="A41" s="27" t="n">
        <x:v>4</x:v>
      </x:c>
      <x:c r="B41" s="27" t="str">
        <x:v>zero</x:v>
      </x:c>
      <x:c r="C41" s="27" t="str">
        <x:v>empty</x:v>
      </x:c>
      <x:c r="D41" s="36" t="n">
        <x:v>598646</x:v>
      </x:c>
      <x:c r="E41" s="36" t="n">
        <x:v>20593</x:v>
      </x:c>
      <x:c r="F41" s="30" t="n">
        <x:v>0.03439929440771341</x:v>
      </x:c>
      <x:c r="G41" s="27" t="str">
        <x:v>peak</x:v>
      </x:c>
    </x:row>
    <x:row r="42" ht="15" hidden="0" customHeight="1">
      <x:c r="A42" s="27" t="n">
        <x:v>4</x:v>
      </x:c>
      <x:c r="B42" s="27" t="str">
        <x:v>zero</x:v>
      </x:c>
      <x:c r="C42" s="27" t="str">
        <x:v>full</x:v>
      </x:c>
      <x:c r="D42" s="36" t="n">
        <x:v>598646</x:v>
      </x:c>
      <x:c r="E42" s="36" t="n">
        <x:v>3822</x:v>
      </x:c>
      <x:c r="F42" s="30" t="n">
        <x:v>0.006384407479545507</x:v>
      </x:c>
      <x:c r="G42" s="27" t="str">
        <x:v>peak</x:v>
      </x:c>
    </x:row>
    <x:row r="43" ht="15" hidden="0" customHeight="1">
      <x:c r="A43" s="27" t="n">
        <x:v>4</x:v>
      </x:c>
      <x:c r="B43" s="27" t="str">
        <x:v>le1</x:v>
      </x:c>
      <x:c r="C43" s="27" t="str">
        <x:v>empty</x:v>
      </x:c>
      <x:c r="D43" s="36" t="n">
        <x:v>555666</x:v>
      </x:c>
      <x:c r="E43" s="36" t="n">
        <x:v>32965</x:v>
      </x:c>
      <x:c r="F43" s="30" t="n">
        <x:v>0.059325206149017574</x:v>
      </x:c>
      <x:c r="G43" s="27" t="str">
        <x:v>peak</x:v>
      </x:c>
    </x:row>
    <x:row r="44" ht="15" hidden="0" customHeight="1">
      <x:c r="A44" s="27" t="n">
        <x:v>4</x:v>
      </x:c>
      <x:c r="B44" s="27" t="str">
        <x:v>le1</x:v>
      </x:c>
      <x:c r="C44" s="27" t="str">
        <x:v>full</x:v>
      </x:c>
      <x:c r="D44" s="36" t="n">
        <x:v>555666</x:v>
      </x:c>
      <x:c r="E44" s="36" t="n">
        <x:v>6759</x:v>
      </x:c>
      <x:c r="F44" s="30" t="n">
        <x:v>0.012163781840170175</x:v>
      </x:c>
      <x:c r="G44" s="27" t="str">
        <x:v>peak</x:v>
      </x:c>
    </x:row>
    <x:row r="45" ht="15" hidden="0" customHeight="1">
      <x:c r="A45" s="27" t="n">
        <x:v>4</x:v>
      </x:c>
      <x:c r="B45" s="27" t="str">
        <x:v>le2</x:v>
      </x:c>
      <x:c r="C45" s="27" t="str">
        <x:v>empty</x:v>
      </x:c>
      <x:c r="D45" s="36" t="n">
        <x:v>509038</x:v>
      </x:c>
      <x:c r="E45" s="36" t="n">
        <x:v>38975</x:v>
      </x:c>
      <x:c r="F45" s="30" t="n">
        <x:v>0.0765659931085695</x:v>
      </x:c>
      <x:c r="G45" s="27" t="str">
        <x:v>peak</x:v>
      </x:c>
    </x:row>
    <x:row r="46" ht="15" hidden="0" customHeight="1">
      <x:c r="A46" s="27" t="n">
        <x:v>4</x:v>
      </x:c>
      <x:c r="B46" s="27" t="str">
        <x:v>le2</x:v>
      </x:c>
      <x:c r="C46" s="27" t="str">
        <x:v>full</x:v>
      </x:c>
      <x:c r="D46" s="36" t="n">
        <x:v>509038</x:v>
      </x:c>
      <x:c r="E46" s="36" t="n">
        <x:v>9288</x:v>
      </x:c>
      <x:c r="F46" s="30" t="n">
        <x:v>0.018246182013916448</x:v>
      </x:c>
      <x:c r="G46" s="27" t="str">
        <x:v>peak</x:v>
      </x:c>
    </x:row>
    <x:row r="47" ht="15" hidden="0" customHeight="1">
      <x:c r="A47" s="27" t="n">
        <x:v>4</x:v>
      </x:c>
      <x:c r="B47" s="27" t="str">
        <x:v>cap5pct_min1</x:v>
      </x:c>
      <x:c r="C47" s="27" t="str">
        <x:v>empty</x:v>
      </x:c>
      <x:c r="D47" s="36" t="n">
        <x:v>547138</x:v>
      </x:c>
      <x:c r="E47" s="36" t="n">
        <x:v>34518</x:v>
      </x:c>
      <x:c r="F47" s="30" t="n">
        <x:v>0.06308828851222179</x:v>
      </x:c>
      <x:c r="G47" s="27" t="str">
        <x:v>peak</x:v>
      </x:c>
    </x:row>
    <x:row r="48" ht="15" hidden="0" customHeight="1">
      <x:c r="A48" s="27" t="n">
        <x:v>4</x:v>
      </x:c>
      <x:c r="B48" s="27" t="str">
        <x:v>cap5pct_min1</x:v>
      </x:c>
      <x:c r="C48" s="27" t="str">
        <x:v>full</x:v>
      </x:c>
      <x:c r="D48" s="36" t="n">
        <x:v>547138</x:v>
      </x:c>
      <x:c r="E48" s="36" t="n">
        <x:v>7017</x:v>
      </x:c>
      <x:c r="F48" s="30" t="n">
        <x:v>0.012824918027992937</x:v>
      </x:c>
      <x:c r="G48" s="27" t="str">
        <x:v>peak</x:v>
      </x:c>
    </x:row>
    <x:row r="49" ht="15" hidden="0" customHeight="1">
      <x:c r="A49" s="27" t="n">
        <x:v>5</x:v>
      </x:c>
      <x:c r="B49" s="27" t="str">
        <x:v>zero</x:v>
      </x:c>
      <x:c r="C49" s="27" t="str">
        <x:v>empty</x:v>
      </x:c>
      <x:c r="D49" s="36" t="n">
        <x:v>620379</x:v>
      </x:c>
      <x:c r="E49" s="36" t="n">
        <x:v>22988</x:v>
      </x:c>
      <x:c r="F49" s="30" t="n">
        <x:v>0.03705476813367312</x:v>
      </x:c>
      <x:c r="G49" s="27" t="str">
        <x:v>peak</x:v>
      </x:c>
    </x:row>
    <x:row r="50" ht="15" hidden="0" customHeight="1">
      <x:c r="A50" s="27" t="n">
        <x:v>5</x:v>
      </x:c>
      <x:c r="B50" s="27" t="str">
        <x:v>zero</x:v>
      </x:c>
      <x:c r="C50" s="27" t="str">
        <x:v>full</x:v>
      </x:c>
      <x:c r="D50" s="36" t="n">
        <x:v>620379</x:v>
      </x:c>
      <x:c r="E50" s="36" t="n">
        <x:v>3902</x:v>
      </x:c>
      <x:c r="F50" s="30" t="n">
        <x:v>0.006289703552183424</x:v>
      </x:c>
      <x:c r="G50" s="27" t="str">
        <x:v>peak</x:v>
      </x:c>
    </x:row>
    <x:row r="51" ht="15" hidden="0" customHeight="1">
      <x:c r="A51" s="27" t="n">
        <x:v>5</x:v>
      </x:c>
      <x:c r="B51" s="27" t="str">
        <x:v>le1</x:v>
      </x:c>
      <x:c r="C51" s="27" t="str">
        <x:v>empty</x:v>
      </x:c>
      <x:c r="D51" s="36" t="n">
        <x:v>574241</x:v>
      </x:c>
      <x:c r="E51" s="36" t="n">
        <x:v>36445</x:v>
      </x:c>
      <x:c r="F51" s="30" t="n">
        <x:v>0.06346638432295848</x:v>
      </x:c>
      <x:c r="G51" s="27" t="str">
        <x:v>peak</x:v>
      </x:c>
    </x:row>
    <x:row r="52" ht="15" hidden="0" customHeight="1">
      <x:c r="A52" s="27" t="n">
        <x:v>5</x:v>
      </x:c>
      <x:c r="B52" s="27" t="str">
        <x:v>le1</x:v>
      </x:c>
      <x:c r="C52" s="27" t="str">
        <x:v>full</x:v>
      </x:c>
      <x:c r="D52" s="36" t="n">
        <x:v>574241</x:v>
      </x:c>
      <x:c r="E52" s="36" t="n">
        <x:v>7055</x:v>
      </x:c>
      <x:c r="F52" s="30" t="n">
        <x:v>0.012285782450225602</x:v>
      </x:c>
      <x:c r="G52" s="27" t="str">
        <x:v>peak</x:v>
      </x:c>
    </x:row>
    <x:row r="53" ht="15" hidden="0" customHeight="1">
      <x:c r="A53" s="27" t="n">
        <x:v>5</x:v>
      </x:c>
      <x:c r="B53" s="27" t="str">
        <x:v>le2</x:v>
      </x:c>
      <x:c r="C53" s="27" t="str">
        <x:v>empty</x:v>
      </x:c>
      <x:c r="D53" s="36" t="n">
        <x:v>524270</x:v>
      </x:c>
      <x:c r="E53" s="36" t="n">
        <x:v>42564</x:v>
      </x:c>
      <x:c r="F53" s="30" t="n">
        <x:v>0.081187174547466</x:v>
      </x:c>
      <x:c r="G53" s="27" t="str">
        <x:v>peak</x:v>
      </x:c>
    </x:row>
    <x:row r="54" ht="15" hidden="0" customHeight="1">
      <x:c r="A54" s="27" t="n">
        <x:v>5</x:v>
      </x:c>
      <x:c r="B54" s="27" t="str">
        <x:v>le2</x:v>
      </x:c>
      <x:c r="C54" s="27" t="str">
        <x:v>full</x:v>
      </x:c>
      <x:c r="D54" s="36" t="n">
        <x:v>524270</x:v>
      </x:c>
      <x:c r="E54" s="36" t="n">
        <x:v>9693</x:v>
      </x:c>
      <x:c r="F54" s="30" t="n">
        <x:v>0.01848856505235852</x:v>
      </x:c>
      <x:c r="G54" s="27" t="str">
        <x:v>peak</x:v>
      </x:c>
    </x:row>
    <x:row r="55" ht="15" hidden="0" customHeight="1">
      <x:c r="A55" s="27" t="n">
        <x:v>5</x:v>
      </x:c>
      <x:c r="B55" s="27" t="str">
        <x:v>cap5pct_min1</x:v>
      </x:c>
      <x:c r="C55" s="27" t="str">
        <x:v>empty</x:v>
      </x:c>
      <x:c r="D55" s="36" t="n">
        <x:v>564837</x:v>
      </x:c>
      <x:c r="E55" s="36" t="n">
        <x:v>38229</x:v>
      </x:c>
      <x:c r="F55" s="30" t="n">
        <x:v>0.06768147270805559</x:v>
      </x:c>
      <x:c r="G55" s="27" t="str">
        <x:v>peak</x:v>
      </x:c>
    </x:row>
    <x:row r="56" ht="15" hidden="0" customHeight="1">
      <x:c r="A56" s="27" t="n">
        <x:v>5</x:v>
      </x:c>
      <x:c r="B56" s="27" t="str">
        <x:v>cap5pct_min1</x:v>
      </x:c>
      <x:c r="C56" s="27" t="str">
        <x:v>full</x:v>
      </x:c>
      <x:c r="D56" s="36" t="n">
        <x:v>564837</x:v>
      </x:c>
      <x:c r="E56" s="36" t="n">
        <x:v>7292</x:v>
      </x:c>
      <x:c r="F56" s="30" t="n">
        <x:v>0.01290991914481523</x:v>
      </x:c>
      <x:c r="G56" s="27" t="str">
        <x:v>peak</x:v>
      </x:c>
    </x:row>
    <x:row r="57" ht="15" hidden="0" customHeight="1">
      <x:c r="A57" s="27" t="n">
        <x:v>6</x:v>
      </x:c>
      <x:c r="B57" s="27" t="str">
        <x:v>zero</x:v>
      </x:c>
      <x:c r="C57" s="27" t="str">
        <x:v>empty</x:v>
      </x:c>
      <x:c r="D57" s="36" t="n">
        <x:v>611743</x:v>
      </x:c>
      <x:c r="E57" s="36" t="n">
        <x:v>17033</x:v>
      </x:c>
      <x:c r="F57" s="30" t="n">
        <x:v>0.02784339175111117</x:v>
      </x:c>
      <x:c r="G57" s="27" t="str">
        <x:v>peak</x:v>
      </x:c>
    </x:row>
    <x:row r="58" ht="15" hidden="0" customHeight="1">
      <x:c r="A58" s="27" t="n">
        <x:v>6</x:v>
      </x:c>
      <x:c r="B58" s="27" t="str">
        <x:v>zero</x:v>
      </x:c>
      <x:c r="C58" s="27" t="str">
        <x:v>full</x:v>
      </x:c>
      <x:c r="D58" s="36" t="n">
        <x:v>611743</x:v>
      </x:c>
      <x:c r="E58" s="36" t="n">
        <x:v>2878</x:v>
      </x:c>
      <x:c r="F58" s="30" t="n">
        <x:v>0.004704589999395171</x:v>
      </x:c>
      <x:c r="G58" s="27" t="str">
        <x:v>peak</x:v>
      </x:c>
    </x:row>
    <x:row r="59" ht="15" hidden="0" customHeight="1">
      <x:c r="A59" s="27" t="n">
        <x:v>6</x:v>
      </x:c>
      <x:c r="B59" s="27" t="str">
        <x:v>le1</x:v>
      </x:c>
      <x:c r="C59" s="27" t="str">
        <x:v>empty</x:v>
      </x:c>
      <x:c r="D59" s="36" t="n">
        <x:v>573585</x:v>
      </x:c>
      <x:c r="E59" s="36" t="n">
        <x:v>28026</x:v>
      </x:c>
      <x:c r="F59" s="30" t="n">
        <x:v>0.04886111038468579</x:v>
      </x:c>
      <x:c r="G59" s="27" t="str">
        <x:v>peak</x:v>
      </x:c>
    </x:row>
    <x:row r="60" ht="15" hidden="0" customHeight="1">
      <x:c r="A60" s="27" t="n">
        <x:v>6</x:v>
      </x:c>
      <x:c r="B60" s="27" t="str">
        <x:v>le1</x:v>
      </x:c>
      <x:c r="C60" s="27" t="str">
        <x:v>full</x:v>
      </x:c>
      <x:c r="D60" s="36" t="n">
        <x:v>573585</x:v>
      </x:c>
      <x:c r="E60" s="36" t="n">
        <x:v>5479</x:v>
      </x:c>
      <x:c r="F60" s="30" t="n">
        <x:v>0.009552202376282504</x:v>
      </x:c>
      <x:c r="G60" s="27" t="str">
        <x:v>peak</x:v>
      </x:c>
    </x:row>
    <x:row r="61" ht="15" hidden="0" customHeight="1">
      <x:c r="A61" s="27" t="n">
        <x:v>6</x:v>
      </x:c>
      <x:c r="B61" s="27" t="str">
        <x:v>le2</x:v>
      </x:c>
      <x:c r="C61" s="27" t="str">
        <x:v>empty</x:v>
      </x:c>
      <x:c r="D61" s="36" t="n">
        <x:v>530220</x:v>
      </x:c>
      <x:c r="E61" s="36" t="n">
        <x:v>33590</x:v>
      </x:c>
      <x:c r="F61" s="30" t="n">
        <x:v>0.06335106182339406</x:v>
      </x:c>
      <x:c r="G61" s="27" t="str">
        <x:v>peak</x:v>
      </x:c>
    </x:row>
    <x:row r="62" ht="15" hidden="0" customHeight="1">
      <x:c r="A62" s="27" t="n">
        <x:v>6</x:v>
      </x:c>
      <x:c r="B62" s="27" t="str">
        <x:v>le2</x:v>
      </x:c>
      <x:c r="C62" s="27" t="str">
        <x:v>full</x:v>
      </x:c>
      <x:c r="D62" s="36" t="n">
        <x:v>530220</x:v>
      </x:c>
      <x:c r="E62" s="36" t="n">
        <x:v>7926</x:v>
      </x:c>
      <x:c r="F62" s="30" t="n">
        <x:v>0.014948511938440648</x:v>
      </x:c>
      <x:c r="G62" s="27" t="str">
        <x:v>peak</x:v>
      </x:c>
    </x:row>
    <x:row r="63" ht="15" hidden="0" customHeight="1">
      <x:c r="A63" s="27" t="n">
        <x:v>6</x:v>
      </x:c>
      <x:c r="B63" s="27" t="str">
        <x:v>cap5pct_min1</x:v>
      </x:c>
      <x:c r="C63" s="27" t="str">
        <x:v>empty</x:v>
      </x:c>
      <x:c r="D63" s="36" t="n">
        <x:v>565957</x:v>
      </x:c>
      <x:c r="E63" s="36" t="n">
        <x:v>29542</x:v>
      </x:c>
      <x:c r="F63" s="30" t="n">
        <x:v>0.05219831188588532</x:v>
      </x:c>
      <x:c r="G63" s="27" t="str">
        <x:v>peak</x:v>
      </x:c>
    </x:row>
    <x:row r="64" ht="15" hidden="0" customHeight="1">
      <x:c r="A64" s="28" t="n">
        <x:v>6</x:v>
      </x:c>
      <x:c r="B64" s="28" t="str">
        <x:v>cap5pct_min1</x:v>
      </x:c>
      <x:c r="C64" s="28" t="str">
        <x:v>full</x:v>
      </x:c>
      <x:c r="D64" s="37" t="n">
        <x:v>565957</x:v>
      </x:c>
      <x:c r="E64" s="37" t="n">
        <x:v>5690</x:v>
      </x:c>
      <x:c r="F64" s="31" t="n">
        <x:v>0.01005376733568098</x:v>
      </x:c>
      <x:c r="G64" s="28" t="str">
        <x:v>peak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afcb2a5d28545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7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20" hidden="0" customWidth="1"/>
    <x:col min="10" max="10" width="12" hidden="0" customWidth="1"/>
    <x:col min="11" max="11" width="3" hidden="0" customWidth="1"/>
    <x:col min="12" max="12" width="3" hidden="0" customWidth="1"/>
    <x:col min="13" max="13" width="22" hidden="0" customWidth="1"/>
    <x:col min="14" max="14" width="16" hidden="0" customWidth="1"/>
    <x:col min="15" max="15" width="16" hidden="0" customWidth="1"/>
  </x:cols>
  <x:sheetData>
    <x:row r="1" ht="15" hidden="0" customHeight="1">
      <x:c r="A1" s="4" t="str">
        <x:v>權重實驗｜同一批樣本，只改 sample weight</x:v>
      </x:c>
      <x:c r="B1" s="4"/>
      <x:c r="C1" s="4"/>
      <x:c r="D1" s="4"/>
      <x:c r="E1" s="4"/>
      <x:c r="F1" s="4"/>
      <x:c r="G1" s="4"/>
      <x:c r="H1" s="4"/>
      <x:c r="I1" s="4"/>
      <x:c r="J1" s="4"/>
      <x:c r="M1" s="49" t="str">
        <x:v>權重方案</x:v>
      </x:c>
      <x:c r="N1" s="50" t="str">
        <x:v>缺車 P@R</x:v>
      </x:c>
      <x:c r="O1" s="51" t="str">
        <x:v>滿柱 P@R</x:v>
      </x:c>
    </x:row>
    <x:row r="2" ht="15" hidden="0" customHeight="1">
      <x:c r="A2" s="55" t="str">
        <x:v>缺車選正例 2 倍；滿柱保留 baseline。困難負例加權在兩事件都明顯傷害排序。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M2" t="str">
        <x:v>baseline</x:v>
      </x:c>
      <x:c r="N2" s="52" t="n">
        <x:f>'權重比較'!$E$5</x:f>
        <x:v>0.14804692271843164</x:v>
      </x:c>
      <x:c r="O2" s="52" t="n">
        <x:f>'權重比較'!$E$12</x:f>
        <x:v>0.0723269286313626</x:v>
      </x:c>
    </x:row>
    <x:row r="3" ht="15" hidden="0" customHeight="1">
      <x:c r="M3" t="str">
        <x:v>positive_2</x:v>
      </x:c>
      <x:c r="N3" s="52" t="n">
        <x:f>'權重比較'!$E$10</x:f>
        <x:v>0.14972151678205678</x:v>
      </x:c>
      <x:c r="O3" s="52" t="n">
        <x:f>'權重比較'!$E$17</x:f>
        <x:v>0.07308193111136312</x:v>
      </x:c>
    </x:row>
    <x:row r="4" ht="26.399999618530273" hidden="0" customHeight="1">
      <x:c r="A4" s="19" t="str">
        <x:v>event</x:v>
      </x:c>
      <x:c r="B4" s="20" t="str">
        <x:v>weight_scheme</x:v>
      </x:c>
      <x:c r="C4" s="20" t="str">
        <x:v>mean_average_precision</x:v>
      </x:c>
      <x:c r="D4" s="20" t="str">
        <x:v>worst_fold_average_precision</x:v>
      </x:c>
      <x:c r="E4" s="20" t="str">
        <x:v>mean_precision_at_recall_target</x:v>
      </x:c>
      <x:c r="F4" s="20" t="str">
        <x:v>worst_precision_at_recall_target</x:v>
      </x:c>
      <x:c r="G4" s="20" t="str">
        <x:v>mean_alert_rate_at_recall_target</x:v>
      </x:c>
      <x:c r="H4" s="20" t="str">
        <x:v>median_best_iteration</x:v>
      </x:c>
      <x:c r="I4" s="20" t="str">
        <x:v>Δ Precision vs baseline</x:v>
      </x:c>
      <x:c r="J4" s="21" t="str">
        <x:v>正式選擇</x:v>
      </x:c>
      <x:c r="M4" t="str">
        <x:v>positive_4</x:v>
      </x:c>
      <x:c r="N4" s="52" t="n">
        <x:f>'權重比較'!$E$11</x:f>
        <x:v>0.14846198179758677</x:v>
      </x:c>
      <x:c r="O4" s="52" t="n">
        <x:f>'權重比較'!$E$18</x:f>
        <x:v>0.07321810929701245</x:v>
      </x:c>
    </x:row>
    <x:row r="5" ht="15" hidden="0" customHeight="1">
      <x:c r="A5" s="26" t="str">
        <x:v>empty</x:v>
      </x:c>
      <x:c r="B5" s="26" t="str">
        <x:v>baseline</x:v>
      </x:c>
      <x:c r="C5" s="29" t="n">
        <x:v>0.2180237896353304</x:v>
      </x:c>
      <x:c r="D5" s="29" t="n">
        <x:v>0.13588422523347302</x:v>
      </x:c>
      <x:c r="E5" s="29" t="n">
        <x:v>0.14804692271843164</x:v>
      </x:c>
      <x:c r="F5" s="29" t="n">
        <x:v>0.07331172383386268</x:v>
      </x:c>
      <x:c r="G5" s="29" t="n">
        <x:v>0.1594345404267539</x:v>
      </x:c>
      <x:c r="H5" s="35" t="n">
        <x:v>605</x:v>
      </x:c>
      <x:c r="I5" s="56" t="n">
        <x:f>E5-$E$5</x:f>
        <x:v>0</x:v>
      </x:c>
      <x:c r="J5" s="26" t="str">
        <x:v>未選</x:v>
      </x:c>
      <x:c r="M5" t="str">
        <x:v>hard_negative_2</x:v>
      </x:c>
      <x:c r="N5" s="52" t="n">
        <x:f>'權重比較'!$E$8</x:f>
        <x:v>0.14364608459143288</x:v>
      </x:c>
      <x:c r="O5" s="52" t="n">
        <x:f>'權重比較'!$E$15</x:f>
        <x:v>0.0697243227744455</x:v>
      </x:c>
    </x:row>
    <x:row r="6" ht="15" hidden="0" customHeight="1">
      <x:c r="A6" s="27" t="str">
        <x:v>empty</x:v>
      </x:c>
      <x:c r="B6" s="27" t="str">
        <x:v>combined_2</x:v>
      </x:c>
      <x:c r="C6" s="30" t="n">
        <x:v>0.20839584056405655</x:v>
      </x:c>
      <x:c r="D6" s="30" t="n">
        <x:v>0.13672072326654958</x:v>
      </x:c>
      <x:c r="E6" s="30" t="n">
        <x:v>0.14463020388150838</x:v>
      </x:c>
      <x:c r="F6" s="30" t="n">
        <x:v>0.07435162796859991</x:v>
      </x:c>
      <x:c r="G6" s="30" t="n">
        <x:v>0.1612340313670564</x:v>
      </x:c>
      <x:c r="H6" s="36" t="n">
        <x:v>326</x:v>
      </x:c>
      <x:c r="I6" s="57" t="n">
        <x:f>E6-$E$5</x:f>
        <x:v>-0.003416718836923266</x:v>
      </x:c>
      <x:c r="J6" s="27" t="str">
        <x:v>未選</x:v>
      </x:c>
      <x:c r="M6" t="str">
        <x:v>hard_negative_4</x:v>
      </x:c>
      <x:c r="N6" s="52" t="n">
        <x:f>'權重比較'!$E$9</x:f>
        <x:v>0.1339258832186968</x:v>
      </x:c>
      <x:c r="O6" s="52" t="n">
        <x:f>'權重比較'!$E$16</x:f>
        <x:v>0.06106553260636799</x:v>
      </x:c>
    </x:row>
    <x:row r="7" ht="15" hidden="0" customHeight="1">
      <x:c r="A7" s="27" t="str">
        <x:v>empty</x:v>
      </x:c>
      <x:c r="B7" s="27" t="str">
        <x:v>combined_4</x:v>
      </x:c>
      <x:c r="C7" s="30" t="n">
        <x:v>0.17704616197899492</x:v>
      </x:c>
      <x:c r="D7" s="30" t="n">
        <x:v>0.1220257651622356</x:v>
      </x:c>
      <x:c r="E7" s="30" t="n">
        <x:v>0.1307978722901205</x:v>
      </x:c>
      <x:c r="F7" s="30" t="n">
        <x:v>0.06892554751249319</x:v>
      </x:c>
      <x:c r="G7" s="30" t="n">
        <x:v>0.17679031109928947</x:v>
      </x:c>
      <x:c r="H7" s="36" t="n">
        <x:v>119</x:v>
      </x:c>
      <x:c r="I7" s="57" t="n">
        <x:f>E7-$E$5</x:f>
        <x:v>-0.017249050428311152</x:v>
      </x:c>
      <x:c r="J7" s="27" t="str">
        <x:v>未選</x:v>
      </x:c>
      <x:c r="M7" t="str">
        <x:v>combined_2</x:v>
      </x:c>
      <x:c r="N7" s="52" t="n">
        <x:f>'權重比較'!$E$6</x:f>
        <x:v>0.14463020388150838</x:v>
      </x:c>
      <x:c r="O7" s="52" t="n">
        <x:f>'權重比較'!$E$13</x:f>
        <x:v>0.06788678169573115</x:v>
      </x:c>
    </x:row>
    <x:row r="8" ht="15" hidden="0" customHeight="1">
      <x:c r="A8" s="27" t="str">
        <x:v>empty</x:v>
      </x:c>
      <x:c r="B8" s="27" t="str">
        <x:v>hard_negative_2</x:v>
      </x:c>
      <x:c r="C8" s="30" t="n">
        <x:v>0.20791905020763077</x:v>
      </x:c>
      <x:c r="D8" s="30" t="n">
        <x:v>0.13588422523347302</x:v>
      </x:c>
      <x:c r="E8" s="30" t="n">
        <x:v>0.14364608459143288</x:v>
      </x:c>
      <x:c r="F8" s="30" t="n">
        <x:v>0.07331172383386268</x:v>
      </x:c>
      <x:c r="G8" s="30" t="n">
        <x:v>0.16262730493395258</x:v>
      </x:c>
      <x:c r="H8" s="36" t="n">
        <x:v>326</x:v>
      </x:c>
      <x:c r="I8" s="57" t="n">
        <x:f>E8-$E$5</x:f>
        <x:v>-0.004400838126998763</x:v>
      </x:c>
      <x:c r="J8" s="27" t="str">
        <x:v>未選</x:v>
      </x:c>
      <x:c r="M8" t="str">
        <x:v>combined_4</x:v>
      </x:c>
      <x:c r="N8" s="52" t="n">
        <x:f>'權重比較'!$E$7</x:f>
        <x:v>0.1307978722901205</x:v>
      </x:c>
      <x:c r="O8" s="52" t="n">
        <x:f>'權重比較'!$E$14</x:f>
        <x:v>0.04766172839318799</x:v>
      </x:c>
    </x:row>
    <x:row r="9" ht="15" hidden="0" customHeight="1">
      <x:c r="A9" s="27" t="str">
        <x:v>empty</x:v>
      </x:c>
      <x:c r="B9" s="27" t="str">
        <x:v>hard_negative_4</x:v>
      </x:c>
      <x:c r="C9" s="30" t="n">
        <x:v>0.18328841219264605</x:v>
      </x:c>
      <x:c r="D9" s="30" t="n">
        <x:v>0.13588422523347302</x:v>
      </x:c>
      <x:c r="E9" s="30" t="n">
        <x:v>0.1339258832186968</x:v>
      </x:c>
      <x:c r="F9" s="30" t="n">
        <x:v>0.07331172383386268</x:v>
      </x:c>
      <x:c r="G9" s="30" t="n">
        <x:v>0.17068314724772496</x:v>
      </x:c>
      <x:c r="H9" s="36" t="n">
        <x:v>71</x:v>
      </x:c>
      <x:c r="I9" s="57" t="n">
        <x:f>E9-$E$5</x:f>
        <x:v>-0.014121039499734839</x:v>
      </x:c>
      <x:c r="J9" s="27" t="str">
        <x:v>未選</x:v>
      </x:c>
    </x:row>
    <x:row r="10" ht="15" hidden="0" customHeight="1">
      <x:c r="A10" s="27" t="str">
        <x:v>empty</x:v>
      </x:c>
      <x:c r="B10" s="27" t="str">
        <x:v>positive_2</x:v>
      </x:c>
      <x:c r="C10" s="30" t="n">
        <x:v>0.21859406565966932</x:v>
      </x:c>
      <x:c r="D10" s="30" t="n">
        <x:v>0.13672072326654958</x:v>
      </x:c>
      <x:c r="E10" s="30" t="n">
        <x:v>0.14972151678205678</x:v>
      </x:c>
      <x:c r="F10" s="30" t="n">
        <x:v>0.07435162796859991</x:v>
      </x:c>
      <x:c r="G10" s="30" t="n">
        <x:v>0.1575000046836366</x:v>
      </x:c>
      <x:c r="H10" s="36" t="n">
        <x:v>798</x:v>
      </x:c>
      <x:c r="I10" s="57" t="n">
        <x:f>E10-$E$5</x:f>
        <x:v>0.0016745940636251344</x:v>
      </x:c>
      <x:c r="J10" s="27" t="str">
        <x:v>選用</x:v>
      </x:c>
    </x:row>
    <x:row r="11" ht="15" hidden="0" customHeight="1">
      <x:c r="A11" s="27" t="str">
        <x:v>empty</x:v>
      </x:c>
      <x:c r="B11" s="27" t="str">
        <x:v>positive_4</x:v>
      </x:c>
      <x:c r="C11" s="30" t="n">
        <x:v>0.2133709815598941</x:v>
      </x:c>
      <x:c r="D11" s="30" t="n">
        <x:v>0.1220257651622356</x:v>
      </x:c>
      <x:c r="E11" s="30" t="n">
        <x:v>0.14846198179758677</x:v>
      </x:c>
      <x:c r="F11" s="30" t="n">
        <x:v>0.06892554751249319</x:v>
      </x:c>
      <x:c r="G11" s="30" t="n">
        <x:v>0.16270684759629242</x:v>
      </x:c>
      <x:c r="H11" s="36" t="n">
        <x:v>798</x:v>
      </x:c>
      <x:c r="I11" s="57" t="n">
        <x:f>E11-$E$5</x:f>
        <x:v>0.0004150590791551223</x:v>
      </x:c>
      <x:c r="J11" s="27" t="str">
        <x:v>未選</x:v>
      </x:c>
    </x:row>
    <x:row r="12" ht="15" hidden="0" customHeight="1">
      <x:c r="A12" s="27" t="str">
        <x:v>full</x:v>
      </x:c>
      <x:c r="B12" s="27" t="str">
        <x:v>baseline</x:v>
      </x:c>
      <x:c r="C12" s="30" t="n">
        <x:v>0.0976958992801104</x:v>
      </x:c>
      <x:c r="D12" s="30" t="n">
        <x:v>0.08041192380966254</x:v>
      </x:c>
      <x:c r="E12" s="30" t="n">
        <x:v>0.0723269286313626</x:v>
      </x:c>
      <x:c r="F12" s="30" t="n">
        <x:v>0.041773128284240464</x:v>
      </x:c>
      <x:c r="G12" s="30" t="n">
        <x:v>0.05404244209886549</x:v>
      </x:c>
      <x:c r="H12" s="36" t="n">
        <x:v>30</x:v>
      </x:c>
      <x:c r="I12" s="57" t="n">
        <x:f>E12-$E$12</x:f>
        <x:v>0</x:v>
      </x:c>
      <x:c r="J12" s="27" t="str">
        <x:v>選用</x:v>
      </x:c>
    </x:row>
    <x:row r="13" ht="15" hidden="0" customHeight="1">
      <x:c r="A13" s="27" t="str">
        <x:v>full</x:v>
      </x:c>
      <x:c r="B13" s="27" t="str">
        <x:v>combined_2</x:v>
      </x:c>
      <x:c r="C13" s="30" t="n">
        <x:v>0.08341071282301316</x:v>
      </x:c>
      <x:c r="D13" s="30" t="n">
        <x:v>0.07986504641888895</x:v>
      </x:c>
      <x:c r="E13" s="30" t="n">
        <x:v>0.06788678169573115</x:v>
      </x:c>
      <x:c r="F13" s="30" t="n">
        <x:v>0.041140898052473694</x:v>
      </x:c>
      <x:c r="G13" s="30" t="n">
        <x:v>0.056717142621812607</x:v>
      </x:c>
      <x:c r="H13" s="36" t="n">
        <x:v>9</x:v>
      </x:c>
      <x:c r="I13" s="57" t="n">
        <x:f>E13-$E$12</x:f>
        <x:v>-0.004440146935631453</x:v>
      </x:c>
      <x:c r="J13" s="27" t="str">
        <x:v>未選</x:v>
      </x:c>
    </x:row>
    <x:row r="14" ht="15" hidden="0" customHeight="1">
      <x:c r="A14" s="27" t="str">
        <x:v>full</x:v>
      </x:c>
      <x:c r="B14" s="27" t="str">
        <x:v>combined_4</x:v>
      </x:c>
      <x:c r="C14" s="30" t="n">
        <x:v>0.07225491697222326</x:v>
      </x:c>
      <x:c r="D14" s="30" t="n">
        <x:v>0.06794962416773231</x:v>
      </x:c>
      <x:c r="E14" s="30" t="n">
        <x:v>0.04766172839318799</x:v>
      </x:c>
      <x:c r="F14" s="30" t="n">
        <x:v>0.04060913705583756</x:v>
      </x:c>
      <x:c r="G14" s="30" t="n">
        <x:v>0.07576944718401937</x:v>
      </x:c>
      <x:c r="H14" s="36" t="n">
        <x:v>652</x:v>
      </x:c>
      <x:c r="I14" s="57" t="n">
        <x:f>E14-$E$12</x:f>
        <x:v>-0.02466520023817461</x:v>
      </x:c>
      <x:c r="J14" s="27" t="str">
        <x:v>未選</x:v>
      </x:c>
    </x:row>
    <x:row r="15" ht="15" hidden="0" customHeight="1">
      <x:c r="A15" s="27" t="str">
        <x:v>full</x:v>
      </x:c>
      <x:c r="B15" s="27" t="str">
        <x:v>hard_negative_2</x:v>
      </x:c>
      <x:c r="C15" s="30" t="n">
        <x:v>0.08539877436850853</x:v>
      </x:c>
      <x:c r="D15" s="30" t="n">
        <x:v>0.08041192380966254</x:v>
      </x:c>
      <x:c r="E15" s="30" t="n">
        <x:v>0.0697243227744455</x:v>
      </x:c>
      <x:c r="F15" s="30" t="n">
        <x:v>0.041773128284240464</x:v>
      </x:c>
      <x:c r="G15" s="30" t="n">
        <x:v>0.05553834764703045</x:v>
      </x:c>
      <x:c r="H15" s="36" t="n">
        <x:v>25</x:v>
      </x:c>
      <x:c r="I15" s="57" t="n">
        <x:f>E15-$E$12</x:f>
        <x:v>-0.0026026058569171007</x:v>
      </x:c>
      <x:c r="J15" s="27" t="str">
        <x:v>未選</x:v>
      </x:c>
    </x:row>
    <x:row r="16" ht="15" hidden="0" customHeight="1">
      <x:c r="A16" s="27" t="str">
        <x:v>full</x:v>
      </x:c>
      <x:c r="B16" s="27" t="str">
        <x:v>hard_negative_4</x:v>
      </x:c>
      <x:c r="C16" s="30" t="n">
        <x:v>0.06994211518553882</x:v>
      </x:c>
      <x:c r="D16" s="30" t="n">
        <x:v>0.06269691844890334</x:v>
      </x:c>
      <x:c r="E16" s="30" t="n">
        <x:v>0.06106553260636799</x:v>
      </x:c>
      <x:c r="F16" s="30" t="n">
        <x:v>0.041773128284240464</x:v>
      </x:c>
      <x:c r="G16" s="30" t="n">
        <x:v>0.06184091812279705</x:v>
      </x:c>
      <x:c r="H16" s="36" t="n">
        <x:v>13</x:v>
      </x:c>
      <x:c r="I16" s="57" t="n">
        <x:f>E16-$E$12</x:f>
        <x:v>-0.01126139602499461</x:v>
      </x:c>
      <x:c r="J16" s="27" t="str">
        <x:v>未選</x:v>
      </x:c>
    </x:row>
    <x:row r="17" ht="15" hidden="0" customHeight="1">
      <x:c r="A17" s="27" t="str">
        <x:v>full</x:v>
      </x:c>
      <x:c r="B17" s="27" t="str">
        <x:v>positive_2</x:v>
      </x:c>
      <x:c r="C17" s="30" t="n">
        <x:v>0.09971560128731354</x:v>
      </x:c>
      <x:c r="D17" s="30" t="n">
        <x:v>0.07986504641888895</x:v>
      </x:c>
      <x:c r="E17" s="30" t="n">
        <x:v>0.07308193111136312</x:v>
      </x:c>
      <x:c r="F17" s="30" t="n">
        <x:v>0.041140898052473694</x:v>
      </x:c>
      <x:c r="G17" s="30" t="n">
        <x:v>0.053902730326210964</x:v>
      </x:c>
      <x:c r="H17" s="36" t="n">
        <x:v>34</x:v>
      </x:c>
      <x:c r="I17" s="57" t="n">
        <x:f>E17-$E$12</x:f>
        <x:v>0.0007550024800005162</x:v>
      </x:c>
      <x:c r="J17" s="27" t="str">
        <x:v>未選</x:v>
      </x:c>
    </x:row>
    <x:row r="18" ht="15" hidden="0" customHeight="1">
      <x:c r="A18" s="28" t="str">
        <x:v>full</x:v>
      </x:c>
      <x:c r="B18" s="28" t="str">
        <x:v>positive_4</x:v>
      </x:c>
      <x:c r="C18" s="31" t="n">
        <x:v>0.0992299108753747</x:v>
      </x:c>
      <x:c r="D18" s="31" t="n">
        <x:v>0.07752141645581309</x:v>
      </x:c>
      <x:c r="E18" s="31" t="n">
        <x:v>0.07321810929701245</x:v>
      </x:c>
      <x:c r="F18" s="31" t="n">
        <x:v>0.04060913705583756</x:v>
      </x:c>
      <x:c r="G18" s="31" t="n">
        <x:v>0.05403595523147397</x:v>
      </x:c>
      <x:c r="H18" s="37" t="n">
        <x:v>32</x:v>
      </x:c>
      <x:c r="I18" s="58" t="n">
        <x:f>E18-$E$12</x:f>
        <x:v>0.0008911806656498461</x:v>
      </x:c>
      <x:c r="J18" s="28" t="str">
        <x:v>未選</x:v>
      </x:c>
    </x:row>
  </x:sheetData>
  <x:mergeCells>
    <x:mergeCell ref="A1:J1"/>
    <x:mergeCell ref="A2:J2"/>
  </x:mergeCells>
  <x:conditionalFormatting sqref="J5:J18">
    <x:cfRule type="containsText" dxfId="0" priority="1" operator="containsText" text="選用"/>
  </x:conditionalFormatting>
  <x:pageMargins left="0.7" right="0.7" top="0.75" bottom="0.75" header="0.3" footer="0.3"/>
  <x:tableParts count="1">
    <x:tablePart xmlns:r="http://schemas.openxmlformats.org/officeDocument/2006/relationships" r:id="R9ee87c56dce94b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3" hidden="0" customWidth="1"/>
    <x:col min="15" max="15" width="20" hidden="0" customWidth="1"/>
    <x:col min="16" max="16" width="20" hidden="0" customWidth="1"/>
    <x:col min="17" max="17" width="18" hidden="0" customWidth="1"/>
    <x:col min="18" max="18" width="3" hidden="0" customWidth="1"/>
    <x:col min="19" max="19" width="3" hidden="0" customWidth="1"/>
    <x:col min="20" max="20" width="24" hidden="0" customWidth="1"/>
    <x:col min="21" max="21" width="16" hidden="0" customWidth="1"/>
    <x:col min="22" max="22" width="16" hidden="0" customWidth="1"/>
  </x:cols>
  <x:sheetData>
    <x:row r="1" ht="15" hidden="0" customHeight="1">
      <x:c r="A1" s="4" t="str">
        <x:v>六月凍結回顧｜無 Top-K、超過門檻全部回報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T1" s="49" t="str">
        <x:v>方案</x:v>
      </x:c>
      <x:c r="U1" s="50" t="str">
        <x:v>Precision</x:v>
      </x:c>
      <x:c r="V1" s="51" t="str">
        <x:v>Recall</x:v>
      </x:c>
      <x:c r="X1" s="49" t="str">
        <x:v>方案</x:v>
      </x:c>
      <x:c r="Y1" s="50" t="str">
        <x:v>平均警示</x:v>
      </x:c>
      <x:c r="Z1" s="51" t="str">
        <x:v>P95警示</x:v>
      </x:c>
    </x:row>
    <x:row r="2" ht="15" hidden="0" customHeight="1">
      <x:c r="A2" s="61" t="str">
        <x:v>固定 Recall 門檻會產生大量警示：加權僅小幅改善缺車 Precision，無法單獨解決導入負擔。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T2" t="str">
        <x:v>缺車 baseline</x:v>
      </x:c>
      <x:c r="U2" s="52" t="n">
        <x:f>'六月無K'!$H$6</x:f>
        <x:v>0.17202378418266706</x:v>
      </x:c>
      <x:c r="V2" s="52" t="n">
        <x:f>'六月無K'!$I$6</x:f>
        <x:v>0.7116773322374215</x:v>
      </x:c>
      <x:c r="X2" t="str">
        <x:v>缺車 baseline</x:v>
      </x:c>
      <x:c r="Y2" s="73" t="n">
        <x:f>'六月無K'!$O$6</x:f>
        <x:v>167.77857142857144</x:v>
      </x:c>
      <x:c r="Z2" s="73" t="n">
        <x:f>'六月無K'!$P$6</x:f>
        <x:v>303.0999999999999</x:v>
      </x:c>
    </x:row>
    <x:row r="3" ht="15" hidden="0" customHeight="1">
      <x:c r="T3" t="str">
        <x:v>缺車正例2倍</x:v>
      </x:c>
      <x:c r="U3" s="52" t="n">
        <x:f>'六月無K'!$H$8</x:f>
        <x:v>0.1770446917505741</x:v>
      </x:c>
      <x:c r="V3" s="52" t="n">
        <x:f>'六月無K'!$I$8</x:f>
        <x:v>0.706099923677567</x:v>
      </x:c>
      <x:c r="X3" t="str">
        <x:v>缺車正例2倍</x:v>
      </x:c>
      <x:c r="Y3" s="73" t="n">
        <x:f>'六月無K'!$O$8</x:f>
        <x:v>161.74285714285713</x:v>
      </x:c>
      <x:c r="Z3" s="73" t="n">
        <x:f>'六月無K'!$P$8</x:f>
        <x:v>300</x:v>
      </x:c>
    </x:row>
    <x:row r="4" ht="26.399999618530273" hidden="0" customHeight="1">
      <x:c r="A4" s="19" t="str">
        <x:v>event</x:v>
      </x:c>
      <x:c r="B4" s="20" t="str">
        <x:v>method</x:v>
      </x:c>
      <x:c r="C4" s="20" t="str">
        <x:v>policy_id</x:v>
      </x:c>
      <x:c r="D4" s="20" t="str">
        <x:v>selected_for_primary</x:v>
      </x:c>
      <x:c r="E4" s="20" t="str">
        <x:v>prevalence</x:v>
      </x:c>
      <x:c r="F4" s="20" t="str">
        <x:v>average_precision</x:v>
      </x:c>
      <x:c r="G4" s="20" t="str">
        <x:v>lift_over_prevalence</x:v>
      </x:c>
      <x:c r="H4" s="20" t="str">
        <x:v>precision</x:v>
      </x:c>
      <x:c r="I4" s="20" t="str">
        <x:v>recall</x:v>
      </x:c>
      <x:c r="J4" s="20" t="str">
        <x:v>f2</x:v>
      </x:c>
      <x:c r="K4" s="20" t="str">
        <x:v>tp</x:v>
      </x:c>
      <x:c r="L4" s="20" t="str">
        <x:v>fp</x:v>
      </x:c>
      <x:c r="M4" s="20" t="str">
        <x:v>fn</x:v>
      </x:c>
      <x:c r="N4" s="20" t="str">
        <x:v>alerts</x:v>
      </x:c>
      <x:c r="O4" s="20" t="str">
        <x:v>mean_alerts_per_decision</x:v>
      </x:c>
      <x:c r="P4" s="20" t="str">
        <x:v>p95_alerts_per_decision</x:v>
      </x:c>
      <x:c r="Q4" s="21" t="str">
        <x:v>max_alerts_per_decision</x:v>
      </x:c>
      <x:c r="T4" t="str">
        <x:v>滿柱 baseline</x:v>
      </x:c>
      <x:c r="U4" s="52" t="n">
        <x:f>'六月無K'!$H$10</x:f>
        <x:v>0.07139643017849108</x:v>
      </x:c>
      <x:c r="V4" s="52" t="n">
        <x:f>'六月無K'!$I$10</x:f>
        <x:v>0.6615705350938151</x:v>
      </x:c>
      <x:c r="X4" t="str">
        <x:v>滿柱 baseline</x:v>
      </x:c>
      <x:c r="Y4" s="73" t="n">
        <x:f>'六月無K'!$O$10</x:f>
        <x:v>63.49523809523809</x:v>
      </x:c>
      <x:c r="Z4" s="73" t="n">
        <x:f>'六月無K'!$P$10</x:f>
        <x:v>102</x:v>
      </x:c>
    </x:row>
    <x:row r="5" ht="15" hidden="0" customHeight="1">
      <x:c r="A5" s="26" t="str">
        <x:v>empty</x:v>
      </x:c>
      <x:c r="B5" s="26" t="str">
        <x:v>baseline</x:v>
      </x:c>
      <x:c r="C5" s="26" t="str">
        <x:v>f2_no_k</x:v>
      </x:c>
      <x:c r="D5" s="67" t="b">
        <x:v>0</x:v>
      </x:c>
      <x:c r="E5" s="29" t="n">
        <x:v>0.02784339175111117</x:v>
      </x:c>
      <x:c r="F5" s="29" t="n">
        <x:v>0.24776545765886718</x:v>
      </x:c>
      <x:c r="G5" s="32" t="n">
        <x:v>8.89853721391466</x:v>
      </x:c>
      <x:c r="H5" s="29" t="n">
        <x:v>0.18357171394326807</x:v>
      </x:c>
      <x:c r="I5" s="29" t="n">
        <x:v>0.6743967592320789</x:v>
      </x:c>
      <x:c r="J5" s="29" t="n">
        <x:v>0.43941793477013474</x:v>
      </x:c>
      <x:c r="K5" s="35" t="n">
        <x:v>11487</x:v>
      </x:c>
      <x:c r="L5" s="35" t="n">
        <x:v>51088</x:v>
      </x:c>
      <x:c r="M5" s="35" t="n">
        <x:v>5546</x:v>
      </x:c>
      <x:c r="N5" s="35" t="n">
        <x:v>62575</x:v>
      </x:c>
      <x:c r="O5" s="70" t="n">
        <x:v>148.98809523809524</x:v>
      </x:c>
      <x:c r="P5" s="70" t="n">
        <x:v>286.04999999999995</x:v>
      </x:c>
      <x:c r="Q5" s="35" t="n">
        <x:v>348</x:v>
      </x:c>
    </x:row>
    <x:row r="6" ht="15" hidden="0" customHeight="1">
      <x:c r="A6" s="27" t="str">
        <x:v>empty</x:v>
      </x:c>
      <x:c r="B6" s="27" t="str">
        <x:v>baseline</x:v>
      </x:c>
      <x:c r="C6" s="27" t="str">
        <x:v>fixed_recall_no_k</x:v>
      </x:c>
      <x:c r="D6" s="68" t="b">
        <x:v>0</x:v>
      </x:c>
      <x:c r="E6" s="30" t="n">
        <x:v>0.02784339175111117</x:v>
      </x:c>
      <x:c r="F6" s="30" t="n">
        <x:v>0.24776545765886718</x:v>
      </x:c>
      <x:c r="G6" s="33" t="n">
        <x:v>8.89853721391466</x:v>
      </x:c>
      <x:c r="H6" s="30" t="n">
        <x:v>0.17202378418266706</x:v>
      </x:c>
      <x:c r="I6" s="30" t="n">
        <x:v>0.7116773322374215</x:v>
      </x:c>
      <x:c r="J6" s="30" t="n">
        <x:v>0.43730474245845924</x:v>
      </x:c>
      <x:c r="K6" s="36" t="n">
        <x:v>12122</x:v>
      </x:c>
      <x:c r="L6" s="36" t="n">
        <x:v>58345</x:v>
      </x:c>
      <x:c r="M6" s="36" t="n">
        <x:v>4911</x:v>
      </x:c>
      <x:c r="N6" s="36" t="n">
        <x:v>70467</x:v>
      </x:c>
      <x:c r="O6" s="71" t="n">
        <x:v>167.77857142857144</x:v>
      </x:c>
      <x:c r="P6" s="71" t="n">
        <x:v>303.0999999999999</x:v>
      </x:c>
      <x:c r="Q6" s="36" t="n">
        <x:v>360</x:v>
      </x:c>
    </x:row>
    <x:row r="7" ht="15" hidden="0" customHeight="1">
      <x:c r="A7" s="27" t="str">
        <x:v>empty</x:v>
      </x:c>
      <x:c r="B7" s="27" t="str">
        <x:v>positive_2</x:v>
      </x:c>
      <x:c r="C7" s="27" t="str">
        <x:v>f2_no_k</x:v>
      </x:c>
      <x:c r="D7" s="68" t="b">
        <x:v>0</x:v>
      </x:c>
      <x:c r="E7" s="30" t="n">
        <x:v>0.02784339175111117</x:v>
      </x:c>
      <x:c r="F7" s="30" t="n">
        <x:v>0.2491483001791999</x:v>
      </x:c>
      <x:c r="G7" s="33" t="n">
        <x:v>8.948202230759366</x:v>
      </x:c>
      <x:c r="H7" s="30" t="n">
        <x:v>0.16638117324619195</x:v>
      </x:c>
      <x:c r="I7" s="30" t="n">
        <x:v>0.7413256619503317</x:v>
      </x:c>
      <x:c r="J7" s="30" t="n">
        <x:v>0.4383644392601233</x:v>
      </x:c>
      <x:c r="K7" s="36" t="n">
        <x:v>12627</x:v>
      </x:c>
      <x:c r="L7" s="36" t="n">
        <x:v>63265</x:v>
      </x:c>
      <x:c r="M7" s="36" t="n">
        <x:v>4406</x:v>
      </x:c>
      <x:c r="N7" s="36" t="n">
        <x:v>75892</x:v>
      </x:c>
      <x:c r="O7" s="71" t="n">
        <x:v>180.6952380952381</x:v>
      </x:c>
      <x:c r="P7" s="71" t="n">
        <x:v>318.04999999999995</x:v>
      </x:c>
      <x:c r="Q7" s="36" t="n">
        <x:v>374</x:v>
      </x:c>
    </x:row>
    <x:row r="8" ht="15" hidden="0" customHeight="1">
      <x:c r="A8" s="27" t="str">
        <x:v>empty</x:v>
      </x:c>
      <x:c r="B8" s="27" t="str">
        <x:v>positive_2</x:v>
      </x:c>
      <x:c r="C8" s="27" t="str">
        <x:v>fixed_recall_no_k</x:v>
      </x:c>
      <x:c r="D8" s="68" t="b">
        <x:v>1</x:v>
      </x:c>
      <x:c r="E8" s="30" t="n">
        <x:v>0.02784339175111117</x:v>
      </x:c>
      <x:c r="F8" s="30" t="n">
        <x:v>0.2491483001791999</x:v>
      </x:c>
      <x:c r="G8" s="33" t="n">
        <x:v>8.948202230759366</x:v>
      </x:c>
      <x:c r="H8" s="30" t="n">
        <x:v>0.1770446917505741</x:v>
      </x:c>
      <x:c r="I8" s="30" t="n">
        <x:v>0.706099923677567</x:v>
      </x:c>
      <x:c r="J8" s="30" t="n">
        <x:v>0.44196113593603015</x:v>
      </x:c>
      <x:c r="K8" s="36" t="n">
        <x:v>12027</x:v>
      </x:c>
      <x:c r="L8" s="36" t="n">
        <x:v>55905</x:v>
      </x:c>
      <x:c r="M8" s="36" t="n">
        <x:v>5006</x:v>
      </x:c>
      <x:c r="N8" s="36" t="n">
        <x:v>67932</x:v>
      </x:c>
      <x:c r="O8" s="71" t="n">
        <x:v>161.74285714285713</x:v>
      </x:c>
      <x:c r="P8" s="71" t="n">
        <x:v>300</x:v>
      </x:c>
      <x:c r="Q8" s="36" t="n">
        <x:v>358</x:v>
      </x:c>
    </x:row>
    <x:row r="9" ht="15" hidden="0" customHeight="1">
      <x:c r="A9" s="27" t="str">
        <x:v>full</x:v>
      </x:c>
      <x:c r="B9" s="27" t="str">
        <x:v>baseline</x:v>
      </x:c>
      <x:c r="C9" s="27" t="str">
        <x:v>f2_no_k</x:v>
      </x:c>
      <x:c r="D9" s="68" t="b">
        <x:v>0</x:v>
      </x:c>
      <x:c r="E9" s="30" t="n">
        <x:v>0.004704589999395171</x:v>
      </x:c>
      <x:c r="F9" s="30" t="n">
        <x:v>0.08881289933290253</x:v>
      </x:c>
      <x:c r="G9" s="33" t="n">
        <x:v>18.877925460947807</x:v>
      </x:c>
      <x:c r="H9" s="30" t="n">
        <x:v>0.08399481193255512</x:v>
      </x:c>
      <x:c r="I9" s="30" t="n">
        <x:v>0.5625434329395413</x:v>
      </x:c>
      <x:c r="J9" s="30" t="n">
        <x:v>0.26293565465943414</x:v>
      </x:c>
      <x:c r="K9" s="36" t="n">
        <x:v>1619</x:v>
      </x:c>
      <x:c r="L9" s="36" t="n">
        <x:v>17656</x:v>
      </x:c>
      <x:c r="M9" s="36" t="n">
        <x:v>1259</x:v>
      </x:c>
      <x:c r="N9" s="36" t="n">
        <x:v>19275</x:v>
      </x:c>
      <x:c r="O9" s="71" t="n">
        <x:v>45.892857142857146</x:v>
      </x:c>
      <x:c r="P9" s="71" t="n">
        <x:v>77</x:v>
      </x:c>
      <x:c r="Q9" s="36" t="n">
        <x:v>95</x:v>
      </x:c>
    </x:row>
    <x:row r="10" ht="15" hidden="0" customHeight="1">
      <x:c r="A10" s="28" t="str">
        <x:v>full</x:v>
      </x:c>
      <x:c r="B10" s="28" t="str">
        <x:v>baseline</x:v>
      </x:c>
      <x:c r="C10" s="28" t="str">
        <x:v>fixed_recall_no_k</x:v>
      </x:c>
      <x:c r="D10" s="69" t="b">
        <x:v>1</x:v>
      </x:c>
      <x:c r="E10" s="31" t="n">
        <x:v>0.004704589999395171</x:v>
      </x:c>
      <x:c r="F10" s="31" t="n">
        <x:v>0.08881289933290253</x:v>
      </x:c>
      <x:c r="G10" s="34" t="n">
        <x:v>18.877925460947807</x:v>
      </x:c>
      <x:c r="H10" s="31" t="n">
        <x:v>0.07139643017849108</x:v>
      </x:c>
      <x:c r="I10" s="31" t="n">
        <x:v>0.6615705350938151</x:v>
      </x:c>
      <x:c r="J10" s="31" t="n">
        <x:v>0.24934520691461498</x:v>
      </x:c>
      <x:c r="K10" s="37" t="n">
        <x:v>1904</x:v>
      </x:c>
      <x:c r="L10" s="37" t="n">
        <x:v>24764</x:v>
      </x:c>
      <x:c r="M10" s="37" t="n">
        <x:v>974</x:v>
      </x:c>
      <x:c r="N10" s="37" t="n">
        <x:v>26668</x:v>
      </x:c>
      <x:c r="O10" s="72" t="n">
        <x:v>63.49523809523809</x:v>
      </x:c>
      <x:c r="P10" s="72" t="n">
        <x:v>102</x:v>
      </x:c>
      <x:c r="Q10" s="37" t="n">
        <x:v>121</x:v>
      </x:c>
    </x:row>
    <x:row r="11"/>
    <x:row r="12"/>
    <x:row r="13"/>
    <x:row r="14" ht="26.399999618530273" hidden="0" customHeight="1">
      <x:c r="A14" s="49" t="str">
        <x:v>五月確認期</x:v>
      </x:c>
      <x:c r="B14" s="50" t="str">
        <x:v>event</x:v>
      </x:c>
      <x:c r="C14" s="50" t="str">
        <x:v>method</x:v>
      </x:c>
      <x:c r="D14" s="50" t="str">
        <x:v>policy</x:v>
      </x:c>
      <x:c r="E14" s="50" t="str">
        <x:v>precision</x:v>
      </x:c>
      <x:c r="F14" s="50" t="str">
        <x:v>recall</x:v>
      </x:c>
      <x:c r="G14" s="50" t="str">
        <x:v>f2</x:v>
      </x:c>
      <x:c r="H14" s="51" t="str">
        <x:v>mean alerts/decision</x:v>
      </x:c>
    </x:row>
    <x:row r="15" ht="15" hidden="0" customHeight="1">
      <x:c r="A15" t="str">
        <x:v>2026-05-21~31</x:v>
      </x:c>
      <x:c r="B15" t="str">
        <x:v>empty</x:v>
      </x:c>
      <x:c r="C15" t="str">
        <x:v>baseline</x:v>
      </x:c>
      <x:c r="D15" t="str">
        <x:v>fixed_recall_no_k</x:v>
      </x:c>
      <x:c r="E15" s="52" t="n">
        <x:v>0.19715329871129064</x:v>
      </x:c>
      <x:c r="F15" s="52" t="n">
        <x:v>0.6946013101423085</x:v>
      </x:c>
      <x:c r="G15" s="52" t="n">
        <x:v>0.46164239603663104</x:v>
      </x:c>
      <x:c r="H15" s="73" t="n">
        <x:v>202.55844155844156</x:v>
      </x:c>
    </x:row>
    <x:row r="16" ht="15" hidden="0" customHeight="1">
      <x:c r="A16" t="str">
        <x:v>2026-05-21~31</x:v>
      </x:c>
      <x:c r="B16" t="str">
        <x:v>empty</x:v>
      </x:c>
      <x:c r="C16" t="str">
        <x:v>baseline</x:v>
      </x:c>
      <x:c r="D16" t="str">
        <x:v>f2_no_k</x:v>
      </x:c>
      <x:c r="E16" s="52" t="n">
        <x:v>0.20886551465063863</x:v>
      </x:c>
      <x:c r="F16" s="52" t="n">
        <x:v>0.6593629997741134</x:v>
      </x:c>
      <x:c r="G16" s="52" t="n">
        <x:v>0.460649865071725</x:v>
      </x:c>
      <x:c r="H16" s="73" t="n">
        <x:v>181.5</x:v>
      </x:c>
    </x:row>
    <x:row r="17" ht="15" hidden="0" customHeight="1">
      <x:c r="A17" t="str">
        <x:v>2026-05-21~31</x:v>
      </x:c>
      <x:c r="B17" t="str">
        <x:v>empty</x:v>
      </x:c>
      <x:c r="C17" t="str">
        <x:v>positive_2</x:v>
      </x:c>
      <x:c r="D17" t="str">
        <x:v>fixed_recall_no_k</x:v>
      </x:c>
      <x:c r="E17" s="52" t="n">
        <x:v>0.20146144689855838</x:v>
      </x:c>
      <x:c r="F17" s="52" t="n">
        <x:v>0.6881635419019652</x:v>
      </x:c>
      <x:c r="G17" s="52" t="n">
        <x:v>0.46398111483399324</x:v>
      </x:c>
      <x:c r="H17" s="73" t="n">
        <x:v>196.3896103896104</x:v>
      </x:c>
    </x:row>
    <x:row r="18" ht="15" hidden="0" customHeight="1">
      <x:c r="A18" t="str">
        <x:v>2026-05-21~31</x:v>
      </x:c>
      <x:c r="B18" t="str">
        <x:v>empty</x:v>
      </x:c>
      <x:c r="C18" t="str">
        <x:v>positive_2</x:v>
      </x:c>
      <x:c r="D18" t="str">
        <x:v>f2_no_k</x:v>
      </x:c>
      <x:c r="E18" s="52" t="n">
        <x:v>0.1901668653158522</x:v>
      </x:c>
      <x:c r="F18" s="52" t="n">
        <x:v>0.7208041563135306</x:v>
      </x:c>
      <x:c r="G18" s="52" t="n">
        <x:v>0.46262468104848053</x:v>
      </x:c>
      <x:c r="H18" s="73" t="n">
        <x:v>217.92207792207793</x:v>
      </x:c>
    </x:row>
    <x:row r="19" ht="15" hidden="0" customHeight="1">
      <x:c r="A19" t="str">
        <x:v>2026-05-21~31</x:v>
      </x:c>
      <x:c r="B19" t="str">
        <x:v>full</x:v>
      </x:c>
      <x:c r="C19" t="str">
        <x:v>baseline</x:v>
      </x:c>
      <x:c r="D19" t="str">
        <x:v>fixed_recall_no_k</x:v>
      </x:c>
      <x:c r="E19" s="52" t="n">
        <x:v>0.08583574529667148</x:v>
      </x:c>
      <x:c r="F19" s="52" t="n">
        <x:v>0.639487870619946</x:v>
      </x:c>
      <x:c r="G19" s="52" t="n">
        <x:v>0.2792490583804143</x:v>
      </x:c>
      <x:c r="H19" s="73" t="n">
        <x:v>71.79220779220779</x:v>
      </x:c>
    </x:row>
    <x:row r="20" ht="15" hidden="0" customHeight="1">
      <x:c r="A20" t="str">
        <x:v>2026-05-21~31</x:v>
      </x:c>
      <x:c r="B20" t="str">
        <x:v>full</x:v>
      </x:c>
      <x:c r="C20" t="str">
        <x:v>baseline</x:v>
      </x:c>
      <x:c r="D20" t="str">
        <x:v>f2_no_k</x:v>
      </x:c>
      <x:c r="E20" s="52" t="n">
        <x:v>0.0971456572338601</x:v>
      </x:c>
      <x:c r="F20" s="52" t="n">
        <x:v>0.534366576819407</x:v>
      </x:c>
      <x:c r="G20" s="52" t="n">
        <x:v>0.28122561883821545</x:v>
      </x:c>
      <x:c r="H20" s="73" t="n">
        <x:v>53.006493506493506</x:v>
      </x:c>
    </x:row>
  </x:sheetData>
  <x:mergeCells>
    <x:mergeCell ref="A1:Q1"/>
    <x:mergeCell ref="A2:Q2"/>
  </x:mergeCells>
  <x:conditionalFormatting sqref="D5:D10">
    <x:cfRule type="cellIs" dxfId="1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7ff7ea6234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0" hidden="0" customWidth="1"/>
    <x:col min="15" max="15" width="18" hidden="0" customWidth="1"/>
  </x:cols>
  <x:sheetData>
    <x:row r="1" ht="15" hidden="0" customHeight="1">
      <x:c r="A1" s="4" t="str">
        <x:v>事件去重｜第一則警示與 Episode any-hit 分開解讀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5" hidden="0" customHeight="1">
      <x:c r="A2" s="7" t="str">
        <x:v>First-alert Precision 比 Episode any-hit 更嚴格；後者只要同一段連續警示曾命中一次就算命中。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/>
    <x:row r="4" ht="26.399999618530273" hidden="0" customHeight="1">
      <x:c r="A4" s="19" t="str">
        <x:v>event</x:v>
      </x:c>
      <x:c r="B4" s="20" t="str">
        <x:v>method</x:v>
      </x:c>
      <x:c r="C4" s="20" t="str">
        <x:v>policy_id</x:v>
      </x:c>
      <x:c r="D4" s="20" t="str">
        <x:v>selected_for_primary</x:v>
      </x:c>
      <x:c r="E4" s="20" t="str">
        <x:v>alert_snapshots</x:v>
      </x:c>
      <x:c r="F4" s="20" t="str">
        <x:v>alert_episodes</x:v>
      </x:c>
      <x:c r="G4" s="20" t="str">
        <x:v>first_alert_precision</x:v>
      </x:c>
      <x:c r="H4" s="20" t="str">
        <x:v>episode_any_hit_precision</x:v>
      </x:c>
      <x:c r="I4" s="20" t="str">
        <x:v>near_miss_1_share</x:v>
      </x:c>
      <x:c r="J4" s="20" t="str">
        <x:v>near_miss_2_share</x:v>
      </x:c>
      <x:c r="K4" s="20" t="str">
        <x:v>dedup_reduction</x:v>
      </x:c>
      <x:c r="L4" s="20" t="str">
        <x:v>actual_event_episodes</x:v>
      </x:c>
      <x:c r="M4" s="20" t="str">
        <x:v>covered_actual_event_episodes</x:v>
      </x:c>
      <x:c r="N4" s="20" t="str">
        <x:v>unique_event_coverage</x:v>
      </x:c>
      <x:c r="O4" s="21" t="str">
        <x:v>episodes_per_day</x:v>
      </x:c>
    </x:row>
    <x:row r="5" ht="15" hidden="0" customHeight="1">
      <x:c r="A5" s="26" t="str">
        <x:v>empty</x:v>
      </x:c>
      <x:c r="B5" s="26" t="str">
        <x:v>baseline</x:v>
      </x:c>
      <x:c r="C5" s="26" t="str">
        <x:v>fixed_recall_no_k</x:v>
      </x:c>
      <x:c r="D5" s="67" t="b">
        <x:v>0</x:v>
      </x:c>
      <x:c r="E5" s="35" t="n">
        <x:v>70467</x:v>
      </x:c>
      <x:c r="F5" s="35" t="n">
        <x:v>41469</x:v>
      </x:c>
      <x:c r="G5" s="29" t="n">
        <x:v>0.16118064096071766</x:v>
      </x:c>
      <x:c r="H5" s="29" t="n">
        <x:v>0.2923147411319299</x:v>
      </x:c>
      <x:c r="I5" s="29" t="n">
        <x:v>0.22197304010224506</x:v>
      </x:c>
      <x:c r="J5" s="29" t="n">
        <x:v>0.18259422701294944</x:v>
      </x:c>
      <x:c r="K5" s="29" t="n">
        <x:v>0.4115117714674954</x:v>
      </x:c>
      <x:c r="L5" s="35" t="n">
        <x:v>17033</x:v>
      </x:c>
      <x:c r="M5" s="35" t="n">
        <x:v>12122</x:v>
      </x:c>
      <x:c r="N5" s="29" t="n">
        <x:v>0.7116773322374215</x:v>
      </x:c>
      <x:c r="O5" s="70" t="n">
        <x:v>1382.3</x:v>
      </x:c>
    </x:row>
    <x:row r="6" ht="15" hidden="0" customHeight="1">
      <x:c r="A6" s="27" t="str">
        <x:v>empty</x:v>
      </x:c>
      <x:c r="B6" s="27" t="str">
        <x:v>baseline</x:v>
      </x:c>
      <x:c r="C6" s="27" t="str">
        <x:v>f2_no_k</x:v>
      </x:c>
      <x:c r="D6" s="68" t="b">
        <x:v>0</x:v>
      </x:c>
      <x:c r="E6" s="36" t="n">
        <x:v>62575</x:v>
      </x:c>
      <x:c r="F6" s="36" t="n">
        <x:v>38040</x:v>
      </x:c>
      <x:c r="G6" s="30" t="n">
        <x:v>0.1730546792849632</x:v>
      </x:c>
      <x:c r="H6" s="30" t="n">
        <x:v>0.30197160883280755</x:v>
      </x:c>
      <x:c r="I6" s="30" t="n">
        <x:v>0.23120399579390116</x:v>
      </x:c>
      <x:c r="J6" s="30" t="n">
        <x:v>0.1825446898002103</x:v>
      </x:c>
      <x:c r="K6" s="30" t="n">
        <x:v>0.3920894926088694</x:v>
      </x:c>
      <x:c r="L6" s="36" t="n">
        <x:v>17033</x:v>
      </x:c>
      <x:c r="M6" s="36" t="n">
        <x:v>11487</x:v>
      </x:c>
      <x:c r="N6" s="30" t="n">
        <x:v>0.6743967592320789</x:v>
      </x:c>
      <x:c r="O6" s="71" t="n">
        <x:v>1268</x:v>
      </x:c>
    </x:row>
    <x:row r="7" ht="15" hidden="0" customHeight="1">
      <x:c r="A7" s="27" t="str">
        <x:v>empty</x:v>
      </x:c>
      <x:c r="B7" s="27" t="str">
        <x:v>positive_2</x:v>
      </x:c>
      <x:c r="C7" s="27" t="str">
        <x:v>fixed_recall_no_k</x:v>
      </x:c>
      <x:c r="D7" s="68" t="b">
        <x:v>1</x:v>
      </x:c>
      <x:c r="E7" s="36" t="n">
        <x:v>67932</x:v>
      </x:c>
      <x:c r="F7" s="36" t="n">
        <x:v>40242</x:v>
      </x:c>
      <x:c r="G7" s="30" t="n">
        <x:v>0.16614482381591372</x:v>
      </x:c>
      <x:c r="H7" s="30" t="n">
        <x:v>0.2988668555240793</x:v>
      </x:c>
      <x:c r="I7" s="30" t="n">
        <x:v>0.22546096118483178</x:v>
      </x:c>
      <x:c r="J7" s="30" t="n">
        <x:v>0.18291834401868695</x:v>
      </x:c>
      <x:c r="K7" s="30" t="n">
        <x:v>0.4076134958487899</x:v>
      </x:c>
      <x:c r="L7" s="36" t="n">
        <x:v>17033</x:v>
      </x:c>
      <x:c r="M7" s="36" t="n">
        <x:v>12027</x:v>
      </x:c>
      <x:c r="N7" s="30" t="n">
        <x:v>0.706099923677567</x:v>
      </x:c>
      <x:c r="O7" s="71" t="n">
        <x:v>1341.4</x:v>
      </x:c>
    </x:row>
    <x:row r="8" ht="15" hidden="0" customHeight="1">
      <x:c r="A8" s="27" t="str">
        <x:v>empty</x:v>
      </x:c>
      <x:c r="B8" s="27" t="str">
        <x:v>positive_2</x:v>
      </x:c>
      <x:c r="C8" s="27" t="str">
        <x:v>f2_no_k</x:v>
      </x:c>
      <x:c r="D8" s="68" t="b">
        <x:v>0</x:v>
      </x:c>
      <x:c r="E8" s="36" t="n">
        <x:v>75892</x:v>
      </x:c>
      <x:c r="F8" s="36" t="n">
        <x:v>43347</x:v>
      </x:c>
      <x:c r="G8" s="30" t="n">
        <x:v>0.15560477080305443</x:v>
      </x:c>
      <x:c r="H8" s="30" t="n">
        <x:v>0.2913004360163333</x:v>
      </x:c>
      <x:c r="I8" s="30" t="n">
        <x:v>0.216070316284864</x:v>
      </x:c>
      <x:c r="J8" s="30" t="n">
        <x:v>0.18218100445244192</x:v>
      </x:c>
      <x:c r="K8" s="30" t="n">
        <x:v>0.42883307858535813</x:v>
      </x:c>
      <x:c r="L8" s="36" t="n">
        <x:v>17033</x:v>
      </x:c>
      <x:c r="M8" s="36" t="n">
        <x:v>12627</x:v>
      </x:c>
      <x:c r="N8" s="30" t="n">
        <x:v>0.7413256619503317</x:v>
      </x:c>
      <x:c r="O8" s="71" t="n">
        <x:v>1444.9</x:v>
      </x:c>
    </x:row>
    <x:row r="9" ht="15" hidden="0" customHeight="1">
      <x:c r="A9" s="27" t="str">
        <x:v>full</x:v>
      </x:c>
      <x:c r="B9" s="27" t="str">
        <x:v>baseline</x:v>
      </x:c>
      <x:c r="C9" s="27" t="str">
        <x:v>fixed_recall_no_k</x:v>
      </x:c>
      <x:c r="D9" s="68" t="b">
        <x:v>1</x:v>
      </x:c>
      <x:c r="E9" s="36" t="n">
        <x:v>26668</x:v>
      </x:c>
      <x:c r="F9" s="36" t="n">
        <x:v>16536</x:v>
      </x:c>
      <x:c r="G9" s="30" t="n">
        <x:v>0.06833575229801644</x:v>
      </x:c>
      <x:c r="H9" s="30" t="n">
        <x:v>0.11514271891630382</x:v>
      </x:c>
      <x:c r="I9" s="30" t="n">
        <x:v>0.09222302854378327</x:v>
      </x:c>
      <x:c r="J9" s="30" t="n">
        <x:v>0.11883164005805515</x:v>
      </x:c>
      <x:c r="K9" s="30" t="n">
        <x:v>0.37993100344982755</x:v>
      </x:c>
      <x:c r="L9" s="36" t="n">
        <x:v>2878</x:v>
      </x:c>
      <x:c r="M9" s="36" t="n">
        <x:v>1904</x:v>
      </x:c>
      <x:c r="N9" s="30" t="n">
        <x:v>0.6615705350938151</x:v>
      </x:c>
      <x:c r="O9" s="71" t="n">
        <x:v>551.2</x:v>
      </x:c>
    </x:row>
    <x:row r="10" ht="15" hidden="0" customHeight="1">
      <x:c r="A10" s="28" t="str">
        <x:v>full</x:v>
      </x:c>
      <x:c r="B10" s="28" t="str">
        <x:v>baseline</x:v>
      </x:c>
      <x:c r="C10" s="28" t="str">
        <x:v>f2_no_k</x:v>
      </x:c>
      <x:c r="D10" s="69" t="b">
        <x:v>0</x:v>
      </x:c>
      <x:c r="E10" s="37" t="n">
        <x:v>19275</x:v>
      </x:c>
      <x:c r="F10" s="37" t="n">
        <x:v>13547</x:v>
      </x:c>
      <x:c r="G10" s="31" t="n">
        <x:v>0.08016535026205064</x:v>
      </x:c>
      <x:c r="H10" s="31" t="n">
        <x:v>0.11950985458034989</x:v>
      </x:c>
      <x:c r="I10" s="31" t="n">
        <x:v>0.10799438990182328</x:v>
      </x:c>
      <x:c r="J10" s="31" t="n">
        <x:v>0.12858935557688048</x:v>
      </x:c>
      <x:c r="K10" s="31" t="n">
        <x:v>0.2971725032425422</x:v>
      </x:c>
      <x:c r="L10" s="37" t="n">
        <x:v>2878</x:v>
      </x:c>
      <x:c r="M10" s="37" t="n">
        <x:v>1619</x:v>
      </x:c>
      <x:c r="N10" s="31" t="n">
        <x:v>0.5625434329395413</x:v>
      </x:c>
      <x:c r="O10" s="72" t="n">
        <x:v>451.56666666666666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a362d65271d43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4" hidden="0" customWidth="1"/>
  </x:cols>
  <x:sheetData>
    <x:row r="1" ht="15" hidden="0" customHeight="1">
      <x:c r="A1" s="4" t="str">
        <x:v>實驗設計、凍結順序與限制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19" t="str">
        <x:v>項目</x:v>
      </x:c>
      <x:c r="B3" s="21" t="str">
        <x:v>定義／做法</x:v>
      </x:c>
    </x:row>
    <x:row r="4" ht="15" hidden="0" customHeight="1">
      <x:c r="A4" s="77" t="str">
        <x:v>問題</x:v>
      </x:c>
      <x:c r="B4" s="80" t="str">
        <x:v>30 分鐘後新進入 0 台可借或 0 空位可還的風險</x:v>
      </x:c>
    </x:row>
    <x:row r="5" ht="26.399999618530273" hidden="0" customHeight="1">
      <x:c r="A5" s="78" t="str">
        <x:v>資料切分</x:v>
      </x:c>
      <x:c r="B5" s="81" t="str">
        <x:v>Jan→Feb、Jan–Feb→Mar、Jan–Mar→Apr；May 1–14 校正；May 15–20 門檻；May 21–31 開發確認；June 凍結回顧</x:v>
      </x:c>
    </x:row>
    <x:row r="6" ht="15" hidden="0" customHeight="1">
      <x:c r="A6" s="78" t="str">
        <x:v>標籤候選</x:v>
      </x:c>
      <x:c r="B6" s="81" t="str">
        <x:v>0、≤1、≤2、≤5%容量且至少1台／位；當下兩側都必須高於相同門檻</x:v>
      </x:c>
    </x:row>
    <x:row r="7" ht="15" hidden="0" customHeight="1">
      <x:c r="A7" s="78" t="str">
        <x:v>公平比較</x:v>
      </x:c>
      <x:c r="B7" s="81" t="str">
        <x:v>不同訓練標籤一律回到 common population 的 exact-zero outcome 評分</x:v>
      </x:c>
    </x:row>
    <x:row r="8" ht="26.399999618530273" hidden="0" customHeight="1">
      <x:c r="A8" s="78" t="str">
        <x:v>權重候選</x:v>
      </x:c>
      <x:c r="B8" s="81" t="str">
        <x:v>baseline、正例2/4倍、OOF困難負例2/4倍、combined 2/4倍；同一折使用同一批樣本</x:v>
      </x:c>
    </x:row>
    <x:row r="9" ht="26.399999618530273" hidden="0" customHeight="1">
      <x:c r="A9" s="78" t="str">
        <x:v>困難負例</x:v>
      </x:c>
      <x:c r="B9" s="81" t="str">
        <x:v>由只看過更早月份的 baseline 模型評分；每月負例中取最高分 N 筆，N=該月正例數</x:v>
      </x:c>
    </x:row>
    <x:row r="10" ht="26.399999618530273" hidden="0" customHeight="1">
      <x:c r="A10" s="78" t="str">
        <x:v>選模規則</x:v>
      </x:c>
      <x:c r="B10" s="81" t="str">
        <x:v>至少2/3折固定Recall Precision勝過baseline，mean AP≥baseline 99.5%，worst AP≥baseline 98%</x:v>
      </x:c>
    </x:row>
    <x:row r="11" ht="15" hidden="0" customHeight="1">
      <x:c r="A11" s="78" t="str">
        <x:v>主政策</x:v>
      </x:c>
      <x:c r="B11" s="81" t="str">
        <x:v>May凍結 fixed-recall 機率門檻；所有超過門檻的站點皆回報，不設Top-K</x:v>
      </x:c>
    </x:row>
    <x:row r="12" ht="15" hidden="0" customHeight="1">
      <x:c r="A12" s="78" t="str">
        <x:v>缺車主模型</x:v>
      </x:c>
      <x:c r="B12" s="81" t="str">
        <x:v>zero + positive_2</x:v>
      </x:c>
    </x:row>
    <x:row r="13" ht="15" hidden="0" customHeight="1">
      <x:c r="A13" s="78" t="str">
        <x:v>滿柱主模型</x:v>
      </x:c>
      <x:c r="B13" s="81" t="str">
        <x:v>zero + baseline</x:v>
      </x:c>
    </x:row>
    <x:row r="14" ht="15" hidden="0" customHeight="1">
      <x:c r="A14" s="78" t="str">
        <x:v>缺車凍結門檻</x:v>
      </x:c>
      <x:c r="B14" s="83" t="n">
        <x:v>0.0922001302242279</x:v>
      </x:c>
    </x:row>
    <x:row r="15" ht="15" hidden="0" customHeight="1">
      <x:c r="A15" s="78" t="str">
        <x:v>滿柱凍結門檻</x:v>
      </x:c>
      <x:c r="B15" s="83" t="n">
        <x:v>0.03993334621191025</x:v>
      </x:c>
    </x:row>
    <x:row r="16" ht="26.399999618530273" hidden="0" customHeight="1">
      <x:c r="A16" s="78" t="str">
        <x:v>已知限制</x:v>
      </x:c>
      <x:c r="B16" s="81" t="str">
        <x:v>未加入天氣、節慶、活動、捷運人流與官方運補紀錄；歷史快照也無法辨識全部介入原因</x:v>
      </x:c>
    </x:row>
    <x:row r="17" ht="26.399999618530273" hidden="0" customHeight="1">
      <x:c r="A17" s="79" t="str">
        <x:v>結論邊界</x:v>
      </x:c>
      <x:c r="B17" s="82" t="str">
        <x:v>June只用於回顧，不能因六月結果再挑標籤、權重或門檻；新增政策需標成後續實驗</x:v>
      </x:c>
    </x:row>
    <x:row r="18"/>
    <x:row r="19"/>
    <x:row r="20"/>
    <x:row r="21" ht="15" hidden="0" customHeight="1">
      <x:c r="A21" s="49" t="str">
        <x:v>event</x:v>
      </x:c>
      <x:c r="B21" s="50" t="str">
        <x:v>month</x:v>
      </x:c>
      <x:c r="C21" s="50" t="str">
        <x:v>hard negatives</x:v>
      </x:c>
      <x:c r="D21" s="50" t="str">
        <x:v>近失衡≤1占比</x:v>
      </x:c>
      <x:c r="E21" s="50" t="str">
        <x:v>近失衡≤2占比</x:v>
      </x:c>
      <x:c r="F21" s="50" t="str">
        <x:v>距離中位數</x:v>
      </x:c>
      <x:c r="G21" s="50" t="str">
        <x:v>距離P90</x:v>
      </x:c>
      <x:c r="H21" s="51" t="str">
        <x:v>解讀</x:v>
      </x:c>
    </x:row>
    <x:row r="22" ht="15" hidden="0" customHeight="1">
      <x:c r="A22" s="26" t="str">
        <x:v>empty</x:v>
      </x:c>
      <x:c r="B22" s="26" t="n">
        <x:v>2</x:v>
      </x:c>
      <x:c r="C22" s="35" t="n">
        <x:v>34082</x:v>
      </x:c>
      <x:c r="D22" s="84" t="n">
        <x:v>0.5813039140895487</x:v>
      </x:c>
      <x:c r="E22" s="84" t="n">
        <x:v>0.7569684877648025</x:v>
      </x:c>
      <x:c r="F22" s="87" t="n">
        <x:v>1</x:v>
      </x:c>
      <x:c r="G22" s="87" t="n">
        <x:v>7</x:v>
      </x:c>
      <x:c r="H22" s="80" t="str">
        <x:v>大量高分負例其實只差1–2台，不宜重罰</x:v>
      </x:c>
    </x:row>
    <x:row r="23" ht="15" hidden="0" customHeight="1">
      <x:c r="A23" s="27" t="str">
        <x:v>empty</x:v>
      </x:c>
      <x:c r="B23" s="27" t="n">
        <x:v>3</x:v>
      </x:c>
      <x:c r="C23" s="36" t="n">
        <x:v>50361</x:v>
      </x:c>
      <x:c r="D23" s="85" t="n">
        <x:v>0.41315700641369313</x:v>
      </x:c>
      <x:c r="E23" s="85" t="n">
        <x:v>0.6523698893985426</x:v>
      </x:c>
      <x:c r="F23" s="88" t="n">
        <x:v>2</x:v>
      </x:c>
      <x:c r="G23" s="88" t="n">
        <x:v>6</x:v>
      </x:c>
      <x:c r="H23" s="81" t="str">
        <x:v>大量高分負例其實只差1–2台，不宜重罰</x:v>
      </x:c>
    </x:row>
    <x:row r="24" ht="15" hidden="0" customHeight="1">
      <x:c r="A24" s="27" t="str">
        <x:v>empty</x:v>
      </x:c>
      <x:c r="B24" s="27" t="n">
        <x:v>4</x:v>
      </x:c>
      <x:c r="C24" s="36" t="n">
        <x:v>47673</x:v>
      </x:c>
      <x:c r="D24" s="85" t="n">
        <x:v>0.42535607157091015</x:v>
      </x:c>
      <x:c r="E24" s="85" t="n">
        <x:v>0.6598913431082584</x:v>
      </x:c>
      <x:c r="F24" s="88" t="n">
        <x:v>2</x:v>
      </x:c>
      <x:c r="G24" s="88" t="n">
        <x:v>6</x:v>
      </x:c>
      <x:c r="H24" s="81" t="str">
        <x:v>大量高分負例其實只差1–2台，不宜重罰</x:v>
      </x:c>
    </x:row>
    <x:row r="25" ht="15" hidden="0" customHeight="1">
      <x:c r="A25" s="27" t="str">
        <x:v>full</x:v>
      </x:c>
      <x:c r="B25" s="27" t="n">
        <x:v>2</x:v>
      </x:c>
      <x:c r="C25" s="36" t="n">
        <x:v>6741</x:v>
      </x:c>
      <x:c r="D25" s="85" t="n">
        <x:v>0.41284675864115117</x:v>
      </x:c>
      <x:c r="E25" s="85" t="n">
        <x:v>0.6328437917222964</x:v>
      </x:c>
      <x:c r="F25" s="88" t="n">
        <x:v>2</x:v>
      </x:c>
      <x:c r="G25" s="88" t="n">
        <x:v>9</x:v>
      </x:c>
      <x:c r="H25" s="81" t="str">
        <x:v>滿柱高分負例距離稍遠，但加權仍降低CV表現</x:v>
      </x:c>
    </x:row>
    <x:row r="26" ht="15" hidden="0" customHeight="1">
      <x:c r="A26" s="27" t="str">
        <x:v>full</x:v>
      </x:c>
      <x:c r="B26" s="27" t="n">
        <x:v>3</x:v>
      </x:c>
      <x:c r="C26" s="36" t="n">
        <x:v>8123</x:v>
      </x:c>
      <x:c r="D26" s="85" t="n">
        <x:v>0.2206081496983873</x:v>
      </x:c>
      <x:c r="E26" s="85" t="n">
        <x:v>0.38864951372645573</x:v>
      </x:c>
      <x:c r="F26" s="88" t="n">
        <x:v>3</x:v>
      </x:c>
      <x:c r="G26" s="88" t="n">
        <x:v>11</x:v>
      </x:c>
      <x:c r="H26" s="81" t="str">
        <x:v>滿柱高分負例距離稍遠，但加權仍降低CV表現</x:v>
      </x:c>
    </x:row>
    <x:row r="27" ht="15" hidden="0" customHeight="1">
      <x:c r="A27" s="28" t="str">
        <x:v>full</x:v>
      </x:c>
      <x:c r="B27" s="28" t="n">
        <x:v>4</x:v>
      </x:c>
      <x:c r="C27" s="37" t="n">
        <x:v>8109</x:v>
      </x:c>
      <x:c r="D27" s="86" t="n">
        <x:v>0.235910716487853</x:v>
      </x:c>
      <x:c r="E27" s="86" t="n">
        <x:v>0.4088050314465409</x:v>
      </x:c>
      <x:c r="F27" s="89" t="n">
        <x:v>3</x:v>
      </x:c>
      <x:c r="G27" s="89" t="n">
        <x:v>11</x:v>
      </x:c>
      <x:c r="H27" s="82" t="str">
        <x:v>滿柱高分負例距離稍遠，但加權仍降低CV表現</x:v>
      </x:c>
    </x:row>
  </x:sheetData>
  <x:mergeCells>
    <x:mergeCell ref="A1:H1"/>
  </x:mergeCells>
  <x:pageMargins left="0.7" right="0.7" top="0.75" bottom="0.75" header="0.3" footer="0.3"/>
</x:worksheet>
</file>
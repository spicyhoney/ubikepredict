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0.xml" ContentType="application/vnd.openxmlformats-officedocument.drawingml.char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4b13761be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頁結論" sheetId="1" r:id="R2728d397d1564743"/>
    <x:sheet xmlns:r="http://schemas.openxmlformats.org/officeDocument/2006/relationships" name="實驗設計" sheetId="2" r:id="Rcd392842e39f4460"/>
    <x:sheet xmlns:r="http://schemas.openxmlformats.org/officeDocument/2006/relationships" name="跨月CV" sheetId="3" r:id="R6a9cad7f99694acb"/>
    <x:sheet xmlns:r="http://schemas.openxmlformats.org/officeDocument/2006/relationships" name="五月模型" sheetId="4" r:id="R04c4cdd541f04475"/>
    <x:sheet xmlns:r="http://schemas.openxmlformats.org/officeDocument/2006/relationships" name="校正門檻" sheetId="5" r:id="Ra414675fe91a474c"/>
    <x:sheet xmlns:r="http://schemas.openxmlformats.org/officeDocument/2006/relationships" name="TopK總比較" sheetId="6" r:id="R29e58673c5ff4612"/>
    <x:sheet xmlns:r="http://schemas.openxmlformats.org/officeDocument/2006/relationships" name="TopK事件別" sheetId="7" r:id="R1e0c8a190dba48cd"/>
    <x:sheet xmlns:r="http://schemas.openxmlformats.org/officeDocument/2006/relationships" name="每日穩定性" sheetId="8" r:id="Re791d50a6bcf4eb1"/>
    <x:sheet xmlns:r="http://schemas.openxmlformats.org/officeDocument/2006/relationships" name="Episode案例" sheetId="9" r:id="R78b4b5c5089340f2"/>
    <x:sheet xmlns:r="http://schemas.openxmlformats.org/officeDocument/2006/relationships" name="特徵解釋" sheetId="10" r:id="R458b4b5604914e57"/>
    <x:sheet xmlns:r="http://schemas.openxmlformats.org/officeDocument/2006/relationships" name="參數稽核" sheetId="11" r:id="Rcf993381f543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"/>
    <x:numFmt numFmtId="201" formatCode="yyyy-mm-dd hh:mm"/>
    <x:numFmt numFmtId="202" formatCode="0.00%"/>
    <x:numFmt numFmtId="203" formatCode="0.0000"/>
    <x:numFmt numFmtId="204" formatCode="0"/>
    <x:numFmt numFmtId="205" formatCode="0.0x"/>
    <x:numFmt numFmtId="206" formatCode="0.000"/>
    <x:numFmt numFmtId="207" formatCode="0.0%"/>
    <x:numFmt numFmtId="208" formatCode="0%"/>
    <x:numFmt numFmtId="209" formatCode="0.0"/>
    <x:numFmt numFmtId="210" formatCode="yyyy-mm-dd"/>
    <x:numFmt numFmtId="211" formatCode="+0.0000;-0.0000;0.0000"/>
    <x:numFmt numFmtId="212" formatCode="@"/>
  </x:numFmts>
  <x:fonts count="14">
    <x:font>
      <x:sz val="11"/>
      <x:name val="Carlito"/>
    </x:font>
    <x:font>
      <x:sz val="10"/>
      <x:color rgb="FF1F2933"/>
      <x:name val="Microsoft JhengHei"/>
    </x:font>
    <x:font>
      <x:b/>
      <x:sz val="20"/>
      <x:color rgb="FFFFFFFF"/>
      <x:name val="Microsoft JhengHei"/>
    </x:font>
    <x:font>
      <x:sz val="10"/>
      <x:color rgb="FF5B6573"/>
      <x:name val="Microsoft JhengHei"/>
    </x:font>
    <x:font>
      <x:b/>
      <x:sz val="12"/>
      <x:color rgb="FFFFFFFF"/>
      <x:name val="Microsoft JhengHei"/>
    </x:font>
    <x:font>
      <x:i/>
      <x:sz val="10"/>
      <x:color rgb="FF1F2933"/>
      <x:name val="Microsoft JhengHei"/>
    </x:font>
    <x:font>
      <x:b/>
      <x:sz val="10"/>
      <x:color rgb="FFFFFFFF"/>
      <x:name val="Microsoft JhengHei"/>
    </x:font>
    <x:font>
      <x:i/>
      <x:sz val="10"/>
      <x:color rgb="FF5B6573"/>
      <x:name val="Microsoft JhengHei"/>
    </x:font>
    <x:font>
      <x:i/>
      <x:sz val="10"/>
      <x:color rgb="FFC84747"/>
      <x:name val="Microsoft JhengHei"/>
    </x:font>
    <x:font>
      <x:b/>
      <x:sz val="18"/>
      <x:color rgb="FF2A9D8F"/>
      <x:name val="Microsoft JhengHei"/>
    </x:font>
    <x:font>
      <x:b/>
      <x:sz val="18"/>
      <x:color rgb="FF4C78A8"/>
      <x:name val="Microsoft JhengHei"/>
    </x:font>
    <x:font>
      <x:b/>
      <x:sz val="18"/>
      <x:color rgb="FFF4A261"/>
      <x:name val="Microsoft JhengHei"/>
    </x:font>
    <x:font>
      <x:b/>
      <x:sz val="18"/>
      <x:color rgb="FF7A5195"/>
      <x:name val="Microsoft JhengHei"/>
    </x:font>
    <x:font>
      <x:b/>
      <x:sz val="18"/>
      <x:color rgb="FF3F8F5F"/>
      <x:name val="Microsoft Jheng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A9D8F"/>
      </x:patternFill>
    </x:fill>
    <x:fill>
      <x:patternFill patternType="solid">
        <x:fgColor rgb="FFE7F5F2"/>
      </x:patternFill>
    </x:fill>
    <x:fill>
      <x:patternFill patternType="solid">
        <x:fgColor rgb="FF234B6E"/>
      </x:patternFill>
    </x:fill>
    <x:fill>
      <x:patternFill patternType="solid">
        <x:fgColor rgb="FFF4A261"/>
      </x:patternFill>
    </x:fill>
    <x:fill>
      <x:patternFill patternType="solid">
        <x:fgColor rgb="FFFFF1E6"/>
      </x:patternFill>
    </x:fill>
    <x:fill>
      <x:patternFill patternType="solid">
        <x:fgColor rgb="FFF7F9FB"/>
      </x:patternFill>
    </x:fill>
    <x:fill>
      <x:patternFill patternType="solid">
        <x:fgColor rgb="FFFCEBEC"/>
      </x:patternFill>
    </x:fill>
    <x:fill>
      <x:patternFill patternType="solid">
        <x:fgColor rgb="FFFFFFFF"/>
      </x:patternFill>
    </x:fill>
    <x:fill>
      <x:patternFill patternType="solid">
        <x:fgColor rgb="FF4C78A8"/>
      </x:patternFill>
    </x:fill>
    <x:fill>
      <x:patternFill patternType="solid">
        <x:fgColor rgb="FF7A5195"/>
      </x:patternFill>
    </x:fill>
    <x:fill>
      <x:patternFill patternType="solid">
        <x:fgColor rgb="FF3F8F5F"/>
      </x:patternFill>
    </x:fill>
  </x:fills>
  <x:borders count="52">
    <x:border/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4C78A8"/>
      </x:left>
      <x:top style="thin">
        <x:color rgb="FF4C78A8"/>
      </x:top>
    </x:border>
    <x:border>
      <x:top style="thin">
        <x:color rgb="FF4C78A8"/>
      </x:top>
    </x:border>
    <x:border>
      <x:right style="thin">
        <x:color rgb="FF4C78A8"/>
      </x:right>
      <x:top style="thin">
        <x:color rgb="FF4C78A8"/>
      </x:top>
    </x:border>
    <x:border>
      <x:left style="thin">
        <x:color rgb="FF4C78A8"/>
      </x:left>
    </x:border>
    <x:border>
      <x:right style="thin">
        <x:color rgb="FF4C78A8"/>
      </x:right>
    </x:border>
    <x:border>
      <x:left style="thin">
        <x:color rgb="FF4C78A8"/>
      </x:left>
      <x:bottom style="thin">
        <x:color rgb="FF4C78A8"/>
      </x:bottom>
    </x:border>
    <x:border>
      <x:bottom style="thin">
        <x:color rgb="FF4C78A8"/>
      </x:bottom>
    </x:border>
    <x:border>
      <x:right style="thin">
        <x:color rgb="FF4C78A8"/>
      </x:right>
      <x:bottom style="thin">
        <x:color rgb="FF4C78A8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7A5195"/>
      </x:left>
      <x:top style="thin">
        <x:color rgb="FF7A5195"/>
      </x:top>
    </x:border>
    <x:border>
      <x:top style="thin">
        <x:color rgb="FF7A5195"/>
      </x:top>
    </x:border>
    <x:border>
      <x:right style="thin">
        <x:color rgb="FF7A5195"/>
      </x:right>
      <x:top style="thin">
        <x:color rgb="FF7A5195"/>
      </x:top>
    </x:border>
    <x:border>
      <x:left style="thin">
        <x:color rgb="FF7A5195"/>
      </x:left>
    </x:border>
    <x:border>
      <x:right style="thin">
        <x:color rgb="FF7A5195"/>
      </x:right>
    </x:border>
    <x:border>
      <x:left style="thin">
        <x:color rgb="FF7A5195"/>
      </x:left>
      <x:bottom style="thin">
        <x:color rgb="FF7A5195"/>
      </x:bottom>
    </x:border>
    <x:border>
      <x:bottom style="thin">
        <x:color rgb="FF7A5195"/>
      </x:bottom>
    </x:border>
    <x:border>
      <x:right style="thin">
        <x:color rgb="FF7A5195"/>
      </x:right>
      <x:bottom style="thin">
        <x:color rgb="FF7A5195"/>
      </x:bottom>
    </x:border>
    <x:border>
      <x:left style="thin">
        <x:color rgb="FF3F8F5F"/>
      </x:left>
      <x:top style="thin">
        <x:color rgb="FF3F8F5F"/>
      </x:top>
    </x:border>
    <x:border>
      <x:top style="thin">
        <x:color rgb="FF3F8F5F"/>
      </x:top>
    </x:border>
    <x:border>
      <x:right style="thin">
        <x:color rgb="FF3F8F5F"/>
      </x:right>
      <x:top style="thin">
        <x:color rgb="FF3F8F5F"/>
      </x:top>
    </x:border>
    <x:border>
      <x:left style="thin">
        <x:color rgb="FF3F8F5F"/>
      </x:left>
    </x:border>
    <x:border>
      <x:right style="thin">
        <x:color rgb="FF3F8F5F"/>
      </x:right>
    </x:border>
    <x:border>
      <x:left style="thin">
        <x:color rgb="FF3F8F5F"/>
      </x:left>
      <x:bottom style="thin">
        <x:color rgb="FF3F8F5F"/>
      </x:bottom>
    </x:border>
    <x:border>
      <x:bottom style="thin">
        <x:color rgb="FF3F8F5F"/>
      </x:bottom>
    </x:border>
    <x:border>
      <x:right style="thin">
        <x:color rgb="FF3F8F5F"/>
      </x:right>
      <x:bottom style="thin">
        <x:color rgb="FF3F8F5F"/>
      </x:bottom>
    </x:border>
  </x:borders>
  <x:cellStyleXfs count="1">
    <x:xf numFmtId="0" fontId="0" fillId="0" borderId="0"/>
  </x:cellStyleXfs>
  <x:cellXfs count="4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7" fillId="9" borderId="8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/>
    <x:xf numFmtId="0" fontId="1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0" fontId="8" fillId="10" borderId="2" xfId="0" applyNumberFormat="1" applyFont="1" applyFill="1" applyBorder="1"/>
    <x:xf numFmtId="0" fontId="8" fillId="10" borderId="3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8" fillId="10" borderId="6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2" xfId="0" applyNumberFormat="1" applyFont="1" applyFill="1" applyBorder="1" applyAlignment="1">
      <x:alignment wrapText="1"/>
    </x:xf>
    <x:xf numFmtId="0" fontId="8" fillId="10" borderId="3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vertical="center" wrapText="1"/>
    </x:xf>
    <x:xf numFmtId="0" fontId="8" fillId="10" borderId="3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5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8" fillId="10" borderId="7" xfId="0" applyNumberFormat="1" applyFont="1" applyFill="1" applyBorder="1" applyAlignment="1">
      <x:alignment vertical="center" wrapText="1"/>
    </x:xf>
    <x:xf numFmtId="0" fontId="8" fillId="10" borderId="8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11" fontId="1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6" xfId="0" applyNumberFormat="1" applyFont="1" applyFill="1" applyBorder="1"/>
    <x:xf numFmtId="0" fontId="9" fillId="11" borderId="17" xfId="0" applyNumberFormat="1" applyFont="1" applyFill="1" applyBorder="1"/>
    <x:xf numFmtId="0" fontId="9" fillId="11" borderId="18" xfId="0" applyNumberFormat="1" applyFont="1" applyFill="1" applyBorder="1"/>
    <x:xf numFmtId="0" fontId="9" fillId="11" borderId="19" xfId="0" applyNumberFormat="1" applyFont="1" applyFill="1" applyBorder="1"/>
    <x:xf numFmtId="0" fontId="9" fillId="11" borderId="12" xfId="0" applyNumberFormat="1" applyFont="1" applyFill="1" applyBorder="1" applyAlignment="1">
      <x:alignment horizontal="center"/>
    </x:xf>
    <x:xf numFmtId="0" fontId="9" fillId="11" borderId="13" xfId="0" applyNumberFormat="1" applyFont="1" applyFill="1" applyBorder="1" applyAlignment="1">
      <x:alignment horizontal="center"/>
    </x:xf>
    <x:xf numFmtId="0" fontId="9" fillId="11" borderId="14" xfId="0" applyNumberFormat="1" applyFont="1" applyFill="1" applyBorder="1" applyAlignment="1">
      <x:alignment horizontal="center"/>
    </x:xf>
    <x:xf numFmtId="0" fontId="9" fillId="11" borderId="15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 applyAlignment="1">
      <x:alignment horizontal="center"/>
    </x:xf>
    <x:xf numFmtId="0" fontId="9" fillId="11" borderId="16" xfId="0" applyNumberFormat="1" applyFont="1" applyFill="1" applyBorder="1" applyAlignment="1">
      <x:alignment horizontal="center"/>
    </x:xf>
    <x:xf numFmtId="0" fontId="9" fillId="11" borderId="17" xfId="0" applyNumberFormat="1" applyFont="1" applyFill="1" applyBorder="1" applyAlignment="1">
      <x:alignment horizontal="center"/>
    </x:xf>
    <x:xf numFmtId="0" fontId="9" fillId="11" borderId="18" xfId="0" applyNumberFormat="1" applyFont="1" applyFill="1" applyBorder="1" applyAlignment="1">
      <x:alignment horizontal="center"/>
    </x:xf>
    <x:xf numFmtId="0" fontId="9" fillId="11" borderId="19" xfId="0" applyNumberFormat="1" applyFont="1" applyFill="1" applyBorder="1" applyAlignment="1">
      <x:alignment horizontal="center"/>
    </x:xf>
    <x:xf numFmtId="0" fontId="9" fillId="11" borderId="12" xfId="0" applyNumberFormat="1" applyFont="1" applyFill="1" applyBorder="1" applyAlignment="1">
      <x:alignment horizontal="center" vertical="center"/>
    </x:xf>
    <x:xf numFmtId="0" fontId="9" fillId="11" borderId="13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9" fillId="11" borderId="16" xfId="0" applyNumberFormat="1" applyFont="1" applyFill="1" applyBorder="1" applyAlignment="1">
      <x:alignment horizontal="center" vertical="center"/>
    </x:xf>
    <x:xf numFmtId="0" fontId="9" fillId="11" borderId="17" xfId="0" applyNumberFormat="1" applyFont="1" applyFill="1" applyBorder="1" applyAlignment="1">
      <x:alignment horizontal="center" vertical="center"/>
    </x:xf>
    <x:xf numFmtId="0" fontId="9" fillId="11" borderId="18" xfId="0" applyNumberFormat="1" applyFont="1" applyFill="1" applyBorder="1" applyAlignment="1">
      <x:alignment horizontal="center" vertical="center"/>
    </x:xf>
    <x:xf numFmtId="0" fontId="9" fillId="11" borderId="19" xfId="0" applyNumberFormat="1" applyFont="1" applyFill="1" applyBorder="1" applyAlignment="1">
      <x:alignment horizontal="center" vertical="center"/>
    </x:xf>
    <x:xf numFmtId="212" fontId="9" fillId="11" borderId="12" xfId="0" applyNumberFormat="1" applyFont="1" applyFill="1" applyBorder="1" applyAlignment="1">
      <x:alignment horizontal="center" vertical="center"/>
    </x:xf>
    <x:xf numFmtId="212" fontId="9" fillId="11" borderId="13" xfId="0" applyNumberFormat="1" applyFont="1" applyFill="1" applyBorder="1" applyAlignment="1">
      <x:alignment horizontal="center" vertical="center"/>
    </x:xf>
    <x:xf numFmtId="212" fontId="9" fillId="11" borderId="14" xfId="0" applyNumberFormat="1" applyFont="1" applyFill="1" applyBorder="1" applyAlignment="1">
      <x:alignment horizontal="center" vertical="center"/>
    </x:xf>
    <x:xf numFmtId="212" fontId="9" fillId="11" borderId="15" xfId="0" applyNumberFormat="1" applyFont="1" applyFill="1" applyBorder="1" applyAlignment="1">
      <x:alignment horizontal="center" vertical="center"/>
    </x:xf>
    <x:xf numFmtId="212" fontId="9" fillId="11" borderId="0" xfId="0" applyNumberFormat="1" applyFont="1" applyFill="1" applyBorder="1" applyAlignment="1">
      <x:alignment horizontal="center" vertical="center"/>
    </x:xf>
    <x:xf numFmtId="212" fontId="9" fillId="11" borderId="16" xfId="0" applyNumberFormat="1" applyFont="1" applyFill="1" applyBorder="1" applyAlignment="1">
      <x:alignment horizontal="center" vertical="center"/>
    </x:xf>
    <x:xf numFmtId="212" fontId="9" fillId="11" borderId="17" xfId="0" applyNumberFormat="1" applyFont="1" applyFill="1" applyBorder="1" applyAlignment="1">
      <x:alignment horizontal="center" vertical="center"/>
    </x:xf>
    <x:xf numFmtId="212" fontId="9" fillId="11" borderId="18" xfId="0" applyNumberFormat="1" applyFont="1" applyFill="1" applyBorder="1" applyAlignment="1">
      <x:alignment horizontal="center" vertical="center"/>
    </x:xf>
    <x:xf numFmtId="212" fontId="9" fillId="11" borderId="19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/>
    <x:xf numFmtId="0" fontId="10" fillId="11" borderId="20" xfId="0" applyNumberFormat="1" applyFont="1" applyFill="1" applyBorder="1"/>
    <x:xf numFmtId="0" fontId="10" fillId="11" borderId="21" xfId="0" applyNumberFormat="1" applyFont="1" applyFill="1" applyBorder="1"/>
    <x:xf numFmtId="0" fontId="10" fillId="11" borderId="22" xfId="0" applyNumberFormat="1" applyFont="1" applyFill="1" applyBorder="1"/>
    <x:xf numFmtId="0" fontId="10" fillId="11" borderId="23" xfId="0" applyNumberFormat="1" applyFont="1" applyFill="1" applyBorder="1"/>
    <x:xf numFmtId="0" fontId="10" fillId="11" borderId="24" xfId="0" applyNumberFormat="1" applyFont="1" applyFill="1" applyBorder="1"/>
    <x:xf numFmtId="0" fontId="10" fillId="11" borderId="25" xfId="0" applyNumberFormat="1" applyFont="1" applyFill="1" applyBorder="1"/>
    <x:xf numFmtId="0" fontId="10" fillId="11" borderId="26" xfId="0" applyNumberFormat="1" applyFont="1" applyFill="1" applyBorder="1"/>
    <x:xf numFmtId="0" fontId="10" fillId="11" borderId="27" xfId="0" applyNumberFormat="1" applyFont="1" applyFill="1" applyBorder="1"/>
    <x:xf numFmtId="0" fontId="10" fillId="11" borderId="20" xfId="0" applyNumberFormat="1" applyFont="1" applyFill="1" applyBorder="1" applyAlignment="1">
      <x:alignment horizontal="center"/>
    </x:xf>
    <x:xf numFmtId="0" fontId="10" fillId="11" borderId="21" xfId="0" applyNumberFormat="1" applyFont="1" applyFill="1" applyBorder="1" applyAlignment="1">
      <x:alignment horizontal="center"/>
    </x:xf>
    <x:xf numFmtId="0" fontId="10" fillId="11" borderId="22" xfId="0" applyNumberFormat="1" applyFont="1" applyFill="1" applyBorder="1" applyAlignment="1">
      <x:alignment horizontal="center"/>
    </x:xf>
    <x:xf numFmtId="0" fontId="10" fillId="11" borderId="23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/>
    </x:xf>
    <x:xf numFmtId="0" fontId="10" fillId="11" borderId="24" xfId="0" applyNumberFormat="1" applyFont="1" applyFill="1" applyBorder="1" applyAlignment="1">
      <x:alignment horizontal="center"/>
    </x:xf>
    <x:xf numFmtId="0" fontId="10" fillId="11" borderId="25" xfId="0" applyNumberFormat="1" applyFont="1" applyFill="1" applyBorder="1" applyAlignment="1">
      <x:alignment horizontal="center"/>
    </x:xf>
    <x:xf numFmtId="0" fontId="10" fillId="11" borderId="26" xfId="0" applyNumberFormat="1" applyFont="1" applyFill="1" applyBorder="1" applyAlignment="1">
      <x:alignment horizontal="center"/>
    </x:xf>
    <x:xf numFmtId="0" fontId="10" fillId="11" borderId="27" xfId="0" applyNumberFormat="1" applyFont="1" applyFill="1" applyBorder="1" applyAlignment="1">
      <x:alignment horizontal="center"/>
    </x:xf>
    <x:xf numFmtId="0" fontId="10" fillId="11" borderId="20" xfId="0" applyNumberFormat="1" applyFont="1" applyFill="1" applyBorder="1" applyAlignment="1">
      <x:alignment horizontal="center" vertical="center"/>
    </x:xf>
    <x:xf numFmtId="0" fontId="10" fillId="11" borderId="21" xfId="0" applyNumberFormat="1" applyFont="1" applyFill="1" applyBorder="1" applyAlignment="1">
      <x:alignment horizontal="center" vertical="center"/>
    </x:xf>
    <x:xf numFmtId="0" fontId="10" fillId="11" borderId="22" xfId="0" applyNumberFormat="1" applyFont="1" applyFill="1" applyBorder="1" applyAlignment="1">
      <x:alignment horizontal="center" vertical="center"/>
    </x:xf>
    <x:xf numFmtId="0" fontId="10" fillId="11" borderId="23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24" xfId="0" applyNumberFormat="1" applyFont="1" applyFill="1" applyBorder="1" applyAlignment="1">
      <x:alignment horizontal="center" vertical="center"/>
    </x:xf>
    <x:xf numFmtId="0" fontId="10" fillId="11" borderId="25" xfId="0" applyNumberFormat="1" applyFont="1" applyFill="1" applyBorder="1" applyAlignment="1">
      <x:alignment horizontal="center" vertical="center"/>
    </x:xf>
    <x:xf numFmtId="0" fontId="10" fillId="11" borderId="26" xfId="0" applyNumberFormat="1" applyFont="1" applyFill="1" applyBorder="1" applyAlignment="1">
      <x:alignment horizontal="center" vertical="center"/>
    </x:xf>
    <x:xf numFmtId="0" fontId="10" fillId="11" borderId="27" xfId="0" applyNumberFormat="1" applyFont="1" applyFill="1" applyBorder="1" applyAlignment="1">
      <x:alignment horizontal="center" vertical="center"/>
    </x:xf>
    <x:xf numFmtId="202" fontId="10" fillId="11" borderId="20" xfId="0" applyNumberFormat="1" applyFont="1" applyFill="1" applyBorder="1" applyAlignment="1">
      <x:alignment horizontal="center" vertical="center"/>
    </x:xf>
    <x:xf numFmtId="202" fontId="10" fillId="11" borderId="21" xfId="0" applyNumberFormat="1" applyFont="1" applyFill="1" applyBorder="1" applyAlignment="1">
      <x:alignment horizontal="center" vertical="center"/>
    </x:xf>
    <x:xf numFmtId="202" fontId="10" fillId="11" borderId="22" xfId="0" applyNumberFormat="1" applyFont="1" applyFill="1" applyBorder="1" applyAlignment="1">
      <x:alignment horizontal="center" vertical="center"/>
    </x:xf>
    <x:xf numFmtId="202" fontId="10" fillId="11" borderId="23" xfId="0" applyNumberFormat="1" applyFont="1" applyFill="1" applyBorder="1" applyAlignment="1">
      <x:alignment horizontal="center" vertical="center"/>
    </x:xf>
    <x:xf numFmtId="202" fontId="10" fillId="11" borderId="0" xfId="0" applyNumberFormat="1" applyFont="1" applyFill="1" applyBorder="1" applyAlignment="1">
      <x:alignment horizontal="center" vertical="center"/>
    </x:xf>
    <x:xf numFmtId="202" fontId="10" fillId="11" borderId="24" xfId="0" applyNumberFormat="1" applyFont="1" applyFill="1" applyBorder="1" applyAlignment="1">
      <x:alignment horizontal="center" vertical="center"/>
    </x:xf>
    <x:xf numFmtId="202" fontId="10" fillId="11" borderId="25" xfId="0" applyNumberFormat="1" applyFont="1" applyFill="1" applyBorder="1" applyAlignment="1">
      <x:alignment horizontal="center" vertical="center"/>
    </x:xf>
    <x:xf numFmtId="202" fontId="10" fillId="11" borderId="26" xfId="0" applyNumberFormat="1" applyFont="1" applyFill="1" applyBorder="1" applyAlignment="1">
      <x:alignment horizontal="center" vertical="center"/>
    </x:xf>
    <x:xf numFmtId="202" fontId="10" fillId="11" borderId="27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/>
    <x:xf numFmtId="0" fontId="11" fillId="11" borderId="28" xfId="0" applyNumberFormat="1" applyFont="1" applyFill="1" applyBorder="1"/>
    <x:xf numFmtId="0" fontId="11" fillId="11" borderId="29" xfId="0" applyNumberFormat="1" applyFont="1" applyFill="1" applyBorder="1"/>
    <x:xf numFmtId="0" fontId="11" fillId="11" borderId="30" xfId="0" applyNumberFormat="1" applyFont="1" applyFill="1" applyBorder="1"/>
    <x:xf numFmtId="0" fontId="11" fillId="11" borderId="31" xfId="0" applyNumberFormat="1" applyFont="1" applyFill="1" applyBorder="1"/>
    <x:xf numFmtId="0" fontId="11" fillId="11" borderId="32" xfId="0" applyNumberFormat="1" applyFont="1" applyFill="1" applyBorder="1"/>
    <x:xf numFmtId="0" fontId="11" fillId="11" borderId="33" xfId="0" applyNumberFormat="1" applyFont="1" applyFill="1" applyBorder="1"/>
    <x:xf numFmtId="0" fontId="11" fillId="11" borderId="34" xfId="0" applyNumberFormat="1" applyFont="1" applyFill="1" applyBorder="1"/>
    <x:xf numFmtId="0" fontId="11" fillId="11" borderId="35" xfId="0" applyNumberFormat="1" applyFont="1" applyFill="1" applyBorder="1"/>
    <x:xf numFmtId="0" fontId="11" fillId="11" borderId="28" xfId="0" applyNumberFormat="1" applyFont="1" applyFill="1" applyBorder="1" applyAlignment="1">
      <x:alignment horizontal="center"/>
    </x:xf>
    <x:xf numFmtId="0" fontId="11" fillId="11" borderId="29" xfId="0" applyNumberFormat="1" applyFont="1" applyFill="1" applyBorder="1" applyAlignment="1">
      <x:alignment horizontal="center"/>
    </x:xf>
    <x:xf numFmtId="0" fontId="11" fillId="11" borderId="30" xfId="0" applyNumberFormat="1" applyFont="1" applyFill="1" applyBorder="1" applyAlignment="1">
      <x:alignment horizontal="center"/>
    </x:xf>
    <x:xf numFmtId="0" fontId="11" fillId="11" borderId="31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 applyAlignment="1">
      <x:alignment horizontal="center"/>
    </x:xf>
    <x:xf numFmtId="0" fontId="11" fillId="11" borderId="32" xfId="0" applyNumberFormat="1" applyFont="1" applyFill="1" applyBorder="1" applyAlignment="1">
      <x:alignment horizontal="center"/>
    </x:xf>
    <x:xf numFmtId="0" fontId="11" fillId="11" borderId="33" xfId="0" applyNumberFormat="1" applyFont="1" applyFill="1" applyBorder="1" applyAlignment="1">
      <x:alignment horizontal="center"/>
    </x:xf>
    <x:xf numFmtId="0" fontId="11" fillId="11" borderId="34" xfId="0" applyNumberFormat="1" applyFont="1" applyFill="1" applyBorder="1" applyAlignment="1">
      <x:alignment horizontal="center"/>
    </x:xf>
    <x:xf numFmtId="0" fontId="11" fillId="11" borderId="35" xfId="0" applyNumberFormat="1" applyFont="1" applyFill="1" applyBorder="1" applyAlignment="1">
      <x:alignment horizontal="center"/>
    </x:xf>
    <x:xf numFmtId="0" fontId="11" fillId="11" borderId="28" xfId="0" applyNumberFormat="1" applyFont="1" applyFill="1" applyBorder="1" applyAlignment="1">
      <x:alignment horizontal="center" vertical="center"/>
    </x:xf>
    <x:xf numFmtId="0" fontId="11" fillId="11" borderId="29" xfId="0" applyNumberFormat="1" applyFont="1" applyFill="1" applyBorder="1" applyAlignment="1">
      <x:alignment horizontal="center" vertical="center"/>
    </x:xf>
    <x:xf numFmtId="0" fontId="11" fillId="11" borderId="30" xfId="0" applyNumberFormat="1" applyFont="1" applyFill="1" applyBorder="1" applyAlignment="1">
      <x:alignment horizontal="center" vertical="center"/>
    </x:xf>
    <x:xf numFmtId="0" fontId="11" fillId="11" borderId="31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11" fillId="11" borderId="32" xfId="0" applyNumberFormat="1" applyFont="1" applyFill="1" applyBorder="1" applyAlignment="1">
      <x:alignment horizontal="center" vertical="center"/>
    </x:xf>
    <x:xf numFmtId="0" fontId="11" fillId="11" borderId="33" xfId="0" applyNumberFormat="1" applyFont="1" applyFill="1" applyBorder="1" applyAlignment="1">
      <x:alignment horizontal="center" vertical="center"/>
    </x:xf>
    <x:xf numFmtId="0" fontId="11" fillId="11" borderId="34" xfId="0" applyNumberFormat="1" applyFont="1" applyFill="1" applyBorder="1" applyAlignment="1">
      <x:alignment horizontal="center" vertical="center"/>
    </x:xf>
    <x:xf numFmtId="0" fontId="11" fillId="11" borderId="35" xfId="0" applyNumberFormat="1" applyFont="1" applyFill="1" applyBorder="1" applyAlignment="1">
      <x:alignment horizontal="center" vertical="center"/>
    </x:xf>
    <x:xf numFmtId="212" fontId="11" fillId="11" borderId="28" xfId="0" applyNumberFormat="1" applyFont="1" applyFill="1" applyBorder="1" applyAlignment="1">
      <x:alignment horizontal="center" vertical="center"/>
    </x:xf>
    <x:xf numFmtId="212" fontId="11" fillId="11" borderId="29" xfId="0" applyNumberFormat="1" applyFont="1" applyFill="1" applyBorder="1" applyAlignment="1">
      <x:alignment horizontal="center" vertical="center"/>
    </x:xf>
    <x:xf numFmtId="212" fontId="11" fillId="11" borderId="30" xfId="0" applyNumberFormat="1" applyFont="1" applyFill="1" applyBorder="1" applyAlignment="1">
      <x:alignment horizontal="center" vertical="center"/>
    </x:xf>
    <x:xf numFmtId="212" fontId="11" fillId="11" borderId="31" xfId="0" applyNumberFormat="1" applyFont="1" applyFill="1" applyBorder="1" applyAlignment="1">
      <x:alignment horizontal="center" vertical="center"/>
    </x:xf>
    <x:xf numFmtId="212" fontId="11" fillId="11" borderId="0" xfId="0" applyNumberFormat="1" applyFont="1" applyFill="1" applyBorder="1" applyAlignment="1">
      <x:alignment horizontal="center" vertical="center"/>
    </x:xf>
    <x:xf numFmtId="212" fontId="11" fillId="11" borderId="32" xfId="0" applyNumberFormat="1" applyFont="1" applyFill="1" applyBorder="1" applyAlignment="1">
      <x:alignment horizontal="center" vertical="center"/>
    </x:xf>
    <x:xf numFmtId="212" fontId="11" fillId="11" borderId="33" xfId="0" applyNumberFormat="1" applyFont="1" applyFill="1" applyBorder="1" applyAlignment="1">
      <x:alignment horizontal="center" vertical="center"/>
    </x:xf>
    <x:xf numFmtId="212" fontId="11" fillId="11" borderId="34" xfId="0" applyNumberFormat="1" applyFont="1" applyFill="1" applyBorder="1" applyAlignment="1">
      <x:alignment horizontal="center" vertical="center"/>
    </x:xf>
    <x:xf numFmtId="212" fontId="11" fillId="11" borderId="35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6" fillId="13" borderId="0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/>
    <x:xf numFmtId="0" fontId="12" fillId="11" borderId="36" xfId="0" applyNumberFormat="1" applyFont="1" applyFill="1" applyBorder="1"/>
    <x:xf numFmtId="0" fontId="12" fillId="11" borderId="37" xfId="0" applyNumberFormat="1" applyFont="1" applyFill="1" applyBorder="1"/>
    <x:xf numFmtId="0" fontId="12" fillId="11" borderId="38" xfId="0" applyNumberFormat="1" applyFont="1" applyFill="1" applyBorder="1"/>
    <x:xf numFmtId="0" fontId="12" fillId="11" borderId="39" xfId="0" applyNumberFormat="1" applyFont="1" applyFill="1" applyBorder="1"/>
    <x:xf numFmtId="0" fontId="12" fillId="11" borderId="40" xfId="0" applyNumberFormat="1" applyFont="1" applyFill="1" applyBorder="1"/>
    <x:xf numFmtId="0" fontId="12" fillId="11" borderId="41" xfId="0" applyNumberFormat="1" applyFont="1" applyFill="1" applyBorder="1"/>
    <x:xf numFmtId="0" fontId="12" fillId="11" borderId="42" xfId="0" applyNumberFormat="1" applyFont="1" applyFill="1" applyBorder="1"/>
    <x:xf numFmtId="0" fontId="12" fillId="11" borderId="43" xfId="0" applyNumberFormat="1" applyFont="1" applyFill="1" applyBorder="1"/>
    <x:xf numFmtId="0" fontId="12" fillId="11" borderId="36" xfId="0" applyNumberFormat="1" applyFont="1" applyFill="1" applyBorder="1" applyAlignment="1">
      <x:alignment horizontal="center"/>
    </x:xf>
    <x:xf numFmtId="0" fontId="12" fillId="11" borderId="37" xfId="0" applyNumberFormat="1" applyFont="1" applyFill="1" applyBorder="1" applyAlignment="1">
      <x:alignment horizontal="center"/>
    </x:xf>
    <x:xf numFmtId="0" fontId="12" fillId="11" borderId="38" xfId="0" applyNumberFormat="1" applyFont="1" applyFill="1" applyBorder="1" applyAlignment="1">
      <x:alignment horizontal="center"/>
    </x:xf>
    <x:xf numFmtId="0" fontId="12" fillId="11" borderId="39" xfId="0" applyNumberFormat="1" applyFont="1" applyFill="1" applyBorder="1" applyAlignment="1">
      <x:alignment horizontal="center"/>
    </x:xf>
    <x:xf numFmtId="0" fontId="12" fillId="11" borderId="0" xfId="0" applyNumberFormat="1" applyFont="1" applyFill="1" applyBorder="1" applyAlignment="1">
      <x:alignment horizontal="center"/>
    </x:xf>
    <x:xf numFmtId="0" fontId="12" fillId="11" borderId="40" xfId="0" applyNumberFormat="1" applyFont="1" applyFill="1" applyBorder="1" applyAlignment="1">
      <x:alignment horizontal="center"/>
    </x:xf>
    <x:xf numFmtId="0" fontId="12" fillId="11" borderId="41" xfId="0" applyNumberFormat="1" applyFont="1" applyFill="1" applyBorder="1" applyAlignment="1">
      <x:alignment horizontal="center"/>
    </x:xf>
    <x:xf numFmtId="0" fontId="12" fillId="11" borderId="42" xfId="0" applyNumberFormat="1" applyFont="1" applyFill="1" applyBorder="1" applyAlignment="1">
      <x:alignment horizontal="center"/>
    </x:xf>
    <x:xf numFmtId="0" fontId="12" fillId="11" borderId="43" xfId="0" applyNumberFormat="1" applyFont="1" applyFill="1" applyBorder="1" applyAlignment="1">
      <x:alignment horizontal="center"/>
    </x:xf>
    <x:xf numFmtId="0" fontId="12" fillId="11" borderId="36" xfId="0" applyNumberFormat="1" applyFont="1" applyFill="1" applyBorder="1" applyAlignment="1">
      <x:alignment horizontal="center" vertical="center"/>
    </x:xf>
    <x:xf numFmtId="0" fontId="12" fillId="11" borderId="37" xfId="0" applyNumberFormat="1" applyFont="1" applyFill="1" applyBorder="1" applyAlignment="1">
      <x:alignment horizontal="center" vertical="center"/>
    </x:xf>
    <x:xf numFmtId="0" fontId="12" fillId="11" borderId="38" xfId="0" applyNumberFormat="1" applyFont="1" applyFill="1" applyBorder="1" applyAlignment="1">
      <x:alignment horizontal="center" vertical="center"/>
    </x:xf>
    <x:xf numFmtId="0" fontId="12" fillId="11" borderId="39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 applyAlignment="1">
      <x:alignment horizontal="center" vertical="center"/>
    </x:xf>
    <x:xf numFmtId="0" fontId="12" fillId="11" borderId="40" xfId="0" applyNumberFormat="1" applyFont="1" applyFill="1" applyBorder="1" applyAlignment="1">
      <x:alignment horizontal="center" vertical="center"/>
    </x:xf>
    <x:xf numFmtId="0" fontId="12" fillId="11" borderId="41" xfId="0" applyNumberFormat="1" applyFont="1" applyFill="1" applyBorder="1" applyAlignment="1">
      <x:alignment horizontal="center" vertical="center"/>
    </x:xf>
    <x:xf numFmtId="0" fontId="12" fillId="11" borderId="42" xfId="0" applyNumberFormat="1" applyFont="1" applyFill="1" applyBorder="1" applyAlignment="1">
      <x:alignment horizontal="center" vertical="center"/>
    </x:xf>
    <x:xf numFmtId="0" fontId="12" fillId="11" borderId="43" xfId="0" applyNumberFormat="1" applyFont="1" applyFill="1" applyBorder="1" applyAlignment="1">
      <x:alignment horizontal="center" vertical="center"/>
    </x:xf>
    <x:xf numFmtId="202" fontId="12" fillId="11" borderId="36" xfId="0" applyNumberFormat="1" applyFont="1" applyFill="1" applyBorder="1" applyAlignment="1">
      <x:alignment horizontal="center" vertical="center"/>
    </x:xf>
    <x:xf numFmtId="202" fontId="12" fillId="11" borderId="37" xfId="0" applyNumberFormat="1" applyFont="1" applyFill="1" applyBorder="1" applyAlignment="1">
      <x:alignment horizontal="center" vertical="center"/>
    </x:xf>
    <x:xf numFmtId="202" fontId="12" fillId="11" borderId="38" xfId="0" applyNumberFormat="1" applyFont="1" applyFill="1" applyBorder="1" applyAlignment="1">
      <x:alignment horizontal="center" vertical="center"/>
    </x:xf>
    <x:xf numFmtId="202" fontId="12" fillId="11" borderId="39" xfId="0" applyNumberFormat="1" applyFont="1" applyFill="1" applyBorder="1" applyAlignment="1">
      <x:alignment horizontal="center" vertical="center"/>
    </x:xf>
    <x:xf numFmtId="202" fontId="12" fillId="11" borderId="0" xfId="0" applyNumberFormat="1" applyFont="1" applyFill="1" applyBorder="1" applyAlignment="1">
      <x:alignment horizontal="center" vertical="center"/>
    </x:xf>
    <x:xf numFmtId="202" fontId="12" fillId="11" borderId="40" xfId="0" applyNumberFormat="1" applyFont="1" applyFill="1" applyBorder="1" applyAlignment="1">
      <x:alignment horizontal="center" vertical="center"/>
    </x:xf>
    <x:xf numFmtId="202" fontId="12" fillId="11" borderId="41" xfId="0" applyNumberFormat="1" applyFont="1" applyFill="1" applyBorder="1" applyAlignment="1">
      <x:alignment horizontal="center" vertical="center"/>
    </x:xf>
    <x:xf numFmtId="202" fontId="12" fillId="11" borderId="42" xfId="0" applyNumberFormat="1" applyFont="1" applyFill="1" applyBorder="1" applyAlignment="1">
      <x:alignment horizontal="center" vertical="center"/>
    </x:xf>
    <x:xf numFmtId="202" fontId="12" fillId="11" borderId="43" xfId="0" applyNumberFormat="1" applyFont="1" applyFill="1" applyBorder="1" applyAlignment="1">
      <x:alignment horizontal="center" vertical="center"/>
    </x:xf>
    <x:xf numFmtId="209" fontId="9" fillId="11" borderId="12" xfId="0" applyNumberFormat="1" applyFont="1" applyFill="1" applyBorder="1" applyAlignment="1">
      <x:alignment horizontal="center" vertical="center"/>
    </x:xf>
    <x:xf numFmtId="209" fontId="9" fillId="11" borderId="13" xfId="0" applyNumberFormat="1" applyFont="1" applyFill="1" applyBorder="1" applyAlignment="1">
      <x:alignment horizontal="center" vertical="center"/>
    </x:xf>
    <x:xf numFmtId="209" fontId="9" fillId="11" borderId="14" xfId="0" applyNumberFormat="1" applyFont="1" applyFill="1" applyBorder="1" applyAlignment="1">
      <x:alignment horizontal="center" vertical="center"/>
    </x:xf>
    <x:xf numFmtId="209" fontId="9" fillId="11" borderId="15" xfId="0" applyNumberFormat="1" applyFont="1" applyFill="1" applyBorder="1" applyAlignment="1">
      <x:alignment horizontal="center" vertical="center"/>
    </x:xf>
    <x:xf numFmtId="209" fontId="9" fillId="11" borderId="0" xfId="0" applyNumberFormat="1" applyFont="1" applyFill="1" applyBorder="1" applyAlignment="1">
      <x:alignment horizontal="center" vertical="center"/>
    </x:xf>
    <x:xf numFmtId="209" fontId="9" fillId="11" borderId="16" xfId="0" applyNumberFormat="1" applyFont="1" applyFill="1" applyBorder="1" applyAlignment="1">
      <x:alignment horizontal="center" vertical="center"/>
    </x:xf>
    <x:xf numFmtId="209" fontId="9" fillId="11" borderId="17" xfId="0" applyNumberFormat="1" applyFont="1" applyFill="1" applyBorder="1" applyAlignment="1">
      <x:alignment horizontal="center" vertical="center"/>
    </x:xf>
    <x:xf numFmtId="209" fontId="9" fillId="11" borderId="18" xfId="0" applyNumberFormat="1" applyFont="1" applyFill="1" applyBorder="1" applyAlignment="1">
      <x:alignment horizontal="center" vertical="center"/>
    </x:xf>
    <x:xf numFmtId="209" fontId="9" fillId="11" borderId="19" xfId="0" applyNumberFormat="1" applyFont="1" applyFill="1" applyBorder="1" applyAlignment="1">
      <x:alignment horizontal="center" vertical="center"/>
    </x:xf>
    <x:xf numFmtId="207" fontId="10" fillId="11" borderId="20" xfId="0" applyNumberFormat="1" applyFont="1" applyFill="1" applyBorder="1" applyAlignment="1">
      <x:alignment horizontal="center" vertical="center"/>
    </x:xf>
    <x:xf numFmtId="207" fontId="10" fillId="11" borderId="21" xfId="0" applyNumberFormat="1" applyFont="1" applyFill="1" applyBorder="1" applyAlignment="1">
      <x:alignment horizontal="center" vertical="center"/>
    </x:xf>
    <x:xf numFmtId="207" fontId="10" fillId="11" borderId="22" xfId="0" applyNumberFormat="1" applyFont="1" applyFill="1" applyBorder="1" applyAlignment="1">
      <x:alignment horizontal="center" vertical="center"/>
    </x:xf>
    <x:xf numFmtId="207" fontId="10" fillId="11" borderId="23" xfId="0" applyNumberFormat="1" applyFont="1" applyFill="1" applyBorder="1" applyAlignment="1">
      <x:alignment horizontal="center" vertical="center"/>
    </x:xf>
    <x:xf numFmtId="207" fontId="10" fillId="11" borderId="0" xfId="0" applyNumberFormat="1" applyFont="1" applyFill="1" applyBorder="1" applyAlignment="1">
      <x:alignment horizontal="center" vertical="center"/>
    </x:xf>
    <x:xf numFmtId="207" fontId="10" fillId="11" borderId="24" xfId="0" applyNumberFormat="1" applyFont="1" applyFill="1" applyBorder="1" applyAlignment="1">
      <x:alignment horizontal="center" vertical="center"/>
    </x:xf>
    <x:xf numFmtId="207" fontId="10" fillId="11" borderId="25" xfId="0" applyNumberFormat="1" applyFont="1" applyFill="1" applyBorder="1" applyAlignment="1">
      <x:alignment horizontal="center" vertical="center"/>
    </x:xf>
    <x:xf numFmtId="207" fontId="10" fillId="11" borderId="26" xfId="0" applyNumberFormat="1" applyFont="1" applyFill="1" applyBorder="1" applyAlignment="1">
      <x:alignment horizontal="center" vertical="center"/>
    </x:xf>
    <x:xf numFmtId="207" fontId="10" fillId="11" borderId="27" xfId="0" applyNumberFormat="1" applyFont="1" applyFill="1" applyBorder="1" applyAlignment="1">
      <x:alignment horizontal="center" vertical="center"/>
    </x:xf>
    <x:xf numFmtId="207" fontId="11" fillId="11" borderId="28" xfId="0" applyNumberFormat="1" applyFont="1" applyFill="1" applyBorder="1" applyAlignment="1">
      <x:alignment horizontal="center" vertical="center"/>
    </x:xf>
    <x:xf numFmtId="207" fontId="11" fillId="11" borderId="29" xfId="0" applyNumberFormat="1" applyFont="1" applyFill="1" applyBorder="1" applyAlignment="1">
      <x:alignment horizontal="center" vertical="center"/>
    </x:xf>
    <x:xf numFmtId="207" fontId="11" fillId="11" borderId="30" xfId="0" applyNumberFormat="1" applyFont="1" applyFill="1" applyBorder="1" applyAlignment="1">
      <x:alignment horizontal="center" vertical="center"/>
    </x:xf>
    <x:xf numFmtId="207" fontId="11" fillId="11" borderId="31" xfId="0" applyNumberFormat="1" applyFont="1" applyFill="1" applyBorder="1" applyAlignment="1">
      <x:alignment horizontal="center" vertical="center"/>
    </x:xf>
    <x:xf numFmtId="207" fontId="11" fillId="11" borderId="0" xfId="0" applyNumberFormat="1" applyFont="1" applyFill="1" applyBorder="1" applyAlignment="1">
      <x:alignment horizontal="center" vertical="center"/>
    </x:xf>
    <x:xf numFmtId="207" fontId="11" fillId="11" borderId="32" xfId="0" applyNumberFormat="1" applyFont="1" applyFill="1" applyBorder="1" applyAlignment="1">
      <x:alignment horizontal="center" vertical="center"/>
    </x:xf>
    <x:xf numFmtId="207" fontId="11" fillId="11" borderId="33" xfId="0" applyNumberFormat="1" applyFont="1" applyFill="1" applyBorder="1" applyAlignment="1">
      <x:alignment horizontal="center" vertical="center"/>
    </x:xf>
    <x:xf numFmtId="207" fontId="11" fillId="11" borderId="34" xfId="0" applyNumberFormat="1" applyFont="1" applyFill="1" applyBorder="1" applyAlignment="1">
      <x:alignment horizontal="center" vertical="center"/>
    </x:xf>
    <x:xf numFmtId="207" fontId="11" fillId="11" borderId="35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6" fillId="14" borderId="0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/>
    <x:xf numFmtId="0" fontId="13" fillId="11" borderId="44" xfId="0" applyNumberFormat="1" applyFont="1" applyFill="1" applyBorder="1"/>
    <x:xf numFmtId="0" fontId="13" fillId="11" borderId="45" xfId="0" applyNumberFormat="1" applyFont="1" applyFill="1" applyBorder="1"/>
    <x:xf numFmtId="0" fontId="13" fillId="11" borderId="46" xfId="0" applyNumberFormat="1" applyFont="1" applyFill="1" applyBorder="1"/>
    <x:xf numFmtId="0" fontId="13" fillId="11" borderId="47" xfId="0" applyNumberFormat="1" applyFont="1" applyFill="1" applyBorder="1"/>
    <x:xf numFmtId="0" fontId="13" fillId="11" borderId="48" xfId="0" applyNumberFormat="1" applyFont="1" applyFill="1" applyBorder="1"/>
    <x:xf numFmtId="0" fontId="13" fillId="11" borderId="49" xfId="0" applyNumberFormat="1" applyFont="1" applyFill="1" applyBorder="1"/>
    <x:xf numFmtId="0" fontId="13" fillId="11" borderId="50" xfId="0" applyNumberFormat="1" applyFont="1" applyFill="1" applyBorder="1"/>
    <x:xf numFmtId="0" fontId="13" fillId="11" borderId="51" xfId="0" applyNumberFormat="1" applyFont="1" applyFill="1" applyBorder="1"/>
    <x:xf numFmtId="0" fontId="13" fillId="11" borderId="44" xfId="0" applyNumberFormat="1" applyFont="1" applyFill="1" applyBorder="1" applyAlignment="1">
      <x:alignment horizontal="center"/>
    </x:xf>
    <x:xf numFmtId="0" fontId="13" fillId="11" borderId="45" xfId="0" applyNumberFormat="1" applyFont="1" applyFill="1" applyBorder="1" applyAlignment="1">
      <x:alignment horizontal="center"/>
    </x:xf>
    <x:xf numFmtId="0" fontId="13" fillId="11" borderId="46" xfId="0" applyNumberFormat="1" applyFont="1" applyFill="1" applyBorder="1" applyAlignment="1">
      <x:alignment horizontal="center"/>
    </x:xf>
    <x:xf numFmtId="0" fontId="13" fillId="11" borderId="47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/>
    </x:xf>
    <x:xf numFmtId="0" fontId="13" fillId="11" borderId="48" xfId="0" applyNumberFormat="1" applyFont="1" applyFill="1" applyBorder="1" applyAlignment="1">
      <x:alignment horizontal="center"/>
    </x:xf>
    <x:xf numFmtId="0" fontId="13" fillId="11" borderId="49" xfId="0" applyNumberFormat="1" applyFont="1" applyFill="1" applyBorder="1" applyAlignment="1">
      <x:alignment horizontal="center"/>
    </x:xf>
    <x:xf numFmtId="0" fontId="13" fillId="11" borderId="50" xfId="0" applyNumberFormat="1" applyFont="1" applyFill="1" applyBorder="1" applyAlignment="1">
      <x:alignment horizontal="center"/>
    </x:xf>
    <x:xf numFmtId="0" fontId="13" fillId="11" borderId="51" xfId="0" applyNumberFormat="1" applyFont="1" applyFill="1" applyBorder="1" applyAlignment="1">
      <x:alignment horizontal="center"/>
    </x:xf>
    <x:xf numFmtId="0" fontId="13" fillId="11" borderId="44" xfId="0" applyNumberFormat="1" applyFont="1" applyFill="1" applyBorder="1" applyAlignment="1">
      <x:alignment horizontal="center" vertical="center"/>
    </x:xf>
    <x:xf numFmtId="0" fontId="13" fillId="11" borderId="45" xfId="0" applyNumberFormat="1" applyFont="1" applyFill="1" applyBorder="1" applyAlignment="1">
      <x:alignment horizontal="center" vertical="center"/>
    </x:xf>
    <x:xf numFmtId="0" fontId="13" fillId="11" borderId="46" xfId="0" applyNumberFormat="1" applyFont="1" applyFill="1" applyBorder="1" applyAlignment="1">
      <x:alignment horizontal="center" vertical="center"/>
    </x:xf>
    <x:xf numFmtId="0" fontId="13" fillId="11" borderId="47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 applyAlignment="1">
      <x:alignment horizontal="center" vertical="center"/>
    </x:xf>
    <x:xf numFmtId="0" fontId="13" fillId="11" borderId="48" xfId="0" applyNumberFormat="1" applyFont="1" applyFill="1" applyBorder="1" applyAlignment="1">
      <x:alignment horizontal="center" vertical="center"/>
    </x:xf>
    <x:xf numFmtId="0" fontId="13" fillId="11" borderId="49" xfId="0" applyNumberFormat="1" applyFont="1" applyFill="1" applyBorder="1" applyAlignment="1">
      <x:alignment horizontal="center" vertical="center"/>
    </x:xf>
    <x:xf numFmtId="0" fontId="13" fillId="11" borderId="50" xfId="0" applyNumberFormat="1" applyFont="1" applyFill="1" applyBorder="1" applyAlignment="1">
      <x:alignment horizontal="center" vertical="center"/>
    </x:xf>
    <x:xf numFmtId="0" fontId="13" fillId="11" borderId="51" xfId="0" applyNumberFormat="1" applyFont="1" applyFill="1" applyBorder="1" applyAlignment="1">
      <x:alignment horizontal="center" vertical="center"/>
    </x:xf>
    <x:xf numFmtId="212" fontId="13" fillId="11" borderId="44" xfId="0" applyNumberFormat="1" applyFont="1" applyFill="1" applyBorder="1" applyAlignment="1">
      <x:alignment horizontal="center" vertical="center"/>
    </x:xf>
    <x:xf numFmtId="212" fontId="13" fillId="11" borderId="45" xfId="0" applyNumberFormat="1" applyFont="1" applyFill="1" applyBorder="1" applyAlignment="1">
      <x:alignment horizontal="center" vertical="center"/>
    </x:xf>
    <x:xf numFmtId="212" fontId="13" fillId="11" borderId="46" xfId="0" applyNumberFormat="1" applyFont="1" applyFill="1" applyBorder="1" applyAlignment="1">
      <x:alignment horizontal="center" vertical="center"/>
    </x:xf>
    <x:xf numFmtId="212" fontId="13" fillId="11" borderId="47" xfId="0" applyNumberFormat="1" applyFont="1" applyFill="1" applyBorder="1" applyAlignment="1">
      <x:alignment horizontal="center" vertical="center"/>
    </x:xf>
    <x:xf numFmtId="212" fontId="13" fillId="11" borderId="0" xfId="0" applyNumberFormat="1" applyFont="1" applyFill="1" applyBorder="1" applyAlignment="1">
      <x:alignment horizontal="center" vertical="center"/>
    </x:xf>
    <x:xf numFmtId="212" fontId="13" fillId="11" borderId="48" xfId="0" applyNumberFormat="1" applyFont="1" applyFill="1" applyBorder="1" applyAlignment="1">
      <x:alignment horizontal="center" vertical="center"/>
    </x:xf>
    <x:xf numFmtId="212" fontId="13" fillId="11" borderId="49" xfId="0" applyNumberFormat="1" applyFont="1" applyFill="1" applyBorder="1" applyAlignment="1">
      <x:alignment horizontal="center" vertical="center"/>
    </x:xf>
    <x:xf numFmtId="212" fontId="13" fillId="11" borderId="50" xfId="0" applyNumberFormat="1" applyFont="1" applyFill="1" applyBorder="1" applyAlignment="1">
      <x:alignment horizontal="center" vertical="center"/>
    </x:xf>
    <x:xf numFmtId="212" fontId="13" fillId="11" borderId="5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3b677a2794c62" /><Relationship Type="http://schemas.openxmlformats.org/officeDocument/2006/relationships/theme" Target="/xl/theme/theme1.xml" Id="R8f2235a1df3740f7" /><Relationship Type="http://schemas.openxmlformats.org/officeDocument/2006/relationships/sharedStrings" Target="/xl/sharedStrings.xml" Id="Rd634415eae834479" /><Relationship Type="http://schemas.openxmlformats.org/officeDocument/2006/relationships/worksheet" Target="/xl/worksheets/sheet1.xml" Id="R2728d397d1564743" /><Relationship Type="http://schemas.openxmlformats.org/officeDocument/2006/relationships/worksheet" Target="/xl/worksheets/sheet2.xml" Id="Rcd392842e39f4460" /><Relationship Type="http://schemas.openxmlformats.org/officeDocument/2006/relationships/worksheet" Target="/xl/worksheets/sheet3.xml" Id="R6a9cad7f99694acb" /><Relationship Type="http://schemas.openxmlformats.org/officeDocument/2006/relationships/worksheet" Target="/xl/worksheets/sheet4.xml" Id="R04c4cdd541f04475" /><Relationship Type="http://schemas.openxmlformats.org/officeDocument/2006/relationships/worksheet" Target="/xl/worksheets/sheet5.xml" Id="Ra414675fe91a474c" /><Relationship Type="http://schemas.openxmlformats.org/officeDocument/2006/relationships/worksheet" Target="/xl/worksheets/sheet6.xml" Id="R29e58673c5ff4612" /><Relationship Type="http://schemas.openxmlformats.org/officeDocument/2006/relationships/worksheet" Target="/xl/worksheets/sheet7.xml" Id="R1e0c8a190dba48cd" /><Relationship Type="http://schemas.openxmlformats.org/officeDocument/2006/relationships/worksheet" Target="/xl/worksheets/sheet8.xml" Id="Re791d50a6bcf4eb1" /><Relationship Type="http://schemas.openxmlformats.org/officeDocument/2006/relationships/worksheet" Target="/xl/worksheets/sheet9.xml" Id="R78b4b5c5089340f2" /><Relationship Type="http://schemas.openxmlformats.org/officeDocument/2006/relationships/worksheet" Target="/xl/worksheets/sheet10.xml" Id="R458b4b5604914e57" /><Relationship Type="http://schemas.openxmlformats.org/officeDocument/2006/relationships/worksheet" Target="/xl/worksheets/sheet11.xml" Id="Rcf993381f5434b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91a9891dfb4a39" /><Relationship Type="http://schemas.openxmlformats.org/officeDocument/2006/relationships/chart" Target="/xl/drawings/charts/chart2.xml" Id="R8d1765a6ca3a40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017a56190494fd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3d7d02d5f7a4242" /><Relationship Type="http://schemas.openxmlformats.org/officeDocument/2006/relationships/chart" Target="/xl/drawings/charts/chart5.xml" Id="R299c6dbe634b479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86a3da0202d4133" /><Relationship Type="http://schemas.openxmlformats.org/officeDocument/2006/relationships/chart" Target="/xl/drawings/charts/chart7.xml" Id="R56c1c7820503488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7f03cfaa592146da" /><Relationship Type="http://schemas.openxmlformats.org/officeDocument/2006/relationships/chart" Target="/xl/drawings/charts/chart9.xml" Id="Rba2727bc06d44be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45a49c05fe0a4d4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4c4912cb4653426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bfccee5422ce4bcd" /><Relationship Type="http://schemas.openxmlformats.org/officeDocument/2006/relationships/chart" Target="/xl/drawings/charts/chart13.xml" Id="Rdb6ce95453fb47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跨月CV：XGB只在滿柱微幅領先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LGB CV AP</c:v>
          </c:tx>
          <c:cat>
            <c:strRef>
              <c:f>'一頁結論'!$A$28:$A$29</c:f>
              <c:strCache>
                <c:ptCount val="0"/>
              </c:strCache>
            </c:strRef>
          </c:cat>
          <c:val>
            <c:numRef>
              <c:f>'一頁結論'!$B$28:$B$29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XGB CV AP</c:v>
          </c:tx>
          <c:cat>
            <c:strRef>
              <c:f>'一頁結論'!$A$28:$A$29</c:f>
              <c:strCache>
                <c:ptCount val="0"/>
              </c:strCache>
            </c:strRef>
          </c:cat>
          <c:val>
            <c:numRef>
              <c:f>'一頁結論'!$C$28:$C$29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五月凍結評估：LGB不輸XGB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LGB舊版</c:v>
          </c:tx>
          <c:cat>
            <c:strRef>
              <c:f>'一頁結論'!$H$28:$H$29</c:f>
              <c:strCache>
                <c:ptCount val="0"/>
              </c:strCache>
            </c:strRef>
          </c:cat>
          <c:val>
            <c:numRef>
              <c:f>'一頁結論'!$I$28:$I$29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LGB調參</c:v>
          </c:tx>
          <c:cat>
            <c:strRef>
              <c:f>'一頁結論'!$H$28:$H$29</c:f>
              <c:strCache>
                <c:ptCount val="0"/>
              </c:strCache>
            </c:strRef>
          </c:cat>
          <c:val>
            <c:numRef>
              <c:f>'一頁結論'!$J$28:$J$29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XGB調參</c:v>
          </c:tx>
          <c:cat>
            <c:strRef>
              <c:f>'一頁結論'!$H$28:$H$29</c:f>
              <c:strCache>
                <c:ptCount val="0"/>
              </c:strCache>
            </c:strRef>
          </c:cat>
          <c:val>
            <c:numRef>
              <c:f>'一頁結論'!$K$28:$K$29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跨月CV：XGB只在滿柱微幅領先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LightGBM平均AP</c:v>
          </c:tx>
          <c:cat>
            <c:strRef>
              <c:f>'跨月CV'!$A$11:$A$12</c:f>
              <c:strCache>
                <c:ptCount val="0"/>
              </c:strCache>
            </c:strRef>
          </c:cat>
          <c:val>
            <c:numRef>
              <c:f>'跨月CV'!$B$11:$B$12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XGBoost平均AP</c:v>
          </c:tx>
          <c:cat>
            <c:strRef>
              <c:f>'跨月CV'!$A$11:$A$12</c:f>
              <c:strCache>
                <c:ptCount val="0"/>
              </c:strCache>
            </c:strRef>
          </c:cat>
          <c:val>
            <c:numRef>
              <c:f>'跨月CV'!$C$11:$C$12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缺車：調參LGB最高，XGB很接近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PR-AUC</c:v>
          </c:tx>
          <c:cat>
            <c:strRef>
              <c:f>'五月模型'!$T$6:$T$11</c:f>
              <c:strCache>
                <c:ptCount val="0"/>
              </c:strCache>
            </c:strRef>
          </c:cat>
          <c:val>
            <c:numRef>
              <c:f>'五月模型'!$U$6:$U$11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滿柱：五月LGB略高於XGB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PR-AUC</c:v>
          </c:tx>
          <c:cat>
            <c:strRef>
              <c:f>'五月模型'!$X$6:$X$11</c:f>
              <c:strCache>
                <c:ptCount val="0"/>
              </c:strCache>
            </c:strRef>
          </c:cat>
          <c:val>
            <c:numRef>
              <c:f>'五月模型'!$Y$6:$Y$11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缺車校正曲線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預測</c:v>
          </c:tx>
          <c:marker>
            <c:symbol val="none"/>
          </c:marker>
          <c:cat>
            <c:strRef>
              <c:f>'校正門檻'!$L$13:$L$22</c:f>
              <c:strCache>
                <c:ptCount val="0"/>
              </c:strCache>
            </c:strRef>
          </c:cat>
          <c:val>
            <c:numRef>
              <c:f>'校正門檻'!$M$13:$M$22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實際</c:v>
          </c:tx>
          <c:marker>
            <c:symbol val="none"/>
          </c:marker>
          <c:cat>
            <c:strRef>
              <c:f>'校正門檻'!$L$13:$L$22</c:f>
              <c:strCache>
                <c:ptCount val="0"/>
              </c:strCache>
            </c:strRef>
          </c:cat>
          <c:val>
            <c:numRef>
              <c:f>'校正門檻'!$N$13:$N$22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滿柱校正曲線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預測</c:v>
          </c:tx>
          <c:marker>
            <c:symbol val="none"/>
          </c:marker>
          <c:cat>
            <c:strRef>
              <c:f>'校正門檻'!$P$13:$P$22</c:f>
              <c:strCache>
                <c:ptCount val="0"/>
              </c:strCache>
            </c:strRef>
          </c:cat>
          <c:val>
            <c:numRef>
              <c:f>'校正門檻'!$Q$13:$Q$22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實際</c:v>
          </c:tx>
          <c:marker>
            <c:symbol val="none"/>
          </c:marker>
          <c:cat>
            <c:strRef>
              <c:f>'校正門檻'!$P$13:$P$22</c:f>
              <c:strCache>
                <c:ptCount val="0"/>
              </c:strCache>
            </c:strRef>
          </c:cat>
          <c:val>
            <c:numRef>
              <c:f>'校正門檻'!$R$13:$R$22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K增加：事件涵蓋率上升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缺車召回</c:v>
          </c:tx>
          <c:marker>
            <c:symbol val="none"/>
          </c:marker>
          <c:cat>
            <c:strRef>
              <c:f>'TopK總比較'!$T$6:$T$9</c:f>
              <c:strCache>
                <c:ptCount val="0"/>
              </c:strCache>
            </c:strRef>
          </c:cat>
          <c:val>
            <c:numRef>
              <c:f>'TopK總比較'!$U$6:$U$9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滿柱召回</c:v>
          </c:tx>
          <c:marker>
            <c:symbol val="none"/>
          </c:marker>
          <c:cat>
            <c:strRef>
              <c:f>'TopK總比較'!$T$6:$T$9</c:f>
              <c:strCache>
                <c:ptCount val="0"/>
              </c:strCache>
            </c:strRef>
          </c:cat>
          <c:val>
            <c:numRef>
              <c:f>'TopK總比較'!$V$6:$V$9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Macro</c:v>
          </c:tx>
          <c:marker>
            <c:symbol val="none"/>
          </c:marker>
          <c:cat>
            <c:strRef>
              <c:f>'TopK總比較'!$T$6:$T$9</c:f>
              <c:strCache>
                <c:ptCount val="0"/>
              </c:strCache>
            </c:strRef>
          </c:cat>
          <c:val>
            <c:numRef>
              <c:f>'TopK總比較'!$W$6:$W$9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K增加：每日Episode也增加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Episode/日</c:v>
          </c:tx>
          <c:marker>
            <c:symbol val="none"/>
          </c:marker>
          <c:cat>
            <c:strRef>
              <c:f>'TopK總比較'!$Y$6:$Y$9</c:f>
              <c:strCache>
                <c:ptCount val="0"/>
              </c:strCache>
            </c:strRef>
          </c:cat>
          <c:val>
            <c:numRef>
              <c:f>'TopK總比較'!$Z$6:$Z$9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未命中/日</c:v>
          </c:tx>
          <c:marker>
            <c:symbol val="none"/>
          </c:marker>
          <c:cat>
            <c:strRef>
              <c:f>'TopK總比較'!$Y$6:$Y$9</c:f>
              <c:strCache>
                <c:ptCount val="0"/>
              </c:strCache>
            </c:strRef>
          </c:cat>
          <c:val>
            <c:numRef>
              <c:f>'TopK總比較'!$AA$6:$AA$9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滿柱軟保留使兩類事件都被看見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缺車召回</c:v>
          </c:tx>
          <c:marker>
            <c:symbol val="none"/>
          </c:marker>
          <c:cat>
            <c:strRef>
              <c:f>'TopK事件別'!$N$6:$N$9</c:f>
              <c:strCache>
                <c:ptCount val="0"/>
              </c:strCache>
            </c:strRef>
          </c:cat>
          <c:val>
            <c:numRef>
              <c:f>'TopK事件別'!$O$6:$O$9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滿柱召回</c:v>
          </c:tx>
          <c:marker>
            <c:symbol val="none"/>
          </c:marker>
          <c:cat>
            <c:strRef>
              <c:f>'TopK事件別'!$N$6:$N$9</c:f>
              <c:strCache>
                <c:ptCount val="0"/>
              </c:strCache>
            </c:strRef>
          </c:cat>
          <c:val>
            <c:numRef>
              <c:f>'TopK事件別'!$P$6:$P$9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Macro</c:v>
          </c:tx>
          <c:marker>
            <c:symbol val="none"/>
          </c:marker>
          <c:cat>
            <c:strRef>
              <c:f>'TopK事件別'!$N$6:$N$9</c:f>
              <c:strCache>
                <c:ptCount val="0"/>
              </c:strCache>
            </c:strRef>
          </c:cat>
          <c:val>
            <c:numRef>
              <c:f>'TopK事件別'!$Q$6:$Q$9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每日Macro召回：K越大通常越高，但天際波動明顯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K10</c:v>
          </c:tx>
          <c:marker>
            <c:symbol val="none"/>
          </c:marker>
          <c:cat>
            <c:strRef>
              <c:f>'每日穩定性'!$T$6:$T$16</c:f>
              <c:strCache>
                <c:ptCount val="0"/>
              </c:strCache>
            </c:strRef>
          </c:cat>
          <c:val>
            <c:numRef>
              <c:f>'每日穩定性'!$U$6:$U$16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K15</c:v>
          </c:tx>
          <c:marker>
            <c:symbol val="none"/>
          </c:marker>
          <c:cat>
            <c:strRef>
              <c:f>'每日穩定性'!$T$6:$T$16</c:f>
              <c:strCache>
                <c:ptCount val="0"/>
              </c:strCache>
            </c:strRef>
          </c:cat>
          <c:val>
            <c:numRef>
              <c:f>'每日穩定性'!$V$6:$V$16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K20</c:v>
          </c:tx>
          <c:marker>
            <c:symbol val="none"/>
          </c:marker>
          <c:cat>
            <c:strRef>
              <c:f>'每日穩定性'!$T$6:$T$16</c:f>
              <c:strCache>
                <c:ptCount val="0"/>
              </c:strCache>
            </c:strRef>
          </c:cat>
          <c:val>
            <c:numRef>
              <c:f>'每日穩定性'!$W$6:$W$16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K25</c:v>
          </c:tx>
          <c:marker>
            <c:symbol val="none"/>
          </c:marker>
          <c:cat>
            <c:strRef>
              <c:f>'每日穩定性'!$T$6:$T$16</c:f>
              <c:strCache>
                <c:ptCount val="0"/>
              </c:strCache>
            </c:strRef>
          </c:cat>
          <c:val>
            <c:numRef>
              <c:f>'每日穩定性'!$X$6:$X$16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缺車LGB：庫存、站點、時間最關鍵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Gain占比</c:v>
          </c:tx>
          <c:cat>
            <c:strRef>
              <c:f>'特徵解釋'!$I$6:$I$15</c:f>
              <c:strCache>
                <c:ptCount val="0"/>
              </c:strCache>
            </c:strRef>
          </c:cat>
          <c:val>
            <c:numRef>
              <c:f>'特徵解釋'!$J$6:$J$15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滿柱XGB：可還位與近期變化最關鍵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Gain占比</c:v>
          </c:tx>
          <c:cat>
            <c:strRef>
              <c:f>'特徵解釋'!$L$6:$L$15</c:f>
              <c:strCache>
                <c:ptCount val="0"/>
              </c:strCache>
            </c:strRef>
          </c:cat>
          <c:val>
            <c:numRef>
              <c:f>'特徵解釋'!$M$6:$M$15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91a9891dfb4a39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1765a6ca3a40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17a56190494f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19</xdr:col>
      <xdr:colOff>0</xdr:colOff>
      <xdr:row>12</xdr:row>
      <xdr:rowOff>0</xdr:rowOff>
    </xdr:from>
    <xdr:to>
      <xdr:col>26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d7d02d5f7a4242"/>
        </a:graphicData>
      </a:graphic>
    </xdr:graphicFrame>
    <xdr:clientData/>
  </xdr:twoCellAnchor>
  <xdr:twoCellAnchor>
    <xdr:from>
      <xdr:col>26</xdr:col>
      <xdr:colOff>0</xdr:colOff>
      <xdr:row>12</xdr:row>
      <xdr:rowOff>0</xdr:rowOff>
    </xdr:from>
    <xdr:to>
      <xdr:col>32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9c6dbe634b479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23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6a3da0202d4133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c1c7820503488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19</xdr:col>
      <xdr:colOff>0</xdr:colOff>
      <xdr:row>10</xdr:row>
      <xdr:rowOff>0</xdr:rowOff>
    </xdr:from>
    <xdr:to>
      <xdr:col>26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03cfaa592146da"/>
        </a:graphicData>
      </a:graphic>
    </xdr:graphicFrame>
    <xdr:clientData/>
  </xdr:twoCellAnchor>
  <xdr:twoCellAnchor>
    <xdr:from>
      <xdr:col>26</xdr:col>
      <xdr:colOff>0</xdr:colOff>
      <xdr:row>10</xdr:row>
      <xdr:rowOff>0</xdr:rowOff>
    </xdr:from>
    <xdr:to>
      <xdr:col>33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2727bc06d44be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13</xdr:col>
      <xdr:colOff>0</xdr:colOff>
      <xdr:row>10</xdr:row>
      <xdr:rowOff>0</xdr:rowOff>
    </xdr:from>
    <xdr:to>
      <xdr:col>23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a49c05fe0a4d4e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19</xdr:col>
      <xdr:colOff>0</xdr:colOff>
      <xdr:row>17</xdr:row>
      <xdr:rowOff>0</xdr:rowOff>
    </xdr:from>
    <xdr:to>
      <xdr:col>28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4912cb4653426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ccee5422ce4bcd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6ce95453fb47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llingFoldTable" displayName="RollingFoldTable" ref="A11:F14" headerRowCount="1" totalsRowCount="0" totalsRowShown="0">
  <x:tableColumns count="6">
    <x:tableColumn id="1" name="折數"/>
    <x:tableColumn id="2" name="訓練月"/>
    <x:tableColumn id="3" name="驗證月"/>
    <x:tableColumn id="4" name="訓練範圍"/>
    <x:tableColumn id="5" name="驗證範圍"/>
    <x:tableColumn id="6" name="主評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yPhaseTable" displayName="MayPhaseTable" ref="H11:N14" headerRowCount="1" totalsRowCount="0" totalsRowShown="0">
  <x:tableColumns count="7">
    <x:tableColumn id="1" name="五月階段"/>
    <x:tableColumn id="2" name="日期"/>
    <x:tableColumn id="3" name="用途"/>
    <x:tableColumn id="4" name="可調內容"/>
    <x:tableColumn id="5" name="不可回改"/>
    <x:tableColumn id="6" name="定位"/>
    <x:tableColumn id="7" name="備註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setSplitTable" displayName="DatasetSplitTable" ref="A18:J29" headerRowCount="1" totalsRowCount="0" totalsRowShown="0">
  <x:tableColumns count="10">
    <x:tableColumn id="1" name="切分"/>
    <x:tableColumn id="2" name="用途"/>
    <x:tableColumn id="3" name="列數"/>
    <x:tableColumn id="4" name="開始"/>
    <x:tableColumn id="5" name="結束"/>
    <x:tableColumn id="6" name="站數"/>
    <x:tableColumn id="7" name="缺車正例"/>
    <x:tableColumn id="8" name="滿柱正例"/>
    <x:tableColumn id="9" name="缺車率"/>
    <x:tableColumn id="10" name="滿柱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electionTable" displayName="ModelSelectionTable" ref="A5:L7" headerRowCount="1" totalsRowCount="0" totalsRowShown="0">
  <x:tableColumns count="12">
    <x:tableColumn id="1" name="事件"/>
    <x:tableColumn id="2" name="LGB候選"/>
    <x:tableColumn id="3" name="LGB平均AP"/>
    <x:tableColumn id="4" name="XGB候選"/>
    <x:tableColumn id="5" name="XGB平均AP"/>
    <x:tableColumn id="6" name="XGB-LGB"/>
    <x:tableColumn id="7" name="LGB折勝"/>
    <x:tableColumn id="8" name="XGB折勝"/>
    <x:tableColumn id="9" name="LGB最差折"/>
    <x:tableColumn id="10" name="XGB最差折"/>
    <x:tableColumn id="11" name="規則"/>
    <x:tableColumn id="12" name="凍結選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lectedFoldTable" displayName="SelectedFoldTable" ref="A29:N53" headerRowCount="1" totalsRowCount="0" totalsRowShown="0">
  <x:tableColumns count="14">
    <x:tableColumn id="1" name="家族"/>
    <x:tableColumn id="2" name="事件"/>
    <x:tableColumn id="3" name="候選"/>
    <x:tableColumn id="4" name="折"/>
    <x:tableColumn id="5" name="訓練月"/>
    <x:tableColumn id="6" name="驗證月"/>
    <x:tableColumn id="7" name="尖峰列"/>
    <x:tableColumn id="8" name="正例"/>
    <x:tableColumn id="9" name="正例率"/>
    <x:tableColumn id="10" name="AP"/>
    <x:tableColumn id="11" name="Lift"/>
    <x:tableColumn id="12" name="ROC-AUC"/>
    <x:tableColumn id="13" name="最佳輪數"/>
    <x:tableColumn id="14" name="秒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andidateSummaryTable" displayName="CandidateSummaryTable" ref="A56:K80" headerRowCount="1" totalsRowCount="0" totalsRowShown="0">
  <x:tableColumns count="11">
    <x:tableColumn id="1" name="家族"/>
    <x:tableColumn id="2" name="事件"/>
    <x:tableColumn id="3" name="候選"/>
    <x:tableColumn id="4" name="折數"/>
    <x:tableColumn id="5" name="平均AP"/>
    <x:tableColumn id="6" name="標準差"/>
    <x:tableColumn id="7" name="最差折AP"/>
    <x:tableColumn id="8" name="平均Lift"/>
    <x:tableColumn id="9" name="折勝"/>
    <x:tableColumn id="10" name="中位輪數"/>
    <x:tableColumn id="11" name="排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yMetricsTable" displayName="MayMetricsTable" ref="A5:Q19" headerRowCount="1" totalsRowCount="0" totalsRowShown="0">
  <x:tableColumns count="17">
    <x:tableColumn id="1" name="事件"/>
    <x:tableColumn id="2" name="方法"/>
    <x:tableColumn id="3" name="實際來源"/>
    <x:tableColumn id="4" name="觀測"/>
    <x:tableColumn id="5" name="正例"/>
    <x:tableColumn id="6" name="正例率"/>
    <x:tableColumn id="7" name="PR-AUC"/>
    <x:tableColumn id="8" name="Lift"/>
    <x:tableColumn id="9" name="ROC-AUC"/>
    <x:tableColumn id="10" name="Brier"/>
    <x:tableColumn id="11" name="Brier Skill"/>
    <x:tableColumn id="12" name="Log Loss"/>
    <x:tableColumn id="13" name="ECE"/>
    <x:tableColumn id="14" name="F2門檻"/>
    <x:tableColumn id="15" name="Precision"/>
    <x:tableColumn id="16" name="Recall"/>
    <x:tableColumn id="17" name="F2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otstrapTable" displayName="BootstrapTable" ref="A33:I105" headerRowCount="1" totalsRowCount="0" totalsRowShown="0">
  <x:tableColumns count="9">
    <x:tableColumn id="1" name="政策"/>
    <x:tableColumn id="2" name="K"/>
    <x:tableColumn id="3" name="比較"/>
    <x:tableColumn id="4" name="指標"/>
    <x:tableColumn id="5" name="差異"/>
    <x:tableColumn id="6" name="95%下限"/>
    <x:tableColumn id="7" name="95%上限"/>
    <x:tableColumn id="8" name="P(差&gt;0)"/>
    <x:tableColumn id="9" name="日期區塊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hresholdTable" displayName="ThresholdTable" ref="A5:E19" headerRowCount="1" totalsRowCount="0" totalsRowShown="0">
  <x:tableColumns count="5">
    <x:tableColumn id="1" name="事件"/>
    <x:tableColumn id="2" name="方法"/>
    <x:tableColumn id="3" name="F2門檻"/>
    <x:tableColumn id="4" name="來源"/>
    <x:tableColumn id="5" name="營運底線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lattTable" displayName="PlattTable" ref="G5:J17" headerRowCount="1" totalsRowCount="0" totalsRowShown="0">
  <x:tableColumns count="4">
    <x:tableColumn id="1" name="事件"/>
    <x:tableColumn id="2" name="方法"/>
    <x:tableColumn id="3" name="Slope"/>
    <x:tableColumn id="4" name="Intercept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ReliabilityTable" displayName="ReliabilityTable" ref="A23:H43" headerRowCount="1" totalsRowCount="0" totalsRowShown="0">
  <x:tableColumns count="8">
    <x:tableColumn id="1" name="事件"/>
    <x:tableColumn id="2" name="Bin"/>
    <x:tableColumn id="3" name="觀測"/>
    <x:tableColumn id="4" name="正例"/>
    <x:tableColumn id="5" name="平均預測"/>
    <x:tableColumn id="6" name="實際發生率"/>
    <x:tableColumn id="7" name="下限"/>
    <x:tableColumn id="8" name="上限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hampionTopKTable" displayName="ChampionTopKTable" ref="A5:Q9" headerRowCount="1" totalsRowCount="0" totalsRowShown="0">
  <x:tableColumns count="17">
    <x:tableColumn id="1" name="K"/>
    <x:tableColumn id="2" name="滿柱保留"/>
    <x:tableColumn id="3" name="缺車底線"/>
    <x:tableColumn id="4" name="滿柱底線"/>
    <x:tableColumn id="5" name="候選/次"/>
    <x:tableColumn id="6" name="顯示/次"/>
    <x:tableColumn id="7" name="碰K率"/>
    <x:tableColumn id="8" name="未填滿率"/>
    <x:tableColumn id="9" name="快照命中率"/>
    <x:tableColumn id="10" name="Episode"/>
    <x:tableColumn id="11" name="Episode命中率"/>
    <x:tableColumn id="12" name="Episode/日"/>
    <x:tableColumn id="13" name="未命中/日"/>
    <x:tableColumn id="14" name="缺車召回"/>
    <x:tableColumn id="15" name="滿柱召回"/>
    <x:tableColumn id="16" name="Macro召回"/>
    <x:tableColumn id="17" name="去重減少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K10MethodTable" displayName="K10MethodTable" ref="A14:J21" headerRowCount="1" totalsRowCount="0" totalsRowShown="0">
  <x:tableColumns count="10">
    <x:tableColumn id="1" name="方法"/>
    <x:tableColumn id="2" name="顯示/次"/>
    <x:tableColumn id="3" name="Episode命中率"/>
    <x:tableColumn id="4" name="Episode/日"/>
    <x:tableColumn id="5" name="未命中/日"/>
    <x:tableColumn id="6" name="缺車召回"/>
    <x:tableColumn id="7" name="滿柱召回"/>
    <x:tableColumn id="8" name="Macro召回"/>
    <x:tableColumn id="9" name="碰K率"/>
    <x:tableColumn id="10" name="未填滿率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AllTopKTable" displayName="AllTopKTable" ref="A28:Q84" headerRowCount="1" totalsRowCount="0" totalsRowShown="0">
  <x:tableColumns count="17">
    <x:tableColumn id="1" name="方法"/>
    <x:tableColumn id="2" name="政策"/>
    <x:tableColumn id="3" name="K"/>
    <x:tableColumn id="4" name="滿柱保留"/>
    <x:tableColumn id="5" name="缺車底線"/>
    <x:tableColumn id="6" name="滿柱底線"/>
    <x:tableColumn id="7" name="顯示/次"/>
    <x:tableColumn id="8" name="快照命中率"/>
    <x:tableColumn id="9" name="Episode"/>
    <x:tableColumn id="10" name="Episode命中率"/>
    <x:tableColumn id="11" name="Episode/日"/>
    <x:tableColumn id="12" name="未命中/日"/>
    <x:tableColumn id="13" name="缺車召回"/>
    <x:tableColumn id="14" name="滿柱召回"/>
    <x:tableColumn id="15" name="Macro召回"/>
    <x:tableColumn id="16" name="碰K率"/>
    <x:tableColumn id="17" name="未填滿率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hampionEventTable" displayName="ChampionEventTable" ref="A5:L13" headerRowCount="1" totalsRowCount="0" totalsRowShown="0">
  <x:tableColumns count="12">
    <x:tableColumn id="1" name="K"/>
    <x:tableColumn id="2" name="事件"/>
    <x:tableColumn id="3" name="可評估事件"/>
    <x:tableColumn id="4" name="入選快照"/>
    <x:tableColumn id="5" name="命中快照"/>
    <x:tableColumn id="6" name="快照命中率"/>
    <x:tableColumn id="7" name="新事件召回"/>
    <x:tableColumn id="8" name="Episode"/>
    <x:tableColumn id="9" name="命中Episode"/>
    <x:tableColumn id="10" name="Episode命中率"/>
    <x:tableColumn id="11" name="方法"/>
    <x:tableColumn id="12" name="政策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llEventTable" displayName="AllEventTable" ref="A18:M130" headerRowCount="1" totalsRowCount="0" totalsRowShown="0">
  <x:tableColumns count="13">
    <x:tableColumn id="1" name="方法"/>
    <x:tableColumn id="2" name="政策"/>
    <x:tableColumn id="3" name="K"/>
    <x:tableColumn id="4" name="事件"/>
    <x:tableColumn id="5" name="可評估事件"/>
    <x:tableColumn id="6" name="入選快照"/>
    <x:tableColumn id="7" name="命中快照"/>
    <x:tableColumn id="8" name="事件召回"/>
    <x:tableColumn id="9" name="快照命中率"/>
    <x:tableColumn id="10" name="Episode"/>
    <x:tableColumn id="11" name="命中Episode"/>
    <x:tableColumn id="12" name="Episode命中率"/>
    <x:tableColumn id="13" name="Policy ID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DailyTable" displayName="DailyTable" ref="A5:R49" headerRowCount="1" totalsRowCount="0" totalsRowShown="0">
  <x:tableColumns count="18">
    <x:tableColumn id="1" name="日期"/>
    <x:tableColumn id="2" name="K"/>
    <x:tableColumn id="3" name="行動快照"/>
    <x:tableColumn id="4" name="快照命中"/>
    <x:tableColumn id="5" name="Episode"/>
    <x:tableColumn id="6" name="命中Episode"/>
    <x:tableColumn id="7" name="未命中Episode"/>
    <x:tableColumn id="8" name="Episode命中率"/>
    <x:tableColumn id="9" name="缺車事件"/>
    <x:tableColumn id="10" name="缺車命中"/>
    <x:tableColumn id="11" name="缺車召回"/>
    <x:tableColumn id="12" name="滿柱事件"/>
    <x:tableColumn id="13" name="滿柱命中"/>
    <x:tableColumn id="14" name="滿柱召回"/>
    <x:tableColumn id="15" name="Macro召回"/>
    <x:tableColumn id="16" name="方法"/>
    <x:tableColumn id="17" name="政策"/>
    <x:tableColumn id="18" name="Policy I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pisodeCaseTable" displayName="EpisodeCaseTable" ref="A10:M37" headerRowCount="1" totalsRowCount="0" totalsRowShown="0">
  <x:tableColumns count="13">
    <x:tableColumn id="1" name="站點ID"/>
    <x:tableColumn id="2" name="分段"/>
    <x:tableColumn id="3" name="事件"/>
    <x:tableColumn id="4" name="Episode開始"/>
    <x:tableColumn id="5" name="Episode結束"/>
    <x:tableColumn id="6" name="警示快照"/>
    <x:tableColumn id="7" name="捕捉事件"/>
    <x:tableColumn id="8" name="最高風險"/>
    <x:tableColumn id="9" name="平均風險"/>
    <x:tableColumn id="10" name="事件時間"/>
    <x:tableColumn id="11" name="Episode分鐘"/>
    <x:tableColumn id="12" name="開始到事件分鐘"/>
    <x:tableColumn id="13" name="來源模型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FeatureTable" displayName="FeatureTable" ref="A5:G45" headerRowCount="1" totalsRowCount="0" totalsRowShown="0">
  <x:tableColumns count="7">
    <x:tableColumn id="1" name="家族"/>
    <x:tableColumn id="2" name="事件"/>
    <x:tableColumn id="3" name="排名"/>
    <x:tableColumn id="4" name="特徵"/>
    <x:tableColumn id="5" name="Gain"/>
    <x:tableColumn id="6" name="Gain占比"/>
    <x:tableColumn id="7" name="分割次數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FeatureGlossaryTable" displayName="FeatureGlossaryTable" ref="A49:C58" headerRowCount="1" totalsRowCount="0" totalsRowShown="0">
  <x:tableColumns count="3">
    <x:tableColumn id="1" name="特徵"/>
    <x:tableColumn id="2" name="白話意思"/>
    <x:tableColumn id="3" name="可能用途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SelectedConfigTable" displayName="SelectedConfigTable" ref="A5:F9" headerRowCount="1" totalsRowCount="0" totalsRowShown="0">
  <x:tableColumns count="6">
    <x:tableColumn id="1" name="家族"/>
    <x:tableColumn id="2" name="事件"/>
    <x:tableColumn id="3" name="方法"/>
    <x:tableColumn id="4" name="候選"/>
    <x:tableColumn id="5" name="樹數"/>
    <x:tableColumn id="6" name="參數JS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uditCheckTable" displayName="AuditCheckTable" ref="A13:D23" headerRowCount="1" totalsRowCount="0" totalsRowShown="0">
  <x:tableColumns count="4">
    <x:tableColumn id="1" name="檢查"/>
    <x:tableColumn id="2" name="結果"/>
    <x:tableColumn id="3" name="數值/狀態"/>
    <x:tableColumn id="4" name="解讀"/>
  </x:tableColumns>
  <x:tableStyleInfo name="TableStyleMedium4" showFirstColumn="0" showLastColumn="0" showRowStripes="1" showColumnStripes="0"/>
</x:table>
</file>

<file path=xl/tables/table23.xml><?xml version="1.0" encoding="utf-8"?>
<x:table xmlns:x="http://schemas.openxmlformats.org/spreadsheetml/2006/main" id="23" name="PackageTable" displayName="PackageTable" ref="F13:I20" headerRowCount="1" totalsRowCount="0" totalsRowShown="0">
  <x:tableColumns count="4">
    <x:tableColumn id="1" name="套件"/>
    <x:tableColumn id="2" name="版本"/>
    <x:tableColumn id="3" name="平台"/>
    <x:tableColumn id="4" name="備註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TreeCeilingSensitivityTable" displayName="TreeCeilingSensitivityTable" ref="A25:H29" headerRowCount="1" totalsRowCount="0" totalsRowShown="0">
  <x:tableColumns count="8">
    <x:tableColumn id="1" name="家族"/>
    <x:tableColumn id="2" name="折"/>
    <x:tableColumn id="3" name="AP@800"/>
    <x:tableColumn id="4" name="最佳輪@800"/>
    <x:tableColumn id="5" name="AP@1200"/>
    <x:tableColumn id="6" name="最佳輪@1200"/>
    <x:tableColumn id="7" name="AP差"/>
    <x:tableColumn id="8" name="1200仍受限"/>
  </x:tableColumns>
  <x:tableStyleInfo name="TableStyleMedium4" showFirstColumn="0" showLastColumn="0" showRowStripes="1" showColumnStripes="0"/>
</x:table>
</file>

<file path=xl/tables/table25.xml><?xml version="1.0" encoding="utf-8"?>
<x:table xmlns:x="http://schemas.openxmlformats.org/spreadsheetml/2006/main" id="25" name="SourceManifestTable" displayName="SourceManifestTable" ref="A30:L35" headerRowCount="1" totalsRowCount="0" totalsRowShown="0">
  <x:tableColumns count="12">
    <x:tableColumn id="1" name="月"/>
    <x:tableColumn id="2" name="路徑"/>
    <x:tableColumn id="3" name="SHA256"/>
    <x:tableColumn id="4" name="列數"/>
    <x:tableColumn id="5" name="缺車正例"/>
    <x:tableColumn id="6" name="滿柱正例"/>
    <x:tableColumn id="7" name="尖峰列"/>
    <x:tableColumn id="8" name="尖峰缺車"/>
    <x:tableColumn id="9" name="尖峰滿柱"/>
    <x:tableColumn id="10" name="站數"/>
    <x:tableColumn id="11" name="開始"/>
    <x:tableColumn id="12" name="結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1e9edcd93d45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f69d969734515" /><Relationship Type="http://schemas.openxmlformats.org/officeDocument/2006/relationships/table" Target="/xl/tables/table2.xml" Id="R5d08ebf8d08e4410" /><Relationship Type="http://schemas.openxmlformats.org/officeDocument/2006/relationships/table" Target="/xl/tables/table3.xml" Id="Rafd4b4faf678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41c0c3f03f74941" /><Relationship Type="http://schemas.openxmlformats.org/officeDocument/2006/relationships/table" Target="/xl/tables/table4.xml" Id="R120d8cda26ab42cc" /><Relationship Type="http://schemas.openxmlformats.org/officeDocument/2006/relationships/table" Target="/xl/tables/table5.xml" Id="R6d036cc68f234b62" /><Relationship Type="http://schemas.openxmlformats.org/officeDocument/2006/relationships/table" Target="/xl/tables/table6.xml" Id="R1250a90fba6845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1f19f1e402248b4" /><Relationship Type="http://schemas.openxmlformats.org/officeDocument/2006/relationships/table" Target="/xl/tables/table7.xml" Id="Rec95caa0b14a4edb" /><Relationship Type="http://schemas.openxmlformats.org/officeDocument/2006/relationships/table" Target="/xl/tables/table8.xml" Id="R0d9ac488206d43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4a32f00aa8546f3" /><Relationship Type="http://schemas.openxmlformats.org/officeDocument/2006/relationships/table" Target="/xl/tables/table9.xml" Id="R19c0f7a42c9541a1" /><Relationship Type="http://schemas.openxmlformats.org/officeDocument/2006/relationships/table" Target="/xl/tables/table10.xml" Id="R101ad968ec584267" /><Relationship Type="http://schemas.openxmlformats.org/officeDocument/2006/relationships/table" Target="/xl/tables/table11.xml" Id="Ra7269c1917844f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7ab6ec6e7ee48ae" /><Relationship Type="http://schemas.openxmlformats.org/officeDocument/2006/relationships/table" Target="/xl/tables/table12.xml" Id="R89d214247a5a4a20" /><Relationship Type="http://schemas.openxmlformats.org/officeDocument/2006/relationships/table" Target="/xl/tables/table13.xml" Id="Ra7e56f6a735d4864" /><Relationship Type="http://schemas.openxmlformats.org/officeDocument/2006/relationships/table" Target="/xl/tables/table14.xml" Id="Rfb07955ce9b34f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c291e791ac7c4def" /><Relationship Type="http://schemas.openxmlformats.org/officeDocument/2006/relationships/table" Target="/xl/tables/table15.xml" Id="R012525080c634b03" /><Relationship Type="http://schemas.openxmlformats.org/officeDocument/2006/relationships/table" Target="/xl/tables/table16.xml" Id="Rb673c61d08d64c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26bc5c0f3a914cbd" /><Relationship Type="http://schemas.openxmlformats.org/officeDocument/2006/relationships/table" Target="/xl/tables/table17.xml" Id="R68f1397d24de4f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8.xml" Id="Rf5ef09c9e72545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751f7c7c2ae24fa4" /><Relationship Type="http://schemas.openxmlformats.org/officeDocument/2006/relationships/table" Target="/xl/tables/table19.xml" Id="R5ce30a66c847409c" /><Relationship Type="http://schemas.openxmlformats.org/officeDocument/2006/relationships/table" Target="/xl/tables/table20.xml" Id="Rbdf8419c9d8748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1.xml" Id="R9c903e6c6ab54f85" /><Relationship Type="http://schemas.openxmlformats.org/officeDocument/2006/relationships/table" Target="/xl/tables/table22.xml" Id="Rbf0c544a495b4b77" /><Relationship Type="http://schemas.openxmlformats.org/officeDocument/2006/relationships/table" Target="/xl/tables/table23.xml" Id="R48ef9445b9f34e79" /><Relationship Type="http://schemas.openxmlformats.org/officeDocument/2006/relationships/table" Target="/xl/tables/table24.xml" Id="R96764a90558143a0" /><Relationship Type="http://schemas.openxmlformats.org/officeDocument/2006/relationships/table" Target="/xl/tables/table25.xml" Id="Rffd2be1e294946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9" customHeight="1">
      <x:c r="A1" s="4" t="str">
        <x:v>YouBike 30分鐘新失衡預測｜正式結論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07"/>
      <x:c r="P1" s="407"/>
      <x:c r="Q1" s="407"/>
      <x:c r="R1" s="407"/>
      <x:c r="S1" s="407"/>
      <x:c r="T1" s="407"/>
      <x:c r="U1" s="407"/>
      <x:c r="V1" s="407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07"/>
      <x:c r="P2" s="407"/>
      <x:c r="Q2" s="407"/>
      <x:c r="R2" s="407"/>
      <x:c r="S2" s="407"/>
      <x:c r="T2" s="407"/>
      <x:c r="U2" s="407"/>
      <x:c r="V2" s="407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簡單規則、Logistic、LightGBM與XGBoost正式比較；六月本次完全未讀取。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07"/>
      <x:c r="P3" s="407"/>
      <x:c r="Q3" s="407"/>
      <x:c r="R3" s="407"/>
      <x:c r="S3" s="407"/>
      <x:c r="T3" s="407"/>
      <x:c r="U3" s="407"/>
      <x:c r="V3" s="407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>
      <x:c r="A5" s="79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B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C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D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E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F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G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H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I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J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K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L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M5" s="80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N5" s="81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82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B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C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D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E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F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G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H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I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J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K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L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M6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N6" s="84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82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B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C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D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E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F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G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H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I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J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K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L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M7" s="83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N7" s="84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85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B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C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D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E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F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G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H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I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J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K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L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M8" s="86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N8" s="87" t="str">
        <x:v>結論：XGBoost沒有全面贏過LightGBM。缺車跨月CV保留LightGBM；滿柱XGBoost依事先規則勉強通過，但五月21–31日PR-AUC反而略低於LightGBM。混合候選在K20、K25的新事件召回也顯著低於純LightGBM。因此正式建議先部署純LightGBM，混合模型只保留作未來月份影子對照。</x:v>
      </x:c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/>
      <x:c r="B9" s="407"/>
      <x:c r="C9" s="407"/>
      <x:c r="D9" s="407"/>
      <x:c r="E9" s="407"/>
      <x:c r="F9" s="407"/>
      <x:c r="G9" s="407"/>
      <x:c r="H9" s="407"/>
      <x:c r="I9" s="407"/>
      <x:c r="J9" s="407"/>
      <x:c r="K9" s="407"/>
      <x:c r="L9" s="407"/>
      <x:c r="M9" s="407"/>
      <x:c r="N9" s="407"/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183" t="str">
        <x:v>缺車CV選擇</x:v>
      </x:c>
      <x:c r="B10" s="183" t="str">
        <x:v>缺車CV選擇</x:v>
      </x:c>
      <x:c r="C10" s="183" t="str">
        <x:v>缺車CV選擇</x:v>
      </x:c>
      <x:c r="D10" s="224" t="str">
        <x:v>缺車五月PR-AUC</x:v>
      </x:c>
      <x:c r="E10" s="224" t="str">
        <x:v>缺車五月PR-AUC</x:v>
      </x:c>
      <x:c r="F10" s="224" t="str">
        <x:v>缺車五月PR-AUC</x:v>
      </x:c>
      <x:c r="G10" s="263" t="str">
        <x:v>滿柱CV選擇</x:v>
      </x:c>
      <x:c r="H10" s="263" t="str">
        <x:v>滿柱CV選擇</x:v>
      </x:c>
      <x:c r="I10" s="263" t="str">
        <x:v>滿柱CV選擇</x:v>
      </x:c>
      <x:c r="J10" s="263" t="str">
        <x:v>滿柱CV選擇</x:v>
      </x:c>
      <x:c r="K10" s="303" t="str">
        <x:v>滿柱五月PR-AUC</x:v>
      </x:c>
      <x:c r="L10" s="303" t="str">
        <x:v>滿柱五月PR-AUC</x:v>
      </x:c>
      <x:c r="M10" s="303" t="str">
        <x:v>滿柱五月PR-AUC</x:v>
      </x:c>
      <x:c r="N10" s="303" t="str">
        <x:v>滿柱五月PR-AUC</x:v>
      </x:c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212" t="str">
        <x:f>'跨月CV'!L6</x:f>
        <x:v>LightGBM 正式調參</x:v>
      </x:c>
      <x:c r="B11" s="213"/>
      <x:c r="C11" s="214"/>
      <x:c r="D11" s="252" t="n">
        <x:f>'五月模型'!G10</x:f>
        <x:v>0.2708344249237615</x:v>
      </x:c>
      <x:c r="E11" s="253"/>
      <x:c r="F11" s="254"/>
      <x:c r="G11" s="291" t="str">
        <x:f>'跨月CV'!L7</x:f>
        <x:v>XGBoost 正式調參</x:v>
      </x:c>
      <x:c r="H11" s="292"/>
      <x:c r="I11" s="292"/>
      <x:c r="J11" s="293"/>
      <x:c r="K11" s="331" t="n">
        <x:f>'五月模型'!G18</x:f>
        <x:v>0.15793401495589765</x:v>
      </x:c>
      <x:c r="L11" s="332"/>
      <x:c r="M11" s="332"/>
      <x:c r="N11" s="333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215"/>
      <x:c r="B12" s="216"/>
      <x:c r="C12" s="217"/>
      <x:c r="D12" s="255"/>
      <x:c r="E12" s="256"/>
      <x:c r="F12" s="257"/>
      <x:c r="G12" s="294"/>
      <x:c r="H12" s="295"/>
      <x:c r="I12" s="295"/>
      <x:c r="J12" s="296"/>
      <x:c r="K12" s="334"/>
      <x:c r="L12" s="335"/>
      <x:c r="M12" s="335"/>
      <x:c r="N12" s="336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218"/>
      <x:c r="B13" s="219"/>
      <x:c r="C13" s="220"/>
      <x:c r="D13" s="258"/>
      <x:c r="E13" s="259"/>
      <x:c r="F13" s="260"/>
      <x:c r="G13" s="297"/>
      <x:c r="H13" s="298"/>
      <x:c r="I13" s="298"/>
      <x:c r="J13" s="299"/>
      <x:c r="K13" s="337"/>
      <x:c r="L13" s="338"/>
      <x:c r="M13" s="338"/>
      <x:c r="N13" s="339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/>
      <x:c r="B14" s="407"/>
      <x:c r="C14" s="407"/>
      <x:c r="D14" s="407"/>
      <x:c r="E14" s="407"/>
      <x:c r="F14" s="407"/>
      <x:c r="G14" s="407"/>
      <x:c r="H14" s="407"/>
      <x:c r="I14" s="407"/>
      <x:c r="J14" s="407"/>
      <x:c r="K14" s="407"/>
      <x:c r="L14" s="407"/>
      <x:c r="M14" s="407"/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183" t="str">
        <x:v>LGB K10顯示/次</x:v>
      </x:c>
      <x:c r="B15" s="183" t="str">
        <x:v>LGB K10顯示/次</x:v>
      </x:c>
      <x:c r="C15" s="183" t="str">
        <x:v>LGB K10顯示/次</x:v>
      </x:c>
      <x:c r="D15" s="224" t="str">
        <x:v>LGB K10 Episode命中率</x:v>
      </x:c>
      <x:c r="E15" s="224" t="str">
        <x:v>LGB K10 Episode命中率</x:v>
      </x:c>
      <x:c r="F15" s="224" t="str">
        <x:v>LGB K10 Episode命中率</x:v>
      </x:c>
      <x:c r="G15" s="263" t="str">
        <x:v>LGB K10 Macro召回</x:v>
      </x:c>
      <x:c r="H15" s="263" t="str">
        <x:v>LGB K10 Macro召回</x:v>
      </x:c>
      <x:c r="I15" s="263" t="str">
        <x:v>LGB K10 Macro召回</x:v>
      </x:c>
      <x:c r="J15" s="263" t="str">
        <x:v>LGB K10 Macro召回</x:v>
      </x:c>
      <x:c r="K15" s="370" t="str">
        <x:v>六月本次讀取</x:v>
      </x:c>
      <x:c r="L15" s="370" t="str">
        <x:v>六月本次讀取</x:v>
      </x:c>
      <x:c r="M15" s="370" t="str">
        <x:v>六月本次讀取</x:v>
      </x:c>
      <x:c r="N15" s="370" t="str">
        <x:v>六月本次讀取</x:v>
      </x:c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340" t="n">
        <x:f>'TopK總比較'!B19</x:f>
        <x:v>7.116883116883117</x:v>
      </x:c>
      <x:c r="B16" s="341"/>
      <x:c r="C16" s="342"/>
      <x:c r="D16" s="349" t="n">
        <x:f>'TopK總比較'!C19</x:f>
        <x:v>0.4376278118609407</x:v>
      </x:c>
      <x:c r="E16" s="350"/>
      <x:c r="F16" s="351"/>
      <x:c r="G16" s="358" t="n">
        <x:f>'TopK總比較'!H19</x:f>
        <x:v>0.05137405725829677</x:v>
      </x:c>
      <x:c r="H16" s="359"/>
      <x:c r="I16" s="359"/>
      <x:c r="J16" s="360"/>
      <x:c r="K16" s="398" t="str">
        <x:f>'參數稽核'!C15</x:f>
        <x:v>否</x:v>
      </x:c>
      <x:c r="L16" s="399"/>
      <x:c r="M16" s="399"/>
      <x:c r="N16" s="400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343"/>
      <x:c r="B17" s="344"/>
      <x:c r="C17" s="345"/>
      <x:c r="D17" s="352"/>
      <x:c r="E17" s="353"/>
      <x:c r="F17" s="354"/>
      <x:c r="G17" s="361"/>
      <x:c r="H17" s="362"/>
      <x:c r="I17" s="362"/>
      <x:c r="J17" s="363"/>
      <x:c r="K17" s="401"/>
      <x:c r="L17" s="402"/>
      <x:c r="M17" s="402"/>
      <x:c r="N17" s="403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346"/>
      <x:c r="B18" s="347"/>
      <x:c r="C18" s="348"/>
      <x:c r="D18" s="355"/>
      <x:c r="E18" s="356"/>
      <x:c r="F18" s="357"/>
      <x:c r="G18" s="364"/>
      <x:c r="H18" s="365"/>
      <x:c r="I18" s="365"/>
      <x:c r="J18" s="366"/>
      <x:c r="K18" s="404"/>
      <x:c r="L18" s="405"/>
      <x:c r="M18" s="405"/>
      <x:c r="N18" s="406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/>
      <x:c r="B19" s="407"/>
      <x:c r="C19" s="407"/>
      <x:c r="D19" s="407"/>
      <x:c r="E19" s="407"/>
      <x:c r="F19" s="407"/>
      <x:c r="G19" s="407"/>
      <x:c r="H19" s="407"/>
      <x:c r="I19" s="407"/>
      <x:c r="J19" s="407"/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170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0" s="171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0" s="172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173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1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1" s="175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173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2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2" s="175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173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3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3" s="175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173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4" s="174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4" s="175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176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B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C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D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E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F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G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H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I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J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K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L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M25" s="177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N25" s="178" t="str">
        <x:v>模型層：樹模型對簡單規則有實質提升；缺車PR-AUC約27%、滿柱約16%，分別約為當期正例率的6.7倍、23.4倍。
政策層：純LightGBM的K10平均每次顯示7.1站、Episode命中率43.8%，涵蓋約5.1%全部新失衡事件。後者低是因高機率底線與有限K刻意限制工作量，不能只憑它說模型很差。</x:v>
      </x:c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/>
      <x:c r="B26" s="407"/>
      <x:c r="C26" s="407"/>
      <x:c r="D26" s="407"/>
      <x:c r="E26" s="407"/>
      <x:c r="F26" s="407"/>
      <x:c r="G26" s="407"/>
      <x:c r="H26" s="407"/>
      <x:c r="I26" s="407"/>
      <x:c r="J26" s="407"/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 ht="32" customHeight="1">
      <x:c r="A27" s="51" t="str">
        <x:v>事件</x:v>
      </x:c>
      <x:c r="B27" s="52" t="str">
        <x:v>LGB CV AP</x:v>
      </x:c>
      <x:c r="C27" s="53" t="str">
        <x:v>XGB CV AP</x:v>
      </x:c>
      <x:c r="D27" s="407"/>
      <x:c r="E27" s="407"/>
      <x:c r="F27" s="407"/>
      <x:c r="G27" s="407"/>
      <x:c r="H27" s="51" t="str">
        <x:v>事件</x:v>
      </x:c>
      <x:c r="I27" s="52" t="str">
        <x:v>LGB舊版</x:v>
      </x:c>
      <x:c r="J27" s="52" t="str">
        <x:v>LGB調參</x:v>
      </x:c>
      <x:c r="K27" s="53" t="str">
        <x:v>XGB調參</x:v>
      </x:c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f>'跨月CV'!A6</x:f>
        <x:v>缺車</x:v>
      </x:c>
      <x:c r="B28" s="407" t="n">
        <x:f>'跨月CV'!C6</x:f>
        <x:v>0.2178378321168918</x:v>
      </x:c>
      <x:c r="C28" s="407" t="n">
        <x:f>'跨月CV'!E6</x:f>
        <x:v>0.21504384506343174</x:v>
      </x:c>
      <x:c r="D28" s="407"/>
      <x:c r="E28" s="407"/>
      <x:c r="F28" s="407"/>
      <x:c r="G28" s="407"/>
      <x:c r="H28" s="407" t="str">
        <x:f>'五月模型'!A9</x:f>
        <x:v>缺車</x:v>
      </x:c>
      <x:c r="I28" s="407" t="n">
        <x:f>'五月模型'!G9</x:f>
        <x:v>0.2688269254525504</x:v>
      </x:c>
      <x:c r="J28" s="407" t="n">
        <x:f>'五月模型'!G10</x:f>
        <x:v>0.2708344249237615</x:v>
      </x:c>
      <x:c r="K28" s="407" t="n">
        <x:f>'五月模型'!G11</x:f>
        <x:v>0.26972590493091314</x:v>
      </x:c>
      <x:c r="L28" s="407"/>
      <x:c r="M28" s="407"/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f>'跨月CV'!A7</x:f>
        <x:v>滿柱</x:v>
      </x:c>
      <x:c r="B29" s="407" t="n">
        <x:f>'跨月CV'!C7</x:f>
        <x:v>0.12401193226995888</x:v>
      </x:c>
      <x:c r="C29" s="407" t="n">
        <x:f>'跨月CV'!E7</x:f>
        <x:v>0.12446655719638045</x:v>
      </x:c>
      <x:c r="D29" s="407"/>
      <x:c r="E29" s="407"/>
      <x:c r="F29" s="407"/>
      <x:c r="G29" s="407"/>
      <x:c r="H29" s="407" t="str">
        <x:f>'五月模型'!A16</x:f>
        <x:v>滿柱</x:v>
      </x:c>
      <x:c r="I29" s="407" t="n">
        <x:f>'五月模型'!G16</x:f>
        <x:v>0.1622078093051194</x:v>
      </x:c>
      <x:c r="J29" s="407" t="n">
        <x:f>'五月模型'!G17</x:f>
        <x:v>0.16057470158312828</x:v>
      </x:c>
      <x:c r="K29" s="407" t="n">
        <x:f>'五月模型'!G18</x:f>
        <x:v>0.15793401495589765</x:v>
      </x:c>
      <x:c r="L29" s="407"/>
      <x:c r="M29" s="407"/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/>
      <x:c r="B30" s="407"/>
      <x:c r="C30" s="407"/>
      <x:c r="D30" s="407"/>
      <x:c r="E30" s="407"/>
      <x:c r="F30" s="407"/>
      <x:c r="G30" s="407"/>
      <x:c r="H30" s="407"/>
      <x:c r="I30" s="407"/>
      <x:c r="J30" s="407"/>
      <x:c r="K30" s="407"/>
      <x:c r="L30" s="407"/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/>
      <x:c r="B31" s="407"/>
      <x:c r="C31" s="407"/>
      <x:c r="D31" s="407"/>
      <x:c r="E31" s="407"/>
      <x:c r="F31" s="407"/>
      <x:c r="G31" s="407"/>
      <x:c r="H31" s="407"/>
      <x:c r="I31" s="407"/>
      <x:c r="J31" s="407"/>
      <x:c r="K31" s="407"/>
      <x:c r="L31" s="407"/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/>
      <x:c r="B32" s="407"/>
      <x:c r="C32" s="407"/>
      <x:c r="D32" s="407"/>
      <x:c r="E32" s="407"/>
      <x:c r="F32" s="407"/>
      <x:c r="G32" s="407"/>
      <x:c r="H32" s="407"/>
      <x:c r="I32" s="407"/>
      <x:c r="J32" s="407"/>
      <x:c r="K32" s="407"/>
      <x:c r="L32" s="407"/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/>
      <x:c r="B33" s="407"/>
      <x:c r="C33" s="407"/>
      <x:c r="D33" s="407"/>
      <x:c r="E33" s="407"/>
      <x:c r="F33" s="407"/>
      <x:c r="G33" s="407"/>
      <x:c r="H33" s="407"/>
      <x:c r="I33" s="407"/>
      <x:c r="J33" s="407"/>
      <x:c r="K33" s="407"/>
      <x:c r="L33" s="407"/>
      <x:c r="M33" s="407"/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/>
      <x:c r="B34" s="407"/>
      <x:c r="C34" s="407"/>
      <x:c r="D34" s="407"/>
      <x:c r="E34" s="407"/>
      <x:c r="F34" s="407"/>
      <x:c r="G34" s="407"/>
      <x:c r="H34" s="407"/>
      <x:c r="I34" s="407"/>
      <x:c r="J34" s="407"/>
      <x:c r="K34" s="407"/>
      <x:c r="L34" s="407"/>
      <x:c r="M34" s="407"/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/>
      <x:c r="B35" s="407"/>
      <x:c r="C35" s="407"/>
      <x:c r="D35" s="407"/>
      <x:c r="E35" s="407"/>
      <x:c r="F35" s="407"/>
      <x:c r="G35" s="407"/>
      <x:c r="H35" s="407"/>
      <x:c r="I35" s="407"/>
      <x:c r="J35" s="407"/>
      <x:c r="K35" s="407"/>
      <x:c r="L35" s="407"/>
      <x:c r="M35" s="407"/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/>
      <x:c r="B36" s="407"/>
      <x:c r="C36" s="407"/>
      <x:c r="D36" s="407"/>
      <x:c r="E36" s="407"/>
      <x:c r="F36" s="407"/>
      <x:c r="G36" s="407"/>
      <x:c r="H36" s="407"/>
      <x:c r="I36" s="407"/>
      <x:c r="J36" s="407"/>
      <x:c r="K36" s="407"/>
      <x:c r="L36" s="407"/>
      <x:c r="M36" s="407"/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/>
      <x:c r="B37" s="407"/>
      <x:c r="C37" s="407"/>
      <x:c r="D37" s="407"/>
      <x:c r="E37" s="407"/>
      <x:c r="F37" s="407"/>
      <x:c r="G37" s="407"/>
      <x:c r="H37" s="407"/>
      <x:c r="I37" s="407"/>
      <x:c r="J37" s="407"/>
      <x:c r="K37" s="407"/>
      <x:c r="L37" s="407"/>
      <x:c r="M37" s="407"/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/>
      <x:c r="B38" s="407"/>
      <x:c r="C38" s="407"/>
      <x:c r="D38" s="407"/>
      <x:c r="E38" s="407"/>
      <x:c r="F38" s="407"/>
      <x:c r="G38" s="407"/>
      <x:c r="H38" s="407"/>
      <x:c r="I38" s="407"/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/>
      <x:c r="B39" s="407"/>
      <x:c r="C39" s="407"/>
      <x:c r="D39" s="407"/>
      <x:c r="E39" s="407"/>
      <x:c r="F39" s="407"/>
      <x:c r="G39" s="407"/>
      <x:c r="H39" s="407"/>
      <x:c r="I39" s="407"/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/>
      <x:c r="B40" s="407"/>
      <x:c r="C40" s="407"/>
      <x:c r="D40" s="407"/>
      <x:c r="E40" s="407"/>
      <x:c r="F40" s="407"/>
      <x:c r="G40" s="407"/>
      <x:c r="H40" s="407"/>
      <x:c r="I40" s="407"/>
      <x:c r="J40" s="407"/>
      <x:c r="K40" s="407"/>
      <x:c r="L40" s="407"/>
      <x:c r="M40" s="407"/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/>
      <x:c r="B41" s="407"/>
      <x:c r="C41" s="407"/>
      <x:c r="D41" s="407"/>
      <x:c r="E41" s="407"/>
      <x:c r="F41" s="407"/>
      <x:c r="G41" s="407"/>
      <x:c r="H41" s="407"/>
      <x:c r="I41" s="407"/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/>
      <x:c r="B42" s="407"/>
      <x:c r="C42" s="407"/>
      <x:c r="D42" s="407"/>
      <x:c r="E42" s="407"/>
      <x:c r="F42" s="407"/>
      <x:c r="G42" s="407"/>
      <x:c r="H42" s="407"/>
      <x:c r="I42" s="407"/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/>
      <x:c r="B43" s="407"/>
      <x:c r="C43" s="407"/>
      <x:c r="D43" s="407"/>
      <x:c r="E43" s="407"/>
      <x:c r="F43" s="407"/>
      <x:c r="G43" s="407"/>
      <x:c r="H43" s="407"/>
      <x:c r="I43" s="407"/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/>
      <x:c r="B44" s="407"/>
      <x:c r="C44" s="407"/>
      <x:c r="D44" s="407"/>
      <x:c r="E44" s="407"/>
      <x:c r="F44" s="407"/>
      <x:c r="G44" s="407"/>
      <x:c r="H44" s="407"/>
      <x:c r="I44" s="407"/>
      <x:c r="J44" s="407"/>
      <x:c r="K44" s="407"/>
      <x:c r="L44" s="407"/>
      <x:c r="M44" s="407"/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/>
      <x:c r="B45" s="407"/>
      <x:c r="C45" s="407"/>
      <x:c r="D45" s="407"/>
      <x:c r="E45" s="407"/>
      <x:c r="F45" s="407"/>
      <x:c r="G45" s="407"/>
      <x:c r="H45" s="407"/>
      <x:c r="I45" s="407"/>
      <x:c r="J45" s="407"/>
      <x:c r="K45" s="407"/>
      <x:c r="L45" s="407"/>
      <x:c r="M45" s="407"/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/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/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31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B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C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D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E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F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G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H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I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J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K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L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M48" s="32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N48" s="33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34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B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C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D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E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F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G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H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I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J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K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L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M49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N49" s="36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34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B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C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D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E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F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G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H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I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J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K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L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M50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N50" s="36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34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B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C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D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E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F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G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H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I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J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K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L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M51" s="35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N51" s="36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37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B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C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D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E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F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G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H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I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J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K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L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M52" s="38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N52" s="39" t="str">
        <x:v>下一步：保留同一版LightGBM與混合候選做影子對照，不再調五月，也不開六月重選模型；等有完整未來新月份後，一次比較PR-AUC、校正、K10/15 Episode命中率與每日工作量。若混合方案沒有持續優勢，就不值得為微小分數增加雙模型維運。</x:v>
      </x:c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/>
      <x:c r="B53" s="407"/>
      <x:c r="C53" s="407"/>
      <x:c r="D53" s="407"/>
      <x:c r="E53" s="407"/>
      <x:c r="F53" s="407"/>
      <x:c r="G53" s="407"/>
      <x:c r="H53" s="407"/>
      <x:c r="I53" s="407"/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114" t="str">
        <x:v>四層閱讀順序：跨月CV選模型 → 五月凍結模型指標 → 校正與門檻 → 共享Top-K/Episode營運指標。不同層次不要混成同一個分數。</x:v>
      </x:c>
      <x:c r="B54" s="115" t="str">
        <x:v>四層閱讀順序：跨月CV選模型 → 五月凍結模型指標 → 校正與門檻 → 共享Top-K/Episode營運指標。不同層次不要混成同一個分數。</x:v>
      </x:c>
      <x:c r="C54" s="115" t="str">
        <x:v>四層閱讀順序：跨月CV選模型 → 五月凍結模型指標 → 校正與門檻 → 共享Top-K/Episode營運指標。不同層次不要混成同一個分數。</x:v>
      </x:c>
      <x:c r="D54" s="115" t="str">
        <x:v>四層閱讀順序：跨月CV選模型 → 五月凍結模型指標 → 校正與門檻 → 共享Top-K/Episode營運指標。不同層次不要混成同一個分數。</x:v>
      </x:c>
      <x:c r="E54" s="115" t="str">
        <x:v>四層閱讀順序：跨月CV選模型 → 五月凍結模型指標 → 校正與門檻 → 共享Top-K/Episode營運指標。不同層次不要混成同一個分數。</x:v>
      </x:c>
      <x:c r="F54" s="115" t="str">
        <x:v>四層閱讀順序：跨月CV選模型 → 五月凍結模型指標 → 校正與門檻 → 共享Top-K/Episode營運指標。不同層次不要混成同一個分數。</x:v>
      </x:c>
      <x:c r="G54" s="115" t="str">
        <x:v>四層閱讀順序：跨月CV選模型 → 五月凍結模型指標 → 校正與門檻 → 共享Top-K/Episode營運指標。不同層次不要混成同一個分數。</x:v>
      </x:c>
      <x:c r="H54" s="115" t="str">
        <x:v>四層閱讀順序：跨月CV選模型 → 五月凍結模型指標 → 校正與門檻 → 共享Top-K/Episode營運指標。不同層次不要混成同一個分數。</x:v>
      </x:c>
      <x:c r="I54" s="115" t="str">
        <x:v>四層閱讀順序：跨月CV選模型 → 五月凍結模型指標 → 校正與門檻 → 共享Top-K/Episode營運指標。不同層次不要混成同一個分數。</x:v>
      </x:c>
      <x:c r="J54" s="115" t="str">
        <x:v>四層閱讀順序：跨月CV選模型 → 五月凍結模型指標 → 校正與門檻 → 共享Top-K/Episode營運指標。不同層次不要混成同一個分數。</x:v>
      </x:c>
      <x:c r="K54" s="115" t="str">
        <x:v>四層閱讀順序：跨月CV選模型 → 五月凍結模型指標 → 校正與門檻 → 共享Top-K/Episode營運指標。不同層次不要混成同一個分數。</x:v>
      </x:c>
      <x:c r="L54" s="115" t="str">
        <x:v>四層閱讀順序：跨月CV選模型 → 五月凍結模型指標 → 校正與門檻 → 共享Top-K/Episode營運指標。不同層次不要混成同一個分數。</x:v>
      </x:c>
      <x:c r="M54" s="115" t="str">
        <x:v>四層閱讀順序：跨月CV選模型 → 五月凍結模型指標 → 校正與門檻 → 共享Top-K/Episode營運指標。不同層次不要混成同一個分數。</x:v>
      </x:c>
      <x:c r="N54" s="116" t="str">
        <x:v>四層閱讀順序：跨月CV選模型 → 五月凍結模型指標 → 校正與門檻 → 共享Top-K/Episode營運指標。不同層次不要混成同一個分數。</x:v>
      </x:c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117" t="str">
        <x:v>四層閱讀順序：跨月CV選模型 → 五月凍結模型指標 → 校正與門檻 → 共享Top-K/Episode營運指標。不同層次不要混成同一個分數。</x:v>
      </x:c>
      <x:c r="B55" s="118" t="str">
        <x:v>四層閱讀順序：跨月CV選模型 → 五月凍結模型指標 → 校正與門檻 → 共享Top-K/Episode營運指標。不同層次不要混成同一個分數。</x:v>
      </x:c>
      <x:c r="C55" s="118" t="str">
        <x:v>四層閱讀順序：跨月CV選模型 → 五月凍結模型指標 → 校正與門檻 → 共享Top-K/Episode營運指標。不同層次不要混成同一個分數。</x:v>
      </x:c>
      <x:c r="D55" s="118" t="str">
        <x:v>四層閱讀順序：跨月CV選模型 → 五月凍結模型指標 → 校正與門檻 → 共享Top-K/Episode營運指標。不同層次不要混成同一個分數。</x:v>
      </x:c>
      <x:c r="E55" s="118" t="str">
        <x:v>四層閱讀順序：跨月CV選模型 → 五月凍結模型指標 → 校正與門檻 → 共享Top-K/Episode營運指標。不同層次不要混成同一個分數。</x:v>
      </x:c>
      <x:c r="F55" s="118" t="str">
        <x:v>四層閱讀順序：跨月CV選模型 → 五月凍結模型指標 → 校正與門檻 → 共享Top-K/Episode營運指標。不同層次不要混成同一個分數。</x:v>
      </x:c>
      <x:c r="G55" s="118" t="str">
        <x:v>四層閱讀順序：跨月CV選模型 → 五月凍結模型指標 → 校正與門檻 → 共享Top-K/Episode營運指標。不同層次不要混成同一個分數。</x:v>
      </x:c>
      <x:c r="H55" s="118" t="str">
        <x:v>四層閱讀順序：跨月CV選模型 → 五月凍結模型指標 → 校正與門檻 → 共享Top-K/Episode營運指標。不同層次不要混成同一個分數。</x:v>
      </x:c>
      <x:c r="I55" s="118" t="str">
        <x:v>四層閱讀順序：跨月CV選模型 → 五月凍結模型指標 → 校正與門檻 → 共享Top-K/Episode營運指標。不同層次不要混成同一個分數。</x:v>
      </x:c>
      <x:c r="J55" s="118" t="str">
        <x:v>四層閱讀順序：跨月CV選模型 → 五月凍結模型指標 → 校正與門檻 → 共享Top-K/Episode營運指標。不同層次不要混成同一個分數。</x:v>
      </x:c>
      <x:c r="K55" s="118" t="str">
        <x:v>四層閱讀順序：跨月CV選模型 → 五月凍結模型指標 → 校正與門檻 → 共享Top-K/Episode營運指標。不同層次不要混成同一個分數。</x:v>
      </x:c>
      <x:c r="L55" s="118" t="str">
        <x:v>四層閱讀順序：跨月CV選模型 → 五月凍結模型指標 → 校正與門檻 → 共享Top-K/Episode營運指標。不同層次不要混成同一個分數。</x:v>
      </x:c>
      <x:c r="M55" s="118" t="str">
        <x:v>四層閱讀順序：跨月CV選模型 → 五月凍結模型指標 → 校正與門檻 → 共享Top-K/Episode營運指標。不同層次不要混成同一個分數。</x:v>
      </x:c>
      <x:c r="N55" s="119" t="str">
        <x:v>四層閱讀順序：跨月CV選模型 → 五月凍結模型指標 → 校正與門檻 → 共享Top-K/Episode營運指標。不同層次不要混成同一個分數。</x:v>
      </x:c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117" t="str">
        <x:v>四層閱讀順序：跨月CV選模型 → 五月凍結模型指標 → 校正與門檻 → 共享Top-K/Episode營運指標。不同層次不要混成同一個分數。</x:v>
      </x:c>
      <x:c r="B56" s="118" t="str">
        <x:v>四層閱讀順序：跨月CV選模型 → 五月凍結模型指標 → 校正與門檻 → 共享Top-K/Episode營運指標。不同層次不要混成同一個分數。</x:v>
      </x:c>
      <x:c r="C56" s="118" t="str">
        <x:v>四層閱讀順序：跨月CV選模型 → 五月凍結模型指標 → 校正與門檻 → 共享Top-K/Episode營運指標。不同層次不要混成同一個分數。</x:v>
      </x:c>
      <x:c r="D56" s="118" t="str">
        <x:v>四層閱讀順序：跨月CV選模型 → 五月凍結模型指標 → 校正與門檻 → 共享Top-K/Episode營運指標。不同層次不要混成同一個分數。</x:v>
      </x:c>
      <x:c r="E56" s="118" t="str">
        <x:v>四層閱讀順序：跨月CV選模型 → 五月凍結模型指標 → 校正與門檻 → 共享Top-K/Episode營運指標。不同層次不要混成同一個分數。</x:v>
      </x:c>
      <x:c r="F56" s="118" t="str">
        <x:v>四層閱讀順序：跨月CV選模型 → 五月凍結模型指標 → 校正與門檻 → 共享Top-K/Episode營運指標。不同層次不要混成同一個分數。</x:v>
      </x:c>
      <x:c r="G56" s="118" t="str">
        <x:v>四層閱讀順序：跨月CV選模型 → 五月凍結模型指標 → 校正與門檻 → 共享Top-K/Episode營運指標。不同層次不要混成同一個分數。</x:v>
      </x:c>
      <x:c r="H56" s="118" t="str">
        <x:v>四層閱讀順序：跨月CV選模型 → 五月凍結模型指標 → 校正與門檻 → 共享Top-K/Episode營運指標。不同層次不要混成同一個分數。</x:v>
      </x:c>
      <x:c r="I56" s="118" t="str">
        <x:v>四層閱讀順序：跨月CV選模型 → 五月凍結模型指標 → 校正與門檻 → 共享Top-K/Episode營運指標。不同層次不要混成同一個分數。</x:v>
      </x:c>
      <x:c r="J56" s="118" t="str">
        <x:v>四層閱讀順序：跨月CV選模型 → 五月凍結模型指標 → 校正與門檻 → 共享Top-K/Episode營運指標。不同層次不要混成同一個分數。</x:v>
      </x:c>
      <x:c r="K56" s="118" t="str">
        <x:v>四層閱讀順序：跨月CV選模型 → 五月凍結模型指標 → 校正與門檻 → 共享Top-K/Episode營運指標。不同層次不要混成同一個分數。</x:v>
      </x:c>
      <x:c r="L56" s="118" t="str">
        <x:v>四層閱讀順序：跨月CV選模型 → 五月凍結模型指標 → 校正與門檻 → 共享Top-K/Episode營運指標。不同層次不要混成同一個分數。</x:v>
      </x:c>
      <x:c r="M56" s="118" t="str">
        <x:v>四層閱讀順序：跨月CV選模型 → 五月凍結模型指標 → 校正與門檻 → 共享Top-K/Episode營運指標。不同層次不要混成同一個分數。</x:v>
      </x:c>
      <x:c r="N56" s="119" t="str">
        <x:v>四層閱讀順序：跨月CV選模型 → 五月凍結模型指標 → 校正與門檻 → 共享Top-K/Episode營運指標。不同層次不要混成同一個分數。</x:v>
      </x:c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120" t="str">
        <x:v>四層閱讀順序：跨月CV選模型 → 五月凍結模型指標 → 校正與門檻 → 共享Top-K/Episode營運指標。不同層次不要混成同一個分數。</x:v>
      </x:c>
      <x:c r="B57" s="121" t="str">
        <x:v>四層閱讀順序：跨月CV選模型 → 五月凍結模型指標 → 校正與門檻 → 共享Top-K/Episode營運指標。不同層次不要混成同一個分數。</x:v>
      </x:c>
      <x:c r="C57" s="121" t="str">
        <x:v>四層閱讀順序：跨月CV選模型 → 五月凍結模型指標 → 校正與門檻 → 共享Top-K/Episode營運指標。不同層次不要混成同一個分數。</x:v>
      </x:c>
      <x:c r="D57" s="121" t="str">
        <x:v>四層閱讀順序：跨月CV選模型 → 五月凍結模型指標 → 校正與門檻 → 共享Top-K/Episode營運指標。不同層次不要混成同一個分數。</x:v>
      </x:c>
      <x:c r="E57" s="121" t="str">
        <x:v>四層閱讀順序：跨月CV選模型 → 五月凍結模型指標 → 校正與門檻 → 共享Top-K/Episode營運指標。不同層次不要混成同一個分數。</x:v>
      </x:c>
      <x:c r="F57" s="121" t="str">
        <x:v>四層閱讀順序：跨月CV選模型 → 五月凍結模型指標 → 校正與門檻 → 共享Top-K/Episode營運指標。不同層次不要混成同一個分數。</x:v>
      </x:c>
      <x:c r="G57" s="121" t="str">
        <x:v>四層閱讀順序：跨月CV選模型 → 五月凍結模型指標 → 校正與門檻 → 共享Top-K/Episode營運指標。不同層次不要混成同一個分數。</x:v>
      </x:c>
      <x:c r="H57" s="121" t="str">
        <x:v>四層閱讀順序：跨月CV選模型 → 五月凍結模型指標 → 校正與門檻 → 共享Top-K/Episode營運指標。不同層次不要混成同一個分數。</x:v>
      </x:c>
      <x:c r="I57" s="121" t="str">
        <x:v>四層閱讀順序：跨月CV選模型 → 五月凍結模型指標 → 校正與門檻 → 共享Top-K/Episode營運指標。不同層次不要混成同一個分數。</x:v>
      </x:c>
      <x:c r="J57" s="121" t="str">
        <x:v>四層閱讀順序：跨月CV選模型 → 五月凍結模型指標 → 校正與門檻 → 共享Top-K/Episode營運指標。不同層次不要混成同一個分數。</x:v>
      </x:c>
      <x:c r="K57" s="121" t="str">
        <x:v>四層閱讀順序：跨月CV選模型 → 五月凍結模型指標 → 校正與門檻 → 共享Top-K/Episode營運指標。不同層次不要混成同一個分數。</x:v>
      </x:c>
      <x:c r="L57" s="121" t="str">
        <x:v>四層閱讀順序：跨月CV選模型 → 五月凍結模型指標 → 校正與門檻 → 共享Top-K/Episode營運指標。不同層次不要混成同一個分數。</x:v>
      </x:c>
      <x:c r="M57" s="121" t="str">
        <x:v>四層閱讀順序：跨月CV選模型 → 五月凍結模型指標 → 校正與門檻 → 共享Top-K/Episode營運指標。不同層次不要混成同一個分數。</x:v>
      </x:c>
      <x:c r="N57" s="122" t="str">
        <x:v>四層閱讀順序：跨月CV選模型 → 五月凍結模型指標 → 校正與門檻 → 共享Top-K/Episode營運指標。不同層次不要混成同一個分數。</x:v>
      </x:c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N2"/>
    <x:mergeCell ref="A3:N3"/>
    <x:mergeCell ref="A5:N8"/>
    <x:mergeCell ref="A10:C10"/>
    <x:mergeCell ref="A11:C13"/>
    <x:mergeCell ref="D10:F10"/>
    <x:mergeCell ref="D11:F13"/>
    <x:mergeCell ref="G10:J10"/>
    <x:mergeCell ref="G11:J13"/>
    <x:mergeCell ref="K10:N10"/>
    <x:mergeCell ref="K11:N13"/>
    <x:mergeCell ref="A15:C15"/>
    <x:mergeCell ref="A16:C18"/>
    <x:mergeCell ref="D15:F15"/>
    <x:mergeCell ref="D16:F18"/>
    <x:mergeCell ref="G15:J15"/>
    <x:mergeCell ref="G16:J18"/>
    <x:mergeCell ref="K15:N15"/>
    <x:mergeCell ref="K16:N18"/>
    <x:mergeCell ref="A20:N25"/>
    <x:mergeCell ref="A48:N52"/>
    <x:mergeCell ref="A54:N57"/>
  </x:mergeCells>
  <x:pageMargins left="0.7" right="0.7" top="0.75" bottom="0.75" header="0.3" footer="0.3"/>
  <x:drawing xmlns:r="http://schemas.openxmlformats.org/officeDocument/2006/relationships" r:id="R6f1e9edcd93d45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9" customHeight="1">
      <x:c r="A1" s="4" t="str">
        <x:v>正式實驗設計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07"/>
      <x:c r="P1" s="407"/>
      <x:c r="Q1" s="407"/>
      <x:c r="R1" s="407"/>
      <x:c r="S1" s="407"/>
      <x:c r="T1" s="407"/>
      <x:c r="U1" s="407"/>
      <x:c r="V1" s="407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07"/>
      <x:c r="P2" s="407"/>
      <x:c r="Q2" s="407"/>
      <x:c r="R2" s="407"/>
      <x:c r="S2" s="407"/>
      <x:c r="T2" s="407"/>
      <x:c r="U2" s="407"/>
      <x:c r="V2" s="407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時間順序不打亂；一至四月做跨月驗證與最終訓練，五月分段校正、選門檻與評估，六月本次完全未讀取。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07"/>
      <x:c r="P3" s="407"/>
      <x:c r="Q3" s="407"/>
      <x:c r="R3" s="407"/>
      <x:c r="S3" s="407"/>
      <x:c r="T3" s="407"/>
      <x:c r="U3" s="407"/>
      <x:c r="V3" s="407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>
      <x:c r="A5" s="11" t="str">
        <x:v>預測目標</x:v>
      </x:c>
      <x:c r="B5" s="11" t="str">
        <x:v>預測目標</x:v>
      </x:c>
      <x:c r="C5" s="11" t="str">
        <x:v>預測目標</x:v>
      </x:c>
      <x:c r="D5" s="11" t="str">
        <x:v>預測目標</x:v>
      </x:c>
      <x:c r="E5" s="11" t="str">
        <x:v>預測目標</x:v>
      </x:c>
      <x:c r="F5" s="11" t="str">
        <x:v>預測目標</x:v>
      </x:c>
      <x:c r="G5" s="11" t="str">
        <x:v>預測目標</x:v>
      </x:c>
      <x:c r="H5" s="11" t="str">
        <x:v>預測目標</x:v>
      </x:c>
      <x:c r="I5" s="11" t="str">
        <x:v>預測目標</x:v>
      </x:c>
      <x:c r="J5" s="11" t="str">
        <x:v>預測目標</x:v>
      </x:c>
      <x:c r="K5" s="11" t="str">
        <x:v>預測目標</x:v>
      </x:c>
      <x:c r="L5" s="11" t="str">
        <x:v>預測目標</x:v>
      </x:c>
      <x:c r="M5" s="11" t="str">
        <x:v>預測目標</x:v>
      </x:c>
      <x:c r="N5" s="11" t="str">
        <x:v>預測目標</x:v>
      </x:c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31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B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C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D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E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F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G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H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I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J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K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L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M6" s="32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N6" s="33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34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B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C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D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E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F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G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H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I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J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K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L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M7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N7" s="36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34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B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C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D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E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F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G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H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I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J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K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L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M8" s="35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N8" s="36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37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B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C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D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E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F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G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H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I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J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K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L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M9" s="38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N9" s="39" t="str">
        <x:v>每個站點在目前尚未失衡時，預測恰好30分鐘後是否新進入「缺車」或「滿柱」。這是管理者事前排序風險的工具，不是當下即時站況，也不是未來一小時內曾經發生過失衡。</x:v>
      </x:c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/>
      <x:c r="B10" s="407"/>
      <x:c r="C10" s="407"/>
      <x:c r="D10" s="407"/>
      <x:c r="E10" s="407"/>
      <x:c r="F10" s="407"/>
      <x:c r="G10" s="407"/>
      <x:c r="H10" s="407"/>
      <x:c r="I10" s="407"/>
      <x:c r="J10" s="407"/>
      <x:c r="K10" s="407"/>
      <x:c r="L10" s="407"/>
      <x:c r="M10" s="407"/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 ht="32" customHeight="1">
      <x:c r="A11" s="51" t="str">
        <x:v>折數</x:v>
      </x:c>
      <x:c r="B11" s="52" t="str">
        <x:v>訓練月</x:v>
      </x:c>
      <x:c r="C11" s="52" t="str">
        <x:v>驗證月</x:v>
      </x:c>
      <x:c r="D11" s="52" t="str">
        <x:v>訓練範圍</x:v>
      </x:c>
      <x:c r="E11" s="52" t="str">
        <x:v>驗證範圍</x:v>
      </x:c>
      <x:c r="F11" s="53" t="str">
        <x:v>主評分</x:v>
      </x:c>
      <x:c r="G11" s="407"/>
      <x:c r="H11" s="51" t="str">
        <x:v>五月階段</x:v>
      </x:c>
      <x:c r="I11" s="52" t="str">
        <x:v>日期</x:v>
      </x:c>
      <x:c r="J11" s="52" t="str">
        <x:v>用途</x:v>
      </x:c>
      <x:c r="K11" s="52" t="str">
        <x:v>可調內容</x:v>
      </x:c>
      <x:c r="L11" s="52" t="str">
        <x:v>不可回改</x:v>
      </x:c>
      <x:c r="M11" s="52" t="str">
        <x:v>定位</x:v>
      </x:c>
      <x:c r="N11" s="53" t="str">
        <x:v>備註</x:v>
      </x:c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str">
        <x:v>Fold 1</x:v>
      </x:c>
      <x:c r="B12" s="407" t="str">
        <x:v>1</x:v>
      </x:c>
      <x:c r="C12" s="407" t="n">
        <x:v>2</x:v>
      </x:c>
      <x:c r="D12" s="407" t="str">
        <x:v>全日（CV僅負例抽樣）</x:v>
      </x:c>
      <x:c r="E12" s="407" t="str">
        <x:v>尖峰全數</x:v>
      </x:c>
      <x:c r="F12" s="407" t="str">
        <x:v>PR-AUC</x:v>
      </x:c>
      <x:c r="G12" s="407"/>
      <x:c r="H12" s="407" t="str">
        <x:v>機率校正</x:v>
      </x:c>
      <x:c r="I12" s="407" t="str">
        <x:v>05/01–05/14</x:v>
      </x:c>
      <x:c r="J12" s="407" t="str">
        <x:v>Platt</x:v>
      </x:c>
      <x:c r="K12" s="407" t="str">
        <x:v>校正係數</x:v>
      </x:c>
      <x:c r="L12" s="407" t="str">
        <x:v>模型候選</x:v>
      </x:c>
      <x:c r="M12" s="407" t="str">
        <x:v>開發</x:v>
      </x:c>
      <x:c r="N12" s="407" t="str">
        <x:v>只看尖峰</x:v>
      </x:c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str">
        <x:v>Fold 2</x:v>
      </x:c>
      <x:c r="B13" s="407" t="str">
        <x:v>1, 2</x:v>
      </x:c>
      <x:c r="C13" s="407" t="n">
        <x:v>3</x:v>
      </x:c>
      <x:c r="D13" s="407" t="str">
        <x:v>全日（CV僅負例抽樣）</x:v>
      </x:c>
      <x:c r="E13" s="407" t="str">
        <x:v>尖峰全數</x:v>
      </x:c>
      <x:c r="F13" s="407" t="str">
        <x:v>PR-AUC</x:v>
      </x:c>
      <x:c r="G13" s="407"/>
      <x:c r="H13" s="407" t="str">
        <x:v>F2門檻</x:v>
      </x:c>
      <x:c r="I13" s="407" t="str">
        <x:v>05/15–05/20</x:v>
      </x:c>
      <x:c r="J13" s="407" t="str">
        <x:v>分類比較</x:v>
      </x:c>
      <x:c r="K13" s="407" t="str">
        <x:v>F2門檻</x:v>
      </x:c>
      <x:c r="L13" s="407" t="str">
        <x:v>模型候選</x:v>
      </x:c>
      <x:c r="M13" s="407" t="str">
        <x:v>開發</x:v>
      </x:c>
      <x:c r="N13" s="407" t="str">
        <x:v>非營運底線</x:v>
      </x:c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Fold 3</x:v>
      </x:c>
      <x:c r="B14" s="407" t="str">
        <x:v>1, 2, 3</x:v>
      </x:c>
      <x:c r="C14" s="407" t="n">
        <x:v>4</x:v>
      </x:c>
      <x:c r="D14" s="407" t="str">
        <x:v>全日（CV僅負例抽樣）</x:v>
      </x:c>
      <x:c r="E14" s="407" t="str">
        <x:v>尖峰全數</x:v>
      </x:c>
      <x:c r="F14" s="407" t="str">
        <x:v>PR-AUC</x:v>
      </x:c>
      <x:c r="G14" s="407"/>
      <x:c r="H14" s="407" t="str">
        <x:v>凍結評估</x:v>
      </x:c>
      <x:c r="I14" s="407" t="str">
        <x:v>05/21–05/31</x:v>
      </x:c>
      <x:c r="J14" s="407" t="str">
        <x:v>模型+Top-K</x:v>
      </x:c>
      <x:c r="K14" s="407" t="str">
        <x:v>不調參</x:v>
      </x:c>
      <x:c r="L14" s="407" t="str">
        <x:v>選模規則</x:v>
      </x:c>
      <x:c r="M14" s="407" t="str">
        <x:v>開發期評估</x:v>
      </x:c>
      <x:c r="N14" s="407" t="str">
        <x:v>不是全新外部測試</x:v>
      </x:c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/>
      <x:c r="B15" s="407"/>
      <x:c r="C15" s="407"/>
      <x:c r="D15" s="407"/>
      <x:c r="E15" s="407"/>
      <x:c r="F15" s="407"/>
      <x:c r="G15" s="407"/>
      <x:c r="H15" s="407"/>
      <x:c r="I15" s="407"/>
      <x:c r="J15" s="407"/>
      <x:c r="K15" s="407"/>
      <x:c r="L15" s="407"/>
      <x:c r="M15" s="407"/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/>
      <x:c r="B16" s="407"/>
      <x:c r="C16" s="407"/>
      <x:c r="D16" s="407"/>
      <x:c r="E16" s="407"/>
      <x:c r="F16" s="407"/>
      <x:c r="G16" s="407"/>
      <x:c r="H16" s="407"/>
      <x:c r="I16" s="407"/>
      <x:c r="J16" s="407"/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/>
      <x:c r="B17" s="407"/>
      <x:c r="C17" s="407"/>
      <x:c r="D17" s="407"/>
      <x:c r="E17" s="407"/>
      <x:c r="F17" s="407"/>
      <x:c r="G17" s="407"/>
      <x:c r="H17" s="407"/>
      <x:c r="I17" s="407"/>
      <x:c r="J17" s="407"/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 ht="32" customHeight="1">
      <x:c r="A18" s="51" t="str">
        <x:v>切分</x:v>
      </x:c>
      <x:c r="B18" s="52" t="str">
        <x:v>用途</x:v>
      </x:c>
      <x:c r="C18" s="52" t="str">
        <x:v>列數</x:v>
      </x:c>
      <x:c r="D18" s="52" t="str">
        <x:v>開始</x:v>
      </x:c>
      <x:c r="E18" s="52" t="str">
        <x:v>結束</x:v>
      </x:c>
      <x:c r="F18" s="52" t="str">
        <x:v>站數</x:v>
      </x:c>
      <x:c r="G18" s="52" t="str">
        <x:v>缺車正例</x:v>
      </x:c>
      <x:c r="H18" s="52" t="str">
        <x:v>滿柱正例</x:v>
      </x:c>
      <x:c r="I18" s="52" t="str">
        <x:v>缺車率</x:v>
      </x:c>
      <x:c r="J18" s="53" t="str">
        <x:v>滿柱率</x:v>
      </x:c>
      <x:c r="K18" s="407"/>
      <x:c r="L18" s="407"/>
      <x:c r="M18" s="407"/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month_01_all_day</x:v>
      </x:c>
      <x:c r="B19" s="407" t="str">
        <x:v>rolling CV / final training source</x:v>
      </x:c>
      <x:c r="C19" s="408" t="n">
        <x:v>2121597</x:v>
      </x:c>
      <x:c r="D19" s="409" t="n">
        <x:v>46023.020833333336</x:v>
      </x:c>
      <x:c r="E19" s="409" t="n">
        <x:v>46053.979166666664</x:v>
      </x:c>
      <x:c r="F19" s="408" t="n">
        <x:v>1509</x:v>
      </x:c>
      <x:c r="G19" s="408" t="n">
        <x:v>41028</x:v>
      </x:c>
      <x:c r="H19" s="408" t="n">
        <x:v>7041</x:v>
      </x:c>
      <x:c r="I19" s="410" t="n">
        <x:v>0.01933826263894604</x:v>
      </x:c>
      <x:c r="J19" s="410" t="n">
        <x:v>0.0033187264122262615</x:v>
      </x:c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month_01_peak</x:v>
      </x:c>
      <x:c r="B20" s="407" t="str">
        <x:v>rolling CV peak validation view</x:v>
      </x:c>
      <x:c r="C20" s="408" t="n">
        <x:v>617795</x:v>
      </x:c>
      <x:c r="D20" s="409" t="n">
        <x:v>46023.291666666664</x:v>
      </x:c>
      <x:c r="E20" s="409" t="n">
        <x:v>46053.8125</x:v>
      </x:c>
      <x:c r="F20" s="408" t="n">
        <x:v>1509</x:v>
      </x:c>
      <x:c r="G20" s="408" t="n">
        <x:v>16885</x:v>
      </x:c>
      <x:c r="H20" s="408" t="n">
        <x:v>3409</x:v>
      </x:c>
      <x:c r="I20" s="410" t="n">
        <x:v>0.02733107260499033</x:v>
      </x:c>
      <x:c r="J20" s="410" t="n">
        <x:v>0.005518011638164763</x:v>
      </x:c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month_02_all_day</x:v>
      </x:c>
      <x:c r="B21" s="407" t="str">
        <x:v>rolling CV / final training source</x:v>
      </x:c>
      <x:c r="C21" s="408" t="n">
        <x:v>1934838</x:v>
      </x:c>
      <x:c r="D21" s="409" t="n">
        <x:v>46054.020833333336</x:v>
      </x:c>
      <x:c r="E21" s="409" t="n">
        <x:v>46081.979166666664</x:v>
      </x:c>
      <x:c r="F21" s="408" t="n">
        <x:v>1515</x:v>
      </x:c>
      <x:c r="G21" s="408" t="n">
        <x:v>34082</x:v>
      </x:c>
      <x:c r="H21" s="408" t="n">
        <x:v>6741</x:v>
      </x:c>
      <x:c r="I21" s="410" t="n">
        <x:v>0.017614911429277284</x:v>
      </x:c>
      <x:c r="J21" s="410" t="n">
        <x:v>0.0034840126150096286</x:v>
      </x:c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 t="str">
        <x:v>month_02_peak</x:v>
      </x:c>
      <x:c r="B22" s="407" t="str">
        <x:v>rolling CV peak validation view</x:v>
      </x:c>
      <x:c r="C22" s="408" t="n">
        <x:v>566776</x:v>
      </x:c>
      <x:c r="D22" s="409" t="n">
        <x:v>46054.291666666664</x:v>
      </x:c>
      <x:c r="E22" s="409" t="n">
        <x:v>46081.8125</x:v>
      </x:c>
      <x:c r="F22" s="408" t="n">
        <x:v>1515</x:v>
      </x:c>
      <x:c r="G22" s="408" t="n">
        <x:v>12827</x:v>
      </x:c>
      <x:c r="H22" s="408" t="n">
        <x:v>2880</x:v>
      </x:c>
      <x:c r="I22" s="410" t="n">
        <x:v>0.022631515801657093</x:v>
      </x:c>
      <x:c r="J22" s="410" t="n">
        <x:v>0.005081372535181448</x:v>
      </x:c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 t="str">
        <x:v>month_03_all_day</x:v>
      </x:c>
      <x:c r="B23" s="407" t="str">
        <x:v>rolling CV / final training source</x:v>
      </x:c>
      <x:c r="C23" s="408" t="n">
        <x:v>2118533</x:v>
      </x:c>
      <x:c r="D23" s="409" t="n">
        <x:v>46082.020833333336</x:v>
      </x:c>
      <x:c r="E23" s="409" t="n">
        <x:v>46112.979166666664</x:v>
      </x:c>
      <x:c r="F23" s="408" t="n">
        <x:v>1521</x:v>
      </x:c>
      <x:c r="G23" s="408" t="n">
        <x:v>50361</x:v>
      </x:c>
      <x:c r="H23" s="408" t="n">
        <x:v>8123</x:v>
      </x:c>
      <x:c r="I23" s="410" t="n">
        <x:v>0.023771638204361227</x:v>
      </x:c>
      <x:c r="J23" s="410" t="n">
        <x:v>0.0038342570070893397</x:v>
      </x:c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 t="str">
        <x:v>month_03_peak</x:v>
      </x:c>
      <x:c r="B24" s="407" t="str">
        <x:v>rolling CV peak validation view</x:v>
      </x:c>
      <x:c r="C24" s="408" t="n">
        <x:v>617158</x:v>
      </x:c>
      <x:c r="D24" s="409" t="n">
        <x:v>46082.291666666664</x:v>
      </x:c>
      <x:c r="E24" s="409" t="n">
        <x:v>46112.8125</x:v>
      </x:c>
      <x:c r="F24" s="408" t="n">
        <x:v>1521</x:v>
      </x:c>
      <x:c r="G24" s="408" t="n">
        <x:v>21615</x:v>
      </x:c>
      <x:c r="H24" s="408" t="n">
        <x:v>4069</x:v>
      </x:c>
      <x:c r="I24" s="410" t="n">
        <x:v>0.035023446183959375</x:v>
      </x:c>
      <x:c r="J24" s="410" t="n">
        <x:v>0.0065931252612783115</x:v>
      </x:c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 t="str">
        <x:v>month_04_all_day</x:v>
      </x:c>
      <x:c r="B25" s="407" t="str">
        <x:v>rolling CV / final training source</x:v>
      </x:c>
      <x:c r="C25" s="408" t="n">
        <x:v>2060195</x:v>
      </x:c>
      <x:c r="D25" s="409" t="n">
        <x:v>46113.020833333336</x:v>
      </x:c>
      <x:c r="E25" s="409" t="n">
        <x:v>46142.979166666664</x:v>
      </x:c>
      <x:c r="F25" s="408" t="n">
        <x:v>1528</x:v>
      </x:c>
      <x:c r="G25" s="408" t="n">
        <x:v>47673</x:v>
      </x:c>
      <x:c r="H25" s="408" t="n">
        <x:v>8109</x:v>
      </x:c>
      <x:c r="I25" s="410" t="n">
        <x:v>0.023140042568785966</x:v>
      </x:c>
      <x:c r="J25" s="410" t="n">
        <x:v>0.003936035181135766</x:v>
      </x:c>
      <x:c r="K25" s="407"/>
      <x:c r="L25" s="407"/>
      <x:c r="M25" s="407"/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month_04_peak</x:v>
      </x:c>
      <x:c r="B26" s="407" t="str">
        <x:v>rolling CV peak validation view</x:v>
      </x:c>
      <x:c r="C26" s="408" t="n">
        <x:v>598646</x:v>
      </x:c>
      <x:c r="D26" s="409" t="n">
        <x:v>46113.291666666664</x:v>
      </x:c>
      <x:c r="E26" s="409" t="n">
        <x:v>46142.8125</x:v>
      </x:c>
      <x:c r="F26" s="408" t="n">
        <x:v>1528</x:v>
      </x:c>
      <x:c r="G26" s="408" t="n">
        <x:v>20593</x:v>
      </x:c>
      <x:c r="H26" s="408" t="n">
        <x:v>3822</x:v>
      </x:c>
      <x:c r="I26" s="410" t="n">
        <x:v>0.03439929440771341</x:v>
      </x:c>
      <x:c r="J26" s="410" t="n">
        <x:v>0.006384407479545507</x:v>
      </x:c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may_01_14_peak</x:v>
      </x:c>
      <x:c r="B27" s="407" t="str">
        <x:v>Platt probability calibration</x:v>
      </x:c>
      <x:c r="C27" s="408" t="n">
        <x:v>281918</x:v>
      </x:c>
      <x:c r="D27" s="409" t="n">
        <x:v>46143.291666666664</x:v>
      </x:c>
      <x:c r="E27" s="409" t="n">
        <x:v>46156.8125</x:v>
      </x:c>
      <x:c r="F27" s="408" t="n">
        <x:v>1529</x:v>
      </x:c>
      <x:c r="G27" s="408" t="n">
        <x:v>8990</x:v>
      </x:c>
      <x:c r="H27" s="408" t="n">
        <x:v>1521</x:v>
      </x:c>
      <x:c r="I27" s="410" t="n">
        <x:v>0.03188870522634241</x:v>
      </x:c>
      <x:c r="J27" s="410" t="n">
        <x:v>0.005395185834178732</x:v>
      </x:c>
      <x:c r="K27" s="407"/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may_15_20_peak</x:v>
      </x:c>
      <x:c r="B28" s="407" t="str">
        <x:v>F2 threshold selection</x:v>
      </x:c>
      <x:c r="C28" s="408" t="n">
        <x:v>118883</x:v>
      </x:c>
      <x:c r="D28" s="409" t="n">
        <x:v>46157.291666666664</x:v>
      </x:c>
      <x:c r="E28" s="409" t="n">
        <x:v>46162.8125</x:v>
      </x:c>
      <x:c r="F28" s="408" t="n">
        <x:v>1533</x:v>
      </x:c>
      <x:c r="G28" s="408" t="n">
        <x:v>5144</x:v>
      </x:c>
      <x:c r="H28" s="408" t="n">
        <x:v>897</x:v>
      </x:c>
      <x:c r="I28" s="410" t="n">
        <x:v>0.04326943297191356</x:v>
      </x:c>
      <x:c r="J28" s="410" t="n">
        <x:v>0.00754523354895149</x:v>
      </x:c>
      <x:c r="K28" s="407"/>
      <x:c r="L28" s="407"/>
      <x:c r="M28" s="407"/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may_21_31_peak</x:v>
      </x:c>
      <x:c r="B29" s="407" t="str">
        <x:v>development-period frozen policy evaluation</x:v>
      </x:c>
      <x:c r="C29" s="408" t="n">
        <x:v>219578</x:v>
      </x:c>
      <x:c r="D29" s="409" t="n">
        <x:v>46163.291666666664</x:v>
      </x:c>
      <x:c r="E29" s="409" t="n">
        <x:v>46173.8125</x:v>
      </x:c>
      <x:c r="F29" s="408" t="n">
        <x:v>1534</x:v>
      </x:c>
      <x:c r="G29" s="408" t="n">
        <x:v>8854</x:v>
      </x:c>
      <x:c r="H29" s="408" t="n">
        <x:v>1484</x:v>
      </x:c>
      <x:c r="I29" s="410" t="n">
        <x:v>0.04032280100920857</x:v>
      </x:c>
      <x:c r="J29" s="410" t="n">
        <x:v>0.006758418420788968</x:v>
      </x:c>
      <x:c r="K29" s="407"/>
      <x:c r="L29" s="407"/>
      <x:c r="M29" s="407"/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/>
      <x:c r="B30" s="407"/>
      <x:c r="C30" s="407"/>
      <x:c r="D30" s="407"/>
      <x:c r="E30" s="407"/>
      <x:c r="F30" s="407"/>
      <x:c r="G30" s="407"/>
      <x:c r="H30" s="407"/>
      <x:c r="I30" s="407"/>
      <x:c r="J30" s="407"/>
      <x:c r="K30" s="407"/>
      <x:c r="L30" s="407"/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/>
      <x:c r="B31" s="407"/>
      <x:c r="C31" s="407"/>
      <x:c r="D31" s="407"/>
      <x:c r="E31" s="407"/>
      <x:c r="F31" s="407"/>
      <x:c r="G31" s="407"/>
      <x:c r="H31" s="407"/>
      <x:c r="I31" s="407"/>
      <x:c r="J31" s="407"/>
      <x:c r="K31" s="407"/>
      <x:c r="L31" s="407"/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/>
      <x:c r="B32" s="407"/>
      <x:c r="C32" s="407"/>
      <x:c r="D32" s="407"/>
      <x:c r="E32" s="407"/>
      <x:c r="F32" s="407"/>
      <x:c r="G32" s="407"/>
      <x:c r="H32" s="407"/>
      <x:c r="I32" s="407"/>
      <x:c r="J32" s="407"/>
      <x:c r="K32" s="407"/>
      <x:c r="L32" s="407"/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59" t="str">
        <x:v>限制</x:v>
      </x:c>
      <x:c r="B33" s="59" t="str">
        <x:v>限制</x:v>
      </x:c>
      <x:c r="C33" s="59" t="str">
        <x:v>限制</x:v>
      </x:c>
      <x:c r="D33" s="59" t="str">
        <x:v>限制</x:v>
      </x:c>
      <x:c r="E33" s="59" t="str">
        <x:v>限制</x:v>
      </x:c>
      <x:c r="F33" s="59" t="str">
        <x:v>限制</x:v>
      </x:c>
      <x:c r="G33" s="59" t="str">
        <x:v>限制</x:v>
      </x:c>
      <x:c r="H33" s="59" t="str">
        <x:v>限制</x:v>
      </x:c>
      <x:c r="I33" s="59" t="str">
        <x:v>限制</x:v>
      </x:c>
      <x:c r="J33" s="59" t="str">
        <x:v>限制</x:v>
      </x:c>
      <x:c r="K33" s="59" t="str">
        <x:v>限制</x:v>
      </x:c>
      <x:c r="L33" s="59" t="str">
        <x:v>限制</x:v>
      </x:c>
      <x:c r="M33" s="59" t="str">
        <x:v>限制</x:v>
      </x:c>
      <x:c r="N33" s="59" t="str">
        <x:v>限制</x:v>
      </x:c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79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4" s="80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4" s="81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82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5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5" s="84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82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6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6" s="84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82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7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7" s="84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82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8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8" s="84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82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39" s="83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39" s="84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85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B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C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D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E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F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G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H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I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J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K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L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M40" s="86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N40" s="87" t="str">
        <x:v>六月未被本次程式列出、讀取或雜湊；但舊版流程曾看過六月結果，所以六月不能再宣稱為全新測試集。五月21–31日也曾用於之前的政策探索，因此本報告是「凍結開發期比較」，不是外部泛化證明；仍需未來新月份驗證。</x:v>
      </x:c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/>
      <x:c r="B41" s="407"/>
      <x:c r="C41" s="407"/>
      <x:c r="D41" s="407"/>
      <x:c r="E41" s="407"/>
      <x:c r="F41" s="407"/>
      <x:c r="G41" s="407"/>
      <x:c r="H41" s="407"/>
      <x:c r="I41" s="407"/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/>
      <x:c r="B42" s="407"/>
      <x:c r="C42" s="407"/>
      <x:c r="D42" s="407"/>
      <x:c r="E42" s="407"/>
      <x:c r="F42" s="407"/>
      <x:c r="G42" s="407"/>
      <x:c r="H42" s="407"/>
      <x:c r="I42" s="407"/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/>
      <x:c r="B43" s="407"/>
      <x:c r="C43" s="407"/>
      <x:c r="D43" s="407"/>
      <x:c r="E43" s="407"/>
      <x:c r="F43" s="407"/>
      <x:c r="G43" s="407"/>
      <x:c r="H43" s="407"/>
      <x:c r="I43" s="407"/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/>
      <x:c r="B44" s="407"/>
      <x:c r="C44" s="407"/>
      <x:c r="D44" s="407"/>
      <x:c r="E44" s="407"/>
      <x:c r="F44" s="407"/>
      <x:c r="G44" s="407"/>
      <x:c r="H44" s="407"/>
      <x:c r="I44" s="407"/>
      <x:c r="J44" s="407"/>
      <x:c r="K44" s="407"/>
      <x:c r="L44" s="407"/>
      <x:c r="M44" s="407"/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/>
      <x:c r="B45" s="407"/>
      <x:c r="C45" s="407"/>
      <x:c r="D45" s="407"/>
      <x:c r="E45" s="407"/>
      <x:c r="F45" s="407"/>
      <x:c r="G45" s="407"/>
      <x:c r="H45" s="407"/>
      <x:c r="I45" s="407"/>
      <x:c r="J45" s="407"/>
      <x:c r="K45" s="407"/>
      <x:c r="L45" s="407"/>
      <x:c r="M45" s="407"/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/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/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/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/>
      <x:c r="B49" s="407"/>
      <x:c r="C49" s="407"/>
      <x:c r="D49" s="407"/>
      <x:c r="E49" s="407"/>
      <x:c r="F49" s="407"/>
      <x:c r="G49" s="407"/>
      <x:c r="H49" s="407"/>
      <x:c r="I49" s="407"/>
      <x:c r="J49" s="407"/>
      <x:c r="K49" s="407"/>
      <x:c r="L49" s="407"/>
      <x:c r="M49" s="407"/>
      <x:c r="N49" s="407"/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/>
      <x:c r="B50" s="407"/>
      <x:c r="C50" s="407"/>
      <x:c r="D50" s="407"/>
      <x:c r="E50" s="407"/>
      <x:c r="F50" s="407"/>
      <x:c r="G50" s="407"/>
      <x:c r="H50" s="407"/>
      <x:c r="I50" s="407"/>
      <x:c r="J50" s="407"/>
      <x:c r="K50" s="407"/>
      <x:c r="L50" s="407"/>
      <x:c r="M50" s="407"/>
      <x:c r="N50" s="407"/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/>
      <x:c r="B51" s="407"/>
      <x:c r="C51" s="407"/>
      <x:c r="D51" s="407"/>
      <x:c r="E51" s="407"/>
      <x:c r="F51" s="407"/>
      <x:c r="G51" s="407"/>
      <x:c r="H51" s="407"/>
      <x:c r="I51" s="407"/>
      <x:c r="J51" s="407"/>
      <x:c r="K51" s="407"/>
      <x:c r="L51" s="407"/>
      <x:c r="M51" s="407"/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/>
      <x:c r="B52" s="407"/>
      <x:c r="C52" s="407"/>
      <x:c r="D52" s="407"/>
      <x:c r="E52" s="407"/>
      <x:c r="F52" s="407"/>
      <x:c r="G52" s="407"/>
      <x:c r="H52" s="407"/>
      <x:c r="I52" s="407"/>
      <x:c r="J52" s="407"/>
      <x:c r="K52" s="407"/>
      <x:c r="L52" s="407"/>
      <x:c r="M52" s="407"/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/>
      <x:c r="B53" s="407"/>
      <x:c r="C53" s="407"/>
      <x:c r="D53" s="407"/>
      <x:c r="E53" s="407"/>
      <x:c r="F53" s="407"/>
      <x:c r="G53" s="407"/>
      <x:c r="H53" s="407"/>
      <x:c r="I53" s="407"/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/>
      <x:c r="B56" s="407"/>
      <x:c r="C56" s="407"/>
      <x:c r="D56" s="407"/>
      <x:c r="E56" s="407"/>
      <x:c r="F56" s="407"/>
      <x:c r="G56" s="407"/>
      <x:c r="H56" s="407"/>
      <x:c r="I56" s="407"/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/>
      <x:c r="B57" s="407"/>
      <x:c r="C57" s="407"/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N2"/>
    <x:mergeCell ref="A3:N3"/>
    <x:mergeCell ref="A5:N5"/>
    <x:mergeCell ref="A6:N9"/>
    <x:mergeCell ref="A33:N33"/>
    <x:mergeCell ref="A34:N40"/>
  </x:mergeCells>
  <x:pageMargins left="0.7" right="0.7" top="0.75" bottom="0.75" header="0.3" footer="0.3"/>
  <x:tableParts count="3">
    <x:tablePart xmlns:r="http://schemas.openxmlformats.org/officeDocument/2006/relationships" r:id="R297f69d969734515"/>
    <x:tablePart xmlns:r="http://schemas.openxmlformats.org/officeDocument/2006/relationships" r:id="R5d08ebf8d08e4410"/>
    <x:tablePart xmlns:r="http://schemas.openxmlformats.org/officeDocument/2006/relationships" r:id="Rafd4b4faf6784c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9" customHeight="1">
      <x:c r="A1" s="4" t="str">
        <x:v>跨月 Rolling CV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07"/>
      <x:c r="P1" s="407"/>
      <x:c r="Q1" s="407"/>
      <x:c r="R1" s="407"/>
      <x:c r="S1" s="407"/>
      <x:c r="T1" s="407"/>
      <x:c r="U1" s="407"/>
      <x:c r="V1" s="407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07"/>
      <x:c r="P2" s="407"/>
      <x:c r="Q2" s="407"/>
      <x:c r="R2" s="407"/>
      <x:c r="S2" s="407"/>
      <x:c r="T2" s="407"/>
      <x:c r="U2" s="407"/>
      <x:c r="V2" s="407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XGBoost必須同時高於LightGBM平均AP、贏至少2/3折、最差折不更差，才准許取代LightGBM。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07"/>
      <x:c r="P3" s="407"/>
      <x:c r="Q3" s="407"/>
      <x:c r="R3" s="407"/>
      <x:c r="S3" s="407"/>
      <x:c r="T3" s="407"/>
      <x:c r="U3" s="407"/>
      <x:c r="V3" s="407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事件</x:v>
      </x:c>
      <x:c r="B5" s="52" t="str">
        <x:v>LGB候選</x:v>
      </x:c>
      <x:c r="C5" s="52" t="str">
        <x:v>LGB平均AP</x:v>
      </x:c>
      <x:c r="D5" s="52" t="str">
        <x:v>XGB候選</x:v>
      </x:c>
      <x:c r="E5" s="52" t="str">
        <x:v>XGB平均AP</x:v>
      </x:c>
      <x:c r="F5" s="52" t="str">
        <x:v>XGB-LGB</x:v>
      </x:c>
      <x:c r="G5" s="52" t="str">
        <x:v>LGB折勝</x:v>
      </x:c>
      <x:c r="H5" s="52" t="str">
        <x:v>XGB折勝</x:v>
      </x:c>
      <x:c r="I5" s="52" t="str">
        <x:v>LGB最差折</x:v>
      </x:c>
      <x:c r="J5" s="52" t="str">
        <x:v>XGB最差折</x:v>
      </x:c>
      <x:c r="K5" s="52" t="str">
        <x:v>規則</x:v>
      </x:c>
      <x:c r="L5" s="53" t="str">
        <x:v>凍結選擇</x:v>
      </x:c>
      <x:c r="M5" s="407"/>
      <x:c r="N5" s="407"/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str">
        <x:v>缺車</x:v>
      </x:c>
      <x:c r="B6" s="407" t="str">
        <x:v>lgb_01</x:v>
      </x:c>
      <x:c r="C6" s="411" t="n">
        <x:v>0.2178378321168918</x:v>
      </x:c>
      <x:c r="D6" s="411" t="str">
        <x:v>xgb_04</x:v>
      </x:c>
      <x:c r="E6" s="411" t="n">
        <x:v>0.21504384506343174</x:v>
      </x:c>
      <x:c r="F6" s="411" t="n">
        <x:v>-0.0027939870534600675</x:v>
      </x:c>
      <x:c r="G6" s="412" t="n">
        <x:v>2</x:v>
      </x:c>
      <x:c r="H6" s="412" t="n">
        <x:v>1</x:v>
      </x:c>
      <x:c r="I6" s="411" t="n">
        <x:v>0.1319419105739365</x:v>
      </x:c>
      <x:c r="J6" s="411" t="n">
        <x:v>0.13288583187680275</x:v>
      </x:c>
      <x:c r="K6" s="407" t="str">
        <x:v>未通過</x:v>
      </x:c>
      <x:c r="L6" s="407" t="str">
        <x:v>LightGBM 正式調參</x:v>
      </x:c>
      <x:c r="M6" s="407"/>
      <x:c r="N6" s="407"/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str">
        <x:v>滿柱</x:v>
      </x:c>
      <x:c r="B7" s="407" t="str">
        <x:v>lgb_05</x:v>
      </x:c>
      <x:c r="C7" s="411" t="n">
        <x:v>0.12401193226995888</x:v>
      </x:c>
      <x:c r="D7" s="411" t="str">
        <x:v>xgb_05</x:v>
      </x:c>
      <x:c r="E7" s="411" t="n">
        <x:v>0.12446655719638045</x:v>
      </x:c>
      <x:c r="F7" s="411" t="n">
        <x:v>0.00045462492642156516</x:v>
      </x:c>
      <x:c r="G7" s="412" t="n">
        <x:v>1</x:v>
      </x:c>
      <x:c r="H7" s="412" t="n">
        <x:v>2</x:v>
      </x:c>
      <x:c r="I7" s="411" t="n">
        <x:v>0.09211515972844485</x:v>
      </x:c>
      <x:c r="J7" s="411" t="n">
        <x:v>0.09514206538773447</x:v>
      </x:c>
      <x:c r="K7" s="407" t="str">
        <x:v>通過</x:v>
      </x:c>
      <x:c r="L7" s="407" t="str">
        <x:v>XGBoost 正式調參</x:v>
      </x:c>
      <x:c r="M7" s="407"/>
      <x:c r="N7" s="407"/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/>
      <x:c r="B8" s="407"/>
      <x:c r="C8" s="407"/>
      <x:c r="D8" s="407"/>
      <x:c r="E8" s="407"/>
      <x:c r="F8" s="407"/>
      <x:c r="G8" s="407"/>
      <x:c r="H8" s="407"/>
      <x:c r="I8" s="407"/>
      <x:c r="J8" s="407"/>
      <x:c r="K8" s="407"/>
      <x:c r="L8" s="407"/>
      <x:c r="M8" s="407"/>
      <x:c r="N8" s="407"/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/>
      <x:c r="B9" s="407"/>
      <x:c r="C9" s="407"/>
      <x:c r="D9" s="407"/>
      <x:c r="E9" s="407"/>
      <x:c r="F9" s="407"/>
      <x:c r="G9" s="407"/>
      <x:c r="H9" s="407"/>
      <x:c r="I9" s="407"/>
      <x:c r="J9" s="407"/>
      <x:c r="K9" s="407"/>
      <x:c r="L9" s="407"/>
      <x:c r="M9" s="407"/>
      <x:c r="N9" s="407"/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 ht="32" customHeight="1">
      <x:c r="A10" s="51" t="str">
        <x:v>事件</x:v>
      </x:c>
      <x:c r="B10" s="52" t="str">
        <x:v>LightGBM平均AP</x:v>
      </x:c>
      <x:c r="C10" s="53" t="str">
        <x:v>XGBoost平均AP</x:v>
      </x:c>
      <x:c r="D10" s="407"/>
      <x:c r="E10" s="407"/>
      <x:c r="F10" s="407"/>
      <x:c r="G10" s="407"/>
      <x:c r="H10" s="407"/>
      <x:c r="I10" s="407"/>
      <x:c r="J10" s="407"/>
      <x:c r="K10" s="407"/>
      <x:c r="L10" s="407"/>
      <x:c r="M10" s="407"/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str">
        <x:f>A6</x:f>
        <x:v>缺車</x:v>
      </x:c>
      <x:c r="B11" s="411" t="n">
        <x:f>C6</x:f>
        <x:v>0.2178378321168918</x:v>
      </x:c>
      <x:c r="C11" s="411" t="n">
        <x:f>E6</x:f>
        <x:v>0.21504384506343174</x:v>
      </x:c>
      <x:c r="D11" s="407"/>
      <x:c r="E11" s="407"/>
      <x:c r="F11" s="407"/>
      <x:c r="G11" s="407"/>
      <x:c r="H11" s="407"/>
      <x:c r="I11" s="407"/>
      <x:c r="J11" s="407"/>
      <x:c r="K11" s="407"/>
      <x:c r="L11" s="407"/>
      <x:c r="M11" s="407"/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str">
        <x:f>A7</x:f>
        <x:v>滿柱</x:v>
      </x:c>
      <x:c r="B12" s="411" t="n">
        <x:f>C7</x:f>
        <x:v>0.12401193226995888</x:v>
      </x:c>
      <x:c r="C12" s="411" t="n">
        <x:f>E7</x:f>
        <x:v>0.12446655719638045</x:v>
      </x:c>
      <x:c r="D12" s="407"/>
      <x:c r="E12" s="407"/>
      <x:c r="F12" s="407"/>
      <x:c r="G12" s="407"/>
      <x:c r="H12" s="407"/>
      <x:c r="I12" s="407"/>
      <x:c r="J12" s="407"/>
      <x:c r="K12" s="407"/>
      <x:c r="L12" s="407"/>
      <x:c r="M12" s="407"/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/>
      <x:c r="B13" s="407"/>
      <x:c r="C13" s="407"/>
      <x:c r="D13" s="407"/>
      <x:c r="E13" s="407"/>
      <x:c r="F13" s="407"/>
      <x:c r="G13" s="407"/>
      <x:c r="H13" s="407"/>
      <x:c r="I13" s="407"/>
      <x:c r="J13" s="407"/>
      <x:c r="K13" s="407"/>
      <x:c r="L13" s="407"/>
      <x:c r="M13" s="407"/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/>
      <x:c r="B14" s="407"/>
      <x:c r="C14" s="407"/>
      <x:c r="D14" s="407"/>
      <x:c r="E14" s="407"/>
      <x:c r="F14" s="407"/>
      <x:c r="G14" s="407"/>
      <x:c r="H14" s="407"/>
      <x:c r="I14" s="407"/>
      <x:c r="J14" s="407"/>
      <x:c r="K14" s="407"/>
      <x:c r="L14" s="407"/>
      <x:c r="M14" s="407"/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79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15" s="80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15" s="80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15" s="81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15" s="407"/>
      <x:c r="F15" s="407"/>
      <x:c r="G15" s="407"/>
      <x:c r="H15" s="407"/>
      <x:c r="I15" s="407"/>
      <x:c r="J15" s="407"/>
      <x:c r="K15" s="407"/>
      <x:c r="L15" s="407"/>
      <x:c r="M15" s="407"/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16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16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16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16" s="407"/>
      <x:c r="F16" s="407"/>
      <x:c r="G16" s="407"/>
      <x:c r="H16" s="407"/>
      <x:c r="I16" s="407"/>
      <x:c r="J16" s="407"/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17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17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17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17" s="407"/>
      <x:c r="F17" s="407"/>
      <x:c r="G17" s="407"/>
      <x:c r="H17" s="407"/>
      <x:c r="I17" s="407"/>
      <x:c r="J17" s="407"/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18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18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18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18" s="407"/>
      <x:c r="F18" s="407"/>
      <x:c r="G18" s="407"/>
      <x:c r="H18" s="407"/>
      <x:c r="I18" s="407"/>
      <x:c r="J18" s="407"/>
      <x:c r="K18" s="407"/>
      <x:c r="L18" s="407"/>
      <x:c r="M18" s="407"/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19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19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19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19" s="407"/>
      <x:c r="F19" s="407"/>
      <x:c r="G19" s="407"/>
      <x:c r="H19" s="407"/>
      <x:c r="I19" s="407"/>
      <x:c r="J19" s="407"/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0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0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0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0" s="407"/>
      <x:c r="F20" s="407"/>
      <x:c r="G20" s="407"/>
      <x:c r="H20" s="407"/>
      <x:c r="I20" s="407"/>
      <x:c r="J20" s="407"/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1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1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1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1" s="407"/>
      <x:c r="F21" s="407"/>
      <x:c r="G21" s="407"/>
      <x:c r="H21" s="407"/>
      <x:c r="I21" s="407"/>
      <x:c r="J21" s="407"/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2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2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2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2" s="407"/>
      <x:c r="F22" s="407"/>
      <x:c r="G22" s="407"/>
      <x:c r="H22" s="407"/>
      <x:c r="I22" s="407"/>
      <x:c r="J22" s="407"/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3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3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3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3" s="407"/>
      <x:c r="F23" s="407"/>
      <x:c r="G23" s="407"/>
      <x:c r="H23" s="407"/>
      <x:c r="I23" s="407"/>
      <x:c r="J23" s="407"/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82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4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4" s="83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4" s="84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4" s="407"/>
      <x:c r="F24" s="407"/>
      <x:c r="G24" s="407"/>
      <x:c r="H24" s="407"/>
      <x:c r="I24" s="407"/>
      <x:c r="J24" s="407"/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85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B25" s="86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C25" s="86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D25" s="87" t="str">
        <x:v>缺車：LightGBM 0.2178 高於 XGBoost 0.2150，所以保留LightGBM。
滿柱：XGBoost 0.12447只高約0.00045，但同時贏2/3折且最差折較佳，所以依事先規則帶入五月比較。這代表「值得測」，不代表已證明營運上更好。</x:v>
      </x:c>
      <x:c r="E25" s="407"/>
      <x:c r="F25" s="407"/>
      <x:c r="G25" s="407"/>
      <x:c r="H25" s="407"/>
      <x:c r="I25" s="407"/>
      <x:c r="J25" s="407"/>
      <x:c r="K25" s="407"/>
      <x:c r="L25" s="407"/>
      <x:c r="M25" s="407"/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/>
      <x:c r="B26" s="407"/>
      <x:c r="C26" s="407"/>
      <x:c r="D26" s="407"/>
      <x:c r="E26" s="407"/>
      <x:c r="F26" s="407"/>
      <x:c r="G26" s="407"/>
      <x:c r="H26" s="407"/>
      <x:c r="I26" s="407"/>
      <x:c r="J26" s="407"/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/>
      <x:c r="B27" s="407"/>
      <x:c r="C27" s="407"/>
      <x:c r="D27" s="407"/>
      <x:c r="E27" s="407"/>
      <x:c r="F27" s="407"/>
      <x:c r="G27" s="407"/>
      <x:c r="H27" s="407"/>
      <x:c r="I27" s="407"/>
      <x:c r="J27" s="407"/>
      <x:c r="K27" s="407"/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/>
      <x:c r="B28" s="407"/>
      <x:c r="C28" s="407"/>
      <x:c r="D28" s="407"/>
      <x:c r="E28" s="407"/>
      <x:c r="F28" s="407"/>
      <x:c r="G28" s="407"/>
      <x:c r="H28" s="407"/>
      <x:c r="I28" s="407"/>
      <x:c r="J28" s="407"/>
      <x:c r="K28" s="407"/>
      <x:c r="L28" s="407"/>
      <x:c r="M28" s="407"/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 ht="32" customHeight="1">
      <x:c r="A29" s="51" t="str">
        <x:v>家族</x:v>
      </x:c>
      <x:c r="B29" s="52" t="str">
        <x:v>事件</x:v>
      </x:c>
      <x:c r="C29" s="52" t="str">
        <x:v>候選</x:v>
      </x:c>
      <x:c r="D29" s="52" t="str">
        <x:v>折</x:v>
      </x:c>
      <x:c r="E29" s="52" t="str">
        <x:v>訓練月</x:v>
      </x:c>
      <x:c r="F29" s="52" t="str">
        <x:v>驗證月</x:v>
      </x:c>
      <x:c r="G29" s="52" t="str">
        <x:v>尖峰列</x:v>
      </x:c>
      <x:c r="H29" s="52" t="str">
        <x:v>正例</x:v>
      </x:c>
      <x:c r="I29" s="52" t="str">
        <x:v>正例率</x:v>
      </x:c>
      <x:c r="J29" s="52" t="str">
        <x:v>AP</x:v>
      </x:c>
      <x:c r="K29" s="52" t="str">
        <x:v>Lift</x:v>
      </x:c>
      <x:c r="L29" s="52" t="str">
        <x:v>ROC-AUC</x:v>
      </x:c>
      <x:c r="M29" s="52" t="str">
        <x:v>最佳輪數</x:v>
      </x:c>
      <x:c r="N29" s="53" t="str">
        <x:v>秒</x:v>
      </x:c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 t="str">
        <x:v>LightGBM</x:v>
      </x:c>
      <x:c r="B30" s="407" t="str">
        <x:v>缺車</x:v>
      </x:c>
      <x:c r="C30" s="407" t="str">
        <x:v>lgb_01</x:v>
      </x:c>
      <x:c r="D30" s="407" t="str">
        <x:v>Fold 1</x:v>
      </x:c>
      <x:c r="E30" s="407" t="str">
        <x:v>1</x:v>
      </x:c>
      <x:c r="F30" s="408" t="n">
        <x:v>2</x:v>
      </x:c>
      <x:c r="G30" s="408" t="n">
        <x:v>566776</x:v>
      </x:c>
      <x:c r="H30" s="408" t="n">
        <x:v>12827</x:v>
      </x:c>
      <x:c r="I30" s="410" t="n">
        <x:v>0.022631515801657093</x:v>
      </x:c>
      <x:c r="J30" s="411" t="n">
        <x:v>0.1319419105739365</x:v>
      </x:c>
      <x:c r="K30" s="413" t="n">
        <x:v>5.830007664103332</x:v>
      </x:c>
      <x:c r="L30" s="414" t="n">
        <x:v>0.8272520803483635</x:v>
      </x:c>
      <x:c r="M30" s="407" t="n">
        <x:v>73</x:v>
      </x:c>
      <x:c r="N30" s="407" t="n">
        <x:v>4.743620599998394</x:v>
      </x:c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str">
        <x:v>LightGBM</x:v>
      </x:c>
      <x:c r="B31" s="407" t="str">
        <x:v>缺車</x:v>
      </x:c>
      <x:c r="C31" s="407" t="str">
        <x:v>lgb_05</x:v>
      </x:c>
      <x:c r="D31" s="407" t="str">
        <x:v>Fold 1</x:v>
      </x:c>
      <x:c r="E31" s="407" t="str">
        <x:v>1</x:v>
      </x:c>
      <x:c r="F31" s="408" t="n">
        <x:v>2</x:v>
      </x:c>
      <x:c r="G31" s="408" t="n">
        <x:v>566776</x:v>
      </x:c>
      <x:c r="H31" s="408" t="n">
        <x:v>12827</x:v>
      </x:c>
      <x:c r="I31" s="410" t="n">
        <x:v>0.022631515801657093</x:v>
      </x:c>
      <x:c r="J31" s="411" t="n">
        <x:v>0.13151833879012007</x:v>
      </x:c>
      <x:c r="K31" s="413" t="n">
        <x:v>5.811291649341942</x:v>
      </x:c>
      <x:c r="L31" s="414" t="n">
        <x:v>0.8254829976326086</x:v>
      </x:c>
      <x:c r="M31" s="407" t="n">
        <x:v>100</x:v>
      </x:c>
      <x:c r="N31" s="407" t="n">
        <x:v>5.415760100000625</x:v>
      </x:c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str">
        <x:v>XGBoost</x:v>
      </x:c>
      <x:c r="B32" s="407" t="str">
        <x:v>缺車</x:v>
      </x:c>
      <x:c r="C32" s="407" t="str">
        <x:v>xgb_04</x:v>
      </x:c>
      <x:c r="D32" s="407" t="str">
        <x:v>Fold 1</x:v>
      </x:c>
      <x:c r="E32" s="407" t="str">
        <x:v>1</x:v>
      </x:c>
      <x:c r="F32" s="408" t="n">
        <x:v>2</x:v>
      </x:c>
      <x:c r="G32" s="408" t="n">
        <x:v>566776</x:v>
      </x:c>
      <x:c r="H32" s="408" t="n">
        <x:v>12827</x:v>
      </x:c>
      <x:c r="I32" s="410" t="n">
        <x:v>0.022631515801657093</x:v>
      </x:c>
      <x:c r="J32" s="411" t="n">
        <x:v>0.13288583187680275</x:v>
      </x:c>
      <x:c r="K32" s="413" t="n">
        <x:v>5.871715931067807</x:v>
      </x:c>
      <x:c r="L32" s="414" t="n">
        <x:v>0.8193908644667829</x:v>
      </x:c>
      <x:c r="M32" s="407" t="n">
        <x:v>35</x:v>
      </x:c>
      <x:c r="N32" s="407" t="n">
        <x:v>15.43670370000109</x:v>
      </x:c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str">
        <x:v>XGBoost</x:v>
      </x:c>
      <x:c r="B33" s="407" t="str">
        <x:v>缺車</x:v>
      </x:c>
      <x:c r="C33" s="407" t="str">
        <x:v>xgb_05</x:v>
      </x:c>
      <x:c r="D33" s="407" t="str">
        <x:v>Fold 1</x:v>
      </x:c>
      <x:c r="E33" s="407" t="str">
        <x:v>1</x:v>
      </x:c>
      <x:c r="F33" s="408" t="n">
        <x:v>2</x:v>
      </x:c>
      <x:c r="G33" s="408" t="n">
        <x:v>566776</x:v>
      </x:c>
      <x:c r="H33" s="408" t="n">
        <x:v>12827</x:v>
      </x:c>
      <x:c r="I33" s="410" t="n">
        <x:v>0.022631515801657093</x:v>
      </x:c>
      <x:c r="J33" s="411" t="n">
        <x:v>0.13617695810703476</x:v>
      </x:c>
      <x:c r="K33" s="413" t="n">
        <x:v>6.01713819350376</x:v>
      </x:c>
      <x:c r="L33" s="414" t="n">
        <x:v>0.8220731649024404</x:v>
      </x:c>
      <x:c r="M33" s="407" t="n">
        <x:v>174</x:v>
      </x:c>
      <x:c r="N33" s="407" t="n">
        <x:v>33.13429460000043</x:v>
      </x:c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LightGBM</x:v>
      </x:c>
      <x:c r="B34" s="407" t="str">
        <x:v>滿柱</x:v>
      </x:c>
      <x:c r="C34" s="407" t="str">
        <x:v>lgb_01</x:v>
      </x:c>
      <x:c r="D34" s="407" t="str">
        <x:v>Fold 1</x:v>
      </x:c>
      <x:c r="E34" s="407" t="str">
        <x:v>1</x:v>
      </x:c>
      <x:c r="F34" s="408" t="n">
        <x:v>2</x:v>
      </x:c>
      <x:c r="G34" s="408" t="n">
        <x:v>566776</x:v>
      </x:c>
      <x:c r="H34" s="408" t="n">
        <x:v>2880</x:v>
      </x:c>
      <x:c r="I34" s="410" t="n">
        <x:v>0.005081372535181448</x:v>
      </x:c>
      <x:c r="J34" s="411" t="n">
        <x:v>0.08655592539771263</x:v>
      </x:c>
      <x:c r="K34" s="413" t="n">
        <x:v>17.03396568514374</x:v>
      </x:c>
      <x:c r="L34" s="414" t="n">
        <x:v>0.8920928829665992</x:v>
      </x:c>
      <x:c r="M34" s="407" t="n">
        <x:v>74</x:v>
      </x:c>
      <x:c r="N34" s="407" t="n">
        <x:v>3.043898399999307</x:v>
      </x:c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LightGBM</x:v>
      </x:c>
      <x:c r="B35" s="407" t="str">
        <x:v>滿柱</x:v>
      </x:c>
      <x:c r="C35" s="407" t="str">
        <x:v>lgb_05</x:v>
      </x:c>
      <x:c r="D35" s="407" t="str">
        <x:v>Fold 1</x:v>
      </x:c>
      <x:c r="E35" s="407" t="str">
        <x:v>1</x:v>
      </x:c>
      <x:c r="F35" s="408" t="n">
        <x:v>2</x:v>
      </x:c>
      <x:c r="G35" s="408" t="n">
        <x:v>566776</x:v>
      </x:c>
      <x:c r="H35" s="408" t="n">
        <x:v>2880</x:v>
      </x:c>
      <x:c r="I35" s="410" t="n">
        <x:v>0.005081372535181448</x:v>
      </x:c>
      <x:c r="J35" s="411" t="n">
        <x:v>0.09211515972844485</x:v>
      </x:c>
      <x:c r="K35" s="413" t="n">
        <x:v>18.128007559114256</x:v>
      </x:c>
      <x:c r="L35" s="414" t="n">
        <x:v>0.8936906155887886</x:v>
      </x:c>
      <x:c r="M35" s="407" t="n">
        <x:v>446</x:v>
      </x:c>
      <x:c r="N35" s="407" t="n">
        <x:v>10.028486600000178</x:v>
      </x:c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XGBoost</x:v>
      </x:c>
      <x:c r="B36" s="407" t="str">
        <x:v>滿柱</x:v>
      </x:c>
      <x:c r="C36" s="407" t="str">
        <x:v>xgb_04</x:v>
      </x:c>
      <x:c r="D36" s="407" t="str">
        <x:v>Fold 1</x:v>
      </x:c>
      <x:c r="E36" s="407" t="str">
        <x:v>1</x:v>
      </x:c>
      <x:c r="F36" s="408" t="n">
        <x:v>2</x:v>
      </x:c>
      <x:c r="G36" s="408" t="n">
        <x:v>566776</x:v>
      </x:c>
      <x:c r="H36" s="408" t="n">
        <x:v>2880</x:v>
      </x:c>
      <x:c r="I36" s="410" t="n">
        <x:v>0.005081372535181448</x:v>
      </x:c>
      <x:c r="J36" s="411" t="n">
        <x:v>0.08790614718222187</x:v>
      </x:c>
      <x:c r="K36" s="413" t="n">
        <x:v>17.29968558171909</x:v>
      </x:c>
      <x:c r="L36" s="414" t="n">
        <x:v>0.8900722184858161</x:v>
      </x:c>
      <x:c r="M36" s="407" t="n">
        <x:v>90</x:v>
      </x:c>
      <x:c r="N36" s="407" t="n">
        <x:v>14.359711999997671</x:v>
      </x:c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XGBoost</x:v>
      </x:c>
      <x:c r="B37" s="407" t="str">
        <x:v>滿柱</x:v>
      </x:c>
      <x:c r="C37" s="407" t="str">
        <x:v>xgb_05</x:v>
      </x:c>
      <x:c r="D37" s="407" t="str">
        <x:v>Fold 1</x:v>
      </x:c>
      <x:c r="E37" s="407" t="str">
        <x:v>1</x:v>
      </x:c>
      <x:c r="F37" s="408" t="n">
        <x:v>2</x:v>
      </x:c>
      <x:c r="G37" s="408" t="n">
        <x:v>566776</x:v>
      </x:c>
      <x:c r="H37" s="408" t="n">
        <x:v>2880</x:v>
      </x:c>
      <x:c r="I37" s="410" t="n">
        <x:v>0.005081372535181448</x:v>
      </x:c>
      <x:c r="J37" s="411" t="n">
        <x:v>0.09514206538773447</x:v>
      </x:c>
      <x:c r="K37" s="413" t="n">
        <x:v>18.723694184791178</x:v>
      </x:c>
      <x:c r="L37" s="414" t="n">
        <x:v>0.8952351770834811</x:v>
      </x:c>
      <x:c r="M37" s="407" t="n">
        <x:v>705</x:v>
      </x:c>
      <x:c r="N37" s="407" t="n">
        <x:v>73.76103870000225</x:v>
      </x:c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LightGBM</x:v>
      </x:c>
      <x:c r="B38" s="407" t="str">
        <x:v>缺車</x:v>
      </x:c>
      <x:c r="C38" s="407" t="str">
        <x:v>lgb_01</x:v>
      </x:c>
      <x:c r="D38" s="407" t="str">
        <x:v>Fold 2</x:v>
      </x:c>
      <x:c r="E38" s="407" t="str">
        <x:v>1,2</x:v>
      </x:c>
      <x:c r="F38" s="408" t="n">
        <x:v>3</x:v>
      </x:c>
      <x:c r="G38" s="408" t="n">
        <x:v>617158</x:v>
      </x:c>
      <x:c r="H38" s="408" t="n">
        <x:v>21615</x:v>
      </x:c>
      <x:c r="I38" s="410" t="n">
        <x:v>0.035023446183959375</x:v>
      </x:c>
      <x:c r="J38" s="411" t="n">
        <x:v>0.258126346910283</x:v>
      </x:c>
      <x:c r="K38" s="413" t="n">
        <x:v>7.370101318827501</x:v>
      </x:c>
      <x:c r="L38" s="414" t="n">
        <x:v>0.8999460018057672</x:v>
      </x:c>
      <x:c r="M38" s="407" t="n">
        <x:v>800</x:v>
      </x:c>
      <x:c r="N38" s="407" t="n">
        <x:v>41.75979619999998</x:v>
      </x:c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LightGBM</x:v>
      </x:c>
      <x:c r="B39" s="407" t="str">
        <x:v>缺車</x:v>
      </x:c>
      <x:c r="C39" s="407" t="str">
        <x:v>lgb_05</x:v>
      </x:c>
      <x:c r="D39" s="407" t="str">
        <x:v>Fold 2</x:v>
      </x:c>
      <x:c r="E39" s="407" t="str">
        <x:v>1,2</x:v>
      </x:c>
      <x:c r="F39" s="408" t="n">
        <x:v>3</x:v>
      </x:c>
      <x:c r="G39" s="408" t="n">
        <x:v>617158</x:v>
      </x:c>
      <x:c r="H39" s="408" t="n">
        <x:v>21615</x:v>
      </x:c>
      <x:c r="I39" s="410" t="n">
        <x:v>0.035023446183959375</x:v>
      </x:c>
      <x:c r="J39" s="411" t="n">
        <x:v>0.24812262191734927</x:v>
      </x:c>
      <x:c r="K39" s="413" t="n">
        <x:v>7.084471945281861</x:v>
      </x:c>
      <x:c r="L39" s="414" t="n">
        <x:v>0.8962464221692105</x:v>
      </x:c>
      <x:c r="M39" s="407" t="n">
        <x:v>799</x:v>
      </x:c>
      <x:c r="N39" s="407" t="n">
        <x:v>37.349375099998724</x:v>
      </x:c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XGBoost</x:v>
      </x:c>
      <x:c r="B40" s="407" t="str">
        <x:v>缺車</x:v>
      </x:c>
      <x:c r="C40" s="407" t="str">
        <x:v>xgb_04</x:v>
      </x:c>
      <x:c r="D40" s="407" t="str">
        <x:v>Fold 2</x:v>
      </x:c>
      <x:c r="E40" s="407" t="str">
        <x:v>1,2</x:v>
      </x:c>
      <x:c r="F40" s="408" t="n">
        <x:v>3</x:v>
      </x:c>
      <x:c r="G40" s="408" t="n">
        <x:v>617158</x:v>
      </x:c>
      <x:c r="H40" s="408" t="n">
        <x:v>21615</x:v>
      </x:c>
      <x:c r="I40" s="410" t="n">
        <x:v>0.035023446183959375</x:v>
      </x:c>
      <x:c r="J40" s="411" t="n">
        <x:v>0.25179730743645246</x:v>
      </x:c>
      <x:c r="K40" s="413" t="n">
        <x:v>7.189392674664174</x:v>
      </x:c>
      <x:c r="L40" s="414" t="n">
        <x:v>0.899746193132861</x:v>
      </x:c>
      <x:c r="M40" s="407" t="n">
        <x:v>797</x:v>
      </x:c>
      <x:c r="N40" s="407" t="n">
        <x:v>191.87201389999973</x:v>
      </x:c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XGBoost</x:v>
      </x:c>
      <x:c r="B41" s="407" t="str">
        <x:v>缺車</x:v>
      </x:c>
      <x:c r="C41" s="407" t="str">
        <x:v>xgb_05</x:v>
      </x:c>
      <x:c r="D41" s="407" t="str">
        <x:v>Fold 2</x:v>
      </x:c>
      <x:c r="E41" s="407" t="str">
        <x:v>1,2</x:v>
      </x:c>
      <x:c r="F41" s="408" t="n">
        <x:v>3</x:v>
      </x:c>
      <x:c r="G41" s="408" t="n">
        <x:v>617158</x:v>
      </x:c>
      <x:c r="H41" s="408" t="n">
        <x:v>21615</x:v>
      </x:c>
      <x:c r="I41" s="410" t="n">
        <x:v>0.035023446183959375</x:v>
      </x:c>
      <x:c r="J41" s="411" t="n">
        <x:v>0.24883104934604214</x:v>
      </x:c>
      <x:c r="K41" s="413" t="n">
        <x:v>7.104699178917635</x:v>
      </x:c>
      <x:c r="L41" s="414" t="n">
        <x:v>0.8953760594930313</x:v>
      </x:c>
      <x:c r="M41" s="407" t="n">
        <x:v>800</x:v>
      </x:c>
      <x:c r="N41" s="407" t="n">
        <x:v>159.51201660000152</x:v>
      </x:c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LightGBM</x:v>
      </x:c>
      <x:c r="B42" s="407" t="str">
        <x:v>滿柱</x:v>
      </x:c>
      <x:c r="C42" s="407" t="str">
        <x:v>lgb_01</x:v>
      </x:c>
      <x:c r="D42" s="407" t="str">
        <x:v>Fold 2</x:v>
      </x:c>
      <x:c r="E42" s="407" t="str">
        <x:v>1,2</x:v>
      </x:c>
      <x:c r="F42" s="408" t="n">
        <x:v>3</x:v>
      </x:c>
      <x:c r="G42" s="408" t="n">
        <x:v>617158</x:v>
      </x:c>
      <x:c r="H42" s="408" t="n">
        <x:v>4069</x:v>
      </x:c>
      <x:c r="I42" s="410" t="n">
        <x:v>0.0065931252612783115</x:v>
      </x:c>
      <x:c r="J42" s="411" t="n">
        <x:v>0.1342817976148255</x:v>
      </x:c>
      <x:c r="K42" s="413" t="n">
        <x:v>20.36694166929724</x:v>
      </x:c>
      <x:c r="L42" s="414" t="n">
        <x:v>0.9375551286988428</x:v>
      </x:c>
      <x:c r="M42" s="407" t="n">
        <x:v>229</x:v>
      </x:c>
      <x:c r="N42" s="407" t="n">
        <x:v>7.7336340000001655</x:v>
      </x:c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LightGBM</x:v>
      </x:c>
      <x:c r="B43" s="407" t="str">
        <x:v>滿柱</x:v>
      </x:c>
      <x:c r="C43" s="407" t="str">
        <x:v>lgb_05</x:v>
      </x:c>
      <x:c r="D43" s="407" t="str">
        <x:v>Fold 2</x:v>
      </x:c>
      <x:c r="E43" s="407" t="str">
        <x:v>1,2</x:v>
      </x:c>
      <x:c r="F43" s="408" t="n">
        <x:v>3</x:v>
      </x:c>
      <x:c r="G43" s="408" t="n">
        <x:v>617158</x:v>
      </x:c>
      <x:c r="H43" s="408" t="n">
        <x:v>4069</x:v>
      </x:c>
      <x:c r="I43" s="410" t="n">
        <x:v>0.0065931252612783115</x:v>
      </x:c>
      <x:c r="J43" s="411" t="n">
        <x:v>0.13885421802286216</x:v>
      </x:c>
      <x:c r="K43" s="413" t="n">
        <x:v>21.06045502250026</x:v>
      </x:c>
      <x:c r="L43" s="414" t="n">
        <x:v>0.9397537138321215</x:v>
      </x:c>
      <x:c r="M43" s="407" t="n">
        <x:v>592</x:v>
      </x:c>
      <x:c r="N43" s="407" t="n">
        <x:v>15.837259699997958</x:v>
      </x:c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 t="str">
        <x:v>XGBoost</x:v>
      </x:c>
      <x:c r="B44" s="407" t="str">
        <x:v>滿柱</x:v>
      </x:c>
      <x:c r="C44" s="407" t="str">
        <x:v>xgb_04</x:v>
      </x:c>
      <x:c r="D44" s="407" t="str">
        <x:v>Fold 2</x:v>
      </x:c>
      <x:c r="E44" s="407" t="str">
        <x:v>1,2</x:v>
      </x:c>
      <x:c r="F44" s="408" t="n">
        <x:v>3</x:v>
      </x:c>
      <x:c r="G44" s="408" t="n">
        <x:v>617158</x:v>
      </x:c>
      <x:c r="H44" s="408" t="n">
        <x:v>4069</x:v>
      </x:c>
      <x:c r="I44" s="410" t="n">
        <x:v>0.0065931252612783115</x:v>
      </x:c>
      <x:c r="J44" s="411" t="n">
        <x:v>0.13823402989702646</x:v>
      </x:c>
      <x:c r="K44" s="413" t="n">
        <x:v>20.966389143079148</x:v>
      </x:c>
      <x:c r="L44" s="414" t="n">
        <x:v>0.9393170241128346</x:v>
      </x:c>
      <x:c r="M44" s="407" t="n">
        <x:v>676</x:v>
      </x:c>
      <x:c r="N44" s="407" t="n">
        <x:v>91.42200439999942</x:v>
      </x:c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 t="str">
        <x:v>XGBoost</x:v>
      </x:c>
      <x:c r="B45" s="407" t="str">
        <x:v>滿柱</x:v>
      </x:c>
      <x:c r="C45" s="407" t="str">
        <x:v>xgb_05</x:v>
      </x:c>
      <x:c r="D45" s="407" t="str">
        <x:v>Fold 2</x:v>
      </x:c>
      <x:c r="E45" s="407" t="str">
        <x:v>1,2</x:v>
      </x:c>
      <x:c r="F45" s="408" t="n">
        <x:v>3</x:v>
      </x:c>
      <x:c r="G45" s="408" t="n">
        <x:v>617158</x:v>
      </x:c>
      <x:c r="H45" s="408" t="n">
        <x:v>4069</x:v>
      </x:c>
      <x:c r="I45" s="410" t="n">
        <x:v>0.0065931252612783115</x:v>
      </x:c>
      <x:c r="J45" s="411" t="n">
        <x:v>0.13611032787622462</x:v>
      </x:c>
      <x:c r="K45" s="413" t="n">
        <x:v>20.64428059263579</x:v>
      </x:c>
      <x:c r="L45" s="414" t="n">
        <x:v>0.9361614473165414</x:v>
      </x:c>
      <x:c r="M45" s="407" t="n">
        <x:v>783</x:v>
      </x:c>
      <x:c r="N45" s="407" t="n">
        <x:v>95.12567489999856</x:v>
      </x:c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 t="str">
        <x:v>LightGBM</x:v>
      </x:c>
      <x:c r="B46" s="407" t="str">
        <x:v>缺車</x:v>
      </x:c>
      <x:c r="C46" s="407" t="str">
        <x:v>lgb_01</x:v>
      </x:c>
      <x:c r="D46" s="407" t="str">
        <x:v>Fold 3</x:v>
      </x:c>
      <x:c r="E46" s="407" t="str">
        <x:v>1,2,3</x:v>
      </x:c>
      <x:c r="F46" s="408" t="n">
        <x:v>4</x:v>
      </x:c>
      <x:c r="G46" s="408" t="n">
        <x:v>598646</x:v>
      </x:c>
      <x:c r="H46" s="408" t="n">
        <x:v>20593</x:v>
      </x:c>
      <x:c r="I46" s="410" t="n">
        <x:v>0.03439929440771341</x:v>
      </x:c>
      <x:c r="J46" s="411" t="n">
        <x:v>0.26344523886645593</x:v>
      </x:c>
      <x:c r="K46" s="413" t="n">
        <x:v>7.658448913050472</x:v>
      </x:c>
      <x:c r="L46" s="414" t="n">
        <x:v>0.9057830261918801</x:v>
      </x:c>
      <x:c r="M46" s="407" t="n">
        <x:v>800</x:v>
      </x:c>
      <x:c r="N46" s="407" t="n">
        <x:v>64.12416429999939</x:v>
      </x:c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 t="str">
        <x:v>LightGBM</x:v>
      </x:c>
      <x:c r="B47" s="407" t="str">
        <x:v>缺車</x:v>
      </x:c>
      <x:c r="C47" s="407" t="str">
        <x:v>lgb_05</x:v>
      </x:c>
      <x:c r="D47" s="407" t="str">
        <x:v>Fold 3</x:v>
      </x:c>
      <x:c r="E47" s="407" t="str">
        <x:v>1,2,3</x:v>
      </x:c>
      <x:c r="F47" s="408" t="n">
        <x:v>4</x:v>
      </x:c>
      <x:c r="G47" s="408" t="n">
        <x:v>598646</x:v>
      </x:c>
      <x:c r="H47" s="408" t="n">
        <x:v>20593</x:v>
      </x:c>
      <x:c r="I47" s="410" t="n">
        <x:v>0.03439929440771341</x:v>
      </x:c>
      <x:c r="J47" s="411" t="n">
        <x:v>0.2531308487119254</x:v>
      </x:c>
      <x:c r="K47" s="413" t="n">
        <x:v>7.358605839751338</x:v>
      </x:c>
      <x:c r="L47" s="414" t="n">
        <x:v>0.9022131616255549</x:v>
      </x:c>
      <x:c r="M47" s="407" t="n">
        <x:v>800</x:v>
      </x:c>
      <x:c r="N47" s="407" t="n">
        <x:v>54.63170089999767</x:v>
      </x:c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 t="str">
        <x:v>XGBoost</x:v>
      </x:c>
      <x:c r="B48" s="407" t="str">
        <x:v>缺車</x:v>
      </x:c>
      <x:c r="C48" s="407" t="str">
        <x:v>xgb_04</x:v>
      </x:c>
      <x:c r="D48" s="407" t="str">
        <x:v>Fold 3</x:v>
      </x:c>
      <x:c r="E48" s="407" t="str">
        <x:v>1,2,3</x:v>
      </x:c>
      <x:c r="F48" s="408" t="n">
        <x:v>4</x:v>
      </x:c>
      <x:c r="G48" s="408" t="n">
        <x:v>598646</x:v>
      </x:c>
      <x:c r="H48" s="408" t="n">
        <x:v>20593</x:v>
      </x:c>
      <x:c r="I48" s="410" t="n">
        <x:v>0.03439929440771341</x:v>
      </x:c>
      <x:c r="J48" s="411" t="n">
        <x:v>0.26044839587704</x:v>
      </x:c>
      <x:c r="K48" s="413" t="n">
        <x:v>7.571329597348928</x:v>
      </x:c>
      <x:c r="L48" s="414" t="n">
        <x:v>0.9059840547598563</x:v>
      </x:c>
      <x:c r="M48" s="407" t="n">
        <x:v>800</x:v>
      </x:c>
      <x:c r="N48" s="407" t="n">
        <x:v>259.4849697999998</x:v>
      </x:c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 t="str">
        <x:v>XGBoost</x:v>
      </x:c>
      <x:c r="B49" s="407" t="str">
        <x:v>缺車</x:v>
      </x:c>
      <x:c r="C49" s="407" t="str">
        <x:v>xgb_05</x:v>
      </x:c>
      <x:c r="D49" s="407" t="str">
        <x:v>Fold 3</x:v>
      </x:c>
      <x:c r="E49" s="407" t="str">
        <x:v>1,2,3</x:v>
      </x:c>
      <x:c r="F49" s="408" t="n">
        <x:v>4</x:v>
      </x:c>
      <x:c r="G49" s="408" t="n">
        <x:v>598646</x:v>
      </x:c>
      <x:c r="H49" s="408" t="n">
        <x:v>20593</x:v>
      </x:c>
      <x:c r="I49" s="410" t="n">
        <x:v>0.03439929440771341</x:v>
      </x:c>
      <x:c r="J49" s="411" t="n">
        <x:v>0.2540582656859996</x:v>
      </x:c>
      <x:c r="K49" s="413" t="n">
        <x:v>7.385566188503905</x:v>
      </x:c>
      <x:c r="L49" s="414" t="n">
        <x:v>0.9015121826394139</x:v>
      </x:c>
      <x:c r="M49" s="407" t="n">
        <x:v>800</x:v>
      </x:c>
      <x:c r="N49" s="407" t="n">
        <x:v>207.9187106999998</x:v>
      </x:c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 t="str">
        <x:v>LightGBM</x:v>
      </x:c>
      <x:c r="B50" s="407" t="str">
        <x:v>滿柱</x:v>
      </x:c>
      <x:c r="C50" s="407" t="str">
        <x:v>lgb_01</x:v>
      </x:c>
      <x:c r="D50" s="407" t="str">
        <x:v>Fold 3</x:v>
      </x:c>
      <x:c r="E50" s="407" t="str">
        <x:v>1,2,3</x:v>
      </x:c>
      <x:c r="F50" s="408" t="n">
        <x:v>4</x:v>
      </x:c>
      <x:c r="G50" s="408" t="n">
        <x:v>598646</x:v>
      </x:c>
      <x:c r="H50" s="408" t="n">
        <x:v>3822</x:v>
      </x:c>
      <x:c r="I50" s="410" t="n">
        <x:v>0.006384407479545507</x:v>
      </x:c>
      <x:c r="J50" s="411" t="n">
        <x:v>0.14210264732468625</x:v>
      </x:c>
      <x:c r="K50" s="413" t="n">
        <x:v>22.257765936769786</x:v>
      </x:c>
      <x:c r="L50" s="414" t="n">
        <x:v>0.9493897131939165</x:v>
      </x:c>
      <x:c r="M50" s="407" t="n">
        <x:v>227</x:v>
      </x:c>
      <x:c r="N50" s="407" t="n">
        <x:v>8.081889000000956</x:v>
      </x:c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 t="str">
        <x:v>LightGBM</x:v>
      </x:c>
      <x:c r="B51" s="407" t="str">
        <x:v>滿柱</x:v>
      </x:c>
      <x:c r="C51" s="407" t="str">
        <x:v>lgb_05</x:v>
      </x:c>
      <x:c r="D51" s="407" t="str">
        <x:v>Fold 3</x:v>
      </x:c>
      <x:c r="E51" s="407" t="str">
        <x:v>1,2,3</x:v>
      </x:c>
      <x:c r="F51" s="408" t="n">
        <x:v>4</x:v>
      </x:c>
      <x:c r="G51" s="408" t="n">
        <x:v>598646</x:v>
      </x:c>
      <x:c r="H51" s="408" t="n">
        <x:v>3822</x:v>
      </x:c>
      <x:c r="I51" s="410" t="n">
        <x:v>0.006384407479545507</x:v>
      </x:c>
      <x:c r="J51" s="411" t="n">
        <x:v>0.14106641905856968</x:v>
      </x:c>
      <x:c r="K51" s="413" t="n">
        <x:v>22.0954598387589</x:v>
      </x:c>
      <x:c r="L51" s="414" t="n">
        <x:v>0.949934085309303</x:v>
      </x:c>
      <x:c r="M51" s="407" t="n">
        <x:v>546</x:v>
      </x:c>
      <x:c r="N51" s="407" t="n">
        <x:v>15.641615799999272</x:v>
      </x:c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 t="str">
        <x:v>XGBoost</x:v>
      </x:c>
      <x:c r="B52" s="407" t="str">
        <x:v>滿柱</x:v>
      </x:c>
      <x:c r="C52" s="407" t="str">
        <x:v>xgb_04</x:v>
      </x:c>
      <x:c r="D52" s="407" t="str">
        <x:v>Fold 3</x:v>
      </x:c>
      <x:c r="E52" s="407" t="str">
        <x:v>1,2,3</x:v>
      </x:c>
      <x:c r="F52" s="408" t="n">
        <x:v>4</x:v>
      </x:c>
      <x:c r="G52" s="408" t="n">
        <x:v>598646</x:v>
      </x:c>
      <x:c r="H52" s="408" t="n">
        <x:v>3822</x:v>
      </x:c>
      <x:c r="I52" s="410" t="n">
        <x:v>0.006384407479545507</x:v>
      </x:c>
      <x:c r="J52" s="411" t="n">
        <x:v>0.13535968114533958</x:v>
      </x:c>
      <x:c r="K52" s="413" t="n">
        <x:v>21.201604311599414</x:v>
      </x:c>
      <x:c r="L52" s="414" t="n">
        <x:v>0.9467152449275253</x:v>
      </x:c>
      <x:c r="M52" s="407" t="n">
        <x:v>119</x:v>
      </x:c>
      <x:c r="N52" s="407" t="n">
        <x:v>23.709866999997757</x:v>
      </x:c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 t="str">
        <x:v>XGBoost</x:v>
      </x:c>
      <x:c r="B53" s="407" t="str">
        <x:v>滿柱</x:v>
      </x:c>
      <x:c r="C53" s="407" t="str">
        <x:v>xgb_05</x:v>
      </x:c>
      <x:c r="D53" s="407" t="str">
        <x:v>Fold 3</x:v>
      </x:c>
      <x:c r="E53" s="407" t="str">
        <x:v>1,2,3</x:v>
      </x:c>
      <x:c r="F53" s="408" t="n">
        <x:v>4</x:v>
      </x:c>
      <x:c r="G53" s="408" t="n">
        <x:v>598646</x:v>
      </x:c>
      <x:c r="H53" s="408" t="n">
        <x:v>3822</x:v>
      </x:c>
      <x:c r="I53" s="410" t="n">
        <x:v>0.006384407479545507</x:v>
      </x:c>
      <x:c r="J53" s="411" t="n">
        <x:v>0.14214727832518226</x:v>
      </x:c>
      <x:c r="K53" s="413" t="n">
        <x:v>22.264756562076677</x:v>
      </x:c>
      <x:c r="L53" s="414" t="n">
        <x:v>0.9490095612572899</x:v>
      </x:c>
      <x:c r="M53" s="407" t="n">
        <x:v>752</x:v>
      </x:c>
      <x:c r="N53" s="407" t="n">
        <x:v>101.40906529999847</x:v>
      </x:c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 ht="32" customHeight="1">
      <x:c r="A56" s="51" t="str">
        <x:v>家族</x:v>
      </x:c>
      <x:c r="B56" s="52" t="str">
        <x:v>事件</x:v>
      </x:c>
      <x:c r="C56" s="52" t="str">
        <x:v>候選</x:v>
      </x:c>
      <x:c r="D56" s="52" t="str">
        <x:v>折數</x:v>
      </x:c>
      <x:c r="E56" s="52" t="str">
        <x:v>平均AP</x:v>
      </x:c>
      <x:c r="F56" s="52" t="str">
        <x:v>標準差</x:v>
      </x:c>
      <x:c r="G56" s="52" t="str">
        <x:v>最差折AP</x:v>
      </x:c>
      <x:c r="H56" s="52" t="str">
        <x:v>平均Lift</x:v>
      </x:c>
      <x:c r="I56" s="52" t="str">
        <x:v>折勝</x:v>
      </x:c>
      <x:c r="J56" s="52" t="str">
        <x:v>中位輪數</x:v>
      </x:c>
      <x:c r="K56" s="53" t="str">
        <x:v>排名</x:v>
      </x:c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 t="str">
        <x:v>LightGBM</x:v>
      </x:c>
      <x:c r="B57" s="407" t="str">
        <x:v>缺車</x:v>
      </x:c>
      <x:c r="C57" s="407" t="str">
        <x:v>lgb_01</x:v>
      </x:c>
      <x:c r="D57" s="407" t="n">
        <x:v>3</x:v>
      </x:c>
      <x:c r="E57" s="411" t="n">
        <x:v>0.2178378321168918</x:v>
      </x:c>
      <x:c r="F57" s="411" t="n">
        <x:v>0.07443557386220323</x:v>
      </x:c>
      <x:c r="G57" s="411" t="n">
        <x:v>0.1319419105739365</x:v>
      </x:c>
      <x:c r="H57" s="413" t="n">
        <x:v>6.9528526319937685</x:v>
      </x:c>
      <x:c r="I57" s="407" t="n">
        <x:v>2</x:v>
      </x:c>
      <x:c r="J57" s="407" t="n">
        <x:v>800</x:v>
      </x:c>
      <x:c r="K57" s="407" t="n">
        <x:v>1</x:v>
      </x:c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 t="str">
        <x:v>LightGBM</x:v>
      </x:c>
      <x:c r="B58" s="407" t="str">
        <x:v>缺車</x:v>
      </x:c>
      <x:c r="C58" s="407" t="str">
        <x:v>lgb_04</x:v>
      </x:c>
      <x:c r="D58" s="407" t="n">
        <x:v>3</x:v>
      </x:c>
      <x:c r="E58" s="411" t="n">
        <x:v>0.21502180653563965</x:v>
      </x:c>
      <x:c r="F58" s="411" t="n">
        <x:v>0.07284677925139309</x:v>
      </x:c>
      <x:c r="G58" s="411" t="n">
        <x:v>0.13103243719913563</x:v>
      </x:c>
      <x:c r="H58" s="413" t="n">
        <x:v>6.8672895180144815</x:v>
      </x:c>
      <x:c r="I58" s="407" t="n">
        <x:v>0</x:v>
      </x:c>
      <x:c r="J58" s="407" t="n">
        <x:v>792</x:v>
      </x:c>
      <x:c r="K58" s="407" t="n">
        <x:v>2</x:v>
      </x:c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 t="str">
        <x:v>LightGBM</x:v>
      </x:c>
      <x:c r="B59" s="407" t="str">
        <x:v>缺車</x:v>
      </x:c>
      <x:c r="C59" s="407" t="str">
        <x:v>lgb_06</x:v>
      </x:c>
      <x:c r="D59" s="407" t="n">
        <x:v>3</x:v>
      </x:c>
      <x:c r="E59" s="411" t="n">
        <x:v>0.2142403045170771</x:v>
      </x:c>
      <x:c r="F59" s="411" t="n">
        <x:v>0.07177543143303583</x:v>
      </x:c>
      <x:c r="G59" s="411" t="n">
        <x:v>0.13148306843182517</x:v>
      </x:c>
      <x:c r="H59" s="413" t="n">
        <x:v>6.84706425755414</x:v>
      </x:c>
      <x:c r="I59" s="407" t="n">
        <x:v>0</x:v>
      </x:c>
      <x:c r="J59" s="407" t="n">
        <x:v>794</x:v>
      </x:c>
      <x:c r="K59" s="407" t="n">
        <x:v>3</x:v>
      </x:c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 t="str">
        <x:v>LightGBM</x:v>
      </x:c>
      <x:c r="B60" s="407" t="str">
        <x:v>缺車</x:v>
      </x:c>
      <x:c r="C60" s="407" t="str">
        <x:v>lgb_03</x:v>
      </x:c>
      <x:c r="D60" s="407" t="n">
        <x:v>3</x:v>
      </x:c>
      <x:c r="E60" s="411" t="n">
        <x:v>0.21401817669814807</x:v>
      </x:c>
      <x:c r="F60" s="411" t="n">
        <x:v>0.07272563947198211</x:v>
      </x:c>
      <x:c r="G60" s="411" t="n">
        <x:v>0.1301241950161418</x:v>
      </x:c>
      <x:c r="H60" s="413" t="n">
        <x:v>6.833584379131865</x:v>
      </x:c>
      <x:c r="I60" s="407" t="n">
        <x:v>0</x:v>
      </x:c>
      <x:c r="J60" s="407" t="n">
        <x:v>799</x:v>
      </x:c>
      <x:c r="K60" s="407" t="n">
        <x:v>4</x:v>
      </x:c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 t="str">
        <x:v>LightGBM</x:v>
      </x:c>
      <x:c r="B61" s="407" t="str">
        <x:v>缺車</x:v>
      </x:c>
      <x:c r="C61" s="407" t="str">
        <x:v>lgb_02</x:v>
      </x:c>
      <x:c r="D61" s="407" t="n">
        <x:v>3</x:v>
      </x:c>
      <x:c r="E61" s="411" t="n">
        <x:v>0.2109295147793263</x:v>
      </x:c>
      <x:c r="F61" s="411" t="n">
        <x:v>0.06709845165390056</x:v>
      </x:c>
      <x:c r="G61" s="411" t="n">
        <x:v>0.13345827637246463</x:v>
      </x:c>
      <x:c r="H61" s="413" t="n">
        <x:v>6.761286765388763</x:v>
      </x:c>
      <x:c r="I61" s="407" t="n">
        <x:v>1</x:v>
      </x:c>
      <x:c r="J61" s="407" t="n">
        <x:v>799</x:v>
      </x:c>
      <x:c r="K61" s="407" t="n">
        <x:v>5</x:v>
      </x:c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 t="str">
        <x:v>LightGBM</x:v>
      </x:c>
      <x:c r="B62" s="407" t="str">
        <x:v>缺車</x:v>
      </x:c>
      <x:c r="C62" s="407" t="str">
        <x:v>lgb_05</x:v>
      </x:c>
      <x:c r="D62" s="407" t="n">
        <x:v>3</x:v>
      </x:c>
      <x:c r="E62" s="411" t="n">
        <x:v>0.2109239364731316</x:v>
      </x:c>
      <x:c r="F62" s="411" t="n">
        <x:v>0.06881284248927443</x:v>
      </x:c>
      <x:c r="G62" s="411" t="n">
        <x:v>0.13151833879012007</x:v>
      </x:c>
      <x:c r="H62" s="413" t="n">
        <x:v>6.751456478125047</x:v>
      </x:c>
      <x:c r="I62" s="407" t="n">
        <x:v>0</x:v>
      </x:c>
      <x:c r="J62" s="407" t="n">
        <x:v>799</x:v>
      </x:c>
      <x:c r="K62" s="407" t="n">
        <x:v>6</x:v>
      </x:c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 t="str">
        <x:v>LightGBM</x:v>
      </x:c>
      <x:c r="B63" s="407" t="str">
        <x:v>滿柱</x:v>
      </x:c>
      <x:c r="C63" s="407" t="str">
        <x:v>lgb_05</x:v>
      </x:c>
      <x:c r="D63" s="407" t="n">
        <x:v>3</x:v>
      </x:c>
      <x:c r="E63" s="411" t="n">
        <x:v>0.1240119322699589</x:v>
      </x:c>
      <x:c r="F63" s="411" t="n">
        <x:v>0.027645551762976443</x:v>
      </x:c>
      <x:c r="G63" s="411" t="n">
        <x:v>0.09211515972844485</x:v>
      </x:c>
      <x:c r="H63" s="413" t="n">
        <x:v>20.427974140124473</x:v>
      </x:c>
      <x:c r="I63" s="407" t="n">
        <x:v>2</x:v>
      </x:c>
      <x:c r="J63" s="407" t="n">
        <x:v>546</x:v>
      </x:c>
      <x:c r="K63" s="407" t="n">
        <x:v>1</x:v>
      </x:c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 t="str">
        <x:v>LightGBM</x:v>
      </x:c>
      <x:c r="B64" s="407" t="str">
        <x:v>滿柱</x:v>
      </x:c>
      <x:c r="C64" s="407" t="str">
        <x:v>lgb_04</x:v>
      </x:c>
      <x:c r="D64" s="407" t="n">
        <x:v>3</x:v>
      </x:c>
      <x:c r="E64" s="411" t="n">
        <x:v>0.12117231914951783</x:v>
      </x:c>
      <x:c r="F64" s="411" t="n">
        <x:v>0.027860344418892458</x:v>
      </x:c>
      <x:c r="G64" s="411" t="n">
        <x:v>0.0890246838637288</x:v>
      </x:c>
      <x:c r="H64" s="413" t="n">
        <x:v>19.946212194258514</x:v>
      </x:c>
      <x:c r="I64" s="407" t="n">
        <x:v>0</x:v>
      </x:c>
      <x:c r="J64" s="407" t="n">
        <x:v>106</x:v>
      </x:c>
      <x:c r="K64" s="407" t="n">
        <x:v>2</x:v>
      </x:c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 t="str">
        <x:v>LightGBM</x:v>
      </x:c>
      <x:c r="B65" s="407" t="str">
        <x:v>滿柱</x:v>
      </x:c>
      <x:c r="C65" s="407" t="str">
        <x:v>lgb_01</x:v>
      </x:c>
      <x:c r="D65" s="407" t="n">
        <x:v>3</x:v>
      </x:c>
      <x:c r="E65" s="411" t="n">
        <x:v>0.12098012344574145</x:v>
      </x:c>
      <x:c r="F65" s="411" t="n">
        <x:v>0.030067598523718046</x:v>
      </x:c>
      <x:c r="G65" s="411" t="n">
        <x:v>0.08655592539771263</x:v>
      </x:c>
      <x:c r="H65" s="413" t="n">
        <x:v>19.88622443040359</x:v>
      </x:c>
      <x:c r="I65" s="407" t="n">
        <x:v>1</x:v>
      </x:c>
      <x:c r="J65" s="407" t="n">
        <x:v>227</x:v>
      </x:c>
      <x:c r="K65" s="407" t="n">
        <x:v>3</x:v>
      </x:c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 t="str">
        <x:v>LightGBM</x:v>
      </x:c>
      <x:c r="B66" s="407" t="str">
        <x:v>滿柱</x:v>
      </x:c>
      <x:c r="C66" s="407" t="str">
        <x:v>lgb_03</x:v>
      </x:c>
      <x:c r="D66" s="407" t="n">
        <x:v>3</x:v>
      </x:c>
      <x:c r="E66" s="411" t="n">
        <x:v>0.11806478110169001</x:v>
      </x:c>
      <x:c r="F66" s="411" t="n">
        <x:v>0.0250173611467206</x:v>
      </x:c>
      <x:c r="G66" s="411" t="n">
        <x:v>0.08927143206082461</x:v>
      </x:c>
      <x:c r="H66" s="413" t="n">
        <x:v>19.46561828710563</x:v>
      </x:c>
      <x:c r="I66" s="407" t="n">
        <x:v>0</x:v>
      </x:c>
      <x:c r="J66" s="407" t="n">
        <x:v>74</x:v>
      </x:c>
      <x:c r="K66" s="407" t="n">
        <x:v>4</x:v>
      </x:c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 t="str">
        <x:v>LightGBM</x:v>
      </x:c>
      <x:c r="B67" s="407" t="str">
        <x:v>滿柱</x:v>
      </x:c>
      <x:c r="C67" s="407" t="str">
        <x:v>lgb_06</x:v>
      </x:c>
      <x:c r="D67" s="407" t="n">
        <x:v>3</x:v>
      </x:c>
      <x:c r="E67" s="411" t="n">
        <x:v>0.11690447539295246</x:v>
      </x:c>
      <x:c r="F67" s="411" t="n">
        <x:v>0.025426769858718216</x:v>
      </x:c>
      <x:c r="G67" s="411" t="n">
        <x:v>0.08759691191077719</x:v>
      </x:c>
      <x:c r="H67" s="413" t="n">
        <x:v>19.268805812739835</x:v>
      </x:c>
      <x:c r="I67" s="407" t="n">
        <x:v>0</x:v>
      </x:c>
      <x:c r="J67" s="407" t="n">
        <x:v>135</x:v>
      </x:c>
      <x:c r="K67" s="407" t="n">
        <x:v>5</x:v>
      </x:c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 t="str">
        <x:v>LightGBM</x:v>
      </x:c>
      <x:c r="B68" s="407" t="str">
        <x:v>滿柱</x:v>
      </x:c>
      <x:c r="C68" s="407" t="str">
        <x:v>lgb_02</x:v>
      </x:c>
      <x:c r="D68" s="407" t="n">
        <x:v>3</x:v>
      </x:c>
      <x:c r="E68" s="411" t="n">
        <x:v>0.113366889334329</x:v>
      </x:c>
      <x:c r="F68" s="411" t="n">
        <x:v>0.02693981773902754</x:v>
      </x:c>
      <x:c r="G68" s="411" t="n">
        <x:v>0.08231417634161493</x:v>
      </x:c>
      <x:c r="H68" s="413" t="n">
        <x:v>18.643227214326746</x:v>
      </x:c>
      <x:c r="I68" s="407" t="n">
        <x:v>0</x:v>
      </x:c>
      <x:c r="J68" s="407" t="n">
        <x:v>80</x:v>
      </x:c>
      <x:c r="K68" s="407" t="n">
        <x:v>6</x:v>
      </x:c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 t="str">
        <x:v>XGBoost</x:v>
      </x:c>
      <x:c r="B69" s="407" t="str">
        <x:v>缺車</x:v>
      </x:c>
      <x:c r="C69" s="407" t="str">
        <x:v>xgb_04</x:v>
      </x:c>
      <x:c r="D69" s="407" t="n">
        <x:v>3</x:v>
      </x:c>
      <x:c r="E69" s="411" t="n">
        <x:v>0.21504384506343174</x:v>
      </x:c>
      <x:c r="F69" s="411" t="n">
        <x:v>0.07128228868998555</x:v>
      </x:c>
      <x:c r="G69" s="411" t="n">
        <x:v>0.13288583187680275</x:v>
      </x:c>
      <x:c r="H69" s="413" t="n">
        <x:v>6.87747940102697</x:v>
      </x:c>
      <x:c r="I69" s="407" t="n">
        <x:v>2</x:v>
      </x:c>
      <x:c r="J69" s="407" t="n">
        <x:v>797</x:v>
      </x:c>
      <x:c r="K69" s="407" t="n">
        <x:v>1</x:v>
      </x:c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 t="str">
        <x:v>XGBoost</x:v>
      </x:c>
      <x:c r="B70" s="407" t="str">
        <x:v>缺車</x:v>
      </x:c>
      <x:c r="C70" s="407" t="str">
        <x:v>xgb_05</x:v>
      </x:c>
      <x:c r="D70" s="407" t="n">
        <x:v>3</x:v>
      </x:c>
      <x:c r="E70" s="411" t="n">
        <x:v>0.21302209104635883</x:v>
      </x:c>
      <x:c r="F70" s="411" t="n">
        <x:v>0.06660113955491281</x:v>
      </x:c>
      <x:c r="G70" s="411" t="n">
        <x:v>0.13617695810703476</x:v>
      </x:c>
      <x:c r="H70" s="413" t="n">
        <x:v>6.835801186975099</x:v>
      </x:c>
      <x:c r="I70" s="407" t="n">
        <x:v>1</x:v>
      </x:c>
      <x:c r="J70" s="407" t="n">
        <x:v>800</x:v>
      </x:c>
      <x:c r="K70" s="407" t="n">
        <x:v>2</x:v>
      </x:c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 t="str">
        <x:v>XGBoost</x:v>
      </x:c>
      <x:c r="B71" s="407" t="str">
        <x:v>缺車</x:v>
      </x:c>
      <x:c r="C71" s="407" t="str">
        <x:v>xgb_06</x:v>
      </x:c>
      <x:c r="D71" s="407" t="n">
        <x:v>3</x:v>
      </x:c>
      <x:c r="E71" s="411" t="n">
        <x:v>0.2128835161352145</x:v>
      </x:c>
      <x:c r="F71" s="411" t="n">
        <x:v>0.0686530310339459</x:v>
      </x:c>
      <x:c r="G71" s="411" t="n">
        <x:v>0.13366955098270988</x:v>
      </x:c>
      <x:c r="H71" s="413" t="n">
        <x:v>6.818967118982234</x:v>
      </x:c>
      <x:c r="I71" s="407" t="n">
        <x:v>0</x:v>
      </x:c>
      <x:c r="J71" s="407" t="n">
        <x:v>798</x:v>
      </x:c>
      <x:c r="K71" s="407" t="n">
        <x:v>3</x:v>
      </x:c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 t="str">
        <x:v>XGBoost</x:v>
      </x:c>
      <x:c r="B72" s="407" t="str">
        <x:v>缺車</x:v>
      </x:c>
      <x:c r="C72" s="407" t="str">
        <x:v>xgb_03</x:v>
      </x:c>
      <x:c r="D72" s="407" t="n">
        <x:v>3</x:v>
      </x:c>
      <x:c r="E72" s="411" t="n">
        <x:v>0.21282718343299886</x:v>
      </x:c>
      <x:c r="F72" s="411" t="n">
        <x:v>0.06930008236360904</x:v>
      </x:c>
      <x:c r="G72" s="411" t="n">
        <x:v>0.1329153729926803</x:v>
      </x:c>
      <x:c r="H72" s="413" t="n">
        <x:v>6.813643361269368</x:v>
      </x:c>
      <x:c r="I72" s="407" t="n">
        <x:v>0</x:v>
      </x:c>
      <x:c r="J72" s="407" t="n">
        <x:v>800</x:v>
      </x:c>
      <x:c r="K72" s="407" t="n">
        <x:v>4</x:v>
      </x:c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 t="str">
        <x:v>XGBoost</x:v>
      </x:c>
      <x:c r="B73" s="407" t="str">
        <x:v>缺車</x:v>
      </x:c>
      <x:c r="C73" s="407" t="str">
        <x:v>xgb_01</x:v>
      </x:c>
      <x:c r="D73" s="407" t="n">
        <x:v>3</x:v>
      </x:c>
      <x:c r="E73" s="411" t="n">
        <x:v>0.21279801919035024</x:v>
      </x:c>
      <x:c r="F73" s="411" t="n">
        <x:v>0.06873599393990273</x:v>
      </x:c>
      <x:c r="G73" s="411" t="n">
        <x:v>0.13351651098133044</x:v>
      </x:c>
      <x:c r="H73" s="413" t="n">
        <x:v>6.8158181305018095</x:v>
      </x:c>
      <x:c r="I73" s="407" t="n">
        <x:v>0</x:v>
      </x:c>
      <x:c r="J73" s="407" t="n">
        <x:v>798</x:v>
      </x:c>
      <x:c r="K73" s="407" t="n">
        <x:v>5</x:v>
      </x:c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 t="str">
        <x:v>XGBoost</x:v>
      </x:c>
      <x:c r="B74" s="407" t="str">
        <x:v>缺車</x:v>
      </x:c>
      <x:c r="C74" s="407" t="str">
        <x:v>xgb_02</x:v>
      </x:c>
      <x:c r="D74" s="407" t="n">
        <x:v>3</x:v>
      </x:c>
      <x:c r="E74" s="411" t="n">
        <x:v>0.20929426751560995</x:v>
      </x:c>
      <x:c r="F74" s="411" t="n">
        <x:v>0.06345778307354019</x:v>
      </x:c>
      <x:c r="G74" s="411" t="n">
        <x:v>0.1360712464762248</x:v>
      </x:c>
      <x:c r="H74" s="413" t="n">
        <x:v>6.727816158056394</x:v>
      </x:c>
      <x:c r="I74" s="407" t="n">
        <x:v>0</x:v>
      </x:c>
      <x:c r="J74" s="407" t="n">
        <x:v>800</x:v>
      </x:c>
      <x:c r="K74" s="407" t="n">
        <x:v>6</x:v>
      </x:c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 t="str">
        <x:v>XGBoost</x:v>
      </x:c>
      <x:c r="B75" s="407" t="str">
        <x:v>滿柱</x:v>
      </x:c>
      <x:c r="C75" s="407" t="str">
        <x:v>xgb_05</x:v>
      </x:c>
      <x:c r="D75" s="407" t="n">
        <x:v>3</x:v>
      </x:c>
      <x:c r="E75" s="411" t="n">
        <x:v>0.12446655719638045</x:v>
      </x:c>
      <x:c r="F75" s="411" t="n">
        <x:v>0.025574509918223295</x:v>
      </x:c>
      <x:c r="G75" s="411" t="n">
        <x:v>0.09514206538773447</x:v>
      </x:c>
      <x:c r="H75" s="413" t="n">
        <x:v>20.54424377983455</x:v>
      </x:c>
      <x:c r="I75" s="407" t="n">
        <x:v>2</x:v>
      </x:c>
      <x:c r="J75" s="407" t="n">
        <x:v>752</x:v>
      </x:c>
      <x:c r="K75" s="407" t="n">
        <x:v>1</x:v>
      </x:c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 t="str">
        <x:v>XGBoost</x:v>
      </x:c>
      <x:c r="B76" s="407" t="str">
        <x:v>滿柱</x:v>
      </x:c>
      <x:c r="C76" s="407" t="str">
        <x:v>xgb_04</x:v>
      </x:c>
      <x:c r="D76" s="407" t="n">
        <x:v>3</x:v>
      </x:c>
      <x:c r="E76" s="411" t="n">
        <x:v>0.1204999527415293</x:v>
      </x:c>
      <x:c r="F76" s="411" t="n">
        <x:v>0.0282636266394643</x:v>
      </x:c>
      <x:c r="G76" s="411" t="n">
        <x:v>0.08790614718222187</x:v>
      </x:c>
      <x:c r="H76" s="413" t="n">
        <x:v>19.82255967879922</x:v>
      </x:c>
      <x:c r="I76" s="407" t="n">
        <x:v>1</x:v>
      </x:c>
      <x:c r="J76" s="407" t="n">
        <x:v>119</x:v>
      </x:c>
      <x:c r="K76" s="407" t="n">
        <x:v>2</x:v>
      </x:c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 t="str">
        <x:v>XGBoost</x:v>
      </x:c>
      <x:c r="B77" s="407" t="str">
        <x:v>滿柱</x:v>
      </x:c>
      <x:c r="C77" s="407" t="str">
        <x:v>xgb_01</x:v>
      </x:c>
      <x:c r="D77" s="407" t="n">
        <x:v>3</x:v>
      </x:c>
      <x:c r="E77" s="411" t="n">
        <x:v>0.115013154035303</x:v>
      </x:c>
      <x:c r="F77" s="411" t="n">
        <x:v>0.0284616212348217</x:v>
      </x:c>
      <x:c r="G77" s="411" t="n">
        <x:v>0.08217835970807001</x:v>
      </x:c>
      <x:c r="H77" s="413" t="n">
        <x:v>18.89570713661453</x:v>
      </x:c>
      <x:c r="I77" s="407" t="n">
        <x:v>0</x:v>
      </x:c>
      <x:c r="J77" s="407" t="n">
        <x:v>68</x:v>
      </x:c>
      <x:c r="K77" s="407" t="n">
        <x:v>3</x:v>
      </x:c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 t="str">
        <x:v>XGBoost</x:v>
      </x:c>
      <x:c r="B78" s="407" t="str">
        <x:v>滿柱</x:v>
      </x:c>
      <x:c r="C78" s="407" t="str">
        <x:v>xgb_06</x:v>
      </x:c>
      <x:c r="D78" s="407" t="n">
        <x:v>3</x:v>
      </x:c>
      <x:c r="E78" s="411" t="n">
        <x:v>0.11415678373684986</x:v>
      </x:c>
      <x:c r="F78" s="411" t="n">
        <x:v>0.02992793085827802</x:v>
      </x:c>
      <x:c r="G78" s="411" t="n">
        <x:v>0.07959903471491853</x:v>
      </x:c>
      <x:c r="H78" s="413" t="n">
        <x:v>18.729118508952364</x:v>
      </x:c>
      <x:c r="I78" s="407" t="n">
        <x:v>0</x:v>
      </x:c>
      <x:c r="J78" s="407" t="n">
        <x:v>482</x:v>
      </x:c>
      <x:c r="K78" s="407" t="n">
        <x:v>4</x:v>
      </x:c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 t="str">
        <x:v>XGBoost</x:v>
      </x:c>
      <x:c r="B79" s="407" t="str">
        <x:v>滿柱</x:v>
      </x:c>
      <x:c r="C79" s="407" t="str">
        <x:v>xgb_03</x:v>
      </x:c>
      <x:c r="D79" s="407" t="n">
        <x:v>3</x:v>
      </x:c>
      <x:c r="E79" s="411" t="n">
        <x:v>0.11187963429428811</x:v>
      </x:c>
      <x:c r="F79" s="411" t="n">
        <x:v>0.026440862117673363</x:v>
      </x:c>
      <x:c r="G79" s="411" t="n">
        <x:v>0.08139222156384106</x:v>
      </x:c>
      <x:c r="H79" s="413" t="n">
        <x:v>18.405839193904303</x:v>
      </x:c>
      <x:c r="I79" s="407" t="n">
        <x:v>0</x:v>
      </x:c>
      <x:c r="J79" s="407" t="n">
        <x:v>83</x:v>
      </x:c>
      <x:c r="K79" s="407" t="n">
        <x:v>5</x:v>
      </x:c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 t="str">
        <x:v>XGBoost</x:v>
      </x:c>
      <x:c r="B80" s="407" t="str">
        <x:v>滿柱</x:v>
      </x:c>
      <x:c r="C80" s="407" t="str">
        <x:v>xgb_02</x:v>
      </x:c>
      <x:c r="D80" s="407" t="n">
        <x:v>3</x:v>
      </x:c>
      <x:c r="E80" s="411" t="n">
        <x:v>0.10686049360648771</x:v>
      </x:c>
      <x:c r="F80" s="411" t="n">
        <x:v>0.023759785674762522</x:v>
      </x:c>
      <x:c r="G80" s="411" t="n">
        <x:v>0.07945346953344831</x:v>
      </x:c>
      <x:c r="H80" s="413" t="n">
        <x:v>17.604012498527805</x:v>
      </x:c>
      <x:c r="I80" s="407" t="n">
        <x:v>0</x:v>
      </x:c>
      <x:c r="J80" s="407" t="n">
        <x:v>81</x:v>
      </x:c>
      <x:c r="K80" s="407" t="n">
        <x:v>6</x:v>
      </x:c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N2"/>
    <x:mergeCell ref="A3:N3"/>
    <x:mergeCell ref="A15:D25"/>
  </x:mergeCells>
  <x:pageMargins left="0.7" right="0.7" top="0.75" bottom="0.75" header="0.3" footer="0.3"/>
  <x:drawing xmlns:r="http://schemas.openxmlformats.org/officeDocument/2006/relationships" r:id="R541c0c3f03f74941"/>
  <x:tableParts count="3">
    <x:tablePart xmlns:r="http://schemas.openxmlformats.org/officeDocument/2006/relationships" r:id="R120d8cda26ab42cc"/>
    <x:tablePart xmlns:r="http://schemas.openxmlformats.org/officeDocument/2006/relationships" r:id="R6d036cc68f234b62"/>
    <x:tablePart xmlns:r="http://schemas.openxmlformats.org/officeDocument/2006/relationships" r:id="R1250a90fba6845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 ht="29" customHeight="1">
      <x:c r="A1" s="4" t="str">
        <x:v>五月21–31日凍結模型比較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07"/>
    </x:row>
    <x:row r="3" ht="31" customHeight="1">
      <x:c r="A3" s="8" t="str">
        <x:v>同一批219,578個尖峰站點—時點；PR-AUC為主排序指標，F2使用先前期間預選的門檻。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事件</x:v>
      </x:c>
      <x:c r="B5" s="52" t="str">
        <x:v>方法</x:v>
      </x:c>
      <x:c r="C5" s="52" t="str">
        <x:v>實際來源</x:v>
      </x:c>
      <x:c r="D5" s="52" t="str">
        <x:v>觀測</x:v>
      </x:c>
      <x:c r="E5" s="52" t="str">
        <x:v>正例</x:v>
      </x:c>
      <x:c r="F5" s="52" t="str">
        <x:v>正例率</x:v>
      </x:c>
      <x:c r="G5" s="52" t="str">
        <x:v>PR-AUC</x:v>
      </x:c>
      <x:c r="H5" s="52" t="str">
        <x:v>Lift</x:v>
      </x:c>
      <x:c r="I5" s="52" t="str">
        <x:v>ROC-AUC</x:v>
      </x:c>
      <x:c r="J5" s="52" t="str">
        <x:v>Brier</x:v>
      </x:c>
      <x:c r="K5" s="52" t="str">
        <x:v>Brier Skill</x:v>
      </x:c>
      <x:c r="L5" s="52" t="str">
        <x:v>Log Loss</x:v>
      </x:c>
      <x:c r="M5" s="52" t="str">
        <x:v>ECE</x:v>
      </x:c>
      <x:c r="N5" s="52" t="str">
        <x:v>F2門檻</x:v>
      </x:c>
      <x:c r="O5" s="52" t="str">
        <x:v>Precision</x:v>
      </x:c>
      <x:c r="P5" s="52" t="str">
        <x:v>Recall</x:v>
      </x:c>
      <x:c r="Q5" s="53" t="str">
        <x:v>F2</x:v>
      </x:c>
      <x:c r="R5" s="407"/>
      <x:c r="S5" s="407"/>
      <x:c r="T5" s="51" t="str">
        <x:v>缺車方法</x:v>
      </x:c>
      <x:c r="U5" s="53" t="str">
        <x:v>PR-AUC</x:v>
      </x:c>
      <x:c r="V5" s="407"/>
      <x:c r="W5" s="407"/>
      <x:c r="X5" s="51" t="str">
        <x:v>滿柱方法</x:v>
      </x:c>
      <x:c r="Y5" s="53" t="str">
        <x:v>PR-AUC</x:v>
      </x:c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str">
        <x:v>缺車</x:v>
      </x:c>
      <x:c r="B6" s="407" t="str">
        <x:v>比例規則</x:v>
      </x:c>
      <x:c r="C6" s="407" t="str">
        <x:v>比例規則</x:v>
      </x:c>
      <x:c r="D6" s="408" t="n">
        <x:v>219578</x:v>
      </x:c>
      <x:c r="E6" s="408" t="n">
        <x:v>8854</x:v>
      </x:c>
      <x:c r="F6" s="410" t="n">
        <x:v>0.04032280100920857</x:v>
      </x:c>
      <x:c r="G6" s="410" t="n">
        <x:v>0.15661068217438615</x:v>
      </x:c>
      <x:c r="H6" s="413" t="n">
        <x:v>3.883923692171602</x:v>
      </x:c>
      <x:c r="I6" s="414" t="n">
        <x:v>0.8210989189091358</x:v>
      </x:c>
      <x:c r="J6" s="411" t="n">
        <x:v>0.036012761294841766</x:v>
      </x:c>
      <x:c r="K6" s="411" t="n">
        <x:v>0.06936248962562253</x:v>
      </x:c>
      <x:c r="L6" s="411" t="n">
        <x:v>0.14258067309856415</x:v>
      </x:c>
      <x:c r="M6" s="411" t="n">
        <x:v>0.006952480661408626</x:v>
      </x:c>
      <x:c r="N6" s="410" t="n">
        <x:v>0.06981483846902847</x:v>
      </x:c>
      <x:c r="O6" s="410" t="n">
        <x:v>0.1365785489693723</x:v>
      </x:c>
      <x:c r="P6" s="410" t="n">
        <x:v>0.6622995256381297</x:v>
      </x:c>
      <x:c r="Q6" s="410" t="n">
        <x:v>0.37421347525877136</x:v>
      </x:c>
      <x:c r="R6" s="407"/>
      <x:c r="S6" s="407"/>
      <x:c r="T6" s="407" t="str">
        <x:f>B6</x:f>
        <x:v>比例規則</x:v>
      </x:c>
      <x:c r="U6" s="410" t="n">
        <x:f>G6</x:f>
        <x:v>0.15661068217438615</x:v>
      </x:c>
      <x:c r="V6" s="407"/>
      <x:c r="W6" s="407"/>
      <x:c r="X6" s="407" t="str">
        <x:f>B13</x:f>
        <x:v>比例規則</x:v>
      </x:c>
      <x:c r="Y6" s="410" t="n">
        <x:f>G13</x:f>
        <x:v>0.06658600953350374</x:v>
      </x:c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str">
        <x:v>缺車</x:v>
      </x:c>
      <x:c r="B7" s="407" t="str">
        <x:v>線性外推</x:v>
      </x:c>
      <x:c r="C7" s="407" t="str">
        <x:v>線性外推</x:v>
      </x:c>
      <x:c r="D7" s="408" t="n">
        <x:v>219578</x:v>
      </x:c>
      <x:c r="E7" s="408" t="n">
        <x:v>8854</x:v>
      </x:c>
      <x:c r="F7" s="410" t="n">
        <x:v>0.04032280100920857</x:v>
      </x:c>
      <x:c r="G7" s="410" t="n">
        <x:v>0.12739390544908227</x:v>
      </x:c>
      <x:c r="H7" s="413" t="n">
        <x:v>3.1593515891911665</x:v>
      </x:c>
      <x:c r="I7" s="414" t="n">
        <x:v>0.7986180509763134</x:v>
      </x:c>
      <x:c r="J7" s="411" t="n">
        <x:v>0.03752152994275093</x:v>
      </x:c>
      <x:c r="K7" s="411" t="n">
        <x:v>0.03037306899426928</x:v>
      </x:c>
      <x:c r="L7" s="411" t="n">
        <x:v>0.14990073442459106</x:v>
      </x:c>
      <x:c r="M7" s="411" t="n">
        <x:v>0.009968644345813883</x:v>
      </x:c>
      <x:c r="N7" s="410" t="n">
        <x:v>0.050914328545331955</x:v>
      </x:c>
      <x:c r="O7" s="410" t="n">
        <x:v>0.12450112971683172</x:v>
      </x:c>
      <x:c r="P7" s="410" t="n">
        <x:v>0.6659137113169189</x:v>
      </x:c>
      <x:c r="Q7" s="410" t="n">
        <x:v>0.3561547847728124</x:v>
      </x:c>
      <x:c r="R7" s="407"/>
      <x:c r="S7" s="407"/>
      <x:c r="T7" s="407" t="str">
        <x:f>B7</x:f>
        <x:v>線性外推</x:v>
      </x:c>
      <x:c r="U7" s="410" t="n">
        <x:f>G7</x:f>
        <x:v>0.12739390544908227</x:v>
      </x:c>
      <x:c r="V7" s="407"/>
      <x:c r="W7" s="407"/>
      <x:c r="X7" s="407" t="str">
        <x:f>B14</x:f>
        <x:v>線性外推</x:v>
      </x:c>
      <x:c r="Y7" s="410" t="n">
        <x:f>G14</x:f>
        <x:v>0.053647671876592674</x:v>
      </x:c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 t="str">
        <x:v>缺車</x:v>
      </x:c>
      <x:c r="B8" s="407" t="str">
        <x:v>Logistic</x:v>
      </x:c>
      <x:c r="C8" s="407" t="str">
        <x:v>Logistic</x:v>
      </x:c>
      <x:c r="D8" s="408" t="n">
        <x:v>219578</x:v>
      </x:c>
      <x:c r="E8" s="408" t="n">
        <x:v>8854</x:v>
      </x:c>
      <x:c r="F8" s="410" t="n">
        <x:v>0.04032280100920857</x:v>
      </x:c>
      <x:c r="G8" s="410" t="n">
        <x:v>0.1902829307063911</x:v>
      </x:c>
      <x:c r="H8" s="413" t="n">
        <x:v>4.718990892099384</x:v>
      </x:c>
      <x:c r="I8" s="414" t="n">
        <x:v>0.8491549618920708</x:v>
      </x:c>
      <x:c r="J8" s="411" t="n">
        <x:v>0.03511064127087593</x:v>
      </x:c>
      <x:c r="K8" s="411" t="n">
        <x:v>0.09267496839638234</x:v>
      </x:c>
      <x:c r="L8" s="411" t="n">
        <x:v>0.13569413125514984</x:v>
      </x:c>
      <x:c r="M8" s="411" t="n">
        <x:v>0.0041807719432284465</x:v>
      </x:c>
      <x:c r="N8" s="410" t="n">
        <x:v>0.0745374698638916</x:v>
      </x:c>
      <x:c r="O8" s="410" t="n">
        <x:v>0.1560569157800282</x:v>
      </x:c>
      <x:c r="P8" s="410" t="n">
        <x:v>0.6874858820871922</x:v>
      </x:c>
      <x:c r="Q8" s="410" t="n">
        <x:v>0.40895714919176035</x:v>
      </x:c>
      <x:c r="R8" s="407"/>
      <x:c r="S8" s="407"/>
      <x:c r="T8" s="407" t="str">
        <x:f>B8</x:f>
        <x:v>Logistic</x:v>
      </x:c>
      <x:c r="U8" s="410" t="n">
        <x:f>G8</x:f>
        <x:v>0.1902829307063911</x:v>
      </x:c>
      <x:c r="V8" s="407"/>
      <x:c r="W8" s="407"/>
      <x:c r="X8" s="407" t="str">
        <x:f>B15</x:f>
        <x:v>Logistic</x:v>
      </x:c>
      <x:c r="Y8" s="410" t="n">
        <x:f>G15</x:f>
        <x:v>0.09024861575408333</x:v>
      </x:c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 t="str">
        <x:v>缺車</x:v>
      </x:c>
      <x:c r="B9" s="407" t="str">
        <x:v>LightGBM 舊版</x:v>
      </x:c>
      <x:c r="C9" s="407" t="str">
        <x:v>LightGBM 舊版</x:v>
      </x:c>
      <x:c r="D9" s="408" t="n">
        <x:v>219578</x:v>
      </x:c>
      <x:c r="E9" s="408" t="n">
        <x:v>8854</x:v>
      </x:c>
      <x:c r="F9" s="410" t="n">
        <x:v>0.04032280100920857</x:v>
      </x:c>
      <x:c r="G9" s="410" t="n">
        <x:v>0.2688269254525504</x:v>
      </x:c>
      <x:c r="H9" s="413" t="n">
        <x:v>6.666871316582348</x:v>
      </x:c>
      <x:c r="I9" s="414" t="n">
        <x:v>0.897488852656197</x:v>
      </x:c>
      <x:c r="J9" s="411" t="n">
        <x:v>0.03308454155921936</x:v>
      </x:c>
      <x:c r="K9" s="411" t="n">
        <x:v>0.14503319708062345</x:v>
      </x:c>
      <x:c r="L9" s="411" t="n">
        <x:v>0.1204943135380745</x:v>
      </x:c>
      <x:c r="M9" s="411" t="n">
        <x:v>0.004055948399569006</x:v>
      </x:c>
      <x:c r="N9" s="410" t="n">
        <x:v>0.0815093592703341</x:v>
      </x:c>
      <x:c r="O9" s="410" t="n">
        <x:v>0.2015643201863871</x:v>
      </x:c>
      <x:c r="P9" s="410" t="n">
        <x:v>0.6839846397108651</x:v>
      </x:c>
      <x:c r="Q9" s="410" t="n">
        <x:v>0.46256549701348887</x:v>
      </x:c>
      <x:c r="R9" s="407"/>
      <x:c r="S9" s="407"/>
      <x:c r="T9" s="407" t="str">
        <x:f>B9</x:f>
        <x:v>LightGBM 舊版</x:v>
      </x:c>
      <x:c r="U9" s="410" t="n">
        <x:f>G9</x:f>
        <x:v>0.2688269254525504</x:v>
      </x:c>
      <x:c r="V9" s="407"/>
      <x:c r="W9" s="407"/>
      <x:c r="X9" s="407" t="str">
        <x:f>B16</x:f>
        <x:v>LightGBM 舊版</x:v>
      </x:c>
      <x:c r="Y9" s="410" t="n">
        <x:f>G16</x:f>
        <x:v>0.1622078093051194</x:v>
      </x:c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 t="str">
        <x:v>缺車</x:v>
      </x:c>
      <x:c r="B10" s="407" t="str">
        <x:v>LightGBM 正式調參</x:v>
      </x:c>
      <x:c r="C10" s="407" t="str">
        <x:v>LightGBM 正式調參</x:v>
      </x:c>
      <x:c r="D10" s="408" t="n">
        <x:v>219578</x:v>
      </x:c>
      <x:c r="E10" s="408" t="n">
        <x:v>8854</x:v>
      </x:c>
      <x:c r="F10" s="410" t="n">
        <x:v>0.04032280100920857</x:v>
      </x:c>
      <x:c r="G10" s="410" t="n">
        <x:v>0.2708344249237615</x:v>
      </x:c>
      <x:c r="H10" s="413" t="n">
        <x:v>6.716657031388039</x:v>
      </x:c>
      <x:c r="I10" s="414" t="n">
        <x:v>0.898793041649342</x:v>
      </x:c>
      <x:c r="J10" s="411" t="n">
        <x:v>0.03301335126161575</x:v>
      </x:c>
      <x:c r="K10" s="411" t="n">
        <x:v>0.14687288831624445</x:v>
      </x:c>
      <x:c r="L10" s="411" t="n">
        <x:v>0.11996667087078094</x:v>
      </x:c>
      <x:c r="M10" s="411" t="n">
        <x:v>0.003780076709415884</x:v>
      </x:c>
      <x:c r="N10" s="410" t="n">
        <x:v>0.08395294278860092</x:v>
      </x:c>
      <x:c r="O10" s="410" t="n">
        <x:v>0.20365614651618572</x:v>
      </x:c>
      <x:c r="P10" s="410" t="n">
        <x:v>0.6807092839394624</x:v>
      </x:c>
      <x:c r="Q10" s="410" t="n">
        <x:v>0.463544070143055</x:v>
      </x:c>
      <x:c r="R10" s="407"/>
      <x:c r="S10" s="407"/>
      <x:c r="T10" s="407" t="str">
        <x:f>B10</x:f>
        <x:v>LightGBM 正式調參</x:v>
      </x:c>
      <x:c r="U10" s="410" t="n">
        <x:f>G10</x:f>
        <x:v>0.2708344249237615</x:v>
      </x:c>
      <x:c r="V10" s="407"/>
      <x:c r="W10" s="407"/>
      <x:c r="X10" s="407" t="str">
        <x:f>B17</x:f>
        <x:v>LightGBM 正式調參</x:v>
      </x:c>
      <x:c r="Y10" s="410" t="n">
        <x:f>G17</x:f>
        <x:v>0.16057470158312828</x:v>
      </x:c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str">
        <x:v>缺車</x:v>
      </x:c>
      <x:c r="B11" s="407" t="str">
        <x:v>XGBoost 正式調參</x:v>
      </x:c>
      <x:c r="C11" s="407" t="str">
        <x:v>XGBoost 正式調參</x:v>
      </x:c>
      <x:c r="D11" s="408" t="n">
        <x:v>219578</x:v>
      </x:c>
      <x:c r="E11" s="408" t="n">
        <x:v>8854</x:v>
      </x:c>
      <x:c r="F11" s="410" t="n">
        <x:v>0.04032280100920857</x:v>
      </x:c>
      <x:c r="G11" s="410" t="n">
        <x:v>0.26972590493091314</x:v>
      </x:c>
      <x:c r="H11" s="413" t="n">
        <x:v>6.689165885805291</x:v>
      </x:c>
      <x:c r="I11" s="414" t="n">
        <x:v>0.8991734138253622</x:v>
      </x:c>
      <x:c r="J11" s="411" t="n">
        <x:v>0.033041056245565414</x:v>
      </x:c>
      <x:c r="K11" s="411" t="n">
        <x:v>0.14615693940366925</x:v>
      </x:c>
      <x:c r="L11" s="411" t="n">
        <x:v>0.1199176013469696</x:v>
      </x:c>
      <x:c r="M11" s="411" t="n">
        <x:v>0.003986687342502716</x:v>
      </x:c>
      <x:c r="N11" s="410" t="n">
        <x:v>0.07664588463306425</x:v>
      </x:c>
      <x:c r="O11" s="410" t="n">
        <x:v>0.19658657933683912</x:v>
      </x:c>
      <x:c r="P11" s="410" t="n">
        <x:v>0.7051050372712898</x:v>
      </x:c>
      <x:c r="Q11" s="410" t="n">
        <x:v>0.46469563663972135</x:v>
      </x:c>
      <x:c r="R11" s="407"/>
      <x:c r="S11" s="407"/>
      <x:c r="T11" s="407" t="str">
        <x:f>B11</x:f>
        <x:v>XGBoost 正式調參</x:v>
      </x:c>
      <x:c r="U11" s="410" t="n">
        <x:f>G11</x:f>
        <x:v>0.26972590493091314</x:v>
      </x:c>
      <x:c r="V11" s="407"/>
      <x:c r="W11" s="407"/>
      <x:c r="X11" s="407" t="str">
        <x:f>B18</x:f>
        <x:v>XGBoost 正式調參</x:v>
      </x:c>
      <x:c r="Y11" s="410" t="n">
        <x:f>G18</x:f>
        <x:v>0.15793401495589765</x:v>
      </x:c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str">
        <x:v>缺車</x:v>
      </x:c>
      <x:c r="B12" s="407" t="str">
        <x:v>跨模型混合（CV規則）</x:v>
      </x:c>
      <x:c r="C12" s="407" t="str">
        <x:v>LightGBM 正式調參</x:v>
      </x:c>
      <x:c r="D12" s="408" t="n">
        <x:v>219578</x:v>
      </x:c>
      <x:c r="E12" s="408" t="n">
        <x:v>8854</x:v>
      </x:c>
      <x:c r="F12" s="410" t="n">
        <x:v>0.04032280100920857</x:v>
      </x:c>
      <x:c r="G12" s="410" t="n">
        <x:v>0.2708344249237615</x:v>
      </x:c>
      <x:c r="H12" s="413" t="n">
        <x:v>6.716657031388039</x:v>
      </x:c>
      <x:c r="I12" s="414" t="n">
        <x:v>0.898793041649342</x:v>
      </x:c>
      <x:c r="J12" s="411" t="n">
        <x:v>0.03301335126161575</x:v>
      </x:c>
      <x:c r="K12" s="411" t="n">
        <x:v>0.14687288831624445</x:v>
      </x:c>
      <x:c r="L12" s="411" t="n">
        <x:v>0.11996667087078094</x:v>
      </x:c>
      <x:c r="M12" s="411" t="n">
        <x:v>0.003780076709415884</x:v>
      </x:c>
      <x:c r="N12" s="410" t="n">
        <x:v>0.08395294278860092</x:v>
      </x:c>
      <x:c r="O12" s="410" t="n">
        <x:v>0.20365614651618572</x:v>
      </x:c>
      <x:c r="P12" s="410" t="n">
        <x:v>0.6807092839394624</x:v>
      </x:c>
      <x:c r="Q12" s="410" t="n">
        <x:v>0.463544070143055</x:v>
      </x:c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str">
        <x:v>滿柱</x:v>
      </x:c>
      <x:c r="B13" s="407" t="str">
        <x:v>比例規則</x:v>
      </x:c>
      <x:c r="C13" s="407" t="str">
        <x:v>比例規則</x:v>
      </x:c>
      <x:c r="D13" s="408" t="n">
        <x:v>219578</x:v>
      </x:c>
      <x:c r="E13" s="408" t="n">
        <x:v>1484</x:v>
      </x:c>
      <x:c r="F13" s="410" t="n">
        <x:v>0.006758418420788968</x:v>
      </x:c>
      <x:c r="G13" s="410" t="n">
        <x:v>0.06658600953350374</x:v>
      </x:c>
      <x:c r="H13" s="413" t="n">
        <x:v>9.852306469910838</x:v>
      </x:c>
      <x:c r="I13" s="414" t="n">
        <x:v>0.8824703640486186</x:v>
      </x:c>
      <x:c r="J13" s="411" t="n">
        <x:v>0.006460542790591717</x:v>
      </x:c>
      <x:c r="K13" s="411" t="n">
        <x:v>0.03757025118591051</x:v>
      </x:c>
      <x:c r="L13" s="411" t="n">
        <x:v>0.03207218274474144</x:v>
      </x:c>
      <x:c r="M13" s="411" t="n">
        <x:v>0.0010159957822156514</x:v>
      </x:c>
      <x:c r="N13" s="410" t="n">
        <x:v>0.035735949873924255</x:v>
      </x:c>
      <x:c r="O13" s="410" t="n">
        <x:v>0.0783229670582815</x:v>
      </x:c>
      <x:c r="P13" s="410" t="n">
        <x:v>0.4582210242587601</x:v>
      </x:c>
      <x:c r="Q13" s="410" t="n">
        <x:v>0.23258995758653714</x:v>
      </x:c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滿柱</x:v>
      </x:c>
      <x:c r="B14" s="407" t="str">
        <x:v>線性外推</x:v>
      </x:c>
      <x:c r="C14" s="407" t="str">
        <x:v>線性外推</x:v>
      </x:c>
      <x:c r="D14" s="408" t="n">
        <x:v>219578</x:v>
      </x:c>
      <x:c r="E14" s="408" t="n">
        <x:v>1484</x:v>
      </x:c>
      <x:c r="F14" s="410" t="n">
        <x:v>0.006758418420788968</x:v>
      </x:c>
      <x:c r="G14" s="410" t="n">
        <x:v>0.053647671876592674</x:v>
      </x:c>
      <x:c r="H14" s="413" t="n">
        <x:v>7.937903298732119</x:v>
      </x:c>
      <x:c r="I14" s="414" t="n">
        <x:v>0.8669854024095103</x:v>
      </x:c>
      <x:c r="J14" s="411" t="n">
        <x:v>0.006659248378127813</x:v>
      </x:c>
      <x:c r="K14" s="411" t="n">
        <x:v>0.007968997096421515</x:v>
      </x:c>
      <x:c r="L14" s="411" t="n">
        <x:v>0.03367166593670845</x:v>
      </x:c>
      <x:c r="M14" s="411" t="n">
        <x:v>0.0017021425923194817</x:v>
      </x:c>
      <x:c r="N14" s="410" t="n">
        <x:v>0.019087327644228935</x:v>
      </x:c>
      <x:c r="O14" s="410" t="n">
        <x:v>0.06322949030145268</x:v>
      </x:c>
      <x:c r="P14" s="410" t="n">
        <x:v>0.5074123989218329</x:v>
      </x:c>
      <x:c r="Q14" s="410" t="n">
        <x:v>0.21098346875875595</x:v>
      </x:c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滿柱</x:v>
      </x:c>
      <x:c r="B15" s="407" t="str">
        <x:v>Logistic</x:v>
      </x:c>
      <x:c r="C15" s="407" t="str">
        <x:v>Logistic</x:v>
      </x:c>
      <x:c r="D15" s="408" t="n">
        <x:v>219578</x:v>
      </x:c>
      <x:c r="E15" s="408" t="n">
        <x:v>1484</x:v>
      </x:c>
      <x:c r="F15" s="410" t="n">
        <x:v>0.006758418420788968</x:v>
      </x:c>
      <x:c r="G15" s="410" t="n">
        <x:v>0.09024861575408333</x:v>
      </x:c>
      <x:c r="H15" s="413" t="n">
        <x:v>13.35351115232487</x:v>
      </x:c>
      <x:c r="I15" s="414" t="n">
        <x:v>0.9009649981658048</x:v>
      </x:c>
      <x:c r="J15" s="411" t="n">
        <x:v>0.006417877972126007</x:v>
      </x:c>
      <x:c r="K15" s="411" t="n">
        <x:v>0.043926046952629805</x:v>
      </x:c>
      <x:c r="L15" s="411" t="n">
        <x:v>0.031656358391046524</x:v>
      </x:c>
      <x:c r="M15" s="411" t="n">
        <x:v>0.0021897830667615575</x:v>
      </x:c>
      <x:c r="N15" s="410" t="n">
        <x:v>0.039835772454738606</x:v>
      </x:c>
      <x:c r="O15" s="410" t="n">
        <x:v>0.09660611181523729</x:v>
      </x:c>
      <x:c r="P15" s="410" t="n">
        <x:v>0.46226415094339623</x:v>
      </x:c>
      <x:c r="Q15" s="410" t="n">
        <x:v>0.26309733834471116</x:v>
      </x:c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滿柱</x:v>
      </x:c>
      <x:c r="B16" s="407" t="str">
        <x:v>LightGBM 舊版</x:v>
      </x:c>
      <x:c r="C16" s="407" t="str">
        <x:v>LightGBM 舊版</x:v>
      </x:c>
      <x:c r="D16" s="408" t="n">
        <x:v>219578</x:v>
      </x:c>
      <x:c r="E16" s="408" t="n">
        <x:v>1484</x:v>
      </x:c>
      <x:c r="F16" s="410" t="n">
        <x:v>0.006758418420788968</x:v>
      </x:c>
      <x:c r="G16" s="410" t="n">
        <x:v>0.1622078093051194</x:v>
      </x:c>
      <x:c r="H16" s="413" t="n">
        <x:v>24.00085333665735</x:v>
      </x:c>
      <x:c r="I16" s="414" t="n">
        <x:v>0.9554380879487732</x:v>
      </x:c>
      <x:c r="J16" s="411" t="n">
        <x:v>0.006082968320697546</x:v>
      </x:c>
      <x:c r="K16" s="411" t="n">
        <x:v>0.0938176771371868</x:v>
      </x:c>
      <x:c r="L16" s="411" t="n">
        <x:v>0.025971315801143646</x:v>
      </x:c>
      <x:c r="M16" s="411" t="n">
        <x:v>0.0010392942488518194</x:v>
      </x:c>
      <x:c r="N16" s="410" t="n">
        <x:v>0.04645582824945448</x:v>
      </x:c>
      <x:c r="O16" s="410" t="n">
        <x:v>0.12490922294843863</x:v>
      </x:c>
      <x:c r="P16" s="410" t="n">
        <x:v>0.5795148247978437</x:v>
      </x:c>
      <x:c r="Q16" s="410" t="n">
        <x:v>0.33538725528429914</x:v>
      </x:c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滿柱</x:v>
      </x:c>
      <x:c r="B17" s="407" t="str">
        <x:v>LightGBM 正式調參</x:v>
      </x:c>
      <x:c r="C17" s="407" t="str">
        <x:v>LightGBM 正式調參</x:v>
      </x:c>
      <x:c r="D17" s="408" t="n">
        <x:v>219578</x:v>
      </x:c>
      <x:c r="E17" s="408" t="n">
        <x:v>1484</x:v>
      </x:c>
      <x:c r="F17" s="410" t="n">
        <x:v>0.006758418420788968</x:v>
      </x:c>
      <x:c r="G17" s="410" t="n">
        <x:v>0.16057470158312828</x:v>
      </x:c>
      <x:c r="H17" s="413" t="n">
        <x:v>23.75921281955535</x:v>
      </x:c>
      <x:c r="I17" s="414" t="n">
        <x:v>0.9548985894383136</x:v>
      </x:c>
      <x:c r="J17" s="411" t="n">
        <x:v>0.006084959954023361</x:v>
      </x:c>
      <x:c r="K17" s="411" t="n">
        <x:v>0.09352098269159237</x:v>
      </x:c>
      <x:c r="L17" s="411" t="n">
        <x:v>0.02604627050459385</x:v>
      </x:c>
      <x:c r="M17" s="411" t="n">
        <x:v>0.0010034058499509256</x:v>
      </x:c>
      <x:c r="N17" s="410" t="n">
        <x:v>0.04853849348425863</x:v>
      </x:c>
      <x:c r="O17" s="410" t="n">
        <x:v>0.12276140958983246</x:v>
      </x:c>
      <x:c r="P17" s="410" t="n">
        <x:v>0.5727762803234502</x:v>
      </x:c>
      <x:c r="Q17" s="410" t="n">
        <x:v>0.33048211508553654</x:v>
      </x:c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滿柱</x:v>
      </x:c>
      <x:c r="B18" s="407" t="str">
        <x:v>XGBoost 正式調參</x:v>
      </x:c>
      <x:c r="C18" s="407" t="str">
        <x:v>XGBoost 正式調參</x:v>
      </x:c>
      <x:c r="D18" s="408" t="n">
        <x:v>219578</x:v>
      </x:c>
      <x:c r="E18" s="408" t="n">
        <x:v>1484</x:v>
      </x:c>
      <x:c r="F18" s="410" t="n">
        <x:v>0.006758418420788968</x:v>
      </x:c>
      <x:c r="G18" s="410" t="n">
        <x:v>0.15793401495589765</x:v>
      </x:c>
      <x:c r="H18" s="413" t="n">
        <x:v>23.36848728840033</x:v>
      </x:c>
      <x:c r="I18" s="414" t="n">
        <x:v>0.952903818803915</x:v>
      </x:c>
      <x:c r="J18" s="411" t="n">
        <x:v>0.006102072075009346</x:v>
      </x:c>
      <x:c r="K18" s="411" t="n">
        <x:v>0.09097178290512842</x:v>
      </x:c>
      <x:c r="L18" s="411" t="n">
        <x:v>0.02626635879278183</x:v>
      </x:c>
      <x:c r="M18" s="411" t="n">
        <x:v>0.0010990823957754753</x:v>
      </x:c>
      <x:c r="N18" s="410" t="n">
        <x:v>0.051293542683124346</x:v>
      </x:c>
      <x:c r="O18" s="410" t="n">
        <x:v>0.12796284433055732</x:v>
      </x:c>
      <x:c r="P18" s="410" t="n">
        <x:v>0.5384097035040432</x:v>
      </x:c>
      <x:c r="Q18" s="410" t="n">
        <x:v>0.3279967159277504</x:v>
      </x:c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滿柱</x:v>
      </x:c>
      <x:c r="B19" s="407" t="str">
        <x:v>跨模型混合（CV規則）</x:v>
      </x:c>
      <x:c r="C19" s="407" t="str">
        <x:v>XGBoost 正式調參</x:v>
      </x:c>
      <x:c r="D19" s="408" t="n">
        <x:v>219578</x:v>
      </x:c>
      <x:c r="E19" s="408" t="n">
        <x:v>1484</x:v>
      </x:c>
      <x:c r="F19" s="410" t="n">
        <x:v>0.006758418420788968</x:v>
      </x:c>
      <x:c r="G19" s="410" t="n">
        <x:v>0.15793401495589765</x:v>
      </x:c>
      <x:c r="H19" s="413" t="n">
        <x:v>23.36848728840033</x:v>
      </x:c>
      <x:c r="I19" s="414" t="n">
        <x:v>0.952903818803915</x:v>
      </x:c>
      <x:c r="J19" s="411" t="n">
        <x:v>0.006102072075009346</x:v>
      </x:c>
      <x:c r="K19" s="411" t="n">
        <x:v>0.09097178290512842</x:v>
      </x:c>
      <x:c r="L19" s="411" t="n">
        <x:v>0.02626635879278183</x:v>
      </x:c>
      <x:c r="M19" s="411" t="n">
        <x:v>0.0010990823957754753</x:v>
      </x:c>
      <x:c r="N19" s="410" t="n">
        <x:v>0.051293542683124346</x:v>
      </x:c>
      <x:c r="O19" s="410" t="n">
        <x:v>0.12796284433055732</x:v>
      </x:c>
      <x:c r="P19" s="410" t="n">
        <x:v>0.5384097035040432</x:v>
      </x:c>
      <x:c r="Q19" s="410" t="n">
        <x:v>0.3279967159277504</x:v>
      </x:c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/>
      <x:c r="B20" s="407"/>
      <x:c r="C20" s="407"/>
      <x:c r="D20" s="407"/>
      <x:c r="E20" s="407"/>
      <x:c r="F20" s="407"/>
      <x:c r="G20" s="407"/>
      <x:c r="H20" s="407"/>
      <x:c r="I20" s="407"/>
      <x:c r="J20" s="407"/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/>
      <x:c r="B21" s="407"/>
      <x:c r="C21" s="407"/>
      <x:c r="D21" s="407"/>
      <x:c r="E21" s="407"/>
      <x:c r="F21" s="407"/>
      <x:c r="G21" s="407"/>
      <x:c r="H21" s="407"/>
      <x:c r="I21" s="407"/>
      <x:c r="J21" s="407"/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/>
      <x:c r="B22" s="407"/>
      <x:c r="C22" s="407"/>
      <x:c r="D22" s="407"/>
      <x:c r="E22" s="407"/>
      <x:c r="F22" s="407"/>
      <x:c r="G22" s="407"/>
      <x:c r="H22" s="407"/>
      <x:c r="I22" s="407"/>
      <x:c r="J22" s="407"/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79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3" s="80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3" s="81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82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4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4" s="84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82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5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5" s="84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82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6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6" s="84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82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7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7" s="84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82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8" s="83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8" s="84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85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B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C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D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E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F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G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H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I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J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K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L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M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N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O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P29" s="86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Q29" s="87" t="str">
        <x:v>XGBoost沒有全面優於LightGBM。缺車調參LGB的PR-AUC 27.08%，XGB 26.97%；滿柱調參LGB 16.06%，XGB 15.79%，舊版LGB更是16.22%。跨月CV事先規則仍將滿柱XGB帶入混合候選，但現在不足以支持增加雙模型維運複雜度。</x:v>
      </x:c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/>
      <x:c r="B30" s="407"/>
      <x:c r="C30" s="407"/>
      <x:c r="D30" s="407"/>
      <x:c r="E30" s="407"/>
      <x:c r="F30" s="407"/>
      <x:c r="G30" s="407"/>
      <x:c r="H30" s="407"/>
      <x:c r="I30" s="407"/>
      <x:c r="J30" s="407"/>
      <x:c r="K30" s="407"/>
      <x:c r="L30" s="407"/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/>
      <x:c r="B31" s="407"/>
      <x:c r="C31" s="407"/>
      <x:c r="D31" s="407"/>
      <x:c r="E31" s="407"/>
      <x:c r="F31" s="407"/>
      <x:c r="G31" s="407"/>
      <x:c r="H31" s="407"/>
      <x:c r="I31" s="407"/>
      <x:c r="J31" s="407"/>
      <x:c r="K31" s="407"/>
      <x:c r="L31" s="407"/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/>
      <x:c r="B32" s="407"/>
      <x:c r="C32" s="407"/>
      <x:c r="D32" s="407"/>
      <x:c r="E32" s="407"/>
      <x:c r="F32" s="407"/>
      <x:c r="G32" s="407"/>
      <x:c r="H32" s="407"/>
      <x:c r="I32" s="407"/>
      <x:c r="J32" s="407"/>
      <x:c r="K32" s="407"/>
      <x:c r="L32" s="407"/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 ht="32" customHeight="1">
      <x:c r="A33" s="51" t="str">
        <x:v>政策</x:v>
      </x:c>
      <x:c r="B33" s="52" t="str">
        <x:v>K</x:v>
      </x:c>
      <x:c r="C33" s="52" t="str">
        <x:v>比較</x:v>
      </x:c>
      <x:c r="D33" s="52" t="str">
        <x:v>指標</x:v>
      </x:c>
      <x:c r="E33" s="52" t="str">
        <x:v>差異</x:v>
      </x:c>
      <x:c r="F33" s="52" t="str">
        <x:v>95%下限</x:v>
      </x:c>
      <x:c r="G33" s="52" t="str">
        <x:v>95%上限</x:v>
      </x:c>
      <x:c r="H33" s="52" t="str">
        <x:v>P(差&gt;0)</x:v>
      </x:c>
      <x:c r="I33" s="53" t="str">
        <x:v>日期區塊</x:v>
      </x:c>
      <x:c r="J33" s="407"/>
      <x:c r="K33" s="407"/>
      <x:c r="L33" s="407"/>
      <x:c r="M33" s="407"/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純容量排名</x:v>
      </x:c>
      <x:c r="B34" s="407" t="n">
        <x:v>10</x:v>
      </x:c>
      <x:c r="C34" s="407" t="str">
        <x:v>xgboost tuned minus lightgbm tuned</x:v>
      </x:c>
      <x:c r="D34" s="407" t="str">
        <x:v>macro event recall</x:v>
      </x:c>
      <x:c r="E34" s="407" t="n">
        <x:v>-0.0009543100199279481</x:v>
      </x:c>
      <x:c r="F34" s="407" t="n">
        <x:v>-0.004103287123143673</x:v>
      </x:c>
      <x:c r="G34" s="407" t="n">
        <x:v>0.0022261152043938637</x:v>
      </x:c>
      <x:c r="H34" s="415" t="n">
        <x:v>0.29</x:v>
      </x:c>
      <x:c r="I34" s="407" t="n">
        <x:v>11</x:v>
      </x:c>
      <x:c r="J34" s="407"/>
      <x:c r="K34" s="407"/>
      <x:c r="L34" s="407"/>
      <x:c r="M34" s="407"/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純容量排名</x:v>
      </x:c>
      <x:c r="B35" s="407" t="n">
        <x:v>10</x:v>
      </x:c>
      <x:c r="C35" s="407" t="str">
        <x:v>xgboost tuned minus lightgbm tuned</x:v>
      </x:c>
      <x:c r="D35" s="407" t="str">
        <x:v>episode precision</x:v>
      </x:c>
      <x:c r="E35" s="407" t="n">
        <x:v>-0.0026440222106541844</x:v>
      </x:c>
      <x:c r="F35" s="407" t="n">
        <x:v>-0.020052369683980942</x:v>
      </x:c>
      <x:c r="G35" s="407" t="n">
        <x:v>0.0139185581356287</x:v>
      </x:c>
      <x:c r="H35" s="415" t="n">
        <x:v>0.396</x:v>
      </x:c>
      <x:c r="I35" s="407" t="n">
        <x:v>11</x:v>
      </x:c>
      <x:c r="J35" s="407"/>
      <x:c r="K35" s="407"/>
      <x:c r="L35" s="407"/>
      <x:c r="M35" s="407"/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純容量排名</x:v>
      </x:c>
      <x:c r="B36" s="407" t="n">
        <x:v>10</x:v>
      </x:c>
      <x:c r="C36" s="407" t="str">
        <x:v>xgboost tuned minus lightgbm tuned</x:v>
      </x:c>
      <x:c r="D36" s="407" t="str">
        <x:v>false episodes per day</x:v>
      </x:c>
      <x:c r="E36" s="407" t="n">
        <x:v>0.5454545454545467</x:v>
      </x:c>
      <x:c r="F36" s="407" t="n">
        <x:v>-3.2727272510528564</x:v>
      </x:c>
      <x:c r="G36" s="407" t="n">
        <x:v>4.636363506317139</x:v>
      </x:c>
      <x:c r="H36" s="415" t="n">
        <x:v>0.5825</x:v>
      </x:c>
      <x:c r="I36" s="407" t="n">
        <x:v>11</x:v>
      </x:c>
      <x:c r="J36" s="407"/>
      <x:c r="K36" s="407"/>
      <x:c r="L36" s="407"/>
      <x:c r="M36" s="407"/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純容量排名</x:v>
      </x:c>
      <x:c r="B37" s="407" t="n">
        <x:v>10</x:v>
      </x:c>
      <x:c r="C37" s="407" t="str">
        <x:v>hybrid champion minus lightgbm tuned</x:v>
      </x:c>
      <x:c r="D37" s="407" t="str">
        <x:v>macro event recall</x:v>
      </x:c>
      <x:c r="E37" s="407" t="n">
        <x:v>-0.0010672533223901118</x:v>
      </x:c>
      <x:c r="F37" s="407" t="n">
        <x:v>-0.004100793972611427</x:v>
      </x:c>
      <x:c r="G37" s="407" t="n">
        <x:v>0.0019231680780649185</x:v>
      </x:c>
      <x:c r="H37" s="415" t="n">
        <x:v>0.2265</x:v>
      </x:c>
      <x:c r="I37" s="407" t="n">
        <x:v>11</x:v>
      </x:c>
      <x:c r="J37" s="407"/>
      <x:c r="K37" s="407"/>
      <x:c r="L37" s="407"/>
      <x:c r="M37" s="407"/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純容量排名</x:v>
      </x:c>
      <x:c r="B38" s="407" t="n">
        <x:v>10</x:v>
      </x:c>
      <x:c r="C38" s="407" t="str">
        <x:v>hybrid champion minus lightgbm tuned</x:v>
      </x:c>
      <x:c r="D38" s="407" t="str">
        <x:v>episode precision</x:v>
      </x:c>
      <x:c r="E38" s="407" t="n">
        <x:v>-0.00000767049314692736</x:v>
      </x:c>
      <x:c r="F38" s="407" t="n">
        <x:v>-0.007435760926455259</x:v>
      </x:c>
      <x:c r="G38" s="407" t="n">
        <x:v>0.00767788989469409</x:v>
      </x:c>
      <x:c r="H38" s="415" t="n">
        <x:v>0.506</x:v>
      </x:c>
      <x:c r="I38" s="407" t="n">
        <x:v>11</x:v>
      </x:c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純容量排名</x:v>
      </x:c>
      <x:c r="B39" s="407" t="n">
        <x:v>10</x:v>
      </x:c>
      <x:c r="C39" s="407" t="str">
        <x:v>hybrid champion minus lightgbm tuned</x:v>
      </x:c>
      <x:c r="D39" s="407" t="str">
        <x:v>false episodes per day</x:v>
      </x:c>
      <x:c r="E39" s="407" t="n">
        <x:v>-0.5454545454545467</x:v>
      </x:c>
      <x:c r="F39" s="407" t="n">
        <x:v>-1.7272727489471436</x:v>
      </x:c>
      <x:c r="G39" s="407" t="n">
        <x:v>0.5454545617103577</x:v>
      </x:c>
      <x:c r="H39" s="415" t="n">
        <x:v>0.1635</x:v>
      </x:c>
      <x:c r="I39" s="407" t="n">
        <x:v>11</x:v>
      </x:c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純容量排名</x:v>
      </x:c>
      <x:c r="B40" s="407" t="n">
        <x:v>10</x:v>
      </x:c>
      <x:c r="C40" s="407" t="str">
        <x:v>hybrid champion minus xgboost tuned</x:v>
      </x:c>
      <x:c r="D40" s="407" t="str">
        <x:v>macro event recall</x:v>
      </x:c>
      <x:c r="E40" s="407" t="n">
        <x:v>-0.00011294330246216372</x:v>
      </x:c>
      <x:c r="F40" s="407" t="n">
        <x:v>-0.0008543342119082808</x:v>
      </x:c>
      <x:c r="G40" s="407" t="n">
        <x:v>0.0007698992267251015</x:v>
      </x:c>
      <x:c r="H40" s="415" t="n">
        <x:v>0.3375</x:v>
      </x:c>
      <x:c r="I40" s="407" t="n">
        <x:v>11</x:v>
      </x:c>
      <x:c r="J40" s="407"/>
      <x:c r="K40" s="407"/>
      <x:c r="L40" s="407"/>
      <x:c r="M40" s="407"/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純容量排名</x:v>
      </x:c>
      <x:c r="B41" s="407" t="n">
        <x:v>10</x:v>
      </x:c>
      <x:c r="C41" s="407" t="str">
        <x:v>hybrid champion minus xgboost tuned</x:v>
      </x:c>
      <x:c r="D41" s="407" t="str">
        <x:v>episode precision</x:v>
      </x:c>
      <x:c r="E41" s="407" t="n">
        <x:v>0.002636351717507257</x:v>
      </x:c>
      <x:c r="F41" s="407" t="n">
        <x:v>-0.01174211222678423</x:v>
      </x:c>
      <x:c r="G41" s="407" t="n">
        <x:v>0.01711525209248066</x:v>
      </x:c>
      <x:c r="H41" s="415" t="n">
        <x:v>0.629</x:v>
      </x:c>
      <x:c r="I41" s="407" t="n">
        <x:v>11</x:v>
      </x:c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純容量排名</x:v>
      </x:c>
      <x:c r="B42" s="407" t="n">
        <x:v>10</x:v>
      </x:c>
      <x:c r="C42" s="407" t="str">
        <x:v>hybrid champion minus xgboost tuned</x:v>
      </x:c>
      <x:c r="D42" s="407" t="str">
        <x:v>false episodes per day</x:v>
      </x:c>
      <x:c r="E42" s="407" t="n">
        <x:v>-1.0909090909090935</x:v>
      </x:c>
      <x:c r="F42" s="407" t="n">
        <x:v>-4.7272725105285645</x:v>
      </x:c>
      <x:c r="G42" s="407" t="n">
        <x:v>2.3636362552642822</x:v>
      </x:c>
      <x:c r="H42" s="415" t="n">
        <x:v>0.2535</x:v>
      </x:c>
      <x:c r="I42" s="407" t="n">
        <x:v>11</x:v>
      </x:c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純容量排名</x:v>
      </x:c>
      <x:c r="B43" s="407" t="n">
        <x:v>15</x:v>
      </x:c>
      <x:c r="C43" s="407" t="str">
        <x:v>xgboost tuned minus lightgbm tuned</x:v>
      </x:c>
      <x:c r="D43" s="407" t="str">
        <x:v>macro event recall</x:v>
      </x:c>
      <x:c r="E43" s="407" t="n">
        <x:v>-0.004777258150640187</x:v>
      </x:c>
      <x:c r="F43" s="407" t="n">
        <x:v>-0.008788766339421272</x:v>
      </x:c>
      <x:c r="G43" s="407" t="n">
        <x:v>-0.001547935069538653</x:v>
      </x:c>
      <x:c r="H43" s="415" t="n">
        <x:v>0.001</x:v>
      </x:c>
      <x:c r="I43" s="407" t="n">
        <x:v>11</x:v>
      </x:c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 t="str">
        <x:v>純容量排名</x:v>
      </x:c>
      <x:c r="B44" s="407" t="n">
        <x:v>15</x:v>
      </x:c>
      <x:c r="C44" s="407" t="str">
        <x:v>xgboost tuned minus lightgbm tuned</x:v>
      </x:c>
      <x:c r="D44" s="407" t="str">
        <x:v>episode precision</x:v>
      </x:c>
      <x:c r="E44" s="407" t="n">
        <x:v>-0.016083508690236115</x:v>
      </x:c>
      <x:c r="F44" s="407" t="n">
        <x:v>-0.02755073457956314</x:v>
      </x:c>
      <x:c r="G44" s="407" t="n">
        <x:v>-0.004834769293665886</x:v>
      </x:c>
      <x:c r="H44" s="415" t="n">
        <x:v>0.002</x:v>
      </x:c>
      <x:c r="I44" s="407" t="n">
        <x:v>11</x:v>
      </x:c>
      <x:c r="J44" s="407"/>
      <x:c r="K44" s="407"/>
      <x:c r="L44" s="407"/>
      <x:c r="M44" s="407"/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 t="str">
        <x:v>純容量排名</x:v>
      </x:c>
      <x:c r="B45" s="407" t="n">
        <x:v>15</x:v>
      </x:c>
      <x:c r="C45" s="407" t="str">
        <x:v>xgboost tuned minus lightgbm tuned</x:v>
      </x:c>
      <x:c r="D45" s="407" t="str">
        <x:v>false episodes per day</x:v>
      </x:c>
      <x:c r="E45" s="407" t="n">
        <x:v>3.9090909090909065</x:v>
      </x:c>
      <x:c r="F45" s="407" t="n">
        <x:v>0.7272727489471436</x:v>
      </x:c>
      <x:c r="G45" s="407" t="n">
        <x:v>6.818181991577148</x:v>
      </x:c>
      <x:c r="H45" s="415" t="n">
        <x:v>0.993</x:v>
      </x:c>
      <x:c r="I45" s="407" t="n">
        <x:v>11</x:v>
      </x:c>
      <x:c r="J45" s="407"/>
      <x:c r="K45" s="407"/>
      <x:c r="L45" s="407"/>
      <x:c r="M45" s="407"/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 t="str">
        <x:v>純容量排名</x:v>
      </x:c>
      <x:c r="B46" s="407" t="n">
        <x:v>15</x:v>
      </x:c>
      <x:c r="C46" s="407" t="str">
        <x:v>hybrid champion minus lightgbm tuned</x:v>
      </x:c>
      <x:c r="D46" s="407" t="str">
        <x:v>macro event recall</x:v>
      </x:c>
      <x:c r="E46" s="407" t="n">
        <x:v>-0.0040431266846361336</x:v>
      </x:c>
      <x:c r="F46" s="407" t="n">
        <x:v>-0.008379939943552017</x:v>
      </x:c>
      <x:c r="G46" s="407" t="n">
        <x:v>-0.0008976526441983879</x:v>
      </x:c>
      <x:c r="H46" s="415" t="n">
        <x:v>0.0025</x:v>
      </x:c>
      <x:c r="I46" s="407" t="n">
        <x:v>11</x:v>
      </x:c>
      <x:c r="J46" s="407"/>
      <x:c r="K46" s="407"/>
      <x:c r="L46" s="407"/>
      <x:c r="M46" s="407"/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 t="str">
        <x:v>純容量排名</x:v>
      </x:c>
      <x:c r="B47" s="407" t="n">
        <x:v>15</x:v>
      </x:c>
      <x:c r="C47" s="407" t="str">
        <x:v>hybrid champion minus lightgbm tuned</x:v>
      </x:c>
      <x:c r="D47" s="407" t="str">
        <x:v>episode precision</x:v>
      </x:c>
      <x:c r="E47" s="407" t="n">
        <x:v>-0.003273087211067449</x:v>
      </x:c>
      <x:c r="F47" s="407" t="n">
        <x:v>-0.010121556930243969</x:v>
      </x:c>
      <x:c r="G47" s="407" t="n">
        <x:v>0.003262283280491829</x:v>
      </x:c>
      <x:c r="H47" s="415" t="n">
        <x:v>0.1685</x:v>
      </x:c>
      <x:c r="I47" s="407" t="n">
        <x:v>11</x:v>
      </x:c>
      <x:c r="J47" s="407"/>
      <x:c r="K47" s="407"/>
      <x:c r="L47" s="407"/>
      <x:c r="M47" s="407"/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 t="str">
        <x:v>純容量排名</x:v>
      </x:c>
      <x:c r="B48" s="407" t="n">
        <x:v>15</x:v>
      </x:c>
      <x:c r="C48" s="407" t="str">
        <x:v>hybrid champion minus lightgbm tuned</x:v>
      </x:c>
      <x:c r="D48" s="407" t="str">
        <x:v>false episodes per day</x:v>
      </x:c>
      <x:c r="E48" s="407" t="n">
        <x:v>-0.18181818181818699</x:v>
      </x:c>
      <x:c r="F48" s="407" t="n">
        <x:v>-1.8181818723678589</x:v>
      </x:c>
      <x:c r="G48" s="407" t="n">
        <x:v>1.6363636255264282</x:v>
      </x:c>
      <x:c r="H48" s="415" t="n">
        <x:v>0.41</x:v>
      </x:c>
      <x:c r="I48" s="407" t="n">
        <x:v>11</x:v>
      </x:c>
      <x:c r="J48" s="407"/>
      <x:c r="K48" s="407"/>
      <x:c r="L48" s="407"/>
      <x:c r="M48" s="407"/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 t="str">
        <x:v>純容量排名</x:v>
      </x:c>
      <x:c r="B49" s="407" t="n">
        <x:v>15</x:v>
      </x:c>
      <x:c r="C49" s="407" t="str">
        <x:v>hybrid champion minus xgboost tuned</x:v>
      </x:c>
      <x:c r="D49" s="407" t="str">
        <x:v>macro event recall</x:v>
      </x:c>
      <x:c r="E49" s="407" t="n">
        <x:v>0.0007341314660040538</x:v>
      </x:c>
      <x:c r="F49" s="407" t="n">
        <x:v>-0.00044828010140918195</x:v>
      </x:c>
      <x:c r="G49" s="407" t="n">
        <x:v>0.0021263277158141136</x:v>
      </x:c>
      <x:c r="H49" s="415" t="n">
        <x:v>0.8505</x:v>
      </x:c>
      <x:c r="I49" s="407" t="n">
        <x:v>11</x:v>
      </x:c>
      <x:c r="J49" s="407"/>
      <x:c r="K49" s="407"/>
      <x:c r="L49" s="407"/>
      <x:c r="M49" s="407"/>
      <x:c r="N49" s="407"/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 t="str">
        <x:v>純容量排名</x:v>
      </x:c>
      <x:c r="B50" s="407" t="n">
        <x:v>15</x:v>
      </x:c>
      <x:c r="C50" s="407" t="str">
        <x:v>hybrid champion minus xgboost tuned</x:v>
      </x:c>
      <x:c r="D50" s="407" t="str">
        <x:v>episode precision</x:v>
      </x:c>
      <x:c r="E50" s="407" t="n">
        <x:v>0.012810421479168665</x:v>
      </x:c>
      <x:c r="F50" s="407" t="n">
        <x:v>0.0028482333291321993</x:v>
      </x:c>
      <x:c r="G50" s="407" t="n">
        <x:v>0.02415448985993862</x:v>
      </x:c>
      <x:c r="H50" s="415" t="n">
        <x:v>0.9975</x:v>
      </x:c>
      <x:c r="I50" s="407" t="n">
        <x:v>11</x:v>
      </x:c>
      <x:c r="J50" s="407"/>
      <x:c r="K50" s="407"/>
      <x:c r="L50" s="407"/>
      <x:c r="M50" s="407"/>
      <x:c r="N50" s="407"/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 t="str">
        <x:v>純容量排名</x:v>
      </x:c>
      <x:c r="B51" s="407" t="n">
        <x:v>15</x:v>
      </x:c>
      <x:c r="C51" s="407" t="str">
        <x:v>hybrid champion minus xgboost tuned</x:v>
      </x:c>
      <x:c r="D51" s="407" t="str">
        <x:v>false episodes per day</x:v>
      </x:c>
      <x:c r="E51" s="407" t="n">
        <x:v>-4.0909090909090935</x:v>
      </x:c>
      <x:c r="F51" s="407" t="n">
        <x:v>-6.636363506317139</x:v>
      </x:c>
      <x:c r="G51" s="407" t="n">
        <x:v>-1.6340909004211426</x:v>
      </x:c>
      <x:c r="H51" s="415" t="n">
        <x:v>0</x:v>
      </x:c>
      <x:c r="I51" s="407" t="n">
        <x:v>11</x:v>
      </x:c>
      <x:c r="J51" s="407"/>
      <x:c r="K51" s="407"/>
      <x:c r="L51" s="407"/>
      <x:c r="M51" s="407"/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 t="str">
        <x:v>純容量排名</x:v>
      </x:c>
      <x:c r="B52" s="407" t="n">
        <x:v>20</x:v>
      </x:c>
      <x:c r="C52" s="407" t="str">
        <x:v>xgboost tuned minus lightgbm tuned</x:v>
      </x:c>
      <x:c r="D52" s="407" t="str">
        <x:v>macro event recall</x:v>
      </x:c>
      <x:c r="E52" s="407" t="n">
        <x:v>-0.004378151224688986</x:v>
      </x:c>
      <x:c r="F52" s="407" t="n">
        <x:v>-0.008709250018000603</x:v>
      </x:c>
      <x:c r="G52" s="407" t="n">
        <x:v>0.00038890287396498024</x:v>
      </x:c>
      <x:c r="H52" s="415" t="n">
        <x:v>0.036</x:v>
      </x:c>
      <x:c r="I52" s="407" t="n">
        <x:v>11</x:v>
      </x:c>
      <x:c r="J52" s="407"/>
      <x:c r="K52" s="407"/>
      <x:c r="L52" s="407"/>
      <x:c r="M52" s="407"/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 t="str">
        <x:v>純容量排名</x:v>
      </x:c>
      <x:c r="B53" s="407" t="n">
        <x:v>20</x:v>
      </x:c>
      <x:c r="C53" s="407" t="str">
        <x:v>xgboost tuned minus lightgbm tuned</x:v>
      </x:c>
      <x:c r="D53" s="407" t="str">
        <x:v>episode precision</x:v>
      </x:c>
      <x:c r="E53" s="407" t="n">
        <x:v>-0.0070164929928017705</x:v>
      </x:c>
      <x:c r="F53" s="407" t="n">
        <x:v>-0.0214413832873106</x:v>
      </x:c>
      <x:c r="G53" s="407" t="n">
        <x:v>0.007937120273709297</x:v>
      </x:c>
      <x:c r="H53" s="415" t="n">
        <x:v>0.1845</x:v>
      </x:c>
      <x:c r="I53" s="407" t="n">
        <x:v>11</x:v>
      </x:c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 t="str">
        <x:v>純容量排名</x:v>
      </x:c>
      <x:c r="B54" s="407" t="n">
        <x:v>20</x:v>
      </x:c>
      <x:c r="C54" s="407" t="str">
        <x:v>xgboost tuned minus lightgbm tuned</x:v>
      </x:c>
      <x:c r="D54" s="407" t="str">
        <x:v>false episodes per day</x:v>
      </x:c>
      <x:c r="E54" s="407" t="n">
        <x:v>3.181818181818187</x:v>
      </x:c>
      <x:c r="F54" s="407" t="n">
        <x:v>-1.9090908765792847</x:v>
      </x:c>
      <x:c r="G54" s="407" t="n">
        <x:v>7.913636207580566</x:v>
      </x:c>
      <x:c r="H54" s="415" t="n">
        <x:v>0.888</x:v>
      </x:c>
      <x:c r="I54" s="407" t="n">
        <x:v>11</x:v>
      </x:c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 t="str">
        <x:v>純容量排名</x:v>
      </x:c>
      <x:c r="B55" s="407" t="n">
        <x:v>20</x:v>
      </x:c>
      <x:c r="C55" s="407" t="str">
        <x:v>hybrid champion minus lightgbm tuned</x:v>
      </x:c>
      <x:c r="D55" s="407" t="str">
        <x:v>macro event recall</x:v>
      </x:c>
      <x:c r="E55" s="407" t="n">
        <x:v>-0.004660509480844399</x:v>
      </x:c>
      <x:c r="F55" s="407" t="n">
        <x:v>-0.008737077005207539</x:v>
      </x:c>
      <x:c r="G55" s="407" t="n">
        <x:v>-0.0009010036592371762</x:v>
      </x:c>
      <x:c r="H55" s="415" t="n">
        <x:v>0.01</x:v>
      </x:c>
      <x:c r="I55" s="407" t="n">
        <x:v>11</x:v>
      </x:c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 t="str">
        <x:v>純容量排名</x:v>
      </x:c>
      <x:c r="B56" s="407" t="n">
        <x:v>20</x:v>
      </x:c>
      <x:c r="C56" s="407" t="str">
        <x:v>hybrid champion minus lightgbm tuned</x:v>
      </x:c>
      <x:c r="D56" s="407" t="str">
        <x:v>episode precision</x:v>
      </x:c>
      <x:c r="E56" s="407" t="n">
        <x:v>-0.0031085800585218815</x:v>
      </x:c>
      <x:c r="F56" s="407" t="n">
        <x:v>-0.009023429825901985</x:v>
      </x:c>
      <x:c r="G56" s="407" t="n">
        <x:v>0.0020207653287798166</x:v>
      </x:c>
      <x:c r="H56" s="415" t="n">
        <x:v>0.117</x:v>
      </x:c>
      <x:c r="I56" s="407" t="n">
        <x:v>11</x:v>
      </x:c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 t="str">
        <x:v>純容量排名</x:v>
      </x:c>
      <x:c r="B57" s="407" t="n">
        <x:v>20</x:v>
      </x:c>
      <x:c r="C57" s="407" t="str">
        <x:v>hybrid champion minus lightgbm tuned</x:v>
      </x:c>
      <x:c r="D57" s="407" t="str">
        <x:v>false episodes per day</x:v>
      </x:c>
      <x:c r="E57" s="407" t="n">
        <x:v>0</x:v>
      </x:c>
      <x:c r="F57" s="407" t="n">
        <x:v>-1.6363636255264282</x:v>
      </x:c>
      <x:c r="G57" s="407" t="n">
        <x:v>1.8181818723678589</x:v>
      </x:c>
      <x:c r="H57" s="415" t="n">
        <x:v>0.467</x:v>
      </x:c>
      <x:c r="I57" s="407" t="n">
        <x:v>11</x:v>
      </x:c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 t="str">
        <x:v>純容量排名</x:v>
      </x:c>
      <x:c r="B58" s="407" t="n">
        <x:v>20</x:v>
      </x:c>
      <x:c r="C58" s="407" t="str">
        <x:v>hybrid champion minus xgboost tuned</x:v>
      </x:c>
      <x:c r="D58" s="407" t="str">
        <x:v>macro event recall</x:v>
      </x:c>
      <x:c r="E58" s="407" t="n">
        <x:v>-0.00028235825615541277</x:v>
      </x:c>
      <x:c r="F58" s="407" t="n">
        <x:v>-0.0018822512356564403</x:v>
      </x:c>
      <x:c r="G58" s="407" t="n">
        <x:v>0.0013586879940703511</x:v>
      </x:c>
      <x:c r="H58" s="415" t="n">
        <x:v>0.355</x:v>
      </x:c>
      <x:c r="I58" s="407" t="n">
        <x:v>11</x:v>
      </x:c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 t="str">
        <x:v>純容量排名</x:v>
      </x:c>
      <x:c r="B59" s="407" t="n">
        <x:v>20</x:v>
      </x:c>
      <x:c r="C59" s="407" t="str">
        <x:v>hybrid champion minus xgboost tuned</x:v>
      </x:c>
      <x:c r="D59" s="407" t="str">
        <x:v>episode precision</x:v>
      </x:c>
      <x:c r="E59" s="407" t="n">
        <x:v>0.003907912934279889</x:v>
      </x:c>
      <x:c r="F59" s="407" t="n">
        <x:v>-0.009258423000574112</x:v>
      </x:c>
      <x:c r="G59" s="407" t="n">
        <x:v>0.01718108355998993</x:v>
      </x:c>
      <x:c r="H59" s="415" t="n">
        <x:v>0.723</x:v>
      </x:c>
      <x:c r="I59" s="407" t="n">
        <x:v>11</x:v>
      </x:c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 t="str">
        <x:v>純容量排名</x:v>
      </x:c>
      <x:c r="B60" s="407" t="n">
        <x:v>20</x:v>
      </x:c>
      <x:c r="C60" s="407" t="str">
        <x:v>hybrid champion minus xgboost tuned</x:v>
      </x:c>
      <x:c r="D60" s="407" t="str">
        <x:v>false episodes per day</x:v>
      </x:c>
      <x:c r="E60" s="407" t="n">
        <x:v>-3.181818181818187</x:v>
      </x:c>
      <x:c r="F60" s="407" t="n">
        <x:v>-7.363636493682861</x:v>
      </x:c>
      <x:c r="G60" s="407" t="n">
        <x:v>1.2727272510528564</x:v>
      </x:c>
      <x:c r="H60" s="415" t="n">
        <x:v>0.075</x:v>
      </x:c>
      <x:c r="I60" s="407" t="n">
        <x:v>11</x:v>
      </x:c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 t="str">
        <x:v>純容量排名</x:v>
      </x:c>
      <x:c r="B61" s="407" t="n">
        <x:v>25</x:v>
      </x:c>
      <x:c r="C61" s="407" t="str">
        <x:v>xgboost tuned minus lightgbm tuned</x:v>
      </x:c>
      <x:c r="D61" s="407" t="str">
        <x:v>macro event recall</x:v>
      </x:c>
      <x:c r="E61" s="407" t="n">
        <x:v>-0.004210638954662546</x:v>
      </x:c>
      <x:c r="F61" s="407" t="n">
        <x:v>-0.007176956627517939</x:v>
      </x:c>
      <x:c r="G61" s="407" t="n">
        <x:v>-0.0008019928936846554</x:v>
      </x:c>
      <x:c r="H61" s="415" t="n">
        <x:v>0.009</x:v>
      </x:c>
      <x:c r="I61" s="407" t="n">
        <x:v>11</x:v>
      </x:c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 t="str">
        <x:v>純容量排名</x:v>
      </x:c>
      <x:c r="B62" s="407" t="n">
        <x:v>25</x:v>
      </x:c>
      <x:c r="C62" s="407" t="str">
        <x:v>xgboost tuned minus lightgbm tuned</x:v>
      </x:c>
      <x:c r="D62" s="407" t="str">
        <x:v>episode precision</x:v>
      </x:c>
      <x:c r="E62" s="407" t="n">
        <x:v>-0.0067197441393623825</x:v>
      </x:c>
      <x:c r="F62" s="407" t="n">
        <x:v>-0.01582190953195095</x:v>
      </x:c>
      <x:c r="G62" s="407" t="n">
        <x:v>0.0027842572890222073</x:v>
      </x:c>
      <x:c r="H62" s="415" t="n">
        <x:v>0.082</x:v>
      </x:c>
      <x:c r="I62" s="407" t="n">
        <x:v>11</x:v>
      </x:c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 t="str">
        <x:v>純容量排名</x:v>
      </x:c>
      <x:c r="B63" s="407" t="n">
        <x:v>25</x:v>
      </x:c>
      <x:c r="C63" s="407" t="str">
        <x:v>xgboost tuned minus lightgbm tuned</x:v>
      </x:c>
      <x:c r="D63" s="407" t="str">
        <x:v>false episodes per day</x:v>
      </x:c>
      <x:c r="E63" s="407" t="n">
        <x:v>3.7272727272727195</x:v>
      </x:c>
      <x:c r="F63" s="407" t="n">
        <x:v>0.4545454680919647</x:v>
      </x:c>
      <x:c r="G63" s="407" t="n">
        <x:v>6.8204545974731445</x:v>
      </x:c>
      <x:c r="H63" s="415" t="n">
        <x:v>0.983</x:v>
      </x:c>
      <x:c r="I63" s="407" t="n">
        <x:v>11</x:v>
      </x:c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 t="str">
        <x:v>純容量排名</x:v>
      </x:c>
      <x:c r="B64" s="407" t="n">
        <x:v>25</x:v>
      </x:c>
      <x:c r="C64" s="407" t="str">
        <x:v>hybrid champion minus lightgbm tuned</x:v>
      </x:c>
      <x:c r="D64" s="407" t="str">
        <x:v>macro event recall</x:v>
      </x:c>
      <x:c r="E64" s="407" t="n">
        <x:v>-0.004829924434537641</x:v>
      </x:c>
      <x:c r="F64" s="407" t="n">
        <x:v>-0.007894056849181652</x:v>
      </x:c>
      <x:c r="G64" s="407" t="n">
        <x:v>-0.0010601378744468093</x:v>
      </x:c>
      <x:c r="H64" s="415" t="n">
        <x:v>0.003</x:v>
      </x:c>
      <x:c r="I64" s="407" t="n">
        <x:v>11</x:v>
      </x:c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 t="str">
        <x:v>純容量排名</x:v>
      </x:c>
      <x:c r="B65" s="407" t="n">
        <x:v>25</x:v>
      </x:c>
      <x:c r="C65" s="407" t="str">
        <x:v>hybrid champion minus lightgbm tuned</x:v>
      </x:c>
      <x:c r="D65" s="407" t="str">
        <x:v>episode precision</x:v>
      </x:c>
      <x:c r="E65" s="407" t="n">
        <x:v>-0.0019438807262494029</x:v>
      </x:c>
      <x:c r="F65" s="407" t="n">
        <x:v>-0.005816109012812376</x:v>
      </x:c>
      <x:c r="G65" s="407" t="n">
        <x:v>0.0017163421725854278</x:v>
      </x:c>
      <x:c r="H65" s="415" t="n">
        <x:v>0.167</x:v>
      </x:c>
      <x:c r="I65" s="407" t="n">
        <x:v>11</x:v>
      </x:c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 t="str">
        <x:v>純容量排名</x:v>
      </x:c>
      <x:c r="B66" s="407" t="n">
        <x:v>25</x:v>
      </x:c>
      <x:c r="C66" s="407" t="str">
        <x:v>hybrid champion minus lightgbm tuned</x:v>
      </x:c>
      <x:c r="D66" s="407" t="str">
        <x:v>false episodes per day</x:v>
      </x:c>
      <x:c r="E66" s="407" t="n">
        <x:v>-0.9090909090909065</x:v>
      </x:c>
      <x:c r="F66" s="407" t="n">
        <x:v>-2.2750000953674316</x:v>
      </x:c>
      <x:c r="G66" s="407" t="n">
        <x:v>0.7272727489471436</x:v>
      </x:c>
      <x:c r="H66" s="415" t="n">
        <x:v>0.1205</x:v>
      </x:c>
      <x:c r="I66" s="407" t="n">
        <x:v>11</x:v>
      </x:c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 t="str">
        <x:v>純容量排名</x:v>
      </x:c>
      <x:c r="B67" s="407" t="n">
        <x:v>25</x:v>
      </x:c>
      <x:c r="C67" s="407" t="str">
        <x:v>hybrid champion minus xgboost tuned</x:v>
      </x:c>
      <x:c r="D67" s="407" t="str">
        <x:v>macro event recall</x:v>
      </x:c>
      <x:c r="E67" s="407" t="n">
        <x:v>-0.0006192854798750952</x:v>
      </x:c>
      <x:c r="F67" s="407" t="n">
        <x:v>-0.0022462354972958565</x:v>
      </x:c>
      <x:c r="G67" s="407" t="n">
        <x:v>0.0009718252695165575</x:v>
      </x:c>
      <x:c r="H67" s="415" t="n">
        <x:v>0.233</x:v>
      </x:c>
      <x:c r="I67" s="407" t="n">
        <x:v>11</x:v>
      </x:c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 t="str">
        <x:v>純容量排名</x:v>
      </x:c>
      <x:c r="B68" s="407" t="n">
        <x:v>25</x:v>
      </x:c>
      <x:c r="C68" s="407" t="str">
        <x:v>hybrid champion minus xgboost tuned</x:v>
      </x:c>
      <x:c r="D68" s="407" t="str">
        <x:v>episode precision</x:v>
      </x:c>
      <x:c r="E68" s="407" t="n">
        <x:v>0.00477586341311298</x:v>
      </x:c>
      <x:c r="F68" s="407" t="n">
        <x:v>-0.004731392953544855</x:v>
      </x:c>
      <x:c r="G68" s="407" t="n">
        <x:v>0.015543807297945023</x:v>
      </x:c>
      <x:c r="H68" s="415" t="n">
        <x:v>0.827</x:v>
      </x:c>
      <x:c r="I68" s="407" t="n">
        <x:v>11</x:v>
      </x:c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 t="str">
        <x:v>純容量排名</x:v>
      </x:c>
      <x:c r="B69" s="407" t="n">
        <x:v>25</x:v>
      </x:c>
      <x:c r="C69" s="407" t="str">
        <x:v>hybrid champion minus xgboost tuned</x:v>
      </x:c>
      <x:c r="D69" s="407" t="str">
        <x:v>false episodes per day</x:v>
      </x:c>
      <x:c r="E69" s="407" t="n">
        <x:v>-4.636363636363626</x:v>
      </x:c>
      <x:c r="F69" s="407" t="n">
        <x:v>-8.3659086227417</x:v>
      </x:c>
      <x:c r="G69" s="407" t="n">
        <x:v>-1.1818181276321411</x:v>
      </x:c>
      <x:c r="H69" s="415" t="n">
        <x:v>0.0035</x:v>
      </x:c>
      <x:c r="I69" s="407" t="n">
        <x:v>11</x:v>
      </x:c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 t="str">
        <x:v>可部署門檻+Top-K</x:v>
      </x:c>
      <x:c r="B70" s="407" t="n">
        <x:v>10</x:v>
      </x:c>
      <x:c r="C70" s="407" t="str">
        <x:v>xgboost tuned minus lightgbm tuned</x:v>
      </x:c>
      <x:c r="D70" s="407" t="str">
        <x:v>macro event recall</x:v>
      </x:c>
      <x:c r="E70" s="407" t="n">
        <x:v>-0.001797579421060548</x:v>
      </x:c>
      <x:c r="F70" s="407" t="n">
        <x:v>-0.007130733225494623</x:v>
      </x:c>
      <x:c r="G70" s="407" t="n">
        <x:v>0.0025775935500860214</x:v>
      </x:c>
      <x:c r="H70" s="415" t="n">
        <x:v>0.2145</x:v>
      </x:c>
      <x:c r="I70" s="407" t="n">
        <x:v>11</x:v>
      </x:c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 t="str">
        <x:v>可部署門檻+Top-K</x:v>
      </x:c>
      <x:c r="B71" s="407" t="n">
        <x:v>10</x:v>
      </x:c>
      <x:c r="C71" s="407" t="str">
        <x:v>xgboost tuned minus lightgbm tuned</x:v>
      </x:c>
      <x:c r="D71" s="407" t="str">
        <x:v>episode precision</x:v>
      </x:c>
      <x:c r="E71" s="407" t="n">
        <x:v>0.0036719784954534207</x:v>
      </x:c>
      <x:c r="F71" s="407" t="n">
        <x:v>-0.017995266243815422</x:v>
      </x:c>
      <x:c r="G71" s="407" t="n">
        <x:v>0.02648281864821911</x:v>
      </x:c>
      <x:c r="H71" s="415" t="n">
        <x:v>0.6315</x:v>
      </x:c>
      <x:c r="I71" s="407" t="n">
        <x:v>11</x:v>
      </x:c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 t="str">
        <x:v>可部署門檻+Top-K</x:v>
      </x:c>
      <x:c r="B72" s="407" t="n">
        <x:v>10</x:v>
      </x:c>
      <x:c r="C72" s="407" t="str">
        <x:v>xgboost tuned minus lightgbm tuned</x:v>
      </x:c>
      <x:c r="D72" s="407" t="str">
        <x:v>false episodes per day</x:v>
      </x:c>
      <x:c r="E72" s="407" t="n">
        <x:v>-1.5454545454545467</x:v>
      </x:c>
      <x:c r="F72" s="407" t="n">
        <x:v>-3.547727346420288</x:v>
      </x:c>
      <x:c r="G72" s="407" t="n">
        <x:v>0.5454545617103577</x:v>
      </x:c>
      <x:c r="H72" s="415" t="n">
        <x:v>0.0705</x:v>
      </x:c>
      <x:c r="I72" s="407" t="n">
        <x:v>11</x:v>
      </x:c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 t="str">
        <x:v>可部署門檻+Top-K</x:v>
      </x:c>
      <x:c r="B73" s="407" t="n">
        <x:v>10</x:v>
      </x:c>
      <x:c r="C73" s="407" t="str">
        <x:v>hybrid champion minus lightgbm tuned</x:v>
      </x:c>
      <x:c r="D73" s="407" t="str">
        <x:v>macro event recall</x:v>
      </x:c>
      <x:c r="E73" s="407" t="n">
        <x:v>-0.001517123848571951</x:v>
      </x:c>
      <x:c r="F73" s="407" t="n">
        <x:v>-0.0062492783181369305</x:v>
      </x:c>
      <x:c r="G73" s="407" t="n">
        <x:v>0.002228387398645282</x:v>
      </x:c>
      <x:c r="H73" s="415" t="n">
        <x:v>0.2165</x:v>
      </x:c>
      <x:c r="I73" s="407" t="n">
        <x:v>11</x:v>
      </x:c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 t="str">
        <x:v>可部署門檻+Top-K</x:v>
      </x:c>
      <x:c r="B74" s="407" t="n">
        <x:v>10</x:v>
      </x:c>
      <x:c r="C74" s="407" t="str">
        <x:v>hybrid champion minus lightgbm tuned</x:v>
      </x:c>
      <x:c r="D74" s="407" t="str">
        <x:v>episode precision</x:v>
      </x:c>
      <x:c r="E74" s="407" t="n">
        <x:v>0.0036719784954534207</x:v>
      </x:c>
      <x:c r="F74" s="407" t="n">
        <x:v>-0.004141947720199823</x:v>
      </x:c>
      <x:c r="G74" s="407" t="n">
        <x:v>0.011185042560100555</x:v>
      </x:c>
      <x:c r="H74" s="415" t="n">
        <x:v>0.8085</x:v>
      </x:c>
      <x:c r="I74" s="407" t="n">
        <x:v>11</x:v>
      </x:c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 t="str">
        <x:v>可部署門檻+Top-K</x:v>
      </x:c>
      <x:c r="B75" s="407" t="n">
        <x:v>10</x:v>
      </x:c>
      <x:c r="C75" s="407" t="str">
        <x:v>hybrid champion minus lightgbm tuned</x:v>
      </x:c>
      <x:c r="D75" s="407" t="str">
        <x:v>false episodes per day</x:v>
      </x:c>
      <x:c r="E75" s="407" t="n">
        <x:v>-1.5454545454545467</x:v>
      </x:c>
      <x:c r="F75" s="407" t="n">
        <x:v>-3</x:v>
      </x:c>
      <x:c r="G75" s="407" t="n">
        <x:v>-0.09090909361839294</x:v>
      </x:c>
      <x:c r="H75" s="415" t="n">
        <x:v>0.0205</x:v>
      </x:c>
      <x:c r="I75" s="407" t="n">
        <x:v>11</x:v>
      </x:c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 t="str">
        <x:v>可部署門檻+Top-K</x:v>
      </x:c>
      <x:c r="B76" s="407" t="n">
        <x:v>10</x:v>
      </x:c>
      <x:c r="C76" s="407" t="str">
        <x:v>hybrid champion minus xgboost tuned</x:v>
      </x:c>
      <x:c r="D76" s="407" t="str">
        <x:v>macro event recall</x:v>
      </x:c>
      <x:c r="E76" s="407" t="n">
        <x:v>0.0002804555724885971</x:v>
      </x:c>
      <x:c r="F76" s="407" t="n">
        <x:v>-0.000965959276072681</x:v>
      </x:c>
      <x:c r="G76" s="407" t="n">
        <x:v>0.0014546267921105027</x:v>
      </x:c>
      <x:c r="H76" s="415" t="n">
        <x:v>0.671</x:v>
      </x:c>
      <x:c r="I76" s="407" t="n">
        <x:v>11</x:v>
      </x:c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 t="str">
        <x:v>可部署門檻+Top-K</x:v>
      </x:c>
      <x:c r="B77" s="407" t="n">
        <x:v>10</x:v>
      </x:c>
      <x:c r="C77" s="407" t="str">
        <x:v>hybrid champion minus xgboost tuned</x:v>
      </x:c>
      <x:c r="D77" s="407" t="str">
        <x:v>episode precision</x:v>
      </x:c>
      <x:c r="E77" s="407" t="n">
        <x:v>0</x:v>
      </x:c>
      <x:c r="F77" s="407" t="n">
        <x:v>-0.016471397131681442</x:v>
      </x:c>
      <x:c r="G77" s="407" t="n">
        <x:v>0.016421491280198097</x:v>
      </x:c>
      <x:c r="H77" s="415" t="n">
        <x:v>0.5185</x:v>
      </x:c>
      <x:c r="I77" s="407" t="n">
        <x:v>11</x:v>
      </x:c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 t="str">
        <x:v>可部署門檻+Top-K</x:v>
      </x:c>
      <x:c r="B78" s="407" t="n">
        <x:v>10</x:v>
      </x:c>
      <x:c r="C78" s="407" t="str">
        <x:v>hybrid champion minus xgboost tuned</x:v>
      </x:c>
      <x:c r="D78" s="407" t="str">
        <x:v>false episodes per day</x:v>
      </x:c>
      <x:c r="E78" s="407" t="n">
        <x:v>0</x:v>
      </x:c>
      <x:c r="F78" s="407" t="n">
        <x:v>-1.8204545974731445</x:v>
      </x:c>
      <x:c r="G78" s="407" t="n">
        <x:v>1.7272727489471436</x:v>
      </x:c>
      <x:c r="H78" s="415" t="n">
        <x:v>0.4705</x:v>
      </x:c>
      <x:c r="I78" s="407" t="n">
        <x:v>11</x:v>
      </x:c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 t="str">
        <x:v>可部署門檻+Top-K</x:v>
      </x:c>
      <x:c r="B79" s="407" t="n">
        <x:v>15</x:v>
      </x:c>
      <x:c r="C79" s="407" t="str">
        <x:v>xgboost tuned minus lightgbm tuned</x:v>
      </x:c>
      <x:c r="D79" s="407" t="str">
        <x:v>macro event recall</x:v>
      </x:c>
      <x:c r="E79" s="407" t="n">
        <x:v>-0.0024168649009356225</x:v>
      </x:c>
      <x:c r="F79" s="407" t="n">
        <x:v>-0.0067845177836716175</x:v>
      </x:c>
      <x:c r="G79" s="407" t="n">
        <x:v>0.0005514309741556644</x:v>
      </x:c>
      <x:c r="H79" s="415" t="n">
        <x:v>0.0665</x:v>
      </x:c>
      <x:c r="I79" s="407" t="n">
        <x:v>11</x:v>
      </x:c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 t="str">
        <x:v>可部署門檻+Top-K</x:v>
      </x:c>
      <x:c r="B80" s="407" t="n">
        <x:v>15</x:v>
      </x:c>
      <x:c r="C80" s="407" t="str">
        <x:v>xgboost tuned minus lightgbm tuned</x:v>
      </x:c>
      <x:c r="D80" s="407" t="str">
        <x:v>episode precision</x:v>
      </x:c>
      <x:c r="E80" s="407" t="n">
        <x:v>-0.0006163322010487859</x:v>
      </x:c>
      <x:c r="F80" s="407" t="n">
        <x:v>-0.016702836379408836</x:v>
      </x:c>
      <x:c r="G80" s="407" t="n">
        <x:v>0.01527377963066101</x:v>
      </x:c>
      <x:c r="H80" s="415" t="n">
        <x:v>0.46</x:v>
      </x:c>
      <x:c r="I80" s="407" t="n">
        <x:v>11</x:v>
      </x:c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 t="str">
        <x:v>可部署門檻+Top-K</x:v>
      </x:c>
      <x:c r="B81" s="407" t="n">
        <x:v>15</x:v>
      </x:c>
      <x:c r="C81" s="407" t="str">
        <x:v>xgboost tuned minus lightgbm tuned</x:v>
      </x:c>
      <x:c r="D81" s="407" t="str">
        <x:v>false episodes per day</x:v>
      </x:c>
      <x:c r="E81" s="407" t="n">
        <x:v>-1.2727272727272734</x:v>
      </x:c>
      <x:c r="F81" s="407" t="n">
        <x:v>-3.8181817531585693</x:v>
      </x:c>
      <x:c r="G81" s="407" t="n">
        <x:v>1.6386363506317139</x:v>
      </x:c>
      <x:c r="H81" s="415" t="n">
        <x:v>0.187</x:v>
      </x:c>
      <x:c r="I81" s="407" t="n">
        <x:v>11</x:v>
      </x:c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 t="str">
        <x:v>可部署門檻+Top-K</x:v>
      </x:c>
      <x:c r="B82" s="407" t="n">
        <x:v>15</x:v>
      </x:c>
      <x:c r="C82" s="407" t="str">
        <x:v>hybrid champion minus lightgbm tuned</x:v>
      </x:c>
      <x:c r="D82" s="407" t="str">
        <x:v>macro event recall</x:v>
      </x:c>
      <x:c r="E82" s="407" t="n">
        <x:v>-0.0033692722371967687</x:v>
      </x:c>
      <x:c r="F82" s="407" t="n">
        <x:v>-0.007511879783123732</x:v>
      </x:c>
      <x:c r="G82" s="407" t="n">
        <x:v>0.00019702166900970042</x:v>
      </x:c>
      <x:c r="H82" s="415" t="n">
        <x:v>0.0375</x:v>
      </x:c>
      <x:c r="I82" s="407" t="n">
        <x:v>11</x:v>
      </x:c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 t="str">
        <x:v>可部署門檻+Top-K</x:v>
      </x:c>
      <x:c r="B83" s="407" t="n">
        <x:v>15</x:v>
      </x:c>
      <x:c r="C83" s="407" t="str">
        <x:v>hybrid champion minus lightgbm tuned</x:v>
      </x:c>
      <x:c r="D83" s="407" t="str">
        <x:v>episode precision</x:v>
      </x:c>
      <x:c r="E83" s="407" t="n">
        <x:v>-0.0051864267417223164</x:v>
      </x:c>
      <x:c r="F83" s="407" t="n">
        <x:v>-0.016507497057318687</x:v>
      </x:c>
      <x:c r="G83" s="407" t="n">
        <x:v>0.006578540429472923</x:v>
      </x:c>
      <x:c r="H83" s="415" t="n">
        <x:v>0.1895</x:v>
      </x:c>
      <x:c r="I83" s="407" t="n">
        <x:v>11</x:v>
      </x:c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 t="str">
        <x:v>可部署門檻+Top-K</x:v>
      </x:c>
      <x:c r="B84" s="407" t="n">
        <x:v>15</x:v>
      </x:c>
      <x:c r="C84" s="407" t="str">
        <x:v>hybrid champion minus lightgbm tuned</x:v>
      </x:c>
      <x:c r="D84" s="407" t="str">
        <x:v>false episodes per day</x:v>
      </x:c>
      <x:c r="E84" s="407" t="n">
        <x:v>0.18181818181817988</x:v>
      </x:c>
      <x:c r="F84" s="407" t="n">
        <x:v>-2.090909004211426</x:v>
      </x:c>
      <x:c r="G84" s="407" t="n">
        <x:v>2.6363637447357178</x:v>
      </x:c>
      <x:c r="H84" s="415" t="n">
        <x:v>0.524</x:v>
      </x:c>
      <x:c r="I84" s="407" t="n">
        <x:v>11</x:v>
      </x:c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 t="str">
        <x:v>可部署門檻+Top-K</x:v>
      </x:c>
      <x:c r="B85" s="407" t="n">
        <x:v>15</x:v>
      </x:c>
      <x:c r="C85" s="407" t="str">
        <x:v>hybrid champion minus xgboost tuned</x:v>
      </x:c>
      <x:c r="D85" s="407" t="str">
        <x:v>macro event recall</x:v>
      </x:c>
      <x:c r="E85" s="407" t="n">
        <x:v>-0.0009524073362611463</x:v>
      </x:c>
      <x:c r="F85" s="407" t="n">
        <x:v>-0.002404262311756611</x:v>
      </x:c>
      <x:c r="G85" s="407" t="n">
        <x:v>0.0006381362909451127</x:v>
      </x:c>
      <x:c r="H85" s="415" t="n">
        <x:v>0.108</x:v>
      </x:c>
      <x:c r="I85" s="407" t="n">
        <x:v>11</x:v>
      </x:c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 t="str">
        <x:v>可部署門檻+Top-K</x:v>
      </x:c>
      <x:c r="B86" s="407" t="n">
        <x:v>15</x:v>
      </x:c>
      <x:c r="C86" s="407" t="str">
        <x:v>hybrid champion minus xgboost tuned</x:v>
      </x:c>
      <x:c r="D86" s="407" t="str">
        <x:v>episode precision</x:v>
      </x:c>
      <x:c r="E86" s="407" t="n">
        <x:v>-0.0045700945406735305</x:v>
      </x:c>
      <x:c r="F86" s="407" t="n">
        <x:v>-0.018987827003002167</x:v>
      </x:c>
      <x:c r="G86" s="407" t="n">
        <x:v>0.01048202347010374</x:v>
      </x:c>
      <x:c r="H86" s="415" t="n">
        <x:v>0.276</x:v>
      </x:c>
      <x:c r="I86" s="407" t="n">
        <x:v>11</x:v>
      </x:c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 t="str">
        <x:v>可部署門檻+Top-K</x:v>
      </x:c>
      <x:c r="B87" s="407" t="n">
        <x:v>15</x:v>
      </x:c>
      <x:c r="C87" s="407" t="str">
        <x:v>hybrid champion minus xgboost tuned</x:v>
      </x:c>
      <x:c r="D87" s="407" t="str">
        <x:v>false episodes per day</x:v>
      </x:c>
      <x:c r="E87" s="407" t="n">
        <x:v>1.4545454545454533</x:v>
      </x:c>
      <x:c r="F87" s="407" t="n">
        <x:v>-1.545454502105713</x:v>
      </x:c>
      <x:c r="G87" s="407" t="n">
        <x:v>4.454545497894287</x:v>
      </x:c>
      <x:c r="H87" s="415" t="n">
        <x:v>0.824</x:v>
      </x:c>
      <x:c r="I87" s="407" t="n">
        <x:v>11</x:v>
      </x:c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 t="str">
        <x:v>可部署門檻+Top-K</x:v>
      </x:c>
      <x:c r="B88" s="407" t="n">
        <x:v>20</x:v>
      </x:c>
      <x:c r="C88" s="407" t="str">
        <x:v>xgboost tuned minus lightgbm tuned</x:v>
      </x:c>
      <x:c r="D88" s="407" t="str">
        <x:v>macro event recall</x:v>
      </x:c>
      <x:c r="E88" s="407" t="n">
        <x:v>-0.003928280698507147</x:v>
      </x:c>
      <x:c r="F88" s="407" t="n">
        <x:v>-0.008051407523453236</x:v>
      </x:c>
      <x:c r="G88" s="407" t="n">
        <x:v>-0.0003955875290557742</x:v>
      </x:c>
      <x:c r="H88" s="415" t="n">
        <x:v>0.0165</x:v>
      </x:c>
      <x:c r="I88" s="407" t="n">
        <x:v>11</x:v>
      </x:c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 t="str">
        <x:v>可部署門檻+Top-K</x:v>
      </x:c>
      <x:c r="B89" s="407" t="n">
        <x:v>20</x:v>
      </x:c>
      <x:c r="C89" s="407" t="str">
        <x:v>xgboost tuned minus lightgbm tuned</x:v>
      </x:c>
      <x:c r="D89" s="407" t="str">
        <x:v>episode precision</x:v>
      </x:c>
      <x:c r="E89" s="407" t="n">
        <x:v>0.0037023077110133196</x:v>
      </x:c>
      <x:c r="F89" s="407" t="n">
        <x:v>-0.010846983641386032</x:v>
      </x:c>
      <x:c r="G89" s="407" t="n">
        <x:v>0.017981991171836853</x:v>
      </x:c>
      <x:c r="H89" s="415" t="n">
        <x:v>0.695</x:v>
      </x:c>
      <x:c r="I89" s="407" t="n">
        <x:v>11</x:v>
      </x:c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 t="str">
        <x:v>可部署門檻+Top-K</x:v>
      </x:c>
      <x:c r="B90" s="407" t="n">
        <x:v>20</x:v>
      </x:c>
      <x:c r="C90" s="407" t="str">
        <x:v>xgboost tuned minus lightgbm tuned</x:v>
      </x:c>
      <x:c r="D90" s="407" t="str">
        <x:v>false episodes per day</x:v>
      </x:c>
      <x:c r="E90" s="407" t="n">
        <x:v>-1.5454545454545325</x:v>
      </x:c>
      <x:c r="F90" s="407" t="n">
        <x:v>-4.456818103790283</x:v>
      </x:c>
      <x:c r="G90" s="407" t="n">
        <x:v>1.3636363744735718</x:v>
      </x:c>
      <x:c r="H90" s="415" t="n">
        <x:v>0.132</x:v>
      </x:c>
      <x:c r="I90" s="407" t="n">
        <x:v>11</x:v>
      </x:c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 t="str">
        <x:v>可部署門檻+Top-K</x:v>
      </x:c>
      <x:c r="B91" s="407" t="n">
        <x:v>20</x:v>
      </x:c>
      <x:c r="C91" s="407" t="str">
        <x:v>hybrid champion minus lightgbm tuned</x:v>
      </x:c>
      <x:c r="D91" s="407" t="str">
        <x:v>macro event recall</x:v>
      </x:c>
      <x:c r="E91" s="407" t="n">
        <x:v>-0.004491094527151157</x:v>
      </x:c>
      <x:c r="F91" s="407" t="n">
        <x:v>-0.008594254963099957</x:v>
      </x:c>
      <x:c r="G91" s="407" t="n">
        <x:v>-0.0005408055149018764</x:v>
      </x:c>
      <x:c r="H91" s="415" t="n">
        <x:v>0.0105</x:v>
      </x:c>
      <x:c r="I91" s="407" t="n">
        <x:v>11</x:v>
      </x:c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 t="str">
        <x:v>可部署門檻+Top-K</x:v>
      </x:c>
      <x:c r="B92" s="407" t="n">
        <x:v>20</x:v>
      </x:c>
      <x:c r="C92" s="407" t="str">
        <x:v>hybrid champion minus lightgbm tuned</x:v>
      </x:c>
      <x:c r="D92" s="407" t="str">
        <x:v>episode precision</x:v>
      </x:c>
      <x:c r="E92" s="407" t="n">
        <x:v>-0.006096536999052382</x:v>
      </x:c>
      <x:c r="F92" s="407" t="n">
        <x:v>-0.013042457401752472</x:v>
      </x:c>
      <x:c r="G92" s="407" t="n">
        <x:v>0.0030469230841845274</x:v>
      </x:c>
      <x:c r="H92" s="415" t="n">
        <x:v>0.07</x:v>
      </x:c>
      <x:c r="I92" s="407" t="n">
        <x:v>11</x:v>
      </x:c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 t="str">
        <x:v>可部署門檻+Top-K</x:v>
      </x:c>
      <x:c r="B93" s="407" t="n">
        <x:v>20</x:v>
      </x:c>
      <x:c r="C93" s="407" t="str">
        <x:v>hybrid champion minus lightgbm tuned</x:v>
      </x:c>
      <x:c r="D93" s="407" t="str">
        <x:v>false episodes per day</x:v>
      </x:c>
      <x:c r="E93" s="407" t="n">
        <x:v>0.6363636363636402</x:v>
      </x:c>
      <x:c r="F93" s="407" t="n">
        <x:v>-1.7272727489471436</x:v>
      </x:c>
      <x:c r="G93" s="407" t="n">
        <x:v>3.090909004211426</x:v>
      </x:c>
      <x:c r="H93" s="415" t="n">
        <x:v>0.681</x:v>
      </x:c>
      <x:c r="I93" s="407" t="n">
        <x:v>11</x:v>
      </x:c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 t="str">
        <x:v>可部署門檻+Top-K</x:v>
      </x:c>
      <x:c r="B94" s="407" t="n">
        <x:v>20</x:v>
      </x:c>
      <x:c r="C94" s="407" t="str">
        <x:v>hybrid champion minus xgboost tuned</x:v>
      </x:c>
      <x:c r="D94" s="407" t="str">
        <x:v>macro event recall</x:v>
      </x:c>
      <x:c r="E94" s="407" t="n">
        <x:v>-0.0005628138286440099</x:v>
      </x:c>
      <x:c r="F94" s="407" t="n">
        <x:v>-0.0023666531778872013</x:v>
      </x:c>
      <x:c r="G94" s="407" t="n">
        <x:v>0.0012856731191277504</x:v>
      </x:c>
      <x:c r="H94" s="415" t="n">
        <x:v>0.265</x:v>
      </x:c>
      <x:c r="I94" s="407" t="n">
        <x:v>11</x:v>
      </x:c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 t="str">
        <x:v>可部署門檻+Top-K</x:v>
      </x:c>
      <x:c r="B95" s="407" t="n">
        <x:v>20</x:v>
      </x:c>
      <x:c r="C95" s="407" t="str">
        <x:v>hybrid champion minus xgboost tuned</x:v>
      </x:c>
      <x:c r="D95" s="407" t="str">
        <x:v>episode precision</x:v>
      </x:c>
      <x:c r="E95" s="407" t="n">
        <x:v>-0.009798844710065702</x:v>
      </x:c>
      <x:c r="F95" s="407" t="n">
        <x:v>-0.020539715886116028</x:v>
      </x:c>
      <x:c r="G95" s="407" t="n">
        <x:v>0.003829319030046463</x:v>
      </x:c>
      <x:c r="H95" s="415" t="n">
        <x:v>0.0715</x:v>
      </x:c>
      <x:c r="I95" s="407" t="n">
        <x:v>11</x:v>
      </x:c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 t="str">
        <x:v>可部署門檻+Top-K</x:v>
      </x:c>
      <x:c r="B96" s="407" t="n">
        <x:v>20</x:v>
      </x:c>
      <x:c r="C96" s="407" t="str">
        <x:v>hybrid champion minus xgboost tuned</x:v>
      </x:c>
      <x:c r="D96" s="407" t="str">
        <x:v>false episodes per day</x:v>
      </x:c>
      <x:c r="E96" s="407" t="n">
        <x:v>2.1818181818181728</x:v>
      </x:c>
      <x:c r="F96" s="407" t="n">
        <x:v>-0.9090909361839294</x:v>
      </x:c>
      <x:c r="G96" s="407" t="n">
        <x:v>5.363636493682861</x:v>
      </x:c>
      <x:c r="H96" s="415" t="n">
        <x:v>0.917</x:v>
      </x:c>
      <x:c r="I96" s="407" t="n">
        <x:v>11</x:v>
      </x:c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 t="str">
        <x:v>可部署門檻+Top-K</x:v>
      </x:c>
      <x:c r="B97" s="407" t="n">
        <x:v>25</x:v>
      </x:c>
      <x:c r="C97" s="407" t="str">
        <x:v>xgboost tuned minus lightgbm tuned</x:v>
      </x:c>
      <x:c r="D97" s="407" t="str">
        <x:v>macro event recall</x:v>
      </x:c>
      <x:c r="E97" s="407" t="n">
        <x:v>-0.005334363928283736</x:v>
      </x:c>
      <x:c r="F97" s="407" t="n">
        <x:v>-0.00902965571731329</x:v>
      </x:c>
      <x:c r="G97" s="407" t="n">
        <x:v>-0.001949591445736587</x:v>
      </x:c>
      <x:c r="H97" s="415" t="n">
        <x:v>0</x:v>
      </x:c>
      <x:c r="I97" s="407" t="n">
        <x:v>11</x:v>
      </x:c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 t="str">
        <x:v>可部署門檻+Top-K</x:v>
      </x:c>
      <x:c r="B98" s="407" t="n">
        <x:v>25</x:v>
      </x:c>
      <x:c r="C98" s="407" t="str">
        <x:v>xgboost tuned minus lightgbm tuned</x:v>
      </x:c>
      <x:c r="D98" s="407" t="str">
        <x:v>episode precision</x:v>
      </x:c>
      <x:c r="E98" s="407" t="n">
        <x:v>0.0002768863771901997</x:v>
      </x:c>
      <x:c r="F98" s="407" t="n">
        <x:v>-0.01568831503391266</x:v>
      </x:c>
      <x:c r="G98" s="407" t="n">
        <x:v>0.013761838898062706</x:v>
      </x:c>
      <x:c r="H98" s="415" t="n">
        <x:v>0.547</x:v>
      </x:c>
      <x:c r="I98" s="407" t="n">
        <x:v>11</x:v>
      </x:c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 t="str">
        <x:v>可部署門檻+Top-K</x:v>
      </x:c>
      <x:c r="B99" s="407" t="n">
        <x:v>25</x:v>
      </x:c>
      <x:c r="C99" s="407" t="str">
        <x:v>xgboost tuned minus lightgbm tuned</x:v>
      </x:c>
      <x:c r="D99" s="407" t="str">
        <x:v>false episodes per day</x:v>
      </x:c>
      <x:c r="E99" s="407" t="n">
        <x:v>-1.6363636363636402</x:v>
      </x:c>
      <x:c r="F99" s="407" t="n">
        <x:v>-4.7272725105285645</x:v>
      </x:c>
      <x:c r="G99" s="407" t="n">
        <x:v>1.8181818723678589</x:v>
      </x:c>
      <x:c r="H99" s="415" t="n">
        <x:v>0.1635</x:v>
      </x:c>
      <x:c r="I99" s="407" t="n">
        <x:v>11</x:v>
      </x:c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 t="str">
        <x:v>可部署門檻+Top-K</x:v>
      </x:c>
      <x:c r="B100" s="407" t="n">
        <x:v>25</x:v>
      </x:c>
      <x:c r="C100" s="407" t="str">
        <x:v>hybrid champion minus lightgbm tuned</x:v>
      </x:c>
      <x:c r="D100" s="407" t="str">
        <x:v>macro event recall</x:v>
      </x:c>
      <x:c r="E100" s="407" t="n">
        <x:v>-0.005164948974590494</x:v>
      </x:c>
      <x:c r="F100" s="407" t="n">
        <x:v>-0.00905836932361126</x:v>
      </x:c>
      <x:c r="G100" s="407" t="n">
        <x:v>-0.0016981230583041906</x:v>
      </x:c>
      <x:c r="H100" s="415" t="n">
        <x:v>0.001</x:v>
      </x:c>
      <x:c r="I100" s="407" t="n">
        <x:v>11</x:v>
      </x:c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 t="str">
        <x:v>可部署門檻+Top-K</x:v>
      </x:c>
      <x:c r="B101" s="407" t="n">
        <x:v>25</x:v>
      </x:c>
      <x:c r="C101" s="407" t="str">
        <x:v>hybrid champion minus lightgbm tuned</x:v>
      </x:c>
      <x:c r="D101" s="407" t="str">
        <x:v>episode precision</x:v>
      </x:c>
      <x:c r="E101" s="407" t="n">
        <x:v>-0.005011883125961181</x:v>
      </x:c>
      <x:c r="F101" s="407" t="n">
        <x:v>-0.012512675486505032</x:v>
      </x:c>
      <x:c r="G101" s="407" t="n">
        <x:v>0.004128867294639349</x:v>
      </x:c>
      <x:c r="H101" s="415" t="n">
        <x:v>0.1255</x:v>
      </x:c>
      <x:c r="I101" s="407" t="n">
        <x:v>11</x:v>
      </x:c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 t="str">
        <x:v>可部署門檻+Top-K</x:v>
      </x:c>
      <x:c r="B102" s="407" t="n">
        <x:v>25</x:v>
      </x:c>
      <x:c r="C102" s="407" t="str">
        <x:v>hybrid champion minus lightgbm tuned</x:v>
      </x:c>
      <x:c r="D102" s="407" t="str">
        <x:v>false episodes per day</x:v>
      </x:c>
      <x:c r="E102" s="407" t="n">
        <x:v>0.27272727272726627</x:v>
      </x:c>
      <x:c r="F102" s="407" t="n">
        <x:v>-2.3636362552642822</x:v>
      </x:c>
      <x:c r="G102" s="407" t="n">
        <x:v>2.8181817531585693</x:v>
      </x:c>
      <x:c r="H102" s="415" t="n">
        <x:v>0.558</x:v>
      </x:c>
      <x:c r="I102" s="407" t="n">
        <x:v>11</x:v>
      </x:c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 t="str">
        <x:v>可部署門檻+Top-K</x:v>
      </x:c>
      <x:c r="B103" s="407" t="n">
        <x:v>25</x:v>
      </x:c>
      <x:c r="C103" s="407" t="str">
        <x:v>hybrid champion minus xgboost tuned</x:v>
      </x:c>
      <x:c r="D103" s="407" t="str">
        <x:v>macro event recall</x:v>
      </x:c>
      <x:c r="E103" s="407" t="n">
        <x:v>0.0001694149536932421</x:v>
      </x:c>
      <x:c r="F103" s="407" t="n">
        <x:v>-0.0012311663012951612</x:v>
      </x:c>
      <x:c r="G103" s="407" t="n">
        <x:v>0.0017193570965901017</x:v>
      </x:c>
      <x:c r="H103" s="415" t="n">
        <x:v>0.5465</x:v>
      </x:c>
      <x:c r="I103" s="407" t="n">
        <x:v>11</x:v>
      </x:c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 t="str">
        <x:v>可部署門檻+Top-K</x:v>
      </x:c>
      <x:c r="B104" s="407" t="n">
        <x:v>25</x:v>
      </x:c>
      <x:c r="C104" s="407" t="str">
        <x:v>hybrid champion minus xgboost tuned</x:v>
      </x:c>
      <x:c r="D104" s="407" t="str">
        <x:v>episode precision</x:v>
      </x:c>
      <x:c r="E104" s="407" t="n">
        <x:v>-0.00528876950315138</x:v>
      </x:c>
      <x:c r="F104" s="407" t="n">
        <x:v>-0.016794715076684952</x:v>
      </x:c>
      <x:c r="G104" s="407" t="n">
        <x:v>0.008013850077986717</x:v>
      </x:c>
      <x:c r="H104" s="415" t="n">
        <x:v>0.201</x:v>
      </x:c>
      <x:c r="I104" s="407" t="n">
        <x:v>11</x:v>
      </x:c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 t="str">
        <x:v>可部署門檻+Top-K</x:v>
      </x:c>
      <x:c r="B105" s="407" t="n">
        <x:v>25</x:v>
      </x:c>
      <x:c r="C105" s="407" t="str">
        <x:v>hybrid champion minus xgboost tuned</x:v>
      </x:c>
      <x:c r="D105" s="407" t="str">
        <x:v>false episodes per day</x:v>
      </x:c>
      <x:c r="E105" s="407" t="n">
        <x:v>1.9090909090909065</x:v>
      </x:c>
      <x:c r="F105" s="407" t="n">
        <x:v>-1.2727272510528564</x:v>
      </x:c>
      <x:c r="G105" s="407" t="n">
        <x:v>5.454545497894287</x:v>
      </x:c>
      <x:c r="H105" s="415" t="n">
        <x:v>0.8635</x:v>
      </x:c>
      <x:c r="I105" s="407" t="n">
        <x:v>11</x:v>
      </x:c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AF2"/>
    <x:mergeCell ref="A3:AF3"/>
    <x:mergeCell ref="A23:Q29"/>
  </x:mergeCells>
  <x:pageMargins left="0.7" right="0.7" top="0.75" bottom="0.75" header="0.3" footer="0.3"/>
  <x:drawing xmlns:r="http://schemas.openxmlformats.org/officeDocument/2006/relationships" r:id="R81f19f1e402248b4"/>
  <x:tableParts count="2">
    <x:tablePart xmlns:r="http://schemas.openxmlformats.org/officeDocument/2006/relationships" r:id="Rec95caa0b14a4edb"/>
    <x:tablePart xmlns:r="http://schemas.openxmlformats.org/officeDocument/2006/relationships" r:id="R0d9ac488206d43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29" customHeight="1">
      <x:c r="A1" s="4" t="str">
        <x:v>機率校正、F2門檻與營運底線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校正讓分數接近機率；F2門檻比較分類；0.40/0.25底線篩高風險，再以Top-K限制人力。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事件</x:v>
      </x:c>
      <x:c r="B5" s="52" t="str">
        <x:v>方法</x:v>
      </x:c>
      <x:c r="C5" s="52" t="str">
        <x:v>F2門檻</x:v>
      </x:c>
      <x:c r="D5" s="52" t="str">
        <x:v>來源</x:v>
      </x:c>
      <x:c r="E5" s="53" t="str">
        <x:v>營運底線</x:v>
      </x:c>
      <x:c r="F5" s="407"/>
      <x:c r="G5" s="51" t="str">
        <x:v>事件</x:v>
      </x:c>
      <x:c r="H5" s="52" t="str">
        <x:v>方法</x:v>
      </x:c>
      <x:c r="I5" s="52" t="str">
        <x:v>Slope</x:v>
      </x:c>
      <x:c r="J5" s="53" t="str">
        <x:v>Intercept</x:v>
      </x:c>
      <x:c r="K5" s="407"/>
      <x:c r="L5" s="79" t="str">
        <x:v>F2門檻約2%–8%，因新失衡是稀少事件且F2重視漏報；營運底線40%/25%則刻意只保留真正高風險候選。兩者目的不同，不能互相取代。</x:v>
      </x:c>
      <x:c r="M5" s="80" t="str">
        <x:v>F2門檻約2%–8%，因新失衡是稀少事件且F2重視漏報；營運底線40%/25%則刻意只保留真正高風險候選。兩者目的不同，不能互相取代。</x:v>
      </x:c>
      <x:c r="N5" s="80" t="str">
        <x:v>F2門檻約2%–8%，因新失衡是稀少事件且F2重視漏報；營運底線40%/25%則刻意只保留真正高風險候選。兩者目的不同，不能互相取代。</x:v>
      </x:c>
      <x:c r="O5" s="80" t="str">
        <x:v>F2門檻約2%–8%，因新失衡是稀少事件且F2重視漏報；營運底線40%/25%則刻意只保留真正高風險候選。兩者目的不同，不能互相取代。</x:v>
      </x:c>
      <x:c r="P5" s="80" t="str">
        <x:v>F2門檻約2%–8%，因新失衡是稀少事件且F2重視漏報；營運底線40%/25%則刻意只保留真正高風險候選。兩者目的不同，不能互相取代。</x:v>
      </x:c>
      <x:c r="Q5" s="80" t="str">
        <x:v>F2門檻約2%–8%，因新失衡是稀少事件且F2重視漏報；營運底線40%/25%則刻意只保留真正高風險候選。兩者目的不同，不能互相取代。</x:v>
      </x:c>
      <x:c r="R5" s="80" t="str">
        <x:v>F2門檻約2%–8%，因新失衡是稀少事件且F2重視漏報；營運底線40%/25%則刻意只保留真正高風險候選。兩者目的不同，不能互相取代。</x:v>
      </x:c>
      <x:c r="S5" s="80" t="str">
        <x:v>F2門檻約2%–8%，因新失衡是稀少事件且F2重視漏報；營運底線40%/25%則刻意只保留真正高風險候選。兩者目的不同，不能互相取代。</x:v>
      </x:c>
      <x:c r="T5" s="80" t="str">
        <x:v>F2門檻約2%–8%，因新失衡是稀少事件且F2重視漏報；營運底線40%/25%則刻意只保留真正高風險候選。兩者目的不同，不能互相取代。</x:v>
      </x:c>
      <x:c r="U5" s="80" t="str">
        <x:v>F2門檻約2%–8%，因新失衡是稀少事件且F2重視漏報；營運底線40%/25%則刻意只保留真正高風險候選。兩者目的不同，不能互相取代。</x:v>
      </x:c>
      <x:c r="V5" s="80" t="str">
        <x:v>F2門檻約2%–8%，因新失衡是稀少事件且F2重視漏報；營運底線40%/25%則刻意只保留真正高風險候選。兩者目的不同，不能互相取代。</x:v>
      </x:c>
      <x:c r="W5" s="80" t="str">
        <x:v>F2門檻約2%–8%，因新失衡是稀少事件且F2重視漏報；營運底線40%/25%則刻意只保留真正高風險候選。兩者目的不同，不能互相取代。</x:v>
      </x:c>
      <x:c r="X5" s="80" t="str">
        <x:v>F2門檻約2%–8%，因新失衡是稀少事件且F2重視漏報；營運底線40%/25%則刻意只保留真正高風險候選。兩者目的不同，不能互相取代。</x:v>
      </x:c>
      <x:c r="Y5" s="81" t="str">
        <x:v>F2門檻約2%–8%，因新失衡是稀少事件且F2重視漏報；營運底線40%/25%則刻意只保留真正高風險候選。兩者目的不同，不能互相取代。</x:v>
      </x:c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str">
        <x:v>缺車</x:v>
      </x:c>
      <x:c r="B6" s="407" t="str">
        <x:v>比例規則</x:v>
      </x:c>
      <x:c r="C6" s="410" t="n">
        <x:v>0.06981483846902847</x:v>
      </x:c>
      <x:c r="D6" s="407" t="str">
        <x:v>05/15–05/20 F2最大</x:v>
      </x:c>
      <x:c r="E6" s="416" t="n">
        <x:v>0.4</x:v>
      </x:c>
      <x:c r="F6" s="407"/>
      <x:c r="G6" s="407" t="str">
        <x:v>缺車</x:v>
      </x:c>
      <x:c r="H6" s="407" t="str">
        <x:v>比例規則</x:v>
      </x:c>
      <x:c r="I6" s="411" t="n">
        <x:v>8.618772506713867</x:v>
      </x:c>
      <x:c r="J6" s="411" t="n">
        <x:v>-1.440367579460144</x:v>
      </x:c>
      <x:c r="K6" s="407"/>
      <x:c r="L6" s="82" t="str">
        <x:v>F2門檻約2%–8%，因新失衡是稀少事件且F2重視漏報；營運底線40%/25%則刻意只保留真正高風險候選。兩者目的不同，不能互相取代。</x:v>
      </x:c>
      <x:c r="M6" s="83" t="str">
        <x:v>F2門檻約2%–8%，因新失衡是稀少事件且F2重視漏報；營運底線40%/25%則刻意只保留真正高風險候選。兩者目的不同，不能互相取代。</x:v>
      </x:c>
      <x:c r="N6" s="83" t="str">
        <x:v>F2門檻約2%–8%，因新失衡是稀少事件且F2重視漏報；營運底線40%/25%則刻意只保留真正高風險候選。兩者目的不同，不能互相取代。</x:v>
      </x:c>
      <x:c r="O6" s="83" t="str">
        <x:v>F2門檻約2%–8%，因新失衡是稀少事件且F2重視漏報；營運底線40%/25%則刻意只保留真正高風險候選。兩者目的不同，不能互相取代。</x:v>
      </x:c>
      <x:c r="P6" s="83" t="str">
        <x:v>F2門檻約2%–8%，因新失衡是稀少事件且F2重視漏報；營運底線40%/25%則刻意只保留真正高風險候選。兩者目的不同，不能互相取代。</x:v>
      </x:c>
      <x:c r="Q6" s="83" t="str">
        <x:v>F2門檻約2%–8%，因新失衡是稀少事件且F2重視漏報；營運底線40%/25%則刻意只保留真正高風險候選。兩者目的不同，不能互相取代。</x:v>
      </x:c>
      <x:c r="R6" s="83" t="str">
        <x:v>F2門檻約2%–8%，因新失衡是稀少事件且F2重視漏報；營運底線40%/25%則刻意只保留真正高風險候選。兩者目的不同，不能互相取代。</x:v>
      </x:c>
      <x:c r="S6" s="83" t="str">
        <x:v>F2門檻約2%–8%，因新失衡是稀少事件且F2重視漏報；營運底線40%/25%則刻意只保留真正高風險候選。兩者目的不同，不能互相取代。</x:v>
      </x:c>
      <x:c r="T6" s="83" t="str">
        <x:v>F2門檻約2%–8%，因新失衡是稀少事件且F2重視漏報；營運底線40%/25%則刻意只保留真正高風險候選。兩者目的不同，不能互相取代。</x:v>
      </x:c>
      <x:c r="U6" s="83" t="str">
        <x:v>F2門檻約2%–8%，因新失衡是稀少事件且F2重視漏報；營運底線40%/25%則刻意只保留真正高風險候選。兩者目的不同，不能互相取代。</x:v>
      </x:c>
      <x:c r="V6" s="83" t="str">
        <x:v>F2門檻約2%–8%，因新失衡是稀少事件且F2重視漏報；營運底線40%/25%則刻意只保留真正高風險候選。兩者目的不同，不能互相取代。</x:v>
      </x:c>
      <x:c r="W6" s="83" t="str">
        <x:v>F2門檻約2%–8%，因新失衡是稀少事件且F2重視漏報；營運底線40%/25%則刻意只保留真正高風險候選。兩者目的不同，不能互相取代。</x:v>
      </x:c>
      <x:c r="X6" s="83" t="str">
        <x:v>F2門檻約2%–8%，因新失衡是稀少事件且F2重視漏報；營運底線40%/25%則刻意只保留真正高風險候選。兩者目的不同，不能互相取代。</x:v>
      </x:c>
      <x:c r="Y6" s="84" t="str">
        <x:v>F2門檻約2%–8%，因新失衡是稀少事件且F2重視漏報；營運底線40%/25%則刻意只保留真正高風險候選。兩者目的不同，不能互相取代。</x:v>
      </x:c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str">
        <x:v>缺車</x:v>
      </x:c>
      <x:c r="B7" s="407" t="str">
        <x:v>線性外推</x:v>
      </x:c>
      <x:c r="C7" s="410" t="n">
        <x:v>0.050914328545331955</x:v>
      </x:c>
      <x:c r="D7" s="407" t="str">
        <x:v>05/15–05/20 F2最大</x:v>
      </x:c>
      <x:c r="E7" s="416" t="n">
        <x:v>0.4</x:v>
      </x:c>
      <x:c r="F7" s="407"/>
      <x:c r="G7" s="407" t="str">
        <x:v>缺車</x:v>
      </x:c>
      <x:c r="H7" s="407" t="str">
        <x:v>線性外推</x:v>
      </x:c>
      <x:c r="I7" s="411" t="n">
        <x:v>4.29319953918457</x:v>
      </x:c>
      <x:c r="J7" s="411" t="n">
        <x:v>-2.4483325481414795</x:v>
      </x:c>
      <x:c r="K7" s="407"/>
      <x:c r="L7" s="82" t="str">
        <x:v>F2門檻約2%–8%，因新失衡是稀少事件且F2重視漏報；營運底線40%/25%則刻意只保留真正高風險候選。兩者目的不同，不能互相取代。</x:v>
      </x:c>
      <x:c r="M7" s="83" t="str">
        <x:v>F2門檻約2%–8%，因新失衡是稀少事件且F2重視漏報；營運底線40%/25%則刻意只保留真正高風險候選。兩者目的不同，不能互相取代。</x:v>
      </x:c>
      <x:c r="N7" s="83" t="str">
        <x:v>F2門檻約2%–8%，因新失衡是稀少事件且F2重視漏報；營運底線40%/25%則刻意只保留真正高風險候選。兩者目的不同，不能互相取代。</x:v>
      </x:c>
      <x:c r="O7" s="83" t="str">
        <x:v>F2門檻約2%–8%，因新失衡是稀少事件且F2重視漏報；營運底線40%/25%則刻意只保留真正高風險候選。兩者目的不同，不能互相取代。</x:v>
      </x:c>
      <x:c r="P7" s="83" t="str">
        <x:v>F2門檻約2%–8%，因新失衡是稀少事件且F2重視漏報；營運底線40%/25%則刻意只保留真正高風險候選。兩者目的不同，不能互相取代。</x:v>
      </x:c>
      <x:c r="Q7" s="83" t="str">
        <x:v>F2門檻約2%–8%，因新失衡是稀少事件且F2重視漏報；營運底線40%/25%則刻意只保留真正高風險候選。兩者目的不同，不能互相取代。</x:v>
      </x:c>
      <x:c r="R7" s="83" t="str">
        <x:v>F2門檻約2%–8%，因新失衡是稀少事件且F2重視漏報；營運底線40%/25%則刻意只保留真正高風險候選。兩者目的不同，不能互相取代。</x:v>
      </x:c>
      <x:c r="S7" s="83" t="str">
        <x:v>F2門檻約2%–8%，因新失衡是稀少事件且F2重視漏報；營運底線40%/25%則刻意只保留真正高風險候選。兩者目的不同，不能互相取代。</x:v>
      </x:c>
      <x:c r="T7" s="83" t="str">
        <x:v>F2門檻約2%–8%，因新失衡是稀少事件且F2重視漏報；營運底線40%/25%則刻意只保留真正高風險候選。兩者目的不同，不能互相取代。</x:v>
      </x:c>
      <x:c r="U7" s="83" t="str">
        <x:v>F2門檻約2%–8%，因新失衡是稀少事件且F2重視漏報；營運底線40%/25%則刻意只保留真正高風險候選。兩者目的不同，不能互相取代。</x:v>
      </x:c>
      <x:c r="V7" s="83" t="str">
        <x:v>F2門檻約2%–8%，因新失衡是稀少事件且F2重視漏報；營運底線40%/25%則刻意只保留真正高風險候選。兩者目的不同，不能互相取代。</x:v>
      </x:c>
      <x:c r="W7" s="83" t="str">
        <x:v>F2門檻約2%–8%，因新失衡是稀少事件且F2重視漏報；營運底線40%/25%則刻意只保留真正高風險候選。兩者目的不同，不能互相取代。</x:v>
      </x:c>
      <x:c r="X7" s="83" t="str">
        <x:v>F2門檻約2%–8%，因新失衡是稀少事件且F2重視漏報；營運底線40%/25%則刻意只保留真正高風險候選。兩者目的不同，不能互相取代。</x:v>
      </x:c>
      <x:c r="Y7" s="84" t="str">
        <x:v>F2門檻約2%–8%，因新失衡是稀少事件且F2重視漏報；營運底線40%/25%則刻意只保留真正高風險候選。兩者目的不同，不能互相取代。</x:v>
      </x:c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 t="str">
        <x:v>缺車</x:v>
      </x:c>
      <x:c r="B8" s="407" t="str">
        <x:v>Logistic</x:v>
      </x:c>
      <x:c r="C8" s="410" t="n">
        <x:v>0.0745374698638916</x:v>
      </x:c>
      <x:c r="D8" s="407" t="str">
        <x:v>05/15–05/20 F2最大</x:v>
      </x:c>
      <x:c r="E8" s="416" t="n">
        <x:v>0.4</x:v>
      </x:c>
      <x:c r="F8" s="407"/>
      <x:c r="G8" s="407" t="str">
        <x:v>缺車</x:v>
      </x:c>
      <x:c r="H8" s="407" t="str">
        <x:v>Logistic</x:v>
      </x:c>
      <x:c r="I8" s="411" t="n">
        <x:v>1.0070040225982666</x:v>
      </x:c>
      <x:c r="J8" s="411" t="n">
        <x:v>0.8389930725097656</x:v>
      </x:c>
      <x:c r="K8" s="407"/>
      <x:c r="L8" s="82" t="str">
        <x:v>F2門檻約2%–8%，因新失衡是稀少事件且F2重視漏報；營運底線40%/25%則刻意只保留真正高風險候選。兩者目的不同，不能互相取代。</x:v>
      </x:c>
      <x:c r="M8" s="83" t="str">
        <x:v>F2門檻約2%–8%，因新失衡是稀少事件且F2重視漏報；營運底線40%/25%則刻意只保留真正高風險候選。兩者目的不同，不能互相取代。</x:v>
      </x:c>
      <x:c r="N8" s="83" t="str">
        <x:v>F2門檻約2%–8%，因新失衡是稀少事件且F2重視漏報；營運底線40%/25%則刻意只保留真正高風險候選。兩者目的不同，不能互相取代。</x:v>
      </x:c>
      <x:c r="O8" s="83" t="str">
        <x:v>F2門檻約2%–8%，因新失衡是稀少事件且F2重視漏報；營運底線40%/25%則刻意只保留真正高風險候選。兩者目的不同，不能互相取代。</x:v>
      </x:c>
      <x:c r="P8" s="83" t="str">
        <x:v>F2門檻約2%–8%，因新失衡是稀少事件且F2重視漏報；營運底線40%/25%則刻意只保留真正高風險候選。兩者目的不同，不能互相取代。</x:v>
      </x:c>
      <x:c r="Q8" s="83" t="str">
        <x:v>F2門檻約2%–8%，因新失衡是稀少事件且F2重視漏報；營運底線40%/25%則刻意只保留真正高風險候選。兩者目的不同，不能互相取代。</x:v>
      </x:c>
      <x:c r="R8" s="83" t="str">
        <x:v>F2門檻約2%–8%，因新失衡是稀少事件且F2重視漏報；營運底線40%/25%則刻意只保留真正高風險候選。兩者目的不同，不能互相取代。</x:v>
      </x:c>
      <x:c r="S8" s="83" t="str">
        <x:v>F2門檻約2%–8%，因新失衡是稀少事件且F2重視漏報；營運底線40%/25%則刻意只保留真正高風險候選。兩者目的不同，不能互相取代。</x:v>
      </x:c>
      <x:c r="T8" s="83" t="str">
        <x:v>F2門檻約2%–8%，因新失衡是稀少事件且F2重視漏報；營運底線40%/25%則刻意只保留真正高風險候選。兩者目的不同，不能互相取代。</x:v>
      </x:c>
      <x:c r="U8" s="83" t="str">
        <x:v>F2門檻約2%–8%，因新失衡是稀少事件且F2重視漏報；營運底線40%/25%則刻意只保留真正高風險候選。兩者目的不同，不能互相取代。</x:v>
      </x:c>
      <x:c r="V8" s="83" t="str">
        <x:v>F2門檻約2%–8%，因新失衡是稀少事件且F2重視漏報；營運底線40%/25%則刻意只保留真正高風險候選。兩者目的不同，不能互相取代。</x:v>
      </x:c>
      <x:c r="W8" s="83" t="str">
        <x:v>F2門檻約2%–8%，因新失衡是稀少事件且F2重視漏報；營運底線40%/25%則刻意只保留真正高風險候選。兩者目的不同，不能互相取代。</x:v>
      </x:c>
      <x:c r="X8" s="83" t="str">
        <x:v>F2門檻約2%–8%，因新失衡是稀少事件且F2重視漏報；營運底線40%/25%則刻意只保留真正高風險候選。兩者目的不同，不能互相取代。</x:v>
      </x:c>
      <x:c r="Y8" s="84" t="str">
        <x:v>F2門檻約2%–8%，因新失衡是稀少事件且F2重視漏報；營運底線40%/25%則刻意只保留真正高風險候選。兩者目的不同，不能互相取代。</x:v>
      </x:c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 t="str">
        <x:v>缺車</x:v>
      </x:c>
      <x:c r="B9" s="407" t="str">
        <x:v>LightGBM 舊版</x:v>
      </x:c>
      <x:c r="C9" s="410" t="n">
        <x:v>0.0815093592703341</x:v>
      </x:c>
      <x:c r="D9" s="407" t="str">
        <x:v>05/15–05/20 F2最大</x:v>
      </x:c>
      <x:c r="E9" s="416" t="n">
        <x:v>0.4</x:v>
      </x:c>
      <x:c r="F9" s="407"/>
      <x:c r="G9" s="407" t="str">
        <x:v>缺車</x:v>
      </x:c>
      <x:c r="H9" s="407" t="str">
        <x:v>LightGBM 舊版</x:v>
      </x:c>
      <x:c r="I9" s="411" t="n">
        <x:v>1.0759172439575195</x:v>
      </x:c>
      <x:c r="J9" s="411" t="n">
        <x:v>0.19635342061519623</x:v>
      </x:c>
      <x:c r="K9" s="407"/>
      <x:c r="L9" s="82" t="str">
        <x:v>F2門檻約2%–8%，因新失衡是稀少事件且F2重視漏報；營運底線40%/25%則刻意只保留真正高風險候選。兩者目的不同，不能互相取代。</x:v>
      </x:c>
      <x:c r="M9" s="83" t="str">
        <x:v>F2門檻約2%–8%，因新失衡是稀少事件且F2重視漏報；營運底線40%/25%則刻意只保留真正高風險候選。兩者目的不同，不能互相取代。</x:v>
      </x:c>
      <x:c r="N9" s="83" t="str">
        <x:v>F2門檻約2%–8%，因新失衡是稀少事件且F2重視漏報；營運底線40%/25%則刻意只保留真正高風險候選。兩者目的不同，不能互相取代。</x:v>
      </x:c>
      <x:c r="O9" s="83" t="str">
        <x:v>F2門檻約2%–8%，因新失衡是稀少事件且F2重視漏報；營運底線40%/25%則刻意只保留真正高風險候選。兩者目的不同，不能互相取代。</x:v>
      </x:c>
      <x:c r="P9" s="83" t="str">
        <x:v>F2門檻約2%–8%，因新失衡是稀少事件且F2重視漏報；營運底線40%/25%則刻意只保留真正高風險候選。兩者目的不同，不能互相取代。</x:v>
      </x:c>
      <x:c r="Q9" s="83" t="str">
        <x:v>F2門檻約2%–8%，因新失衡是稀少事件且F2重視漏報；營運底線40%/25%則刻意只保留真正高風險候選。兩者目的不同，不能互相取代。</x:v>
      </x:c>
      <x:c r="R9" s="83" t="str">
        <x:v>F2門檻約2%–8%，因新失衡是稀少事件且F2重視漏報；營運底線40%/25%則刻意只保留真正高風險候選。兩者目的不同，不能互相取代。</x:v>
      </x:c>
      <x:c r="S9" s="83" t="str">
        <x:v>F2門檻約2%–8%，因新失衡是稀少事件且F2重視漏報；營運底線40%/25%則刻意只保留真正高風險候選。兩者目的不同，不能互相取代。</x:v>
      </x:c>
      <x:c r="T9" s="83" t="str">
        <x:v>F2門檻約2%–8%，因新失衡是稀少事件且F2重視漏報；營運底線40%/25%則刻意只保留真正高風險候選。兩者目的不同，不能互相取代。</x:v>
      </x:c>
      <x:c r="U9" s="83" t="str">
        <x:v>F2門檻約2%–8%，因新失衡是稀少事件且F2重視漏報；營運底線40%/25%則刻意只保留真正高風險候選。兩者目的不同，不能互相取代。</x:v>
      </x:c>
      <x:c r="V9" s="83" t="str">
        <x:v>F2門檻約2%–8%，因新失衡是稀少事件且F2重視漏報；營運底線40%/25%則刻意只保留真正高風險候選。兩者目的不同，不能互相取代。</x:v>
      </x:c>
      <x:c r="W9" s="83" t="str">
        <x:v>F2門檻約2%–8%，因新失衡是稀少事件且F2重視漏報；營運底線40%/25%則刻意只保留真正高風險候選。兩者目的不同，不能互相取代。</x:v>
      </x:c>
      <x:c r="X9" s="83" t="str">
        <x:v>F2門檻約2%–8%，因新失衡是稀少事件且F2重視漏報；營運底線40%/25%則刻意只保留真正高風險候選。兩者目的不同，不能互相取代。</x:v>
      </x:c>
      <x:c r="Y9" s="84" t="str">
        <x:v>F2門檻約2%–8%，因新失衡是稀少事件且F2重視漏報；營運底線40%/25%則刻意只保留真正高風險候選。兩者目的不同，不能互相取代。</x:v>
      </x:c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 t="str">
        <x:v>缺車</x:v>
      </x:c>
      <x:c r="B10" s="407" t="str">
        <x:v>LightGBM 正式調參</x:v>
      </x:c>
      <x:c r="C10" s="410" t="n">
        <x:v>0.08395294278860092</x:v>
      </x:c>
      <x:c r="D10" s="407" t="str">
        <x:v>05/15–05/20 F2最大</x:v>
      </x:c>
      <x:c r="E10" s="416" t="n">
        <x:v>0.4</x:v>
      </x:c>
      <x:c r="F10" s="407"/>
      <x:c r="G10" s="407" t="str">
        <x:v>缺車</x:v>
      </x:c>
      <x:c r="H10" s="407" t="str">
        <x:v>LightGBM 正式調參</x:v>
      </x:c>
      <x:c r="I10" s="411" t="n">
        <x:v>1.0732488632202148</x:v>
      </x:c>
      <x:c r="J10" s="411" t="n">
        <x:v>0.18817295134067535</x:v>
      </x:c>
      <x:c r="K10" s="407"/>
      <x:c r="L10" s="85" t="str">
        <x:v>F2門檻約2%–8%，因新失衡是稀少事件且F2重視漏報；營運底線40%/25%則刻意只保留真正高風險候選。兩者目的不同，不能互相取代。</x:v>
      </x:c>
      <x:c r="M10" s="86" t="str">
        <x:v>F2門檻約2%–8%，因新失衡是稀少事件且F2重視漏報；營運底線40%/25%則刻意只保留真正高風險候選。兩者目的不同，不能互相取代。</x:v>
      </x:c>
      <x:c r="N10" s="86" t="str">
        <x:v>F2門檻約2%–8%，因新失衡是稀少事件且F2重視漏報；營運底線40%/25%則刻意只保留真正高風險候選。兩者目的不同，不能互相取代。</x:v>
      </x:c>
      <x:c r="O10" s="86" t="str">
        <x:v>F2門檻約2%–8%，因新失衡是稀少事件且F2重視漏報；營運底線40%/25%則刻意只保留真正高風險候選。兩者目的不同，不能互相取代。</x:v>
      </x:c>
      <x:c r="P10" s="86" t="str">
        <x:v>F2門檻約2%–8%，因新失衡是稀少事件且F2重視漏報；營運底線40%/25%則刻意只保留真正高風險候選。兩者目的不同，不能互相取代。</x:v>
      </x:c>
      <x:c r="Q10" s="86" t="str">
        <x:v>F2門檻約2%–8%，因新失衡是稀少事件且F2重視漏報；營運底線40%/25%則刻意只保留真正高風險候選。兩者目的不同，不能互相取代。</x:v>
      </x:c>
      <x:c r="R10" s="86" t="str">
        <x:v>F2門檻約2%–8%，因新失衡是稀少事件且F2重視漏報；營運底線40%/25%則刻意只保留真正高風險候選。兩者目的不同，不能互相取代。</x:v>
      </x:c>
      <x:c r="S10" s="86" t="str">
        <x:v>F2門檻約2%–8%，因新失衡是稀少事件且F2重視漏報；營運底線40%/25%則刻意只保留真正高風險候選。兩者目的不同，不能互相取代。</x:v>
      </x:c>
      <x:c r="T10" s="86" t="str">
        <x:v>F2門檻約2%–8%，因新失衡是稀少事件且F2重視漏報；營運底線40%/25%則刻意只保留真正高風險候選。兩者目的不同，不能互相取代。</x:v>
      </x:c>
      <x:c r="U10" s="86" t="str">
        <x:v>F2門檻約2%–8%，因新失衡是稀少事件且F2重視漏報；營運底線40%/25%則刻意只保留真正高風險候選。兩者目的不同，不能互相取代。</x:v>
      </x:c>
      <x:c r="V10" s="86" t="str">
        <x:v>F2門檻約2%–8%，因新失衡是稀少事件且F2重視漏報；營運底線40%/25%則刻意只保留真正高風險候選。兩者目的不同，不能互相取代。</x:v>
      </x:c>
      <x:c r="W10" s="86" t="str">
        <x:v>F2門檻約2%–8%，因新失衡是稀少事件且F2重視漏報；營運底線40%/25%則刻意只保留真正高風險候選。兩者目的不同，不能互相取代。</x:v>
      </x:c>
      <x:c r="X10" s="86" t="str">
        <x:v>F2門檻約2%–8%，因新失衡是稀少事件且F2重視漏報；營運底線40%/25%則刻意只保留真正高風險候選。兩者目的不同，不能互相取代。</x:v>
      </x:c>
      <x:c r="Y10" s="87" t="str">
        <x:v>F2門檻約2%–8%，因新失衡是稀少事件且F2重視漏報；營運底線40%/25%則刻意只保留真正高風險候選。兩者目的不同，不能互相取代。</x:v>
      </x:c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str">
        <x:v>缺車</x:v>
      </x:c>
      <x:c r="B11" s="407" t="str">
        <x:v>XGBoost 正式調參</x:v>
      </x:c>
      <x:c r="C11" s="410" t="n">
        <x:v>0.07664588463306425</x:v>
      </x:c>
      <x:c r="D11" s="407" t="str">
        <x:v>05/15–05/20 F2最大</x:v>
      </x:c>
      <x:c r="E11" s="416" t="n">
        <x:v>0.4</x:v>
      </x:c>
      <x:c r="F11" s="407"/>
      <x:c r="G11" s="407" t="str">
        <x:v>缺車</x:v>
      </x:c>
      <x:c r="H11" s="407" t="str">
        <x:v>XGBoost 正式調參</x:v>
      </x:c>
      <x:c r="I11" s="411" t="n">
        <x:v>1.0895307064056396</x:v>
      </x:c>
      <x:c r="J11" s="411" t="n">
        <x:v>0.23774783313274384</x:v>
      </x:c>
      <x:c r="K11" s="407"/>
      <x:c r="L11" s="407"/>
      <x:c r="M11" s="407"/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 ht="32" customHeight="1">
      <x:c r="A12" s="407" t="str">
        <x:v>缺車</x:v>
      </x:c>
      <x:c r="B12" s="407" t="str">
        <x:v>跨模型混合（CV規則）</x:v>
      </x:c>
      <x:c r="C12" s="410" t="n">
        <x:v>0.08395294278860092</x:v>
      </x:c>
      <x:c r="D12" s="407" t="str">
        <x:v>05/15–05/20 F2最大</x:v>
      </x:c>
      <x:c r="E12" s="416" t="n">
        <x:v>0.4</x:v>
      </x:c>
      <x:c r="F12" s="407"/>
      <x:c r="G12" s="407" t="str">
        <x:v>滿柱</x:v>
      </x:c>
      <x:c r="H12" s="407" t="str">
        <x:v>比例規則</x:v>
      </x:c>
      <x:c r="I12" s="411" t="n">
        <x:v>7.730652809143066</x:v>
      </x:c>
      <x:c r="J12" s="411" t="n">
        <x:v>-1.889634609222412</x:v>
      </x:c>
      <x:c r="K12" s="407"/>
      <x:c r="L12" s="51" t="str">
        <x:v>Bin</x:v>
      </x:c>
      <x:c r="M12" s="52" t="str">
        <x:v>預測</x:v>
      </x:c>
      <x:c r="N12" s="53" t="str">
        <x:v>實際</x:v>
      </x:c>
      <x:c r="O12" s="407"/>
      <x:c r="P12" s="51" t="str">
        <x:v>Bin</x:v>
      </x:c>
      <x:c r="Q12" s="52" t="str">
        <x:v>預測</x:v>
      </x:c>
      <x:c r="R12" s="53" t="str">
        <x:v>實際</x:v>
      </x:c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str">
        <x:v>滿柱</x:v>
      </x:c>
      <x:c r="B13" s="407" t="str">
        <x:v>比例規則</x:v>
      </x:c>
      <x:c r="C13" s="410" t="n">
        <x:v>0.035735949873924255</x:v>
      </x:c>
      <x:c r="D13" s="407" t="str">
        <x:v>05/15–05/20 F2最大</x:v>
      </x:c>
      <x:c r="E13" s="416" t="n">
        <x:v>0.25</x:v>
      </x:c>
      <x:c r="F13" s="407"/>
      <x:c r="G13" s="407" t="str">
        <x:v>滿柱</x:v>
      </x:c>
      <x:c r="H13" s="407" t="str">
        <x:v>線性外推</x:v>
      </x:c>
      <x:c r="I13" s="411" t="n">
        <x:v>4.30920934677124</x:v>
      </x:c>
      <x:c r="J13" s="411" t="n">
        <x:v>-3.460657835006714</x:v>
      </x:c>
      <x:c r="K13" s="407"/>
      <x:c r="L13" s="407" t="n">
        <x:f>B24</x:f>
        <x:v>1</x:v>
      </x:c>
      <x:c r="M13" s="407" t="n">
        <x:f>E24</x:f>
        <x:v>0.00022986090334597975</x:v>
      </x:c>
      <x:c r="N13" s="407" t="n">
        <x:f>F24</x:f>
        <x:v>0.00004554148829583751</x:v>
      </x:c>
      <x:c r="O13" s="407"/>
      <x:c r="P13" s="407" t="n">
        <x:f>B34</x:f>
        <x:v>1</x:v>
      </x:c>
      <x:c r="Q13" s="407" t="n">
        <x:f>E34</x:f>
        <x:v>0.000023056163627188653</x:v>
      </x:c>
      <x:c r="R13" s="407" t="n">
        <x:f>F34</x:f>
        <x:v>0</x:v>
      </x:c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滿柱</x:v>
      </x:c>
      <x:c r="B14" s="407" t="str">
        <x:v>線性外推</x:v>
      </x:c>
      <x:c r="C14" s="410" t="n">
        <x:v>0.019087327644228935</x:v>
      </x:c>
      <x:c r="D14" s="407" t="str">
        <x:v>05/15–05/20 F2最大</x:v>
      </x:c>
      <x:c r="E14" s="416" t="n">
        <x:v>0.25</x:v>
      </x:c>
      <x:c r="F14" s="407"/>
      <x:c r="G14" s="407" t="str">
        <x:v>滿柱</x:v>
      </x:c>
      <x:c r="H14" s="407" t="str">
        <x:v>Logistic</x:v>
      </x:c>
      <x:c r="I14" s="411" t="n">
        <x:v>0.27958884835243225</x:v>
      </x:c>
      <x:c r="J14" s="411" t="n">
        <x:v>-1.7996734380722046</x:v>
      </x:c>
      <x:c r="K14" s="407"/>
      <x:c r="L14" s="407" t="n">
        <x:f>B25</x:f>
        <x:v>2</x:v>
      </x:c>
      <x:c r="M14" s="407" t="n">
        <x:f>E25</x:f>
        <x:v>0.00061396713135764</x:v>
      </x:c>
      <x:c r="N14" s="407" t="n">
        <x:f>F25</x:f>
        <x:v>0.00022770744147918755</x:v>
      </x:c>
      <x:c r="O14" s="407"/>
      <x:c r="P14" s="407" t="n">
        <x:f>B35</x:f>
        <x:v>2</x:v>
      </x:c>
      <x:c r="Q14" s="407" t="n">
        <x:f>E35</x:f>
        <x:v>0.00005168743518879637</x:v>
      </x:c>
      <x:c r="R14" s="407" t="n">
        <x:f>F35</x:f>
        <x:v>0</x:v>
      </x:c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滿柱</x:v>
      </x:c>
      <x:c r="B15" s="407" t="str">
        <x:v>Logistic</x:v>
      </x:c>
      <x:c r="C15" s="410" t="n">
        <x:v>0.039835772454738606</x:v>
      </x:c>
      <x:c r="D15" s="407" t="str">
        <x:v>05/15–05/20 F2最大</x:v>
      </x:c>
      <x:c r="E15" s="416" t="n">
        <x:v>0.25</x:v>
      </x:c>
      <x:c r="F15" s="407"/>
      <x:c r="G15" s="407" t="str">
        <x:v>滿柱</x:v>
      </x:c>
      <x:c r="H15" s="407" t="str">
        <x:v>LightGBM 舊版</x:v>
      </x:c>
      <x:c r="I15" s="411" t="n">
        <x:v>1.0414612293243408</x:v>
      </x:c>
      <x:c r="J15" s="411" t="n">
        <x:v>0.02287076786160469</x:v>
      </x:c>
      <x:c r="K15" s="407"/>
      <x:c r="L15" s="407" t="n">
        <x:f>B26</x:f>
        <x:v>3</x:v>
      </x:c>
      <x:c r="M15" s="407" t="n">
        <x:f>E26</x:f>
        <x:v>0.0011853486066684127</x:v>
      </x:c>
      <x:c r="N15" s="407" t="n">
        <x:f>F26</x:f>
        <x:v>0.0010474542308042626</x:v>
      </x:c>
      <x:c r="O15" s="407"/>
      <x:c r="P15" s="407" t="n">
        <x:f>B36</x:f>
        <x:v>3</x:v>
      </x:c>
      <x:c r="Q15" s="407" t="n">
        <x:f>E36</x:f>
        <x:v>0.00009339686948806047</x:v>
      </x:c>
      <x:c r="R15" s="407" t="n">
        <x:f>F36</x:f>
        <x:v>0.00009108297659167502</x:v>
      </x:c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滿柱</x:v>
      </x:c>
      <x:c r="B16" s="407" t="str">
        <x:v>LightGBM 舊版</x:v>
      </x:c>
      <x:c r="C16" s="410" t="n">
        <x:v>0.04645582824945448</x:v>
      </x:c>
      <x:c r="D16" s="407" t="str">
        <x:v>05/15–05/20 F2最大</x:v>
      </x:c>
      <x:c r="E16" s="416" t="n">
        <x:v>0.25</x:v>
      </x:c>
      <x:c r="F16" s="407"/>
      <x:c r="G16" s="407" t="str">
        <x:v>滿柱</x:v>
      </x:c>
      <x:c r="H16" s="407" t="str">
        <x:v>LightGBM 正式調參</x:v>
      </x:c>
      <x:c r="I16" s="411" t="n">
        <x:v>1.0638655424118042</x:v>
      </x:c>
      <x:c r="J16" s="411" t="n">
        <x:v>0.09726638346910477</x:v>
      </x:c>
      <x:c r="K16" s="407"/>
      <x:c r="L16" s="407" t="n">
        <x:f>B27</x:f>
        <x:v>4</x:v>
      </x:c>
      <x:c r="M16" s="407" t="n">
        <x:f>E27</x:f>
        <x:v>0.002126571023836732</x:v>
      </x:c>
      <x:c r="N16" s="407" t="n">
        <x:f>F27</x:f>
        <x:v>0.001548481122193378</x:v>
      </x:c>
      <x:c r="O16" s="407"/>
      <x:c r="P16" s="407" t="n">
        <x:f>B37</x:f>
        <x:v>4</x:v>
      </x:c>
      <x:c r="Q16" s="407" t="n">
        <x:f>E37</x:f>
        <x:v>0.00015646520478185266</x:v>
      </x:c>
      <x:c r="R16" s="407" t="n">
        <x:f>F37</x:f>
        <x:v>0.00009108712483490458</x:v>
      </x:c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滿柱</x:v>
      </x:c>
      <x:c r="B17" s="407" t="str">
        <x:v>LightGBM 正式調參</x:v>
      </x:c>
      <x:c r="C17" s="410" t="n">
        <x:v>0.04853849348425863</x:v>
      </x:c>
      <x:c r="D17" s="407" t="str">
        <x:v>05/15–05/20 F2最大</x:v>
      </x:c>
      <x:c r="E17" s="416" t="n">
        <x:v>0.25</x:v>
      </x:c>
      <x:c r="F17" s="407"/>
      <x:c r="G17" s="407" t="str">
        <x:v>滿柱</x:v>
      </x:c>
      <x:c r="H17" s="407" t="str">
        <x:v>XGBoost 正式調參</x:v>
      </x:c>
      <x:c r="I17" s="411" t="n">
        <x:v>1.05902099609375</x:v>
      </x:c>
      <x:c r="J17" s="411" t="n">
        <x:v>0.07112564146518707</x:v>
      </x:c>
      <x:c r="K17" s="407"/>
      <x:c r="L17" s="407" t="n">
        <x:f>B28</x:f>
        <x:v>5</x:v>
      </x:c>
      <x:c r="M17" s="407" t="n">
        <x:f>E28</x:f>
        <x:v>0.003825106890872121</x:v>
      </x:c>
      <x:c r="N17" s="407" t="n">
        <x:f>F28</x:f>
        <x:v>0.003506694598779488</x:v>
      </x:c>
      <x:c r="O17" s="407"/>
      <x:c r="P17" s="407" t="n">
        <x:f>B38</x:f>
        <x:v>5</x:v>
      </x:c>
      <x:c r="Q17" s="407" t="n">
        <x:f>E38</x:f>
        <x:v>0.0002579068823251873</x:v>
      </x:c>
      <x:c r="R17" s="407" t="n">
        <x:f>F38</x:f>
        <x:v>0.00018216595318335004</x:v>
      </x:c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滿柱</x:v>
      </x:c>
      <x:c r="B18" s="407" t="str">
        <x:v>XGBoost 正式調參</x:v>
      </x:c>
      <x:c r="C18" s="410" t="n">
        <x:v>0.051293542683124346</x:v>
      </x:c>
      <x:c r="D18" s="407" t="str">
        <x:v>05/15–05/20 F2最大</x:v>
      </x:c>
      <x:c r="E18" s="416" t="n">
        <x:v>0.25</x:v>
      </x:c>
      <x:c r="F18" s="407"/>
      <x:c r="G18" s="407"/>
      <x:c r="H18" s="407"/>
      <x:c r="I18" s="407"/>
      <x:c r="J18" s="407"/>
      <x:c r="K18" s="407"/>
      <x:c r="L18" s="407" t="n">
        <x:f>B29</x:f>
        <x:v>6</x:v>
      </x:c>
      <x:c r="M18" s="407" t="n">
        <x:f>E29</x:f>
        <x:v>0.007109316531568766</x:v>
      </x:c>
      <x:c r="N18" s="407" t="n">
        <x:f>F29</x:f>
        <x:v>0.009928044448492577</x:v>
      </x:c>
      <x:c r="O18" s="407"/>
      <x:c r="P18" s="407" t="n">
        <x:f>B39</x:f>
        <x:v>6</x:v>
      </x:c>
      <x:c r="Q18" s="407" t="n">
        <x:f>E39</x:f>
        <x:v>0.00043830316280946136</x:v>
      </x:c>
      <x:c r="R18" s="407" t="n">
        <x:f>F39</x:f>
        <x:v>0.00027324892977502506</x:v>
      </x:c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滿柱</x:v>
      </x:c>
      <x:c r="B19" s="407" t="str">
        <x:v>跨模型混合（CV規則）</x:v>
      </x:c>
      <x:c r="C19" s="410" t="n">
        <x:v>0.051293542683124346</x:v>
      </x:c>
      <x:c r="D19" s="407" t="str">
        <x:v>05/15–05/20 F2最大</x:v>
      </x:c>
      <x:c r="E19" s="416" t="n">
        <x:v>0.25</x:v>
      </x:c>
      <x:c r="F19" s="407"/>
      <x:c r="G19" s="407"/>
      <x:c r="H19" s="407"/>
      <x:c r="I19" s="407"/>
      <x:c r="J19" s="407"/>
      <x:c r="K19" s="407"/>
      <x:c r="L19" s="407" t="n">
        <x:f>B30</x:f>
        <x:v>7</x:v>
      </x:c>
      <x:c r="M19" s="407" t="n">
        <x:f>E30</x:f>
        <x:v>0.014085695147514343</x:v>
      </x:c>
      <x:c r="N19" s="407" t="n">
        <x:f>F30</x:f>
        <x:v>0.0178530764676413</x:v>
      </x:c>
      <x:c r="O19" s="407"/>
      <x:c r="P19" s="407" t="n">
        <x:f>B40</x:f>
        <x:v>7</x:v>
      </x:c>
      <x:c r="Q19" s="407" t="n">
        <x:f>E40</x:f>
        <x:v>0.0008036912186071277</x:v>
      </x:c>
      <x:c r="R19" s="407" t="n">
        <x:f>F40</x:f>
        <x:v>0.0005009791865919752</x:v>
      </x:c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/>
      <x:c r="B20" s="407"/>
      <x:c r="C20" s="407"/>
      <x:c r="D20" s="407"/>
      <x:c r="E20" s="407"/>
      <x:c r="F20" s="407"/>
      <x:c r="G20" s="407"/>
      <x:c r="H20" s="407"/>
      <x:c r="I20" s="407"/>
      <x:c r="J20" s="407"/>
      <x:c r="K20" s="407"/>
      <x:c r="L20" s="407" t="n">
        <x:f>B31</x:f>
        <x:v>8</x:v>
      </x:c>
      <x:c r="M20" s="407" t="n">
        <x:f>E31</x:f>
        <x:v>0.030669335275888443</x:v>
      </x:c>
      <x:c r="N20" s="407" t="n">
        <x:f>F31</x:f>
        <x:v>0.04139721286091629</x:v>
      </x:c>
      <x:c r="O20" s="407"/>
      <x:c r="P20" s="407" t="n">
        <x:f>B41</x:f>
        <x:v>8</x:v>
      </x:c>
      <x:c r="Q20" s="407" t="n">
        <x:f>E41</x:f>
        <x:v>0.0016916103195399046</x:v>
      </x:c>
      <x:c r="R20" s="407" t="n">
        <x:f>F41</x:f>
        <x:v>0.0015939520903543128</x:v>
      </x:c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/>
      <x:c r="B21" s="407"/>
      <x:c r="C21" s="407"/>
      <x:c r="D21" s="407"/>
      <x:c r="E21" s="407"/>
      <x:c r="F21" s="407"/>
      <x:c r="G21" s="407"/>
      <x:c r="H21" s="407"/>
      <x:c r="I21" s="407"/>
      <x:c r="J21" s="407"/>
      <x:c r="K21" s="407"/>
      <x:c r="L21" s="407" t="n">
        <x:f>B32</x:f>
        <x:v>9</x:v>
      </x:c>
      <x:c r="M21" s="407" t="n">
        <x:f>E32</x:f>
        <x:v>0.07547514885663986</x:v>
      </x:c>
      <x:c r="N21" s="407" t="n">
        <x:f>F32</x:f>
        <x:v>0.09354221695965025</x:v>
      </x:c>
      <x:c r="O21" s="407"/>
      <x:c r="P21" s="407" t="n">
        <x:f>B42</x:f>
        <x:v>9</x:v>
      </x:c>
      <x:c r="Q21" s="407" t="n">
        <x:f>E42</x:f>
        <x:v>0.004798247944563627</x:v>
      </x:c>
      <x:c r="R21" s="407" t="n">
        <x:f>F42</x:f>
        <x:v>0.006102559431642226</x:v>
      </x:c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/>
      <x:c r="B22" s="407"/>
      <x:c r="C22" s="407"/>
      <x:c r="D22" s="407"/>
      <x:c r="E22" s="407"/>
      <x:c r="F22" s="407"/>
      <x:c r="G22" s="407"/>
      <x:c r="H22" s="407"/>
      <x:c r="I22" s="407"/>
      <x:c r="J22" s="407"/>
      <x:c r="K22" s="407"/>
      <x:c r="L22" s="407" t="n">
        <x:f>B33</x:f>
        <x:v>10</x:v>
      </x:c>
      <x:c r="M22" s="407" t="n">
        <x:f>E33</x:f>
        <x:v>0.23331420123577118</x:v>
      </x:c>
      <x:c r="N22" s="407" t="n">
        <x:f>F33</x:f>
        <x:v>0.23412879132890063</x:v>
      </x:c>
      <x:c r="O22" s="407"/>
      <x:c r="P22" s="407" t="n">
        <x:f>B43</x:f>
        <x:v>10</x:v>
      </x:c>
      <x:c r="Q22" s="407" t="n">
        <x:f>E43</x:f>
        <x:v>0.04984569177031517</x:v>
      </x:c>
      <x:c r="R22" s="407" t="n">
        <x:f>F43</x:f>
        <x:v>0.05874851990163039</x:v>
      </x:c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 ht="32" customHeight="1">
      <x:c r="A23" s="51" t="str">
        <x:v>事件</x:v>
      </x:c>
      <x:c r="B23" s="52" t="str">
        <x:v>Bin</x:v>
      </x:c>
      <x:c r="C23" s="52" t="str">
        <x:v>觀測</x:v>
      </x:c>
      <x:c r="D23" s="52" t="str">
        <x:v>正例</x:v>
      </x:c>
      <x:c r="E23" s="52" t="str">
        <x:v>平均預測</x:v>
      </x:c>
      <x:c r="F23" s="52" t="str">
        <x:v>實際發生率</x:v>
      </x:c>
      <x:c r="G23" s="52" t="str">
        <x:v>下限</x:v>
      </x:c>
      <x:c r="H23" s="53" t="str">
        <x:v>上限</x:v>
      </x:c>
      <x:c r="I23" s="407"/>
      <x:c r="J23" s="407"/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 t="str">
        <x:v>缺車</x:v>
      </x:c>
      <x:c r="B24" s="407" t="n">
        <x:v>1</x:v>
      </x:c>
      <x:c r="C24" s="407" t="n">
        <x:v>21958</x:v>
      </x:c>
      <x:c r="D24" s="407" t="n">
        <x:v>1</x:v>
      </x:c>
      <x:c r="E24" s="410" t="n">
        <x:v>0.00022986090334597975</x:v>
      </x:c>
      <x:c r="F24" s="410" t="n">
        <x:v>0.00004554148829583751</x:v>
      </x:c>
      <x:c r="G24" s="410" t="n">
        <x:v>0.000003534033794494462</x:v>
      </x:c>
      <x:c r="H24" s="410" t="n">
        <x:v>0.0004080034850630909</x:v>
      </x:c>
      <x:c r="I24" s="407"/>
      <x:c r="J24" s="407"/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 t="str">
        <x:v>缺車</x:v>
      </x:c>
      <x:c r="B25" s="407" t="n">
        <x:v>2</x:v>
      </x:c>
      <x:c r="C25" s="407" t="n">
        <x:v>21958</x:v>
      </x:c>
      <x:c r="D25" s="407" t="n">
        <x:v>5</x:v>
      </x:c>
      <x:c r="E25" s="410" t="n">
        <x:v>0.00061396713135764</x:v>
      </x:c>
      <x:c r="F25" s="410" t="n">
        <x:v>0.00022770744147918755</x:v>
      </x:c>
      <x:c r="G25" s="410" t="n">
        <x:v>0.0004081063671037555</x:v>
      </x:c>
      <x:c r="H25" s="410" t="n">
        <x:v>0.000850065378472209</x:v>
      </x:c>
      <x:c r="I25" s="407"/>
      <x:c r="J25" s="407"/>
      <x:c r="K25" s="407"/>
      <x:c r="L25" s="407"/>
      <x:c r="M25" s="407"/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缺車</x:v>
      </x:c>
      <x:c r="B26" s="407" t="n">
        <x:v>3</x:v>
      </x:c>
      <x:c r="C26" s="407" t="n">
        <x:v>21958</x:v>
      </x:c>
      <x:c r="D26" s="407" t="n">
        <x:v>23</x:v>
      </x:c>
      <x:c r="E26" s="410" t="n">
        <x:v>0.0011853486066684127</x:v>
      </x:c>
      <x:c r="F26" s="410" t="n">
        <x:v>0.0010474542308042626</x:v>
      </x:c>
      <x:c r="G26" s="410" t="n">
        <x:v>0.0008500945405103266</x:v>
      </x:c>
      <x:c r="H26" s="410" t="n">
        <x:v>0.0015788323944434524</x:v>
      </x:c>
      <x:c r="I26" s="407"/>
      <x:c r="J26" s="407"/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缺車</x:v>
      </x:c>
      <x:c r="B27" s="407" t="n">
        <x:v>4</x:v>
      </x:c>
      <x:c r="C27" s="407" t="n">
        <x:v>21957</x:v>
      </x:c>
      <x:c r="D27" s="407" t="n">
        <x:v>34</x:v>
      </x:c>
      <x:c r="E27" s="410" t="n">
        <x:v>0.002126571023836732</x:v>
      </x:c>
      <x:c r="F27" s="410" t="n">
        <x:v>0.001548481122193378</x:v>
      </x:c>
      <x:c r="G27" s="410" t="n">
        <x:v>0.0015788715099915862</x:v>
      </x:c>
      <x:c r="H27" s="410" t="n">
        <x:v>0.0027947325725108385</x:v>
      </x:c>
      <x:c r="I27" s="407"/>
      <x:c r="J27" s="407"/>
      <x:c r="K27" s="407"/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缺車</x:v>
      </x:c>
      <x:c r="B28" s="407" t="n">
        <x:v>5</x:v>
      </x:c>
      <x:c r="C28" s="407" t="n">
        <x:v>21958</x:v>
      </x:c>
      <x:c r="D28" s="407" t="n">
        <x:v>77</x:v>
      </x:c>
      <x:c r="E28" s="410" t="n">
        <x:v>0.003825106890872121</x:v>
      </x:c>
      <x:c r="F28" s="410" t="n">
        <x:v>0.003506694598779488</x:v>
      </x:c>
      <x:c r="G28" s="410" t="n">
        <x:v>0.0027948205824941397</x:v>
      </x:c>
      <x:c r="H28" s="410" t="n">
        <x:v>0.005098449066281319</x:v>
      </x:c>
      <x:c r="I28" s="407"/>
      <x:c r="J28" s="407"/>
      <x:c r="K28" s="407"/>
      <x:c r="L28" s="407"/>
      <x:c r="M28" s="407"/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缺車</x:v>
      </x:c>
      <x:c r="B29" s="407" t="n">
        <x:v>6</x:v>
      </x:c>
      <x:c r="C29" s="407" t="n">
        <x:v>21958</x:v>
      </x:c>
      <x:c r="D29" s="407" t="n">
        <x:v>218</x:v>
      </x:c>
      <x:c r="E29" s="410" t="n">
        <x:v>0.007109316531568766</x:v>
      </x:c>
      <x:c r="F29" s="410" t="n">
        <x:v>0.009928044448492577</x:v>
      </x:c>
      <x:c r="G29" s="410" t="n">
        <x:v>0.005098507273942232</x:v>
      </x:c>
      <x:c r="H29" s="410" t="n">
        <x:v>0.009666576981544495</x:v>
      </x:c>
      <x:c r="I29" s="407"/>
      <x:c r="J29" s="407"/>
      <x:c r="K29" s="407"/>
      <x:c r="L29" s="407"/>
      <x:c r="M29" s="407"/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 t="str">
        <x:v>缺車</x:v>
      </x:c>
      <x:c r="B30" s="407" t="n">
        <x:v>7</x:v>
      </x:c>
      <x:c r="C30" s="407" t="n">
        <x:v>21957</x:v>
      </x:c>
      <x:c r="D30" s="407" t="n">
        <x:v>392</x:v>
      </x:c>
      <x:c r="E30" s="410" t="n">
        <x:v>0.014085695147514343</x:v>
      </x:c>
      <x:c r="F30" s="410" t="n">
        <x:v>0.0178530764676413</x:v>
      </x:c>
      <x:c r="G30" s="410" t="n">
        <x:v>0.009667111560702324</x:v>
      </x:c>
      <x:c r="H30" s="410" t="n">
        <x:v>0.0198436938226223</x:v>
      </x:c>
      <x:c r="I30" s="407"/>
      <x:c r="J30" s="407"/>
      <x:c r="K30" s="407"/>
      <x:c r="L30" s="407"/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str">
        <x:v>缺車</x:v>
      </x:c>
      <x:c r="B31" s="407" t="n">
        <x:v>8</x:v>
      </x:c>
      <x:c r="C31" s="407" t="n">
        <x:v>21958</x:v>
      </x:c>
      <x:c r="D31" s="407" t="n">
        <x:v>909</x:v>
      </x:c>
      <x:c r="E31" s="410" t="n">
        <x:v>0.030669335275888443</x:v>
      </x:c>
      <x:c r="F31" s="410" t="n">
        <x:v>0.04139721286091629</x:v>
      </x:c>
      <x:c r="G31" s="410" t="n">
        <x:v>0.019843703135848045</x:v>
      </x:c>
      <x:c r="H31" s="410" t="n">
        <x:v>0.04573850706219673</x:v>
      </x:c>
      <x:c r="I31" s="407"/>
      <x:c r="J31" s="407"/>
      <x:c r="K31" s="407"/>
      <x:c r="L31" s="407"/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str">
        <x:v>缺車</x:v>
      </x:c>
      <x:c r="B32" s="407" t="n">
        <x:v>9</x:v>
      </x:c>
      <x:c r="C32" s="407" t="n">
        <x:v>21958</x:v>
      </x:c>
      <x:c r="D32" s="407" t="n">
        <x:v>2054</x:v>
      </x:c>
      <x:c r="E32" s="410" t="n">
        <x:v>0.07547514885663986</x:v>
      </x:c>
      <x:c r="F32" s="410" t="n">
        <x:v>0.09354221695965025</x:v>
      </x:c>
      <x:c r="G32" s="410" t="n">
        <x:v>0.045739367604255676</x:v>
      </x:c>
      <x:c r="H32" s="410" t="n">
        <x:v>0.11701984703540802</x:v>
      </x:c>
      <x:c r="I32" s="407"/>
      <x:c r="J32" s="407"/>
      <x:c r="K32" s="407"/>
      <x:c r="L32" s="407"/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str">
        <x:v>缺車</x:v>
      </x:c>
      <x:c r="B33" s="407" t="n">
        <x:v>10</x:v>
      </x:c>
      <x:c r="C33" s="407" t="n">
        <x:v>21958</x:v>
      </x:c>
      <x:c r="D33" s="407" t="n">
        <x:v>5141</x:v>
      </x:c>
      <x:c r="E33" s="410" t="n">
        <x:v>0.23331420123577118</x:v>
      </x:c>
      <x:c r="F33" s="410" t="n">
        <x:v>0.23412879132890063</x:v>
      </x:c>
      <x:c r="G33" s="410" t="n">
        <x:v>0.1170213520526886</x:v>
      </x:c>
      <x:c r="H33" s="410" t="n">
        <x:v>0.7674974203109741</x:v>
      </x:c>
      <x:c r="I33" s="407"/>
      <x:c r="J33" s="407"/>
      <x:c r="K33" s="407"/>
      <x:c r="L33" s="407"/>
      <x:c r="M33" s="407"/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滿柱</x:v>
      </x:c>
      <x:c r="B34" s="407" t="n">
        <x:v>1</x:v>
      </x:c>
      <x:c r="C34" s="407" t="n">
        <x:v>21958</x:v>
      </x:c>
      <x:c r="D34" s="407" t="n">
        <x:v>0</x:v>
      </x:c>
      <x:c r="E34" s="410" t="n">
        <x:v>0.000023056163627188653</x:v>
      </x:c>
      <x:c r="F34" s="410" t="n">
        <x:v>0</x:v>
      </x:c>
      <x:c r="G34" s="410" t="n">
        <x:v>0.000004198258466203697</x:v>
      </x:c>
      <x:c r="H34" s="410" t="n">
        <x:v>0.00003602610377129167</x:v>
      </x:c>
      <x:c r="I34" s="407"/>
      <x:c r="J34" s="407"/>
      <x:c r="K34" s="407"/>
      <x:c r="L34" s="407"/>
      <x:c r="M34" s="407"/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滿柱</x:v>
      </x:c>
      <x:c r="B35" s="407" t="n">
        <x:v>2</x:v>
      </x:c>
      <x:c r="C35" s="407" t="n">
        <x:v>21958</x:v>
      </x:c>
      <x:c r="D35" s="407" t="n">
        <x:v>0</x:v>
      </x:c>
      <x:c r="E35" s="410" t="n">
        <x:v>0.00005168743518879637</x:v>
      </x:c>
      <x:c r="F35" s="410" t="n">
        <x:v>0</x:v>
      </x:c>
      <x:c r="G35" s="410" t="n">
        <x:v>0.00003602689321269281</x:v>
      </x:c>
      <x:c r="H35" s="410" t="n">
        <x:v>0.00006967967055970803</x:v>
      </x:c>
      <x:c r="I35" s="407"/>
      <x:c r="J35" s="407"/>
      <x:c r="K35" s="407"/>
      <x:c r="L35" s="407"/>
      <x:c r="M35" s="407"/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滿柱</x:v>
      </x:c>
      <x:c r="B36" s="407" t="n">
        <x:v>3</x:v>
      </x:c>
      <x:c r="C36" s="407" t="n">
        <x:v>21958</x:v>
      </x:c>
      <x:c r="D36" s="407" t="n">
        <x:v>2</x:v>
      </x:c>
      <x:c r="E36" s="410" t="n">
        <x:v>0.00009339686948806047</x:v>
      </x:c>
      <x:c r="F36" s="410" t="n">
        <x:v>0.00009108297659167502</x:v>
      </x:c>
      <x:c r="G36" s="410" t="n">
        <x:v>0.00006968153320485726</x:v>
      </x:c>
      <x:c r="H36" s="410" t="n">
        <x:v>0.00012024204625049606</x:v>
      </x:c>
      <x:c r="I36" s="407"/>
      <x:c r="J36" s="407"/>
      <x:c r="K36" s="407"/>
      <x:c r="L36" s="407"/>
      <x:c r="M36" s="407"/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滿柱</x:v>
      </x:c>
      <x:c r="B37" s="407" t="n">
        <x:v>4</x:v>
      </x:c>
      <x:c r="C37" s="407" t="n">
        <x:v>21957</x:v>
      </x:c>
      <x:c r="D37" s="407" t="n">
        <x:v>2</x:v>
      </x:c>
      <x:c r="E37" s="410" t="n">
        <x:v>0.00015646520478185266</x:v>
      </x:c>
      <x:c r="F37" s="410" t="n">
        <x:v>0.00009108712483490458</x:v>
      </x:c>
      <x:c r="G37" s="410" t="n">
        <x:v>0.00012024740863125771</x:v>
      </x:c>
      <x:c r="H37" s="410" t="n">
        <x:v>0.00019884442735929042</x:v>
      </x:c>
      <x:c r="I37" s="407"/>
      <x:c r="J37" s="407"/>
      <x:c r="K37" s="407"/>
      <x:c r="L37" s="407"/>
      <x:c r="M37" s="407"/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滿柱</x:v>
      </x:c>
      <x:c r="B38" s="407" t="n">
        <x:v>5</x:v>
      </x:c>
      <x:c r="C38" s="407" t="n">
        <x:v>21958</x:v>
      </x:c>
      <x:c r="D38" s="407" t="n">
        <x:v>4</x:v>
      </x:c>
      <x:c r="E38" s="410" t="n">
        <x:v>0.0002579068823251873</x:v>
      </x:c>
      <x:c r="F38" s="410" t="n">
        <x:v>0.00018216595318335004</x:v>
      </x:c>
      <x:c r="G38" s="410" t="n">
        <x:v>0.00019887721282429993</x:v>
      </x:c>
      <x:c r="H38" s="410" t="n">
        <x:v>0.00032973437919281423</x:v>
      </x:c>
      <x:c r="I38" s="407"/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滿柱</x:v>
      </x:c>
      <x:c r="B39" s="407" t="n">
        <x:v>6</x:v>
      </x:c>
      <x:c r="C39" s="407" t="n">
        <x:v>21958</x:v>
      </x:c>
      <x:c r="D39" s="407" t="n">
        <x:v>6</x:v>
      </x:c>
      <x:c r="E39" s="410" t="n">
        <x:v>0.00043830316280946136</x:v>
      </x:c>
      <x:c r="F39" s="410" t="n">
        <x:v>0.00027324892977502506</x:v>
      </x:c>
      <x:c r="G39" s="410" t="n">
        <x:v>0.00032973906490951777</x:v>
      </x:c>
      <x:c r="H39" s="410" t="n">
        <x:v>0.0005749365664087236</x:v>
      </x:c>
      <x:c r="I39" s="407"/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滿柱</x:v>
      </x:c>
      <x:c r="B40" s="407" t="n">
        <x:v>7</x:v>
      </x:c>
      <x:c r="C40" s="407" t="n">
        <x:v>21957</x:v>
      </x:c>
      <x:c r="D40" s="407" t="n">
        <x:v>11</x:v>
      </x:c>
      <x:c r="E40" s="410" t="n">
        <x:v>0.0008036912186071277</x:v>
      </x:c>
      <x:c r="F40" s="410" t="n">
        <x:v>0.0005009791865919752</x:v>
      </x:c>
      <x:c r="G40" s="410" t="n">
        <x:v>0.0005749426200054586</x:v>
      </x:c>
      <x:c r="H40" s="410" t="n">
        <x:v>0.0011074270587414503</x:v>
      </x:c>
      <x:c r="I40" s="407"/>
      <x:c r="J40" s="407"/>
      <x:c r="K40" s="407"/>
      <x:c r="L40" s="407"/>
      <x:c r="M40" s="407"/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滿柱</x:v>
      </x:c>
      <x:c r="B41" s="407" t="n">
        <x:v>8</x:v>
      </x:c>
      <x:c r="C41" s="407" t="n">
        <x:v>21958</x:v>
      </x:c>
      <x:c r="D41" s="407" t="n">
        <x:v>35</x:v>
      </x:c>
      <x:c r="E41" s="410" t="n">
        <x:v>0.0016916103195399046</x:v>
      </x:c>
      <x:c r="F41" s="410" t="n">
        <x:v>0.0015939520903543128</x:v>
      </x:c>
      <x:c r="G41" s="410" t="n">
        <x:v>0.0011074471985921264</x:v>
      </x:c>
      <x:c r="H41" s="410" t="n">
        <x:v>0.0025506457313895226</x:v>
      </x:c>
      <x:c r="I41" s="407"/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滿柱</x:v>
      </x:c>
      <x:c r="B42" s="407" t="n">
        <x:v>9</x:v>
      </x:c>
      <x:c r="C42" s="407" t="n">
        <x:v>21958</x:v>
      </x:c>
      <x:c r="D42" s="407" t="n">
        <x:v>134</x:v>
      </x:c>
      <x:c r="E42" s="410" t="n">
        <x:v>0.004798247944563627</x:v>
      </x:c>
      <x:c r="F42" s="410" t="n">
        <x:v>0.006102559431642226</x:v>
      </x:c>
      <x:c r="G42" s="410" t="n">
        <x:v>0.0025506503880023956</x:v>
      </x:c>
      <x:c r="H42" s="410" t="n">
        <x:v>0.008940409868955612</x:v>
      </x:c>
      <x:c r="I42" s="407"/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滿柱</x:v>
      </x:c>
      <x:c r="B43" s="407" t="n">
        <x:v>10</x:v>
      </x:c>
      <x:c r="C43" s="407" t="n">
        <x:v>21958</x:v>
      </x:c>
      <x:c r="D43" s="407" t="n">
        <x:v>1290</x:v>
      </x:c>
      <x:c r="E43" s="410" t="n">
        <x:v>0.04984569177031517</x:v>
      </x:c>
      <x:c r="F43" s="410" t="n">
        <x:v>0.05874851990163039</x:v>
      </x:c>
      <x:c r="G43" s="410" t="n">
        <x:v>0.008941099047660828</x:v>
      </x:c>
      <x:c r="H43" s="410" t="n">
        <x:v>0.6052007675170898</x:v>
      </x:c>
      <x:c r="I43" s="407"/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/>
      <x:c r="B44" s="407"/>
      <x:c r="C44" s="407"/>
      <x:c r="D44" s="407"/>
      <x:c r="E44" s="407"/>
      <x:c r="F44" s="407"/>
      <x:c r="G44" s="407"/>
      <x:c r="H44" s="407"/>
      <x:c r="I44" s="407"/>
      <x:c r="J44" s="407"/>
      <x:c r="K44" s="407"/>
      <x:c r="L44" s="407"/>
      <x:c r="M44" s="407"/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/>
      <x:c r="B45" s="407"/>
      <x:c r="C45" s="407"/>
      <x:c r="D45" s="407"/>
      <x:c r="E45" s="407"/>
      <x:c r="F45" s="407"/>
      <x:c r="G45" s="407"/>
      <x:c r="H45" s="407"/>
      <x:c r="I45" s="407"/>
      <x:c r="J45" s="407"/>
      <x:c r="K45" s="407"/>
      <x:c r="L45" s="407"/>
      <x:c r="M45" s="407"/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/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/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/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/>
      <x:c r="B49" s="407"/>
      <x:c r="C49" s="407"/>
      <x:c r="D49" s="407"/>
      <x:c r="E49" s="407"/>
      <x:c r="F49" s="407"/>
      <x:c r="G49" s="407"/>
      <x:c r="H49" s="407"/>
      <x:c r="I49" s="407"/>
      <x:c r="J49" s="407"/>
      <x:c r="K49" s="407"/>
      <x:c r="L49" s="407"/>
      <x:c r="M49" s="407"/>
      <x:c r="N49" s="407"/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/>
      <x:c r="B50" s="407"/>
      <x:c r="C50" s="407"/>
      <x:c r="D50" s="407"/>
      <x:c r="E50" s="407"/>
      <x:c r="F50" s="407"/>
      <x:c r="G50" s="407"/>
      <x:c r="H50" s="407"/>
      <x:c r="I50" s="407"/>
      <x:c r="J50" s="407"/>
      <x:c r="K50" s="407"/>
      <x:c r="L50" s="407"/>
      <x:c r="M50" s="407"/>
      <x:c r="N50" s="407"/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/>
      <x:c r="B51" s="407"/>
      <x:c r="C51" s="407"/>
      <x:c r="D51" s="407"/>
      <x:c r="E51" s="407"/>
      <x:c r="F51" s="407"/>
      <x:c r="G51" s="407"/>
      <x:c r="H51" s="407"/>
      <x:c r="I51" s="407"/>
      <x:c r="J51" s="407"/>
      <x:c r="K51" s="407"/>
      <x:c r="L51" s="407"/>
      <x:c r="M51" s="407"/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/>
      <x:c r="B52" s="407"/>
      <x:c r="C52" s="407"/>
      <x:c r="D52" s="407"/>
      <x:c r="E52" s="407"/>
      <x:c r="F52" s="407"/>
      <x:c r="G52" s="407"/>
      <x:c r="H52" s="407"/>
      <x:c r="I52" s="407"/>
      <x:c r="J52" s="407"/>
      <x:c r="K52" s="407"/>
      <x:c r="L52" s="407"/>
      <x:c r="M52" s="407"/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/>
      <x:c r="B53" s="407"/>
      <x:c r="C53" s="407"/>
      <x:c r="D53" s="407"/>
      <x:c r="E53" s="407"/>
      <x:c r="F53" s="407"/>
      <x:c r="G53" s="407"/>
      <x:c r="H53" s="407"/>
      <x:c r="I53" s="407"/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/>
      <x:c r="B56" s="407"/>
      <x:c r="C56" s="407"/>
      <x:c r="D56" s="407"/>
      <x:c r="E56" s="407"/>
      <x:c r="F56" s="407"/>
      <x:c r="G56" s="407"/>
      <x:c r="H56" s="407"/>
      <x:c r="I56" s="407"/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/>
      <x:c r="B57" s="407"/>
      <x:c r="C57" s="407"/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Y2"/>
    <x:mergeCell ref="A3:Y3"/>
    <x:mergeCell ref="L5:Y10"/>
  </x:mergeCells>
  <x:pageMargins left="0.7" right="0.7" top="0.75" bottom="0.75" header="0.3" footer="0.3"/>
  <x:drawing xmlns:r="http://schemas.openxmlformats.org/officeDocument/2006/relationships" r:id="Rd4a32f00aa8546f3"/>
  <x:tableParts count="3">
    <x:tablePart xmlns:r="http://schemas.openxmlformats.org/officeDocument/2006/relationships" r:id="R19c0f7a42c9541a1"/>
    <x:tablePart xmlns:r="http://schemas.openxmlformats.org/officeDocument/2006/relationships" r:id="R101ad968ec584267"/>
    <x:tablePart xmlns:r="http://schemas.openxmlformats.org/officeDocument/2006/relationships" r:id="Ra7269c1917844f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</x:cols>
  <x:sheetData>
    <x:row r="1" ht="29" customHeight="1">
      <x:c r="A1" s="4" t="str">
        <x:v>全風險監控 + 共享Top-K行動清單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</x:row>
    <x:row r="3" ht="31" customHeight="1">
      <x:c r="A3" s="8" t="str">
        <x:v>本頁上方以CV規則選出的混合候選示範；缺車機率≥0.40、滿柱機率≥0.25，再每30分鐘最多顯示K站。正式部署建議仍為純LightGBM。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K</x:v>
      </x:c>
      <x:c r="B5" s="52" t="str">
        <x:v>滿柱保留</x:v>
      </x:c>
      <x:c r="C5" s="52" t="str">
        <x:v>缺車底線</x:v>
      </x:c>
      <x:c r="D5" s="52" t="str">
        <x:v>滿柱底線</x:v>
      </x:c>
      <x:c r="E5" s="52" t="str">
        <x:v>候選/次</x:v>
      </x:c>
      <x:c r="F5" s="52" t="str">
        <x:v>顯示/次</x:v>
      </x:c>
      <x:c r="G5" s="52" t="str">
        <x:v>碰K率</x:v>
      </x:c>
      <x:c r="H5" s="52" t="str">
        <x:v>未填滿率</x:v>
      </x:c>
      <x:c r="I5" s="52" t="str">
        <x:v>快照命中率</x:v>
      </x:c>
      <x:c r="J5" s="52" t="str">
        <x:v>Episode</x:v>
      </x:c>
      <x:c r="K5" s="52" t="str">
        <x:v>Episode命中率</x:v>
      </x:c>
      <x:c r="L5" s="52" t="str">
        <x:v>Episode/日</x:v>
      </x:c>
      <x:c r="M5" s="52" t="str">
        <x:v>未命中/日</x:v>
      </x:c>
      <x:c r="N5" s="52" t="str">
        <x:v>缺車召回</x:v>
      </x:c>
      <x:c r="O5" s="52" t="str">
        <x:v>滿柱召回</x:v>
      </x:c>
      <x:c r="P5" s="52" t="str">
        <x:v>Macro召回</x:v>
      </x:c>
      <x:c r="Q5" s="53" t="str">
        <x:v>去重減少</x:v>
      </x:c>
      <x:c r="R5" s="407"/>
      <x:c r="S5" s="407"/>
      <x:c r="T5" s="51" t="str">
        <x:v>K</x:v>
      </x:c>
      <x:c r="U5" s="52" t="str">
        <x:v>缺車召回</x:v>
      </x:c>
      <x:c r="V5" s="52" t="str">
        <x:v>滿柱召回</x:v>
      </x:c>
      <x:c r="W5" s="53" t="str">
        <x:v>Macro</x:v>
      </x:c>
      <x:c r="X5" s="407"/>
      <x:c r="Y5" s="51" t="str">
        <x:v>K</x:v>
      </x:c>
      <x:c r="Z5" s="52" t="str">
        <x:v>Episode/日</x:v>
      </x:c>
      <x:c r="AA5" s="53" t="str">
        <x:v>未命中/日</x:v>
      </x:c>
      <x:c r="AB5" s="407"/>
      <x:c r="AC5" s="407"/>
      <x:c r="AD5" s="407"/>
      <x:c r="AE5" s="407"/>
      <x:c r="AF5" s="407"/>
      <x:c r="AG5" s="407"/>
    </x:row>
    <x:row r="6">
      <x:c r="A6" s="407" t="n">
        <x:v>10</x:v>
      </x:c>
      <x:c r="B6" s="407" t="n">
        <x:v>2</x:v>
      </x:c>
      <x:c r="C6" s="416" t="n">
        <x:v>0.4</x:v>
      </x:c>
      <x:c r="D6" s="416" t="n">
        <x:v>0.25</x:v>
      </x:c>
      <x:c r="E6" s="417" t="n">
        <x:v>16.27922077922078</x:v>
      </x:c>
      <x:c r="F6" s="417" t="n">
        <x:v>7.0519480519480515</x:v>
      </x:c>
      <x:c r="G6" s="415" t="n">
        <x:v>0.4675324675324675</x:v>
      </x:c>
      <x:c r="H6" s="415" t="n">
        <x:v>0.4935064935064935</x:v>
      </x:c>
      <x:c r="I6" s="415" t="n">
        <x:v>0.3876611418047882</x:v>
      </x:c>
      <x:c r="J6" s="407" t="n">
        <x:v>954</x:v>
      </x:c>
      <x:c r="K6" s="415" t="n">
        <x:v>0.4412997903563941</x:v>
      </x:c>
      <x:c r="L6" s="417" t="n">
        <x:v>86.72727272727273</x:v>
      </x:c>
      <x:c r="M6" s="417" t="n">
        <x:v>48.45454545454545</x:v>
      </x:c>
      <x:c r="N6" s="415" t="n">
        <x:v>0.03704540320758979</x:v>
      </x:c>
      <x:c r="O6" s="415" t="n">
        <x:v>0.06266846361185983</x:v>
      </x:c>
      <x:c r="P6" s="415" t="n">
        <x:v>0.049856933409724816</x:v>
      </x:c>
      <x:c r="Q6" s="415" t="n">
        <x:v>0.12154696132596687</x:v>
      </x:c>
      <x:c r="R6" s="407"/>
      <x:c r="S6" s="407"/>
      <x:c r="T6" s="407" t="n">
        <x:f>A6</x:f>
        <x:v>10</x:v>
      </x:c>
      <x:c r="U6" s="407" t="n">
        <x:f>N6</x:f>
        <x:v>0.03704540320758979</x:v>
      </x:c>
      <x:c r="V6" s="407" t="n">
        <x:f>O6</x:f>
        <x:v>0.06266846361185983</x:v>
      </x:c>
      <x:c r="W6" s="407" t="n">
        <x:f>P6</x:f>
        <x:v>0.049856933409724816</x:v>
      </x:c>
      <x:c r="X6" s="407"/>
      <x:c r="Y6" s="407" t="n">
        <x:f>A6</x:f>
        <x:v>10</x:v>
      </x:c>
      <x:c r="Z6" s="407" t="n">
        <x:f>L6</x:f>
        <x:v>86.72727272727273</x:v>
      </x:c>
      <x:c r="AA6" s="407" t="n">
        <x:f>M6</x:f>
        <x:v>48.45454545454545</x:v>
      </x:c>
      <x:c r="AB6" s="407"/>
      <x:c r="AC6" s="407"/>
      <x:c r="AD6" s="407"/>
      <x:c r="AE6" s="407"/>
      <x:c r="AF6" s="407"/>
      <x:c r="AG6" s="407"/>
    </x:row>
    <x:row r="7">
      <x:c r="A7" s="407" t="n">
        <x:v>15</x:v>
      </x:c>
      <x:c r="B7" s="407" t="n">
        <x:v>3</x:v>
      </x:c>
      <x:c r="C7" s="416" t="n">
        <x:v>0.4</x:v>
      </x:c>
      <x:c r="D7" s="416" t="n">
        <x:v>0.25</x:v>
      </x:c>
      <x:c r="E7" s="417" t="n">
        <x:v>16.27922077922078</x:v>
      </x:c>
      <x:c r="F7" s="417" t="n">
        <x:v>9.188311688311689</x:v>
      </x:c>
      <x:c r="G7" s="415" t="n">
        <x:v>0.33766233766233766</x:v>
      </x:c>
      <x:c r="H7" s="415" t="n">
        <x:v>0.6103896103896104</x:v>
      </x:c>
      <x:c r="I7" s="415" t="n">
        <x:v>0.3893992932862191</x:v>
      </x:c>
      <x:c r="J7" s="407" t="n">
        <x:v>1228</x:v>
      </x:c>
      <x:c r="K7" s="415" t="n">
        <x:v>0.44869706840390877</x:v>
      </x:c>
      <x:c r="L7" s="417" t="n">
        <x:v>111.63636363636364</x:v>
      </x:c>
      <x:c r="M7" s="417" t="n">
        <x:v>61.54545454545455</x:v>
      </x:c>
      <x:c r="N7" s="415" t="n">
        <x:v>0.049695053083352154</x:v>
      </x:c>
      <x:c r="O7" s="415" t="n">
        <x:v>0.0747978436657682</x:v>
      </x:c>
      <x:c r="P7" s="415" t="n">
        <x:v>0.06224644837456017</x:v>
      </x:c>
      <x:c r="Q7" s="415" t="n">
        <x:v>0.13215547703180208</x:v>
      </x:c>
      <x:c r="R7" s="407"/>
      <x:c r="S7" s="407"/>
      <x:c r="T7" s="407" t="n">
        <x:f>A7</x:f>
        <x:v>15</x:v>
      </x:c>
      <x:c r="U7" s="407" t="n">
        <x:f>N7</x:f>
        <x:v>0.049695053083352154</x:v>
      </x:c>
      <x:c r="V7" s="407" t="n">
        <x:f>O7</x:f>
        <x:v>0.0747978436657682</x:v>
      </x:c>
      <x:c r="W7" s="407" t="n">
        <x:f>P7</x:f>
        <x:v>0.06224644837456017</x:v>
      </x:c>
      <x:c r="X7" s="407"/>
      <x:c r="Y7" s="407" t="n">
        <x:f>A7</x:f>
        <x:v>15</x:v>
      </x:c>
      <x:c r="Z7" s="407" t="n">
        <x:f>L7</x:f>
        <x:v>111.63636363636364</x:v>
      </x:c>
      <x:c r="AA7" s="407" t="n">
        <x:f>M7</x:f>
        <x:v>61.54545454545455</x:v>
      </x:c>
      <x:c r="AB7" s="407"/>
      <x:c r="AC7" s="407"/>
      <x:c r="AD7" s="407"/>
      <x:c r="AE7" s="407"/>
      <x:c r="AF7" s="407"/>
      <x:c r="AG7" s="407"/>
    </x:row>
    <x:row r="8">
      <x:c r="A8" s="407" t="n">
        <x:v>20</x:v>
      </x:c>
      <x:c r="B8" s="407" t="n">
        <x:v>4</x:v>
      </x:c>
      <x:c r="C8" s="416" t="n">
        <x:v>0.4</x:v>
      </x:c>
      <x:c r="D8" s="416" t="n">
        <x:v>0.25</x:v>
      </x:c>
      <x:c r="E8" s="417" t="n">
        <x:v>16.27922077922078</x:v>
      </x:c>
      <x:c r="F8" s="417" t="n">
        <x:v>10.655844155844155</x:v>
      </x:c>
      <x:c r="G8" s="415" t="n">
        <x:v>0.24675324675324675</x:v>
      </x:c>
      <x:c r="H8" s="415" t="n">
        <x:v>0.7467532467532467</x:v>
      </x:c>
      <x:c r="I8" s="415" t="n">
        <x:v>0.3924436319317489</x:v>
      </x:c>
      <x:c r="J8" s="407" t="n">
        <x:v>1413</x:v>
      </x:c>
      <x:c r="K8" s="415" t="n">
        <x:v>0.4557678697806086</x:v>
      </x:c>
      <x:c r="L8" s="417" t="n">
        <x:v>128.45454545454547</x:v>
      </x:c>
      <x:c r="M8" s="417" t="n">
        <x:v>69.9090909090909</x:v>
      </x:c>
      <x:c r="N8" s="415" t="n">
        <x:v>0.059182290490173935</x:v>
      </x:c>
      <x:c r="O8" s="415" t="n">
        <x:v>0.08086253369272237</x:v>
      </x:c>
      <x:c r="P8" s="415" t="n">
        <x:v>0.07002241209144815</x:v>
      </x:c>
      <x:c r="Q8" s="415" t="n">
        <x:v>0.13893967093235837</x:v>
      </x:c>
      <x:c r="R8" s="407"/>
      <x:c r="S8" s="407"/>
      <x:c r="T8" s="407" t="n">
        <x:f>A8</x:f>
        <x:v>20</x:v>
      </x:c>
      <x:c r="U8" s="407" t="n">
        <x:f>N8</x:f>
        <x:v>0.059182290490173935</x:v>
      </x:c>
      <x:c r="V8" s="407" t="n">
        <x:f>O8</x:f>
        <x:v>0.08086253369272237</x:v>
      </x:c>
      <x:c r="W8" s="407" t="n">
        <x:f>P8</x:f>
        <x:v>0.07002241209144815</x:v>
      </x:c>
      <x:c r="X8" s="407"/>
      <x:c r="Y8" s="407" t="n">
        <x:f>A8</x:f>
        <x:v>20</x:v>
      </x:c>
      <x:c r="Z8" s="407" t="n">
        <x:f>L8</x:f>
        <x:v>128.45454545454547</x:v>
      </x:c>
      <x:c r="AA8" s="407" t="n">
        <x:f>M8</x:f>
        <x:v>69.9090909090909</x:v>
      </x:c>
      <x:c r="AB8" s="407"/>
      <x:c r="AC8" s="407"/>
      <x:c r="AD8" s="407"/>
      <x:c r="AE8" s="407"/>
      <x:c r="AF8" s="407"/>
      <x:c r="AG8" s="407"/>
    </x:row>
    <x:row r="9">
      <x:c r="A9" s="407" t="n">
        <x:v>25</x:v>
      </x:c>
      <x:c r="B9" s="407" t="n">
        <x:v>5</x:v>
      </x:c>
      <x:c r="C9" s="416" t="n">
        <x:v>0.4</x:v>
      </x:c>
      <x:c r="D9" s="416" t="n">
        <x:v>0.25</x:v>
      </x:c>
      <x:c r="E9" s="417" t="n">
        <x:v>16.27922077922078</x:v>
      </x:c>
      <x:c r="F9" s="417" t="n">
        <x:v>11.75974025974026</x:v>
      </x:c>
      <x:c r="G9" s="415" t="n">
        <x:v>0.19480519480519481</x:v>
      </x:c>
      <x:c r="H9" s="415" t="n">
        <x:v>0.7987012987012987</x:v>
      </x:c>
      <x:c r="I9" s="415" t="n">
        <x:v>0.3970182219768084</x:v>
      </x:c>
      <x:c r="J9" s="407" t="n">
        <x:v>1555</x:v>
      </x:c>
      <x:c r="K9" s="415" t="n">
        <x:v>0.46237942122186493</x:v>
      </x:c>
      <x:c r="L9" s="417" t="n">
        <x:v>141.36363636363637</x:v>
      </x:c>
      <x:c r="M9" s="417" t="n">
        <x:v>76</x:v>
      </x:c>
      <x:c r="N9" s="415" t="n">
        <x:v>0.06754009487237407</x:v>
      </x:c>
      <x:c r="O9" s="415" t="n">
        <x:v>0.08153638814016173</x:v>
      </x:c>
      <x:c r="P9" s="415" t="n">
        <x:v>0.0745382415062679</x:v>
      </x:c>
      <x:c r="Q9" s="415" t="n">
        <x:v>0.14135836554389836</x:v>
      </x:c>
      <x:c r="R9" s="407"/>
      <x:c r="S9" s="407"/>
      <x:c r="T9" s="407" t="n">
        <x:f>A9</x:f>
        <x:v>25</x:v>
      </x:c>
      <x:c r="U9" s="407" t="n">
        <x:f>N9</x:f>
        <x:v>0.06754009487237407</x:v>
      </x:c>
      <x:c r="V9" s="407" t="n">
        <x:f>O9</x:f>
        <x:v>0.08153638814016173</x:v>
      </x:c>
      <x:c r="W9" s="407" t="n">
        <x:f>P9</x:f>
        <x:v>0.0745382415062679</x:v>
      </x:c>
      <x:c r="X9" s="407"/>
      <x:c r="Y9" s="407" t="n">
        <x:f>A9</x:f>
        <x:v>25</x:v>
      </x:c>
      <x:c r="Z9" s="407" t="n">
        <x:f>L9</x:f>
        <x:v>141.36363636363637</x:v>
      </x:c>
      <x:c r="AA9" s="407" t="n">
        <x:f>M9</x:f>
        <x:v>76</x:v>
      </x:c>
      <x:c r="AB9" s="407"/>
      <x:c r="AC9" s="407"/>
      <x:c r="AD9" s="407"/>
      <x:c r="AE9" s="407"/>
      <x:c r="AF9" s="407"/>
      <x:c r="AG9" s="407"/>
    </x:row>
    <x:row r="10">
      <x:c r="A10" s="407"/>
      <x:c r="B10" s="407"/>
      <x:c r="C10" s="407"/>
      <x:c r="D10" s="407"/>
      <x:c r="E10" s="407"/>
      <x:c r="F10" s="407"/>
      <x:c r="G10" s="407"/>
      <x:c r="H10" s="407"/>
      <x:c r="I10" s="407"/>
      <x:c r="J10" s="407"/>
      <x:c r="K10" s="407"/>
      <x:c r="L10" s="407"/>
      <x:c r="M10" s="407"/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/>
      <x:c r="B11" s="407"/>
      <x:c r="C11" s="407"/>
      <x:c r="D11" s="407"/>
      <x:c r="E11" s="407"/>
      <x:c r="F11" s="407"/>
      <x:c r="G11" s="407"/>
      <x:c r="H11" s="407"/>
      <x:c r="I11" s="407"/>
      <x:c r="J11" s="407"/>
      <x:c r="K11" s="407"/>
      <x:c r="L11" s="407"/>
      <x:c r="M11" s="407"/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/>
      <x:c r="B12" s="407"/>
      <x:c r="C12" s="407"/>
      <x:c r="D12" s="407"/>
      <x:c r="E12" s="407"/>
      <x:c r="F12" s="407"/>
      <x:c r="G12" s="407"/>
      <x:c r="H12" s="407"/>
      <x:c r="I12" s="407"/>
      <x:c r="J12" s="407"/>
      <x:c r="K12" s="407"/>
      <x:c r="L12" s="407"/>
      <x:c r="M12" s="407"/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/>
      <x:c r="B13" s="407"/>
      <x:c r="C13" s="407"/>
      <x:c r="D13" s="407"/>
      <x:c r="E13" s="407"/>
      <x:c r="F13" s="407"/>
      <x:c r="G13" s="407"/>
      <x:c r="H13" s="407"/>
      <x:c r="I13" s="407"/>
      <x:c r="J13" s="407"/>
      <x:c r="K13" s="407"/>
      <x:c r="L13" s="407"/>
      <x:c r="M13" s="407"/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 ht="32" customHeight="1">
      <x:c r="A14" s="51" t="str">
        <x:v>方法</x:v>
      </x:c>
      <x:c r="B14" s="52" t="str">
        <x:v>顯示/次</x:v>
      </x:c>
      <x:c r="C14" s="52" t="str">
        <x:v>Episode命中率</x:v>
      </x:c>
      <x:c r="D14" s="52" t="str">
        <x:v>Episode/日</x:v>
      </x:c>
      <x:c r="E14" s="52" t="str">
        <x:v>未命中/日</x:v>
      </x:c>
      <x:c r="F14" s="52" t="str">
        <x:v>缺車召回</x:v>
      </x:c>
      <x:c r="G14" s="52" t="str">
        <x:v>滿柱召回</x:v>
      </x:c>
      <x:c r="H14" s="52" t="str">
        <x:v>Macro召回</x:v>
      </x:c>
      <x:c r="I14" s="52" t="str">
        <x:v>碰K率</x:v>
      </x:c>
      <x:c r="J14" s="53" t="str">
        <x:v>未填滿率</x:v>
      </x:c>
      <x:c r="K14" s="407"/>
      <x:c r="L14" s="407"/>
      <x:c r="M14" s="407"/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比例規則</x:v>
      </x:c>
      <x:c r="B15" s="407" t="n">
        <x:v>0</x:v>
      </x:c>
      <x:c r="C15" s="415" t="n">
        <x:v>0</x:v>
      </x:c>
      <x:c r="D15" s="407" t="n">
        <x:v>0</x:v>
      </x:c>
      <x:c r="E15" s="407" t="n">
        <x:v>0</x:v>
      </x:c>
      <x:c r="F15" s="415" t="n">
        <x:v>0</x:v>
      </x:c>
      <x:c r="G15" s="415" t="n">
        <x:v>0</x:v>
      </x:c>
      <x:c r="H15" s="415" t="n">
        <x:v>0</x:v>
      </x:c>
      <x:c r="I15" s="415" t="n">
        <x:v>0</x:v>
      </x:c>
      <x:c r="J15" s="415" t="n">
        <x:v>1</x:v>
      </x:c>
      <x:c r="K15" s="407"/>
      <x:c r="L15" s="407"/>
      <x:c r="M15" s="407"/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線性外推</x:v>
      </x:c>
      <x:c r="B16" s="407" t="n">
        <x:v>4.967532467532467</x:v>
      </x:c>
      <x:c r="C16" s="415" t="n">
        <x:v>0.11764705882352941</x:v>
      </x:c>
      <x:c r="D16" s="407" t="n">
        <x:v>69.54545454545455</x:v>
      </x:c>
      <x:c r="E16" s="407" t="n">
        <x:v>61.36363636363637</x:v>
      </x:c>
      <x:c r="F16" s="415" t="n">
        <x:v>0.008583690987124463</x:v>
      </x:c>
      <x:c r="G16" s="415" t="n">
        <x:v>0.009433962264150943</x:v>
      </x:c>
      <x:c r="H16" s="415" t="n">
        <x:v>0.009008826625637702</x:v>
      </x:c>
      <x:c r="I16" s="415" t="n">
        <x:v>0.19480519480519481</x:v>
      </x:c>
      <x:c r="J16" s="415" t="n">
        <x:v>0.7857142857142857</x:v>
      </x:c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Logistic</x:v>
      </x:c>
      <x:c r="B17" s="407" t="n">
        <x:v>2.4025974025974026</x:v>
      </x:c>
      <x:c r="C17" s="415" t="n">
        <x:v>0.3323262839879154</x:v>
      </x:c>
      <x:c r="D17" s="407" t="n">
        <x:v>30.09090909090909</x:v>
      </x:c>
      <x:c r="E17" s="407" t="n">
        <x:v>20.09090909090909</x:v>
      </x:c>
      <x:c r="F17" s="415" t="n">
        <x:v>0.012423763270838039</x:v>
      </x:c>
      <x:c r="G17" s="415" t="n">
        <x:v>0</x:v>
      </x:c>
      <x:c r="H17" s="415" t="n">
        <x:v>0.006211881635419019</x:v>
      </x:c>
      <x:c r="I17" s="415" t="n">
        <x:v>0.025974025974025976</x:v>
      </x:c>
      <x:c r="J17" s="415" t="n">
        <x:v>0.961038961038961</x:v>
      </x:c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LightGBM 舊版</x:v>
      </x:c>
      <x:c r="B18" s="407" t="n">
        <x:v>7.376623376623376</x:v>
      </x:c>
      <x:c r="C18" s="415" t="n">
        <x:v>0.44776119402985076</x:v>
      </x:c>
      <x:c r="D18" s="407" t="n">
        <x:v>91.36363636363636</x:v>
      </x:c>
      <x:c r="E18" s="407" t="n">
        <x:v>50.45454545454545</x:v>
      </x:c>
      <x:c r="F18" s="415" t="n">
        <x:v>0.039756042466681726</x:v>
      </x:c>
      <x:c r="G18" s="415" t="n">
        <x:v>0.0660377358490566</x:v>
      </x:c>
      <x:c r="H18" s="415" t="n">
        <x:v>0.052896889157869165</x:v>
      </x:c>
      <x:c r="I18" s="415" t="n">
        <x:v>0.4675324675324675</x:v>
      </x:c>
      <x:c r="J18" s="415" t="n">
        <x:v>0.5</x:v>
      </x:c>
      <x:c r="K18" s="407"/>
      <x:c r="L18" s="407"/>
      <x:c r="M18" s="407"/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LightGBM 正式調參</x:v>
      </x:c>
      <x:c r="B19" s="407" t="n">
        <x:v>7.116883116883117</x:v>
      </x:c>
      <x:c r="C19" s="415" t="n">
        <x:v>0.4376278118609407</x:v>
      </x:c>
      <x:c r="D19" s="407" t="n">
        <x:v>88.9090909090909</x:v>
      </x:c>
      <x:c r="E19" s="407" t="n">
        <x:v>50</x:v>
      </x:c>
      <x:c r="F19" s="415" t="n">
        <x:v>0.03738423311497628</x:v>
      </x:c>
      <x:c r="G19" s="415" t="n">
        <x:v>0.06536388140161725</x:v>
      </x:c>
      <x:c r="H19" s="415" t="n">
        <x:v>0.05137405725829677</x:v>
      </x:c>
      <x:c r="I19" s="415" t="n">
        <x:v>0.461038961038961</x:v>
      </x:c>
      <x:c r="J19" s="415" t="n">
        <x:v>0.512987012987013</x:v>
      </x:c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XGBoost 正式調參</x:v>
      </x:c>
      <x:c r="B20" s="407" t="n">
        <x:v>6.9480519480519485</x:v>
      </x:c>
      <x:c r="C20" s="415" t="n">
        <x:v>0.4412997903563941</x:v>
      </x:c>
      <x:c r="D20" s="407" t="n">
        <x:v>86.72727272727273</x:v>
      </x:c>
      <x:c r="E20" s="407" t="n">
        <x:v>48.45454545454545</x:v>
      </x:c>
      <x:c r="F20" s="415" t="n">
        <x:v>0.037158346510051954</x:v>
      </x:c>
      <x:c r="G20" s="415" t="n">
        <x:v>0.06199460916442048</x:v>
      </x:c>
      <x:c r="H20" s="415" t="n">
        <x:v>0.04957647783723622</x:v>
      </x:c>
      <x:c r="I20" s="415" t="n">
        <x:v>0.45454545454545453</x:v>
      </x:c>
      <x:c r="J20" s="415" t="n">
        <x:v>0.5064935064935064</x:v>
      </x:c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跨模型混合（CV規則）</x:v>
      </x:c>
      <x:c r="B21" s="407" t="n">
        <x:v>7.0519480519480515</x:v>
      </x:c>
      <x:c r="C21" s="415" t="n">
        <x:v>0.4412997903563941</x:v>
      </x:c>
      <x:c r="D21" s="407" t="n">
        <x:v>86.72727272727273</x:v>
      </x:c>
      <x:c r="E21" s="407" t="n">
        <x:v>48.45454545454545</x:v>
      </x:c>
      <x:c r="F21" s="415" t="n">
        <x:v>0.03704540320758979</x:v>
      </x:c>
      <x:c r="G21" s="415" t="n">
        <x:v>0.06266846361185983</x:v>
      </x:c>
      <x:c r="H21" s="415" t="n">
        <x:v>0.049856933409724816</x:v>
      </x:c>
      <x:c r="I21" s="415" t="n">
        <x:v>0.4675324675324675</x:v>
      </x:c>
      <x:c r="J21" s="415" t="n">
        <x:v>0.4935064935064935</x:v>
      </x:c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/>
      <x:c r="B22" s="407"/>
      <x:c r="C22" s="407"/>
      <x:c r="D22" s="407"/>
      <x:c r="E22" s="407"/>
      <x:c r="F22" s="407"/>
      <x:c r="G22" s="407"/>
      <x:c r="H22" s="407"/>
      <x:c r="I22" s="407"/>
      <x:c r="J22" s="407"/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/>
      <x:c r="B23" s="407"/>
      <x:c r="C23" s="407"/>
      <x:c r="D23" s="407"/>
      <x:c r="E23" s="407"/>
      <x:c r="F23" s="407"/>
      <x:c r="G23" s="407"/>
      <x:c r="H23" s="407"/>
      <x:c r="I23" s="407"/>
      <x:c r="J23" s="407"/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/>
      <x:c r="B24" s="407"/>
      <x:c r="C24" s="407"/>
      <x:c r="D24" s="407"/>
      <x:c r="E24" s="407"/>
      <x:c r="F24" s="407"/>
      <x:c r="G24" s="407"/>
      <x:c r="H24" s="407"/>
      <x:c r="I24" s="407"/>
      <x:c r="J24" s="407"/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/>
      <x:c r="B25" s="407"/>
      <x:c r="C25" s="407"/>
      <x:c r="D25" s="407"/>
      <x:c r="E25" s="407"/>
      <x:c r="F25" s="407"/>
      <x:c r="G25" s="407"/>
      <x:c r="H25" s="407"/>
      <x:c r="I25" s="407"/>
      <x:c r="J25" s="407"/>
      <x:c r="K25" s="407"/>
      <x:c r="L25" s="407"/>
      <x:c r="M25" s="407"/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/>
      <x:c r="B26" s="407"/>
      <x:c r="C26" s="407"/>
      <x:c r="D26" s="407"/>
      <x:c r="E26" s="407"/>
      <x:c r="F26" s="407"/>
      <x:c r="G26" s="407"/>
      <x:c r="H26" s="407"/>
      <x:c r="I26" s="407"/>
      <x:c r="J26" s="407"/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/>
      <x:c r="B27" s="407"/>
      <x:c r="C27" s="407"/>
      <x:c r="D27" s="407"/>
      <x:c r="E27" s="407"/>
      <x:c r="F27" s="407"/>
      <x:c r="G27" s="407"/>
      <x:c r="H27" s="407"/>
      <x:c r="I27" s="407"/>
      <x:c r="J27" s="407"/>
      <x:c r="K27" s="407"/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 ht="32" customHeight="1">
      <x:c r="A28" s="51" t="str">
        <x:v>方法</x:v>
      </x:c>
      <x:c r="B28" s="52" t="str">
        <x:v>政策</x:v>
      </x:c>
      <x:c r="C28" s="52" t="str">
        <x:v>K</x:v>
      </x:c>
      <x:c r="D28" s="52" t="str">
        <x:v>滿柱保留</x:v>
      </x:c>
      <x:c r="E28" s="52" t="str">
        <x:v>缺車底線</x:v>
      </x:c>
      <x:c r="F28" s="52" t="str">
        <x:v>滿柱底線</x:v>
      </x:c>
      <x:c r="G28" s="52" t="str">
        <x:v>顯示/次</x:v>
      </x:c>
      <x:c r="H28" s="52" t="str">
        <x:v>快照命中率</x:v>
      </x:c>
      <x:c r="I28" s="52" t="str">
        <x:v>Episode</x:v>
      </x:c>
      <x:c r="J28" s="52" t="str">
        <x:v>Episode命中率</x:v>
      </x:c>
      <x:c r="K28" s="52" t="str">
        <x:v>Episode/日</x:v>
      </x:c>
      <x:c r="L28" s="52" t="str">
        <x:v>未命中/日</x:v>
      </x:c>
      <x:c r="M28" s="52" t="str">
        <x:v>缺車召回</x:v>
      </x:c>
      <x:c r="N28" s="52" t="str">
        <x:v>滿柱召回</x:v>
      </x:c>
      <x:c r="O28" s="52" t="str">
        <x:v>Macro召回</x:v>
      </x:c>
      <x:c r="P28" s="52" t="str">
        <x:v>碰K率</x:v>
      </x:c>
      <x:c r="Q28" s="53" t="str">
        <x:v>未填滿率</x:v>
      </x:c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跨模型混合（CV規則）</x:v>
      </x:c>
      <x:c r="B29" s="407" t="str">
        <x:v>純容量排名</x:v>
      </x:c>
      <x:c r="C29" s="407" t="n">
        <x:v>10</x:v>
      </x:c>
      <x:c r="D29" s="407" t="n">
        <x:v>2</x:v>
      </x:c>
      <x:c r="E29" s="416" t="n">
        <x:v>0</x:v>
      </x:c>
      <x:c r="F29" s="416" t="n">
        <x:v>0</x:v>
      </x:c>
      <x:c r="G29" s="407" t="n">
        <x:v>10</x:v>
      </x:c>
      <x:c r="H29" s="415" t="n">
        <x:v>0.3487012987012987</x:v>
      </x:c>
      <x:c r="I29" s="407" t="n">
        <x:v>1346</x:v>
      </x:c>
      <x:c r="J29" s="415" t="n">
        <x:v>0.39895988112927194</x:v>
      </x:c>
      <x:c r="K29" s="407" t="n">
        <x:v>122.36363636363636</x:v>
      </x:c>
      <x:c r="L29" s="407" t="n">
        <x:v>73.54545454545455</x:v>
      </x:c>
      <x:c r="M29" s="415" t="n">
        <x:v>0.050372712898125144</x:v>
      </x:c>
      <x:c r="N29" s="415" t="n">
        <x:v>0.06132075471698113</x:v>
      </x:c>
      <x:c r="O29" s="415" t="n">
        <x:v>0.05584673380755314</x:v>
      </x:c>
      <x:c r="P29" s="415" t="n">
        <x:v>1</x:v>
      </x:c>
      <x:c r="Q29" s="415" t="n">
        <x:v>0</x:v>
      </x:c>
      <x:c r="R29" s="407"/>
      <x:c r="S29" s="407"/>
      <x:c r="T29" s="79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29" s="80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29" s="81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0">
      <x:c r="A30" s="407" t="str">
        <x:v>跨模型混合（CV規則）</x:v>
      </x:c>
      <x:c r="B30" s="407" t="str">
        <x:v>純容量排名</x:v>
      </x:c>
      <x:c r="C30" s="407" t="n">
        <x:v>15</x:v>
      </x:c>
      <x:c r="D30" s="407" t="n">
        <x:v>3</x:v>
      </x:c>
      <x:c r="E30" s="416" t="n">
        <x:v>0</x:v>
      </x:c>
      <x:c r="F30" s="416" t="n">
        <x:v>0</x:v>
      </x:c>
      <x:c r="G30" s="407" t="n">
        <x:v>15</x:v>
      </x:c>
      <x:c r="H30" s="415" t="n">
        <x:v>0.3354978354978355</x:v>
      </x:c>
      <x:c r="I30" s="407" t="n">
        <x:v>1967</x:v>
      </x:c>
      <x:c r="J30" s="415" t="n">
        <x:v>0.3940010167768175</x:v>
      </x:c>
      <x:c r="K30" s="407" t="n">
        <x:v>178.8181818181818</x:v>
      </x:c>
      <x:c r="L30" s="407" t="n">
        <x:v>108.36363636363636</x:v>
      </x:c>
      <x:c r="M30" s="415" t="n">
        <x:v>0.07397786311271741</x:v>
      </x:c>
      <x:c r="N30" s="415" t="n">
        <x:v>0.08086253369272237</x:v>
      </x:c>
      <x:c r="O30" s="415" t="n">
        <x:v>0.07742019840271988</x:v>
      </x:c>
      <x:c r="P30" s="415" t="n">
        <x:v>1</x:v>
      </x:c>
      <x:c r="Q30" s="415" t="n">
        <x:v>0</x:v>
      </x:c>
      <x:c r="R30" s="407"/>
      <x:c r="S30" s="407"/>
      <x:c r="T30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0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0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1">
      <x:c r="A31" s="407" t="str">
        <x:v>跨模型混合（CV規則）</x:v>
      </x:c>
      <x:c r="B31" s="407" t="str">
        <x:v>純容量排名</x:v>
      </x:c>
      <x:c r="C31" s="407" t="n">
        <x:v>20</x:v>
      </x:c>
      <x:c r="D31" s="407" t="n">
        <x:v>4</x:v>
      </x:c>
      <x:c r="E31" s="416" t="n">
        <x:v>0</x:v>
      </x:c>
      <x:c r="F31" s="416" t="n">
        <x:v>0</x:v>
      </x:c>
      <x:c r="G31" s="407" t="n">
        <x:v>20</x:v>
      </x:c>
      <x:c r="H31" s="415" t="n">
        <x:v>0.3185064935064935</x:v>
      </x:c>
      <x:c r="I31" s="407" t="n">
        <x:v>2577</x:v>
      </x:c>
      <x:c r="J31" s="415" t="n">
        <x:v>0.3806752037252619</x:v>
      </x:c>
      <x:c r="K31" s="407" t="n">
        <x:v>234.27272727272728</x:v>
      </x:c>
      <x:c r="L31" s="407" t="n">
        <x:v>145.0909090909091</x:v>
      </x:c>
      <x:c r="M31" s="415" t="n">
        <x:v>0.09396882764852044</x:v>
      </x:c>
      <x:c r="N31" s="415" t="n">
        <x:v>0.10040431266846361</x:v>
      </x:c>
      <x:c r="O31" s="415" t="n">
        <x:v>0.09718657015849202</x:v>
      </x:c>
      <x:c r="P31" s="415" t="n">
        <x:v>1</x:v>
      </x:c>
      <x:c r="Q31" s="415" t="n">
        <x:v>0</x:v>
      </x:c>
      <x:c r="R31" s="407"/>
      <x:c r="S31" s="407"/>
      <x:c r="T31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1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1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2">
      <x:c r="A32" s="407" t="str">
        <x:v>跨模型混合（CV規則）</x:v>
      </x:c>
      <x:c r="B32" s="407" t="str">
        <x:v>純容量排名</x:v>
      </x:c>
      <x:c r="C32" s="407" t="n">
        <x:v>25</x:v>
      </x:c>
      <x:c r="D32" s="407" t="n">
        <x:v>5</x:v>
      </x:c>
      <x:c r="E32" s="416" t="n">
        <x:v>0</x:v>
      </x:c>
      <x:c r="F32" s="416" t="n">
        <x:v>0</x:v>
      </x:c>
      <x:c r="G32" s="407" t="n">
        <x:v>25</x:v>
      </x:c>
      <x:c r="H32" s="415" t="n">
        <x:v>0.31012987012987014</x:v>
      </x:c>
      <x:c r="I32" s="407" t="n">
        <x:v>3175</x:v>
      </x:c>
      <x:c r="J32" s="415" t="n">
        <x:v>0.37606299212598426</x:v>
      </x:c>
      <x:c r="K32" s="407" t="n">
        <x:v>288.6363636363636</x:v>
      </x:c>
      <x:c r="L32" s="407" t="n">
        <x:v>180.0909090909091</x:v>
      </x:c>
      <x:c r="M32" s="415" t="n">
        <x:v>0.11497628190648294</x:v>
      </x:c>
      <x:c r="N32" s="415" t="n">
        <x:v>0.11859838274932614</x:v>
      </x:c>
      <x:c r="O32" s="415" t="n">
        <x:v>0.11678733232790454</x:v>
      </x:c>
      <x:c r="P32" s="415" t="n">
        <x:v>1</x:v>
      </x:c>
      <x:c r="Q32" s="415" t="n">
        <x:v>0</x:v>
      </x:c>
      <x:c r="R32" s="407"/>
      <x:c r="S32" s="407"/>
      <x:c r="T32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2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2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3">
      <x:c r="A33" s="407" t="str">
        <x:v>跨模型混合（CV規則）</x:v>
      </x:c>
      <x:c r="B33" s="407" t="str">
        <x:v>可部署門檻+Top-K</x:v>
      </x:c>
      <x:c r="C33" s="407" t="n">
        <x:v>10</x:v>
      </x:c>
      <x:c r="D33" s="407" t="n">
        <x:v>2</x:v>
      </x:c>
      <x:c r="E33" s="416" t="n">
        <x:v>0.4</x:v>
      </x:c>
      <x:c r="F33" s="416" t="n">
        <x:v>0.25</x:v>
      </x:c>
      <x:c r="G33" s="407" t="n">
        <x:v>7.0519480519480515</x:v>
      </x:c>
      <x:c r="H33" s="415" t="n">
        <x:v>0.3876611418047882</x:v>
      </x:c>
      <x:c r="I33" s="407" t="n">
        <x:v>954</x:v>
      </x:c>
      <x:c r="J33" s="415" t="n">
        <x:v>0.4412997903563941</x:v>
      </x:c>
      <x:c r="K33" s="407" t="n">
        <x:v>86.72727272727273</x:v>
      </x:c>
      <x:c r="L33" s="407" t="n">
        <x:v>48.45454545454545</x:v>
      </x:c>
      <x:c r="M33" s="415" t="n">
        <x:v>0.03704540320758979</x:v>
      </x:c>
      <x:c r="N33" s="415" t="n">
        <x:v>0.06266846361185983</x:v>
      </x:c>
      <x:c r="O33" s="415" t="n">
        <x:v>0.049856933409724816</x:v>
      </x:c>
      <x:c r="P33" s="415" t="n">
        <x:v>0.4675324675324675</x:v>
      </x:c>
      <x:c r="Q33" s="415" t="n">
        <x:v>0.4935064935064935</x:v>
      </x:c>
      <x:c r="R33" s="407"/>
      <x:c r="S33" s="407"/>
      <x:c r="T33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3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3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4">
      <x:c r="A34" s="407" t="str">
        <x:v>跨模型混合（CV規則）</x:v>
      </x:c>
      <x:c r="B34" s="407" t="str">
        <x:v>可部署門檻+Top-K</x:v>
      </x:c>
      <x:c r="C34" s="407" t="n">
        <x:v>15</x:v>
      </x:c>
      <x:c r="D34" s="407" t="n">
        <x:v>3</x:v>
      </x:c>
      <x:c r="E34" s="416" t="n">
        <x:v>0.4</x:v>
      </x:c>
      <x:c r="F34" s="416" t="n">
        <x:v>0.25</x:v>
      </x:c>
      <x:c r="G34" s="407" t="n">
        <x:v>9.188311688311689</x:v>
      </x:c>
      <x:c r="H34" s="415" t="n">
        <x:v>0.3893992932862191</x:v>
      </x:c>
      <x:c r="I34" s="407" t="n">
        <x:v>1228</x:v>
      </x:c>
      <x:c r="J34" s="415" t="n">
        <x:v>0.44869706840390877</x:v>
      </x:c>
      <x:c r="K34" s="407" t="n">
        <x:v>111.63636363636364</x:v>
      </x:c>
      <x:c r="L34" s="407" t="n">
        <x:v>61.54545454545455</x:v>
      </x:c>
      <x:c r="M34" s="415" t="n">
        <x:v>0.049695053083352154</x:v>
      </x:c>
      <x:c r="N34" s="415" t="n">
        <x:v>0.0747978436657682</x:v>
      </x:c>
      <x:c r="O34" s="415" t="n">
        <x:v>0.06224644837456017</x:v>
      </x:c>
      <x:c r="P34" s="415" t="n">
        <x:v>0.33766233766233766</x:v>
      </x:c>
      <x:c r="Q34" s="415" t="n">
        <x:v>0.6103896103896104</x:v>
      </x:c>
      <x:c r="R34" s="407"/>
      <x:c r="S34" s="407"/>
      <x:c r="T34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4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4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5">
      <x:c r="A35" s="407" t="str">
        <x:v>跨模型混合（CV規則）</x:v>
      </x:c>
      <x:c r="B35" s="407" t="str">
        <x:v>可部署門檻+Top-K</x:v>
      </x:c>
      <x:c r="C35" s="407" t="n">
        <x:v>20</x:v>
      </x:c>
      <x:c r="D35" s="407" t="n">
        <x:v>4</x:v>
      </x:c>
      <x:c r="E35" s="416" t="n">
        <x:v>0.4</x:v>
      </x:c>
      <x:c r="F35" s="416" t="n">
        <x:v>0.25</x:v>
      </x:c>
      <x:c r="G35" s="407" t="n">
        <x:v>10.655844155844155</x:v>
      </x:c>
      <x:c r="H35" s="415" t="n">
        <x:v>0.3924436319317489</x:v>
      </x:c>
      <x:c r="I35" s="407" t="n">
        <x:v>1413</x:v>
      </x:c>
      <x:c r="J35" s="415" t="n">
        <x:v>0.4557678697806086</x:v>
      </x:c>
      <x:c r="K35" s="407" t="n">
        <x:v>128.45454545454547</x:v>
      </x:c>
      <x:c r="L35" s="407" t="n">
        <x:v>69.9090909090909</x:v>
      </x:c>
      <x:c r="M35" s="415" t="n">
        <x:v>0.059182290490173935</x:v>
      </x:c>
      <x:c r="N35" s="415" t="n">
        <x:v>0.08086253369272237</x:v>
      </x:c>
      <x:c r="O35" s="415" t="n">
        <x:v>0.07002241209144815</x:v>
      </x:c>
      <x:c r="P35" s="415" t="n">
        <x:v>0.24675324675324675</x:v>
      </x:c>
      <x:c r="Q35" s="415" t="n">
        <x:v>0.7467532467532467</x:v>
      </x:c>
      <x:c r="R35" s="407"/>
      <x:c r="S35" s="407"/>
      <x:c r="T35" s="82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5" s="83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5" s="84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6">
      <x:c r="A36" s="407" t="str">
        <x:v>跨模型混合（CV規則）</x:v>
      </x:c>
      <x:c r="B36" s="407" t="str">
        <x:v>可部署門檻+Top-K</x:v>
      </x:c>
      <x:c r="C36" s="407" t="n">
        <x:v>25</x:v>
      </x:c>
      <x:c r="D36" s="407" t="n">
        <x:v>5</x:v>
      </x:c>
      <x:c r="E36" s="416" t="n">
        <x:v>0.4</x:v>
      </x:c>
      <x:c r="F36" s="416" t="n">
        <x:v>0.25</x:v>
      </x:c>
      <x:c r="G36" s="407" t="n">
        <x:v>11.75974025974026</x:v>
      </x:c>
      <x:c r="H36" s="415" t="n">
        <x:v>0.3970182219768084</x:v>
      </x:c>
      <x:c r="I36" s="407" t="n">
        <x:v>1555</x:v>
      </x:c>
      <x:c r="J36" s="415" t="n">
        <x:v>0.46237942122186493</x:v>
      </x:c>
      <x:c r="K36" s="407" t="n">
        <x:v>141.36363636363637</x:v>
      </x:c>
      <x:c r="L36" s="407" t="n">
        <x:v>76</x:v>
      </x:c>
      <x:c r="M36" s="415" t="n">
        <x:v>0.06754009487237407</x:v>
      </x:c>
      <x:c r="N36" s="415" t="n">
        <x:v>0.08153638814016173</x:v>
      </x:c>
      <x:c r="O36" s="415" t="n">
        <x:v>0.0745382415062679</x:v>
      </x:c>
      <x:c r="P36" s="415" t="n">
        <x:v>0.19480519480519481</x:v>
      </x:c>
      <x:c r="Q36" s="415" t="n">
        <x:v>0.7987012987012987</x:v>
      </x:c>
      <x:c r="R36" s="407"/>
      <x:c r="S36" s="407"/>
      <x:c r="T36" s="85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U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V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W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X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Y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Z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A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B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C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D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E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F36" s="86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  <x:c r="AG36" s="87" t="str">
        <x:v>K10的Macro召回約5%，是因分母為五月全部新失衡事件，但行動清單每次最多10站且必須先通過高機率底線。這是有限資源涵蓋率，不是模型對全部候選的Recall；模型排序仍主要看PR-AUC。</x:v>
      </x:c>
    </x:row>
    <x:row r="37">
      <x:c r="A37" s="407" t="str">
        <x:v>LightGBM 正式調參</x:v>
      </x:c>
      <x:c r="B37" s="407" t="str">
        <x:v>純容量排名</x:v>
      </x:c>
      <x:c r="C37" s="407" t="n">
        <x:v>10</x:v>
      </x:c>
      <x:c r="D37" s="407" t="n">
        <x:v>2</x:v>
      </x:c>
      <x:c r="E37" s="416" t="n">
        <x:v>0</x:v>
      </x:c>
      <x:c r="F37" s="416" t="n">
        <x:v>0</x:v>
      </x:c>
      <x:c r="G37" s="407" t="n">
        <x:v>10</x:v>
      </x:c>
      <x:c r="H37" s="415" t="n">
        <x:v>0.3512987012987013</x:v>
      </x:c>
      <x:c r="I37" s="407" t="n">
        <x:v>1356</x:v>
      </x:c>
      <x:c r="J37" s="415" t="n">
        <x:v>0.39896755162241887</x:v>
      </x:c>
      <x:c r="K37" s="407" t="n">
        <x:v>123.27272727272727</x:v>
      </x:c>
      <x:c r="L37" s="407" t="n">
        <x:v>74.0909090909091</x:v>
      </x:c>
      <x:c r="M37" s="415" t="n">
        <x:v>0.05048565620058731</x:v>
      </x:c>
      <x:c r="N37" s="415" t="n">
        <x:v>0.06334231805929919</x:v>
      </x:c>
      <x:c r="O37" s="415" t="n">
        <x:v>0.05691398712994325</x:v>
      </x:c>
      <x:c r="P37" s="415" t="n">
        <x:v>1</x:v>
      </x:c>
      <x:c r="Q37" s="415" t="n">
        <x:v>0</x:v>
      </x:c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LightGBM 正式調參</x:v>
      </x:c>
      <x:c r="B38" s="407" t="str">
        <x:v>純容量排名</x:v>
      </x:c>
      <x:c r="C38" s="407" t="n">
        <x:v>15</x:v>
      </x:c>
      <x:c r="D38" s="407" t="n">
        <x:v>3</x:v>
      </x:c>
      <x:c r="E38" s="416" t="n">
        <x:v>0</x:v>
      </x:c>
      <x:c r="F38" s="416" t="n">
        <x:v>0</x:v>
      </x:c>
      <x:c r="G38" s="407" t="n">
        <x:v>15</x:v>
      </x:c>
      <x:c r="H38" s="415" t="n">
        <x:v>0.3406926406926407</x:v>
      </x:c>
      <x:c r="I38" s="407" t="n">
        <x:v>1981</x:v>
      </x:c>
      <x:c r="J38" s="415" t="n">
        <x:v>0.39727410398788493</x:v>
      </x:c>
      <x:c r="K38" s="407" t="n">
        <x:v>180.0909090909091</x:v>
      </x:c>
      <x:c r="L38" s="407" t="n">
        <x:v>108.54545454545455</x:v>
      </x:c>
      <x:c r="M38" s="415" t="n">
        <x:v>0.07397786311271741</x:v>
      </x:c>
      <x:c r="N38" s="415" t="n">
        <x:v>0.0889487870619946</x:v>
      </x:c>
      <x:c r="O38" s="415" t="n">
        <x:v>0.08146332508735601</x:v>
      </x:c>
      <x:c r="P38" s="415" t="n">
        <x:v>1</x:v>
      </x:c>
      <x:c r="Q38" s="415" t="n">
        <x:v>0</x:v>
      </x:c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LightGBM 正式調參</x:v>
      </x:c>
      <x:c r="B39" s="407" t="str">
        <x:v>純容量排名</x:v>
      </x:c>
      <x:c r="C39" s="407" t="n">
        <x:v>20</x:v>
      </x:c>
      <x:c r="D39" s="407" t="n">
        <x:v>4</x:v>
      </x:c>
      <x:c r="E39" s="416" t="n">
        <x:v>0</x:v>
      </x:c>
      <x:c r="F39" s="416" t="n">
        <x:v>0</x:v>
      </x:c>
      <x:c r="G39" s="407" t="n">
        <x:v>20</x:v>
      </x:c>
      <x:c r="H39" s="415" t="n">
        <x:v>0.32272727272727275</x:v>
      </x:c>
      <x:c r="I39" s="407" t="n">
        <x:v>2590</x:v>
      </x:c>
      <x:c r="J39" s="415" t="n">
        <x:v>0.3837837837837838</x:v>
      </x:c>
      <x:c r="K39" s="407" t="n">
        <x:v>235.45454545454547</x:v>
      </x:c>
      <x:c r="L39" s="407" t="n">
        <x:v>145.0909090909091</x:v>
      </x:c>
      <x:c r="M39" s="415" t="n">
        <x:v>0.09385588434605828</x:v>
      </x:c>
      <x:c r="N39" s="415" t="n">
        <x:v>0.10983827493261455</x:v>
      </x:c>
      <x:c r="O39" s="415" t="n">
        <x:v>0.10184707963933642</x:v>
      </x:c>
      <x:c r="P39" s="415" t="n">
        <x:v>1</x:v>
      </x:c>
      <x:c r="Q39" s="415" t="n">
        <x:v>0</x:v>
      </x:c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LightGBM 正式調參</x:v>
      </x:c>
      <x:c r="B40" s="407" t="str">
        <x:v>純容量排名</x:v>
      </x:c>
      <x:c r="C40" s="407" t="n">
        <x:v>25</x:v>
      </x:c>
      <x:c r="D40" s="407" t="n">
        <x:v>5</x:v>
      </x:c>
      <x:c r="E40" s="416" t="n">
        <x:v>0</x:v>
      </x:c>
      <x:c r="F40" s="416" t="n">
        <x:v>0</x:v>
      </x:c>
      <x:c r="G40" s="407" t="n">
        <x:v>25</x:v>
      </x:c>
      <x:c r="H40" s="415" t="n">
        <x:v>0.3142857142857143</x:v>
      </x:c>
      <x:c r="I40" s="407" t="n">
        <x:v>3201</x:v>
      </x:c>
      <x:c r="J40" s="415" t="n">
        <x:v>0.37800687285223367</x:v>
      </x:c>
      <x:c r="K40" s="407" t="n">
        <x:v>291</x:v>
      </x:c>
      <x:c r="L40" s="407" t="n">
        <x:v>181</x:v>
      </x:c>
      <x:c r="M40" s="415" t="n">
        <x:v>0.11520216851140727</x:v>
      </x:c>
      <x:c r="N40" s="415" t="n">
        <x:v>0.1280323450134771</x:v>
      </x:c>
      <x:c r="O40" s="415" t="n">
        <x:v>0.12161725676244219</x:v>
      </x:c>
      <x:c r="P40" s="415" t="n">
        <x:v>1</x:v>
      </x:c>
      <x:c r="Q40" s="415" t="n">
        <x:v>0</x:v>
      </x:c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LightGBM 正式調參</x:v>
      </x:c>
      <x:c r="B41" s="407" t="str">
        <x:v>可部署門檻+Top-K</x:v>
      </x:c>
      <x:c r="C41" s="407" t="n">
        <x:v>10</x:v>
      </x:c>
      <x:c r="D41" s="407" t="n">
        <x:v>2</x:v>
      </x:c>
      <x:c r="E41" s="416" t="n">
        <x:v>0.4</x:v>
      </x:c>
      <x:c r="F41" s="416" t="n">
        <x:v>0.25</x:v>
      </x:c>
      <x:c r="G41" s="407" t="n">
        <x:v>7.116883116883117</x:v>
      </x:c>
      <x:c r="H41" s="415" t="n">
        <x:v>0.3905109489051095</x:v>
      </x:c>
      <x:c r="I41" s="407" t="n">
        <x:v>978</x:v>
      </x:c>
      <x:c r="J41" s="415" t="n">
        <x:v>0.4376278118609407</x:v>
      </x:c>
      <x:c r="K41" s="407" t="n">
        <x:v>88.9090909090909</x:v>
      </x:c>
      <x:c r="L41" s="407" t="n">
        <x:v>50</x:v>
      </x:c>
      <x:c r="M41" s="415" t="n">
        <x:v>0.03738423311497628</x:v>
      </x:c>
      <x:c r="N41" s="415" t="n">
        <x:v>0.06536388140161725</x:v>
      </x:c>
      <x:c r="O41" s="415" t="n">
        <x:v>0.05137405725829677</x:v>
      </x:c>
      <x:c r="P41" s="415" t="n">
        <x:v>0.461038961038961</x:v>
      </x:c>
      <x:c r="Q41" s="415" t="n">
        <x:v>0.512987012987013</x:v>
      </x:c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LightGBM 正式調參</x:v>
      </x:c>
      <x:c r="B42" s="407" t="str">
        <x:v>可部署門檻+Top-K</x:v>
      </x:c>
      <x:c r="C42" s="407" t="n">
        <x:v>15</x:v>
      </x:c>
      <x:c r="D42" s="407" t="n">
        <x:v>3</x:v>
      </x:c>
      <x:c r="E42" s="416" t="n">
        <x:v>0.4</x:v>
      </x:c>
      <x:c r="F42" s="416" t="n">
        <x:v>0.25</x:v>
      </x:c>
      <x:c r="G42" s="407" t="n">
        <x:v>9.14935064935065</x:v>
      </x:c>
      <x:c r="H42" s="415" t="n">
        <x:v>0.39815471965933286</x:v>
      </x:c>
      <x:c r="I42" s="407" t="n">
        <x:v>1236</x:v>
      </x:c>
      <x:c r="J42" s="415" t="n">
        <x:v>0.4538834951456311</x:v>
      </x:c>
      <x:c r="K42" s="407" t="n">
        <x:v>112.36363636363636</x:v>
      </x:c>
      <x:c r="L42" s="407" t="n">
        <x:v>61.36363636363637</x:v>
      </x:c>
      <x:c r="M42" s="415" t="n">
        <x:v>0.049695053083352154</x:v>
      </x:c>
      <x:c r="N42" s="415" t="n">
        <x:v>0.08153638814016173</x:v>
      </x:c>
      <x:c r="O42" s="415" t="n">
        <x:v>0.06561572061175694</x:v>
      </x:c>
      <x:c r="P42" s="415" t="n">
        <x:v>0.34415584415584416</x:v>
      </x:c>
      <x:c r="Q42" s="415" t="n">
        <x:v>0.6363636363636364</x:v>
      </x:c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LightGBM 正式調參</x:v>
      </x:c>
      <x:c r="B43" s="407" t="str">
        <x:v>可部署門檻+Top-K</x:v>
      </x:c>
      <x:c r="C43" s="407" t="n">
        <x:v>20</x:v>
      </x:c>
      <x:c r="D43" s="407" t="n">
        <x:v>4</x:v>
      </x:c>
      <x:c r="E43" s="416" t="n">
        <x:v>0.4</x:v>
      </x:c>
      <x:c r="F43" s="416" t="n">
        <x:v>0.25</x:v>
      </x:c>
      <x:c r="G43" s="407" t="n">
        <x:v>10.584415584415584</x:v>
      </x:c>
      <x:c r="H43" s="415" t="n">
        <x:v>0.4012269938650307</x:v>
      </x:c>
      <x:c r="I43" s="407" t="n">
        <x:v>1416</x:v>
      </x:c>
      <x:c r="J43" s="415" t="n">
        <x:v>0.461864406779661</x:v>
      </x:c>
      <x:c r="K43" s="407" t="n">
        <x:v>128.72727272727272</x:v>
      </x:c>
      <x:c r="L43" s="407" t="n">
        <x:v>69.27272727272727</x:v>
      </x:c>
      <x:c r="M43" s="415" t="n">
        <x:v>0.05873051728032528</x:v>
      </x:c>
      <x:c r="N43" s="415" t="n">
        <x:v>0.09029649595687332</x:v>
      </x:c>
      <x:c r="O43" s="415" t="n">
        <x:v>0.0745135066185993</x:v>
      </x:c>
      <x:c r="P43" s="415" t="n">
        <x:v>0.22077922077922077</x:v>
      </x:c>
      <x:c r="Q43" s="415" t="n">
        <x:v>0.7532467532467533</x:v>
      </x:c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 t="str">
        <x:v>LightGBM 正式調參</x:v>
      </x:c>
      <x:c r="B44" s="407" t="str">
        <x:v>可部署門檻+Top-K</x:v>
      </x:c>
      <x:c r="C44" s="407" t="n">
        <x:v>25</x:v>
      </x:c>
      <x:c r="D44" s="407" t="n">
        <x:v>5</x:v>
      </x:c>
      <x:c r="E44" s="416" t="n">
        <x:v>0.4</x:v>
      </x:c>
      <x:c r="F44" s="416" t="n">
        <x:v>0.25</x:v>
      </x:c>
      <x:c r="G44" s="407" t="n">
        <x:v>11.675324675324676</x:v>
      </x:c>
      <x:c r="H44" s="415" t="n">
        <x:v>0.40656284760845385</x:v>
      </x:c>
      <x:c r="I44" s="407" t="n">
        <x:v>1564</x:v>
      </x:c>
      <x:c r="J44" s="415" t="n">
        <x:v>0.4673913043478261</x:v>
      </x:c>
      <x:c r="K44" s="407" t="n">
        <x:v>142.1818181818182</x:v>
      </x:c>
      <x:c r="L44" s="407" t="n">
        <x:v>75.72727272727273</x:v>
      </x:c>
      <x:c r="M44" s="415" t="n">
        <x:v>0.06708832166252542</x:v>
      </x:c>
      <x:c r="N44" s="415" t="n">
        <x:v>0.09231805929919137</x:v>
      </x:c>
      <x:c r="O44" s="415" t="n">
        <x:v>0.07970319048085839</x:v>
      </x:c>
      <x:c r="P44" s="415" t="n">
        <x:v>0.2077922077922078</x:v>
      </x:c>
      <x:c r="Q44" s="415" t="n">
        <x:v>0.7922077922077922</x:v>
      </x:c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 t="str">
        <x:v>LightGBM 舊版</x:v>
      </x:c>
      <x:c r="B45" s="407" t="str">
        <x:v>純容量排名</x:v>
      </x:c>
      <x:c r="C45" s="407" t="n">
        <x:v>10</x:v>
      </x:c>
      <x:c r="D45" s="407" t="n">
        <x:v>2</x:v>
      </x:c>
      <x:c r="E45" s="416" t="n">
        <x:v>0</x:v>
      </x:c>
      <x:c r="F45" s="416" t="n">
        <x:v>0</x:v>
      </x:c>
      <x:c r="G45" s="407" t="n">
        <x:v>10</x:v>
      </x:c>
      <x:c r="H45" s="415" t="n">
        <x:v>0.3538961038961039</x:v>
      </x:c>
      <x:c r="I45" s="407" t="n">
        <x:v>1352</x:v>
      </x:c>
      <x:c r="J45" s="415" t="n">
        <x:v>0.4031065088757396</x:v>
      </x:c>
      <x:c r="K45" s="407" t="n">
        <x:v>122.9090909090909</x:v>
      </x:c>
      <x:c r="L45" s="407" t="n">
        <x:v>73.36363636363636</x:v>
      </x:c>
      <x:c r="M45" s="415" t="n">
        <x:v>0.051050372712898126</x:v>
      </x:c>
      <x:c r="N45" s="415" t="n">
        <x:v>0.06266846361185983</x:v>
      </x:c>
      <x:c r="O45" s="415" t="n">
        <x:v>0.05685941816237898</x:v>
      </x:c>
      <x:c r="P45" s="415" t="n">
        <x:v>1</x:v>
      </x:c>
      <x:c r="Q45" s="415" t="n">
        <x:v>0</x:v>
      </x:c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 t="str">
        <x:v>LightGBM 舊版</x:v>
      </x:c>
      <x:c r="B46" s="407" t="str">
        <x:v>純容量排名</x:v>
      </x:c>
      <x:c r="C46" s="407" t="n">
        <x:v>15</x:v>
      </x:c>
      <x:c r="D46" s="407" t="n">
        <x:v>3</x:v>
      </x:c>
      <x:c r="E46" s="416" t="n">
        <x:v>0</x:v>
      </x:c>
      <x:c r="F46" s="416" t="n">
        <x:v>0</x:v>
      </x:c>
      <x:c r="G46" s="407" t="n">
        <x:v>15</x:v>
      </x:c>
      <x:c r="H46" s="415" t="n">
        <x:v>0.3303030303030303</x:v>
      </x:c>
      <x:c r="I46" s="407" t="n">
        <x:v>1957</x:v>
      </x:c>
      <x:c r="J46" s="415" t="n">
        <x:v>0.38988247317322433</x:v>
      </x:c>
      <x:c r="K46" s="407" t="n">
        <x:v>177.9090909090909</x:v>
      </x:c>
      <x:c r="L46" s="407" t="n">
        <x:v>108.54545454545455</x:v>
      </x:c>
      <x:c r="M46" s="415" t="n">
        <x:v>0.07228371357578496</x:v>
      </x:c>
      <x:c r="N46" s="415" t="n">
        <x:v>0.08288409703504043</x:v>
      </x:c>
      <x:c r="O46" s="415" t="n">
        <x:v>0.0775839053054127</x:v>
      </x:c>
      <x:c r="P46" s="415" t="n">
        <x:v>1</x:v>
      </x:c>
      <x:c r="Q46" s="415" t="n">
        <x:v>0</x:v>
      </x:c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 t="str">
        <x:v>LightGBM 舊版</x:v>
      </x:c>
      <x:c r="B47" s="407" t="str">
        <x:v>純容量排名</x:v>
      </x:c>
      <x:c r="C47" s="407" t="n">
        <x:v>20</x:v>
      </x:c>
      <x:c r="D47" s="407" t="n">
        <x:v>4</x:v>
      </x:c>
      <x:c r="E47" s="416" t="n">
        <x:v>0</x:v>
      </x:c>
      <x:c r="F47" s="416" t="n">
        <x:v>0</x:v>
      </x:c>
      <x:c r="G47" s="407" t="n">
        <x:v>20</x:v>
      </x:c>
      <x:c r="H47" s="415" t="n">
        <x:v>0.32402597402597405</x:v>
      </x:c>
      <x:c r="I47" s="407" t="n">
        <x:v>2570</x:v>
      </x:c>
      <x:c r="J47" s="415" t="n">
        <x:v>0.38832684824902725</x:v>
      </x:c>
      <x:c r="K47" s="407" t="n">
        <x:v>233.63636363636363</x:v>
      </x:c>
      <x:c r="L47" s="407" t="n">
        <x:v>142.9090909090909</x:v>
      </x:c>
      <x:c r="M47" s="415" t="n">
        <x:v>0.09498531737067992</x:v>
      </x:c>
      <x:c r="N47" s="415" t="n">
        <x:v>0.10579514824797843</x:v>
      </x:c>
      <x:c r="O47" s="415" t="n">
        <x:v>0.10039023280932918</x:v>
      </x:c>
      <x:c r="P47" s="415" t="n">
        <x:v>1</x:v>
      </x:c>
      <x:c r="Q47" s="415" t="n">
        <x:v>0</x:v>
      </x:c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 t="str">
        <x:v>LightGBM 舊版</x:v>
      </x:c>
      <x:c r="B48" s="407" t="str">
        <x:v>純容量排名</x:v>
      </x:c>
      <x:c r="C48" s="407" t="n">
        <x:v>25</x:v>
      </x:c>
      <x:c r="D48" s="407" t="n">
        <x:v>5</x:v>
      </x:c>
      <x:c r="E48" s="416" t="n">
        <x:v>0</x:v>
      </x:c>
      <x:c r="F48" s="416" t="n">
        <x:v>0</x:v>
      </x:c>
      <x:c r="G48" s="407" t="n">
        <x:v>25</x:v>
      </x:c>
      <x:c r="H48" s="415" t="n">
        <x:v>0.3148051948051948</x:v>
      </x:c>
      <x:c r="I48" s="407" t="n">
        <x:v>3179</x:v>
      </x:c>
      <x:c r="J48" s="415" t="n">
        <x:v>0.3812519660270525</x:v>
      </x:c>
      <x:c r="K48" s="407" t="n">
        <x:v>289</x:v>
      </x:c>
      <x:c r="L48" s="407" t="n">
        <x:v>178.8181818181818</x:v>
      </x:c>
      <x:c r="M48" s="415" t="n">
        <x:v>0.11610571493110458</x:v>
      </x:c>
      <x:c r="N48" s="415" t="n">
        <x:v>0.12398921832884097</x:v>
      </x:c>
      <x:c r="O48" s="415" t="n">
        <x:v>0.12004746662997277</x:v>
      </x:c>
      <x:c r="P48" s="415" t="n">
        <x:v>1</x:v>
      </x:c>
      <x:c r="Q48" s="415" t="n">
        <x:v>0</x:v>
      </x:c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 t="str">
        <x:v>LightGBM 舊版</x:v>
      </x:c>
      <x:c r="B49" s="407" t="str">
        <x:v>可部署門檻+Top-K</x:v>
      </x:c>
      <x:c r="C49" s="407" t="n">
        <x:v>10</x:v>
      </x:c>
      <x:c r="D49" s="407" t="n">
        <x:v>2</x:v>
      </x:c>
      <x:c r="E49" s="416" t="n">
        <x:v>0.4</x:v>
      </x:c>
      <x:c r="F49" s="416" t="n">
        <x:v>0.25</x:v>
      </x:c>
      <x:c r="G49" s="407" t="n">
        <x:v>7.376623376623376</x:v>
      </x:c>
      <x:c r="H49" s="415" t="n">
        <x:v>0.3961267605633803</x:v>
      </x:c>
      <x:c r="I49" s="407" t="n">
        <x:v>1005</x:v>
      </x:c>
      <x:c r="J49" s="415" t="n">
        <x:v>0.44776119402985076</x:v>
      </x:c>
      <x:c r="K49" s="407" t="n">
        <x:v>91.36363636363636</x:v>
      </x:c>
      <x:c r="L49" s="407" t="n">
        <x:v>50.45454545454545</x:v>
      </x:c>
      <x:c r="M49" s="415" t="n">
        <x:v>0.039756042466681726</x:v>
      </x:c>
      <x:c r="N49" s="415" t="n">
        <x:v>0.0660377358490566</x:v>
      </x:c>
      <x:c r="O49" s="415" t="n">
        <x:v>0.052896889157869165</x:v>
      </x:c>
      <x:c r="P49" s="415" t="n">
        <x:v>0.4675324675324675</x:v>
      </x:c>
      <x:c r="Q49" s="415" t="n">
        <x:v>0.5</x:v>
      </x:c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 t="str">
        <x:v>LightGBM 舊版</x:v>
      </x:c>
      <x:c r="B50" s="407" t="str">
        <x:v>可部署門檻+Top-K</x:v>
      </x:c>
      <x:c r="C50" s="407" t="n">
        <x:v>15</x:v>
      </x:c>
      <x:c r="D50" s="407" t="n">
        <x:v>3</x:v>
      </x:c>
      <x:c r="E50" s="416" t="n">
        <x:v>0.4</x:v>
      </x:c>
      <x:c r="F50" s="416" t="n">
        <x:v>0.25</x:v>
      </x:c>
      <x:c r="G50" s="407" t="n">
        <x:v>9.454545454545455</x:v>
      </x:c>
      <x:c r="H50" s="415" t="n">
        <x:v>0.3956043956043956</x:v>
      </x:c>
      <x:c r="I50" s="407" t="n">
        <x:v>1269</x:v>
      </x:c>
      <x:c r="J50" s="415" t="n">
        <x:v>0.45390070921985815</x:v>
      </x:c>
      <x:c r="K50" s="407" t="n">
        <x:v>115.36363636363636</x:v>
      </x:c>
      <x:c r="L50" s="407" t="n">
        <x:v>63</x:v>
      </x:c>
      <x:c r="M50" s="415" t="n">
        <x:v>0.05138920262028462</x:v>
      </x:c>
      <x:c r="N50" s="415" t="n">
        <x:v>0.08153638814016173</x:v>
      </x:c>
      <x:c r="O50" s="415" t="n">
        <x:v>0.06646279538022318</x:v>
      </x:c>
      <x:c r="P50" s="415" t="n">
        <x:v>0.35064935064935066</x:v>
      </x:c>
      <x:c r="Q50" s="415" t="n">
        <x:v>0.6298701298701299</x:v>
      </x:c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 t="str">
        <x:v>LightGBM 舊版</x:v>
      </x:c>
      <x:c r="B51" s="407" t="str">
        <x:v>可部署門檻+Top-K</x:v>
      </x:c>
      <x:c r="C51" s="407" t="n">
        <x:v>20</x:v>
      </x:c>
      <x:c r="D51" s="407" t="n">
        <x:v>4</x:v>
      </x:c>
      <x:c r="E51" s="416" t="n">
        <x:v>0.4</x:v>
      </x:c>
      <x:c r="F51" s="416" t="n">
        <x:v>0.25</x:v>
      </x:c>
      <x:c r="G51" s="407" t="n">
        <x:v>10.935064935064934</x:v>
      </x:c>
      <x:c r="H51" s="415" t="n">
        <x:v>0.4014251781472684</x:v>
      </x:c>
      <x:c r="I51" s="407" t="n">
        <x:v>1458</x:v>
      </x:c>
      <x:c r="J51" s="415" t="n">
        <x:v>0.46364883401920437</x:v>
      </x:c>
      <x:c r="K51" s="407" t="n">
        <x:v>132.54545454545453</x:v>
      </x:c>
      <x:c r="L51" s="407" t="n">
        <x:v>71.0909090909091</x:v>
      </x:c>
      <x:c r="M51" s="415" t="n">
        <x:v>0.06065055342218206</x:v>
      </x:c>
      <x:c r="N51" s="415" t="n">
        <x:v>0.09366576819407008</x:v>
      </x:c>
      <x:c r="O51" s="415" t="n">
        <x:v>0.07715816080812607</x:v>
      </x:c>
      <x:c r="P51" s="415" t="n">
        <x:v>0.23376623376623376</x:v>
      </x:c>
      <x:c r="Q51" s="415" t="n">
        <x:v>0.7532467532467533</x:v>
      </x:c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 t="str">
        <x:v>LightGBM 舊版</x:v>
      </x:c>
      <x:c r="B52" s="407" t="str">
        <x:v>可部署門檻+Top-K</x:v>
      </x:c>
      <x:c r="C52" s="407" t="n">
        <x:v>25</x:v>
      </x:c>
      <x:c r="D52" s="407" t="n">
        <x:v>5</x:v>
      </x:c>
      <x:c r="E52" s="416" t="n">
        <x:v>0.4</x:v>
      </x:c>
      <x:c r="F52" s="416" t="n">
        <x:v>0.25</x:v>
      </x:c>
      <x:c r="G52" s="407" t="n">
        <x:v>12.051948051948052</x:v>
      </x:c>
      <x:c r="H52" s="415" t="n">
        <x:v>0.4046336206896552</x:v>
      </x:c>
      <x:c r="I52" s="407" t="n">
        <x:v>1596</x:v>
      </x:c>
      <x:c r="J52" s="415" t="n">
        <x:v>0.4705513784461153</x:v>
      </x:c>
      <x:c r="K52" s="407" t="n">
        <x:v>145.0909090909091</x:v>
      </x:c>
      <x:c r="L52" s="407" t="n">
        <x:v>76.81818181818181</x:v>
      </x:c>
      <x:c r="M52" s="415" t="n">
        <x:v>0.06844364129207138</x:v>
      </x:c>
      <x:c r="N52" s="415" t="n">
        <x:v>0.0977088948787062</x:v>
      </x:c>
      <x:c r="O52" s="415" t="n">
        <x:v>0.08307626808538879</x:v>
      </x:c>
      <x:c r="P52" s="415" t="n">
        <x:v>0.2077922077922078</x:v>
      </x:c>
      <x:c r="Q52" s="415" t="n">
        <x:v>0.7857142857142857</x:v>
      </x:c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 t="str">
        <x:v>線性外推</x:v>
      </x:c>
      <x:c r="B53" s="407" t="str">
        <x:v>純容量排名</x:v>
      </x:c>
      <x:c r="C53" s="407" t="n">
        <x:v>10</x:v>
      </x:c>
      <x:c r="D53" s="407" t="n">
        <x:v>2</x:v>
      </x:c>
      <x:c r="E53" s="416" t="n">
        <x:v>0</x:v>
      </x:c>
      <x:c r="F53" s="416" t="n">
        <x:v>0</x:v>
      </x:c>
      <x:c r="G53" s="407" t="n">
        <x:v>10</x:v>
      </x:c>
      <x:c r="H53" s="415" t="n">
        <x:v>0.1305194805194805</x:v>
      </x:c>
      <x:c r="I53" s="407" t="n">
        <x:v>1540</x:v>
      </x:c>
      <x:c r="J53" s="415" t="n">
        <x:v>0.1305194805194805</x:v>
      </x:c>
      <x:c r="K53" s="407" t="n">
        <x:v>140</x:v>
      </x:c>
      <x:c r="L53" s="407" t="n">
        <x:v>121.72727272727273</x:v>
      </x:c>
      <x:c r="M53" s="415" t="n">
        <x:v>0.020329794443189518</x:v>
      </x:c>
      <x:c r="N53" s="415" t="n">
        <x:v>0.014150943396226415</x:v>
      </x:c>
      <x:c r="O53" s="415" t="n">
        <x:v>0.01724036891970797</x:v>
      </x:c>
      <x:c r="P53" s="415" t="n">
        <x:v>1</x:v>
      </x:c>
      <x:c r="Q53" s="415" t="n">
        <x:v>0</x:v>
      </x:c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 t="str">
        <x:v>線性外推</x:v>
      </x:c>
      <x:c r="B54" s="407" t="str">
        <x:v>純容量排名</x:v>
      </x:c>
      <x:c r="C54" s="407" t="n">
        <x:v>15</x:v>
      </x:c>
      <x:c r="D54" s="407" t="n">
        <x:v>3</x:v>
      </x:c>
      <x:c r="E54" s="416" t="n">
        <x:v>0</x:v>
      </x:c>
      <x:c r="F54" s="416" t="n">
        <x:v>0</x:v>
      </x:c>
      <x:c r="G54" s="407" t="n">
        <x:v>15</x:v>
      </x:c>
      <x:c r="H54" s="415" t="n">
        <x:v>0.1303030303030303</x:v>
      </x:c>
      <x:c r="I54" s="407" t="n">
        <x:v>2310</x:v>
      </x:c>
      <x:c r="J54" s="415" t="n">
        <x:v>0.1303030303030303</x:v>
      </x:c>
      <x:c r="K54" s="407" t="n">
        <x:v>210</x:v>
      </x:c>
      <x:c r="L54" s="407" t="n">
        <x:v>182.63636363636363</x:v>
      </x:c>
      <x:c r="M54" s="415" t="n">
        <x:v>0.030155861757397786</x:v>
      </x:c>
      <x:c r="N54" s="415" t="n">
        <x:v>0.022911051212938006</x:v>
      </x:c>
      <x:c r="O54" s="415" t="n">
        <x:v>0.026533456485167896</x:v>
      </x:c>
      <x:c r="P54" s="415" t="n">
        <x:v>1</x:v>
      </x:c>
      <x:c r="Q54" s="415" t="n">
        <x:v>0</x:v>
      </x:c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 t="str">
        <x:v>線性外推</x:v>
      </x:c>
      <x:c r="B55" s="407" t="str">
        <x:v>純容量排名</x:v>
      </x:c>
      <x:c r="C55" s="407" t="n">
        <x:v>20</x:v>
      </x:c>
      <x:c r="D55" s="407" t="n">
        <x:v>4</x:v>
      </x:c>
      <x:c r="E55" s="416" t="n">
        <x:v>0</x:v>
      </x:c>
      <x:c r="F55" s="416" t="n">
        <x:v>0</x:v>
      </x:c>
      <x:c r="G55" s="407" t="n">
        <x:v>20</x:v>
      </x:c>
      <x:c r="H55" s="415" t="n">
        <x:v>0.1357142857142857</x:v>
      </x:c>
      <x:c r="I55" s="407" t="n">
        <x:v>3076</x:v>
      </x:c>
      <x:c r="J55" s="415" t="n">
        <x:v>0.13589076723016905</x:v>
      </x:c>
      <x:c r="K55" s="407" t="n">
        <x:v>279.6363636363636</x:v>
      </x:c>
      <x:c r="L55" s="407" t="n">
        <x:v>241.63636363636363</x:v>
      </x:c>
      <x:c r="M55" s="415" t="n">
        <x:v>0.042579625028235826</x:v>
      </x:c>
      <x:c r="N55" s="415" t="n">
        <x:v>0.027628032345013476</x:v>
      </x:c>
      <x:c r="O55" s="415" t="n">
        <x:v>0.03510382868662465</x:v>
      </x:c>
      <x:c r="P55" s="415" t="n">
        <x:v>1</x:v>
      </x:c>
      <x:c r="Q55" s="415" t="n">
        <x:v>0</x:v>
      </x:c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 t="str">
        <x:v>線性外推</x:v>
      </x:c>
      <x:c r="B56" s="407" t="str">
        <x:v>純容量排名</x:v>
      </x:c>
      <x:c r="C56" s="407" t="n">
        <x:v>25</x:v>
      </x:c>
      <x:c r="D56" s="407" t="n">
        <x:v>5</x:v>
      </x:c>
      <x:c r="E56" s="416" t="n">
        <x:v>0</x:v>
      </x:c>
      <x:c r="F56" s="416" t="n">
        <x:v>0</x:v>
      </x:c>
      <x:c r="G56" s="407" t="n">
        <x:v>25</x:v>
      </x:c>
      <x:c r="H56" s="415" t="n">
        <x:v>0.13766233766233765</x:v>
      </x:c>
      <x:c r="I56" s="407" t="n">
        <x:v>3841</x:v>
      </x:c>
      <x:c r="J56" s="415" t="n">
        <x:v>0.137984899765686</x:v>
      </x:c>
      <x:c r="K56" s="407" t="n">
        <x:v>349.1818181818182</x:v>
      </x:c>
      <x:c r="L56" s="407" t="n">
        <x:v>301</x:v>
      </x:c>
      <x:c r="M56" s="415" t="n">
        <x:v>0.05432572848430088</x:v>
      </x:c>
      <x:c r="N56" s="415" t="n">
        <x:v>0.0330188679245283</x:v>
      </x:c>
      <x:c r="O56" s="415" t="n">
        <x:v>0.043672298204414595</x:v>
      </x:c>
      <x:c r="P56" s="415" t="n">
        <x:v>1</x:v>
      </x:c>
      <x:c r="Q56" s="415" t="n">
        <x:v>0</x:v>
      </x:c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 t="str">
        <x:v>線性外推</x:v>
      </x:c>
      <x:c r="B57" s="407" t="str">
        <x:v>可部署門檻+Top-K</x:v>
      </x:c>
      <x:c r="C57" s="407" t="n">
        <x:v>10</x:v>
      </x:c>
      <x:c r="D57" s="407" t="n">
        <x:v>2</x:v>
      </x:c>
      <x:c r="E57" s="416" t="n">
        <x:v>0.4</x:v>
      </x:c>
      <x:c r="F57" s="416" t="n">
        <x:v>0.25</x:v>
      </x:c>
      <x:c r="G57" s="407" t="n">
        <x:v>4.967532467532467</x:v>
      </x:c>
      <x:c r="H57" s="415" t="n">
        <x:v>0.11764705882352941</x:v>
      </x:c>
      <x:c r="I57" s="407" t="n">
        <x:v>765</x:v>
      </x:c>
      <x:c r="J57" s="415" t="n">
        <x:v>0.11764705882352941</x:v>
      </x:c>
      <x:c r="K57" s="407" t="n">
        <x:v>69.54545454545455</x:v>
      </x:c>
      <x:c r="L57" s="407" t="n">
        <x:v>61.36363636363637</x:v>
      </x:c>
      <x:c r="M57" s="415" t="n">
        <x:v>0.008583690987124463</x:v>
      </x:c>
      <x:c r="N57" s="415" t="n">
        <x:v>0.009433962264150943</x:v>
      </x:c>
      <x:c r="O57" s="415" t="n">
        <x:v>0.009008826625637702</x:v>
      </x:c>
      <x:c r="P57" s="415" t="n">
        <x:v>0.19480519480519481</x:v>
      </x:c>
      <x:c r="Q57" s="415" t="n">
        <x:v>0.7857142857142857</x:v>
      </x:c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 t="str">
        <x:v>線性外推</x:v>
      </x:c>
      <x:c r="B58" s="407" t="str">
        <x:v>可部署門檻+Top-K</x:v>
      </x:c>
      <x:c r="C58" s="407" t="n">
        <x:v>15</x:v>
      </x:c>
      <x:c r="D58" s="407" t="n">
        <x:v>3</x:v>
      </x:c>
      <x:c r="E58" s="416" t="n">
        <x:v>0.4</x:v>
      </x:c>
      <x:c r="F58" s="416" t="n">
        <x:v>0.25</x:v>
      </x:c>
      <x:c r="G58" s="407" t="n">
        <x:v>5.571428571428571</x:v>
      </x:c>
      <x:c r="H58" s="415" t="n">
        <x:v>0.11771561771561771</x:v>
      </x:c>
      <x:c r="I58" s="407" t="n">
        <x:v>858</x:v>
      </x:c>
      <x:c r="J58" s="415" t="n">
        <x:v>0.11771561771561771</x:v>
      </x:c>
      <x:c r="K58" s="407" t="n">
        <x:v>78</x:v>
      </x:c>
      <x:c r="L58" s="407" t="n">
        <x:v>68.81818181818181</x:v>
      </x:c>
      <x:c r="M58" s="415" t="n">
        <x:v>0.009713124011746104</x:v>
      </x:c>
      <x:c r="N58" s="415" t="n">
        <x:v>0.010107816711590296</x:v>
      </x:c>
      <x:c r="O58" s="415" t="n">
        <x:v>0.0099104703616682</x:v>
      </x:c>
      <x:c r="P58" s="415" t="n">
        <x:v>0.03896103896103896</x:v>
      </x:c>
      <x:c r="Q58" s="415" t="n">
        <x:v>0.935064935064935</x:v>
      </x:c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 t="str">
        <x:v>線性外推</x:v>
      </x:c>
      <x:c r="B59" s="407" t="str">
        <x:v>可部署門檻+Top-K</x:v>
      </x:c>
      <x:c r="C59" s="407" t="n">
        <x:v>20</x:v>
      </x:c>
      <x:c r="D59" s="407" t="n">
        <x:v>4</x:v>
      </x:c>
      <x:c r="E59" s="416" t="n">
        <x:v>0.4</x:v>
      </x:c>
      <x:c r="F59" s="416" t="n">
        <x:v>0.25</x:v>
      </x:c>
      <x:c r="G59" s="407" t="n">
        <x:v>5.688311688311688</x:v>
      </x:c>
      <x:c r="H59" s="415" t="n">
        <x:v>0.11986301369863013</x:v>
      </x:c>
      <x:c r="I59" s="407" t="n">
        <x:v>876</x:v>
      </x:c>
      <x:c r="J59" s="415" t="n">
        <x:v>0.11986301369863013</x:v>
      </x:c>
      <x:c r="K59" s="407" t="n">
        <x:v>79.63636363636364</x:v>
      </x:c>
      <x:c r="L59" s="407" t="n">
        <x:v>70.0909090909091</x:v>
      </x:c>
      <x:c r="M59" s="415" t="n">
        <x:v>0.010051953919132595</x:v>
      </x:c>
      <x:c r="N59" s="415" t="n">
        <x:v>0.01078167115902965</x:v>
      </x:c>
      <x:c r="O59" s="415" t="n">
        <x:v>0.010416812539081123</x:v>
      </x:c>
      <x:c r="P59" s="415" t="n">
        <x:v>0</x:v>
      </x:c>
      <x:c r="Q59" s="415" t="n">
        <x:v>1</x:v>
      </x:c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 t="str">
        <x:v>線性外推</x:v>
      </x:c>
      <x:c r="B60" s="407" t="str">
        <x:v>可部署門檻+Top-K</x:v>
      </x:c>
      <x:c r="C60" s="407" t="n">
        <x:v>25</x:v>
      </x:c>
      <x:c r="D60" s="407" t="n">
        <x:v>5</x:v>
      </x:c>
      <x:c r="E60" s="416" t="n">
        <x:v>0.4</x:v>
      </x:c>
      <x:c r="F60" s="416" t="n">
        <x:v>0.25</x:v>
      </x:c>
      <x:c r="G60" s="407" t="n">
        <x:v>5.688311688311688</x:v>
      </x:c>
      <x:c r="H60" s="415" t="n">
        <x:v>0.11986301369863013</x:v>
      </x:c>
      <x:c r="I60" s="407" t="n">
        <x:v>876</x:v>
      </x:c>
      <x:c r="J60" s="415" t="n">
        <x:v>0.11986301369863013</x:v>
      </x:c>
      <x:c r="K60" s="407" t="n">
        <x:v>79.63636363636364</x:v>
      </x:c>
      <x:c r="L60" s="407" t="n">
        <x:v>70.0909090909091</x:v>
      </x:c>
      <x:c r="M60" s="415" t="n">
        <x:v>0.010051953919132595</x:v>
      </x:c>
      <x:c r="N60" s="415" t="n">
        <x:v>0.01078167115902965</x:v>
      </x:c>
      <x:c r="O60" s="415" t="n">
        <x:v>0.010416812539081123</x:v>
      </x:c>
      <x:c r="P60" s="415" t="n">
        <x:v>0</x:v>
      </x:c>
      <x:c r="Q60" s="415" t="n">
        <x:v>1</x:v>
      </x:c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 t="str">
        <x:v>Logistic</x:v>
      </x:c>
      <x:c r="B61" s="407" t="str">
        <x:v>純容量排名</x:v>
      </x:c>
      <x:c r="C61" s="407" t="n">
        <x:v>10</x:v>
      </x:c>
      <x:c r="D61" s="407" t="n">
        <x:v>2</x:v>
      </x:c>
      <x:c r="E61" s="416" t="n">
        <x:v>0</x:v>
      </x:c>
      <x:c r="F61" s="416" t="n">
        <x:v>0</x:v>
      </x:c>
      <x:c r="G61" s="407" t="n">
        <x:v>10</x:v>
      </x:c>
      <x:c r="H61" s="415" t="n">
        <x:v>0.21883116883116882</x:v>
      </x:c>
      <x:c r="I61" s="407" t="n">
        <x:v>1389</x:v>
      </x:c>
      <x:c r="J61" s="415" t="n">
        <x:v>0.24262059035277178</x:v>
      </x:c>
      <x:c r="K61" s="407" t="n">
        <x:v>126.27272727272727</x:v>
      </x:c>
      <x:c r="L61" s="407" t="n">
        <x:v>95.63636363636364</x:v>
      </x:c>
      <x:c r="M61" s="415" t="n">
        <x:v>0.032414727806641064</x:v>
      </x:c>
      <x:c r="N61" s="415" t="n">
        <x:v>0.03369272237196765</x:v>
      </x:c>
      <x:c r="O61" s="415" t="n">
        <x:v>0.03305372508930436</x:v>
      </x:c>
      <x:c r="P61" s="415" t="n">
        <x:v>1</x:v>
      </x:c>
      <x:c r="Q61" s="415" t="n">
        <x:v>0</x:v>
      </x:c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 t="str">
        <x:v>Logistic</x:v>
      </x:c>
      <x:c r="B62" s="407" t="str">
        <x:v>純容量排名</x:v>
      </x:c>
      <x:c r="C62" s="407" t="n">
        <x:v>15</x:v>
      </x:c>
      <x:c r="D62" s="407" t="n">
        <x:v>3</x:v>
      </x:c>
      <x:c r="E62" s="416" t="n">
        <x:v>0</x:v>
      </x:c>
      <x:c r="F62" s="416" t="n">
        <x:v>0</x:v>
      </x:c>
      <x:c r="G62" s="407" t="n">
        <x:v>15</x:v>
      </x:c>
      <x:c r="H62" s="415" t="n">
        <x:v>0.22640692640692642</x:v>
      </x:c>
      <x:c r="I62" s="407" t="n">
        <x:v>2065</x:v>
      </x:c>
      <x:c r="J62" s="415" t="n">
        <x:v>0.2532687651331719</x:v>
      </x:c>
      <x:c r="K62" s="407" t="n">
        <x:v>187.72727272727272</x:v>
      </x:c>
      <x:c r="L62" s="407" t="n">
        <x:v>140.1818181818182</x:v>
      </x:c>
      <x:c r="M62" s="415" t="n">
        <x:v>0.05138920262028462</x:v>
      </x:c>
      <x:c r="N62" s="415" t="n">
        <x:v>0.04582210242587601</x:v>
      </x:c>
      <x:c r="O62" s="415" t="n">
        <x:v>0.048605652523080314</x:v>
      </x:c>
      <x:c r="P62" s="415" t="n">
        <x:v>1</x:v>
      </x:c>
      <x:c r="Q62" s="415" t="n">
        <x:v>0</x:v>
      </x:c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 t="str">
        <x:v>Logistic</x:v>
      </x:c>
      <x:c r="B63" s="407" t="str">
        <x:v>純容量排名</x:v>
      </x:c>
      <x:c r="C63" s="407" t="n">
        <x:v>20</x:v>
      </x:c>
      <x:c r="D63" s="407" t="n">
        <x:v>4</x:v>
      </x:c>
      <x:c r="E63" s="416" t="n">
        <x:v>0</x:v>
      </x:c>
      <x:c r="F63" s="416" t="n">
        <x:v>0</x:v>
      </x:c>
      <x:c r="G63" s="407" t="n">
        <x:v>20</x:v>
      </x:c>
      <x:c r="H63" s="415" t="n">
        <x:v>0.2292207792207792</x:v>
      </x:c>
      <x:c r="I63" s="407" t="n">
        <x:v>2716</x:v>
      </x:c>
      <x:c r="J63" s="415" t="n">
        <x:v>0.2599410898379971</x:v>
      </x:c>
      <x:c r="K63" s="407" t="n">
        <x:v>246.9090909090909</x:v>
      </x:c>
      <x:c r="L63" s="407" t="n">
        <x:v>182.72727272727272</x:v>
      </x:c>
      <x:c r="M63" s="415" t="n">
        <x:v>0.0690083578043822</x:v>
      </x:c>
      <x:c r="N63" s="415" t="n">
        <x:v>0.06401617250673855</x:v>
      </x:c>
      <x:c r="O63" s="415" t="n">
        <x:v>0.06651226515556038</x:v>
      </x:c>
      <x:c r="P63" s="415" t="n">
        <x:v>1</x:v>
      </x:c>
      <x:c r="Q63" s="415" t="n">
        <x:v>0</x:v>
      </x:c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 t="str">
        <x:v>Logistic</x:v>
      </x:c>
      <x:c r="B64" s="407" t="str">
        <x:v>純容量排名</x:v>
      </x:c>
      <x:c r="C64" s="407" t="n">
        <x:v>25</x:v>
      </x:c>
      <x:c r="D64" s="407" t="n">
        <x:v>5</x:v>
      </x:c>
      <x:c r="E64" s="416" t="n">
        <x:v>0</x:v>
      </x:c>
      <x:c r="F64" s="416" t="n">
        <x:v>0</x:v>
      </x:c>
      <x:c r="G64" s="407" t="n">
        <x:v>25</x:v>
      </x:c>
      <x:c r="H64" s="415" t="n">
        <x:v>0.22441558441558443</x:v>
      </x:c>
      <x:c r="I64" s="407" t="n">
        <x:v>3351</x:v>
      </x:c>
      <x:c r="J64" s="415" t="n">
        <x:v>0.25783348254252464</x:v>
      </x:c>
      <x:c r="K64" s="407" t="n">
        <x:v>304.6363636363636</x:v>
      </x:c>
      <x:c r="L64" s="407" t="n">
        <x:v>226.0909090909091</x:v>
      </x:c>
      <x:c r="M64" s="415" t="n">
        <x:v>0.08448159024169867</x:v>
      </x:c>
      <x:c r="N64" s="415" t="n">
        <x:v>0.07816711590296496</x:v>
      </x:c>
      <x:c r="O64" s="415" t="n">
        <x:v>0.08132435307233182</x:v>
      </x:c>
      <x:c r="P64" s="415" t="n">
        <x:v>1</x:v>
      </x:c>
      <x:c r="Q64" s="415" t="n">
        <x:v>0</x:v>
      </x:c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 t="str">
        <x:v>Logistic</x:v>
      </x:c>
      <x:c r="B65" s="407" t="str">
        <x:v>可部署門檻+Top-K</x:v>
      </x:c>
      <x:c r="C65" s="407" t="n">
        <x:v>10</x:v>
      </x:c>
      <x:c r="D65" s="407" t="n">
        <x:v>2</x:v>
      </x:c>
      <x:c r="E65" s="416" t="n">
        <x:v>0.4</x:v>
      </x:c>
      <x:c r="F65" s="416" t="n">
        <x:v>0.25</x:v>
      </x:c>
      <x:c r="G65" s="407" t="n">
        <x:v>2.4025974025974026</x:v>
      </x:c>
      <x:c r="H65" s="415" t="n">
        <x:v>0.2972972972972973</x:v>
      </x:c>
      <x:c r="I65" s="407" t="n">
        <x:v>331</x:v>
      </x:c>
      <x:c r="J65" s="415" t="n">
        <x:v>0.3323262839879154</x:v>
      </x:c>
      <x:c r="K65" s="407" t="n">
        <x:v>30.09090909090909</x:v>
      </x:c>
      <x:c r="L65" s="407" t="n">
        <x:v>20.09090909090909</x:v>
      </x:c>
      <x:c r="M65" s="415" t="n">
        <x:v>0.012423763270838039</x:v>
      </x:c>
      <x:c r="N65" s="415" t="n">
        <x:v>0</x:v>
      </x:c>
      <x:c r="O65" s="415" t="n">
        <x:v>0.006211881635419019</x:v>
      </x:c>
      <x:c r="P65" s="415" t="n">
        <x:v>0.025974025974025976</x:v>
      </x:c>
      <x:c r="Q65" s="415" t="n">
        <x:v>0.961038961038961</x:v>
      </x:c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 t="str">
        <x:v>Logistic</x:v>
      </x:c>
      <x:c r="B66" s="407" t="str">
        <x:v>可部署門檻+Top-K</x:v>
      </x:c>
      <x:c r="C66" s="407" t="n">
        <x:v>15</x:v>
      </x:c>
      <x:c r="D66" s="407" t="n">
        <x:v>3</x:v>
      </x:c>
      <x:c r="E66" s="416" t="n">
        <x:v>0.4</x:v>
      </x:c>
      <x:c r="F66" s="416" t="n">
        <x:v>0.25</x:v>
      </x:c>
      <x:c r="G66" s="407" t="n">
        <x:v>2.4740259740259742</x:v>
      </x:c>
      <x:c r="H66" s="415" t="n">
        <x:v>0.29658792650918636</x:v>
      </x:c>
      <x:c r="I66" s="407" t="n">
        <x:v>341</x:v>
      </x:c>
      <x:c r="J66" s="415" t="n">
        <x:v>0.3313782991202346</x:v>
      </x:c>
      <x:c r="K66" s="407" t="n">
        <x:v>31</x:v>
      </x:c>
      <x:c r="L66" s="407" t="n">
        <x:v>20.727272727272727</x:v>
      </x:c>
      <x:c r="M66" s="415" t="n">
        <x:v>0.012762593178224532</x:v>
      </x:c>
      <x:c r="N66" s="415" t="n">
        <x:v>0</x:v>
      </x:c>
      <x:c r="O66" s="415" t="n">
        <x:v>0.006381296589112266</x:v>
      </x:c>
      <x:c r="P66" s="415" t="n">
        <x:v>0</x:v>
      </x:c>
      <x:c r="Q66" s="415" t="n">
        <x:v>1</x:v>
      </x:c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 t="str">
        <x:v>Logistic</x:v>
      </x:c>
      <x:c r="B67" s="407" t="str">
        <x:v>可部署門檻+Top-K</x:v>
      </x:c>
      <x:c r="C67" s="407" t="n">
        <x:v>20</x:v>
      </x:c>
      <x:c r="D67" s="407" t="n">
        <x:v>4</x:v>
      </x:c>
      <x:c r="E67" s="416" t="n">
        <x:v>0.4</x:v>
      </x:c>
      <x:c r="F67" s="416" t="n">
        <x:v>0.25</x:v>
      </x:c>
      <x:c r="G67" s="407" t="n">
        <x:v>2.4740259740259742</x:v>
      </x:c>
      <x:c r="H67" s="415" t="n">
        <x:v>0.29658792650918636</x:v>
      </x:c>
      <x:c r="I67" s="407" t="n">
        <x:v>341</x:v>
      </x:c>
      <x:c r="J67" s="415" t="n">
        <x:v>0.3313782991202346</x:v>
      </x:c>
      <x:c r="K67" s="407" t="n">
        <x:v>31</x:v>
      </x:c>
      <x:c r="L67" s="407" t="n">
        <x:v>20.727272727272727</x:v>
      </x:c>
      <x:c r="M67" s="415" t="n">
        <x:v>0.012762593178224532</x:v>
      </x:c>
      <x:c r="N67" s="415" t="n">
        <x:v>0</x:v>
      </x:c>
      <x:c r="O67" s="415" t="n">
        <x:v>0.006381296589112266</x:v>
      </x:c>
      <x:c r="P67" s="415" t="n">
        <x:v>0</x:v>
      </x:c>
      <x:c r="Q67" s="415" t="n">
        <x:v>1</x:v>
      </x:c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 t="str">
        <x:v>Logistic</x:v>
      </x:c>
      <x:c r="B68" s="407" t="str">
        <x:v>可部署門檻+Top-K</x:v>
      </x:c>
      <x:c r="C68" s="407" t="n">
        <x:v>25</x:v>
      </x:c>
      <x:c r="D68" s="407" t="n">
        <x:v>5</x:v>
      </x:c>
      <x:c r="E68" s="416" t="n">
        <x:v>0.4</x:v>
      </x:c>
      <x:c r="F68" s="416" t="n">
        <x:v>0.25</x:v>
      </x:c>
      <x:c r="G68" s="407" t="n">
        <x:v>2.4740259740259742</x:v>
      </x:c>
      <x:c r="H68" s="415" t="n">
        <x:v>0.29658792650918636</x:v>
      </x:c>
      <x:c r="I68" s="407" t="n">
        <x:v>341</x:v>
      </x:c>
      <x:c r="J68" s="415" t="n">
        <x:v>0.3313782991202346</x:v>
      </x:c>
      <x:c r="K68" s="407" t="n">
        <x:v>31</x:v>
      </x:c>
      <x:c r="L68" s="407" t="n">
        <x:v>20.727272727272727</x:v>
      </x:c>
      <x:c r="M68" s="415" t="n">
        <x:v>0.012762593178224532</x:v>
      </x:c>
      <x:c r="N68" s="415" t="n">
        <x:v>0</x:v>
      </x:c>
      <x:c r="O68" s="415" t="n">
        <x:v>0.006381296589112266</x:v>
      </x:c>
      <x:c r="P68" s="415" t="n">
        <x:v>0</x:v>
      </x:c>
      <x:c r="Q68" s="415" t="n">
        <x:v>1</x:v>
      </x:c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 t="str">
        <x:v>比例規則</x:v>
      </x:c>
      <x:c r="B69" s="407" t="str">
        <x:v>純容量排名</x:v>
      </x:c>
      <x:c r="C69" s="407" t="n">
        <x:v>10</x:v>
      </x:c>
      <x:c r="D69" s="407" t="n">
        <x:v>2</x:v>
      </x:c>
      <x:c r="E69" s="416" t="n">
        <x:v>0</x:v>
      </x:c>
      <x:c r="F69" s="416" t="n">
        <x:v>0</x:v>
      </x:c>
      <x:c r="G69" s="407" t="n">
        <x:v>10</x:v>
      </x:c>
      <x:c r="H69" s="415" t="n">
        <x:v>0.18831168831168832</x:v>
      </x:c>
      <x:c r="I69" s="407" t="n">
        <x:v>1314</x:v>
      </x:c>
      <x:c r="J69" s="415" t="n">
        <x:v>0.2207001522070015</x:v>
      </x:c>
      <x:c r="K69" s="407" t="n">
        <x:v>119.45454545454545</x:v>
      </x:c>
      <x:c r="L69" s="407" t="n">
        <x:v>93.0909090909091</x:v>
      </x:c>
      <x:c r="M69" s="415" t="n">
        <x:v>0.02970408854754913</x:v>
      </x:c>
      <x:c r="N69" s="415" t="n">
        <x:v>0.018194070080862535</x:v>
      </x:c>
      <x:c r="O69" s="415" t="n">
        <x:v>0.023949079314205833</x:v>
      </x:c>
      <x:c r="P69" s="415" t="n">
        <x:v>1</x:v>
      </x:c>
      <x:c r="Q69" s="415" t="n">
        <x:v>0</x:v>
      </x:c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 t="str">
        <x:v>比例規則</x:v>
      </x:c>
      <x:c r="B70" s="407" t="str">
        <x:v>純容量排名</x:v>
      </x:c>
      <x:c r="C70" s="407" t="n">
        <x:v>15</x:v>
      </x:c>
      <x:c r="D70" s="407" t="n">
        <x:v>3</x:v>
      </x:c>
      <x:c r="E70" s="416" t="n">
        <x:v>0</x:v>
      </x:c>
      <x:c r="F70" s="416" t="n">
        <x:v>0</x:v>
      </x:c>
      <x:c r="G70" s="407" t="n">
        <x:v>15</x:v>
      </x:c>
      <x:c r="H70" s="415" t="n">
        <x:v>0.18571428571428572</x:v>
      </x:c>
      <x:c r="I70" s="407" t="n">
        <x:v>1924</x:v>
      </x:c>
      <x:c r="J70" s="415" t="n">
        <x:v>0.22297297297297297</x:v>
      </x:c>
      <x:c r="K70" s="407" t="n">
        <x:v>174.9090909090909</x:v>
      </x:c>
      <x:c r="L70" s="407" t="n">
        <x:v>135.9090909090909</x:v>
      </x:c>
      <x:c r="M70" s="415" t="n">
        <x:v>0.043483171447933136</x:v>
      </x:c>
      <x:c r="N70" s="415" t="n">
        <x:v>0.029649595687331536</x:v>
      </x:c>
      <x:c r="O70" s="415" t="n">
        <x:v>0.03656638356763234</x:v>
      </x:c>
      <x:c r="P70" s="415" t="n">
        <x:v>1</x:v>
      </x:c>
      <x:c r="Q70" s="415" t="n">
        <x:v>0</x:v>
      </x:c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 t="str">
        <x:v>比例規則</x:v>
      </x:c>
      <x:c r="B71" s="407" t="str">
        <x:v>純容量排名</x:v>
      </x:c>
      <x:c r="C71" s="407" t="n">
        <x:v>20</x:v>
      </x:c>
      <x:c r="D71" s="407" t="n">
        <x:v>4</x:v>
      </x:c>
      <x:c r="E71" s="416" t="n">
        <x:v>0</x:v>
      </x:c>
      <x:c r="F71" s="416" t="n">
        <x:v>0</x:v>
      </x:c>
      <x:c r="G71" s="407" t="n">
        <x:v>20</x:v>
      </x:c>
      <x:c r="H71" s="415" t="n">
        <x:v>0.19188311688311688</x:v>
      </x:c>
      <x:c r="I71" s="407" t="n">
        <x:v>2549</x:v>
      </x:c>
      <x:c r="J71" s="415" t="n">
        <x:v>0.2318556296586897</x:v>
      </x:c>
      <x:c r="K71" s="407" t="n">
        <x:v>231.72727272727272</x:v>
      </x:c>
      <x:c r="L71" s="407" t="n">
        <x:v>178</x:v>
      </x:c>
      <x:c r="M71" s="415" t="n">
        <x:v>0.059521120397560426</x:v>
      </x:c>
      <x:c r="N71" s="415" t="n">
        <x:v>0.0431266846361186</x:v>
      </x:c>
      <x:c r="O71" s="415" t="n">
        <x:v>0.05132390251683951</x:v>
      </x:c>
      <x:c r="P71" s="415" t="n">
        <x:v>1</x:v>
      </x:c>
      <x:c r="Q71" s="415" t="n">
        <x:v>0</x:v>
      </x:c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 t="str">
        <x:v>比例規則</x:v>
      </x:c>
      <x:c r="B72" s="407" t="str">
        <x:v>純容量排名</x:v>
      </x:c>
      <x:c r="C72" s="407" t="n">
        <x:v>25</x:v>
      </x:c>
      <x:c r="D72" s="407" t="n">
        <x:v>5</x:v>
      </x:c>
      <x:c r="E72" s="416" t="n">
        <x:v>0</x:v>
      </x:c>
      <x:c r="F72" s="416" t="n">
        <x:v>0</x:v>
      </x:c>
      <x:c r="G72" s="407" t="n">
        <x:v>25</x:v>
      </x:c>
      <x:c r="H72" s="415" t="n">
        <x:v>0.18805194805194805</x:v>
      </x:c>
      <x:c r="I72" s="407" t="n">
        <x:v>3110</x:v>
      </x:c>
      <x:c r="J72" s="415" t="n">
        <x:v>0.23279742765273312</x:v>
      </x:c>
      <x:c r="K72" s="407" t="n">
        <x:v>282.72727272727275</x:v>
      </x:c>
      <x:c r="L72" s="407" t="n">
        <x:v>216.9090909090909</x:v>
      </x:c>
      <x:c r="M72" s="415" t="n">
        <x:v>0.0730743166930201</x:v>
      </x:c>
      <x:c r="N72" s="415" t="n">
        <x:v>0.05188679245283019</x:v>
      </x:c>
      <x:c r="O72" s="415" t="n">
        <x:v>0.062480554572925145</x:v>
      </x:c>
      <x:c r="P72" s="415" t="n">
        <x:v>1</x:v>
      </x:c>
      <x:c r="Q72" s="415" t="n">
        <x:v>0</x:v>
      </x:c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 t="str">
        <x:v>比例規則</x:v>
      </x:c>
      <x:c r="B73" s="407" t="str">
        <x:v>可部署門檻+Top-K</x:v>
      </x:c>
      <x:c r="C73" s="407" t="n">
        <x:v>10</x:v>
      </x:c>
      <x:c r="D73" s="407" t="n">
        <x:v>2</x:v>
      </x:c>
      <x:c r="E73" s="416" t="n">
        <x:v>0.4</x:v>
      </x:c>
      <x:c r="F73" s="416" t="n">
        <x:v>0.25</x:v>
      </x:c>
      <x:c r="G73" s="407" t="n">
        <x:v>0</x:v>
      </x:c>
      <x:c r="H73" s="415" t="n">
        <x:v>0</x:v>
      </x:c>
      <x:c r="I73" s="407" t="n">
        <x:v>0</x:v>
      </x:c>
      <x:c r="J73" s="415" t="n">
        <x:v>0</x:v>
      </x:c>
      <x:c r="K73" s="407" t="n">
        <x:v>0</x:v>
      </x:c>
      <x:c r="L73" s="407" t="n">
        <x:v>0</x:v>
      </x:c>
      <x:c r="M73" s="415" t="n">
        <x:v>0</x:v>
      </x:c>
      <x:c r="N73" s="415" t="n">
        <x:v>0</x:v>
      </x:c>
      <x:c r="O73" s="415" t="n">
        <x:v>0</x:v>
      </x:c>
      <x:c r="P73" s="415" t="n">
        <x:v>0</x:v>
      </x:c>
      <x:c r="Q73" s="415" t="n">
        <x:v>1</x:v>
      </x:c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 t="str">
        <x:v>比例規則</x:v>
      </x:c>
      <x:c r="B74" s="407" t="str">
        <x:v>可部署門檻+Top-K</x:v>
      </x:c>
      <x:c r="C74" s="407" t="n">
        <x:v>15</x:v>
      </x:c>
      <x:c r="D74" s="407" t="n">
        <x:v>3</x:v>
      </x:c>
      <x:c r="E74" s="416" t="n">
        <x:v>0.4</x:v>
      </x:c>
      <x:c r="F74" s="416" t="n">
        <x:v>0.25</x:v>
      </x:c>
      <x:c r="G74" s="407" t="n">
        <x:v>0</x:v>
      </x:c>
      <x:c r="H74" s="415" t="n">
        <x:v>0</x:v>
      </x:c>
      <x:c r="I74" s="407" t="n">
        <x:v>0</x:v>
      </x:c>
      <x:c r="J74" s="415" t="n">
        <x:v>0</x:v>
      </x:c>
      <x:c r="K74" s="407" t="n">
        <x:v>0</x:v>
      </x:c>
      <x:c r="L74" s="407" t="n">
        <x:v>0</x:v>
      </x:c>
      <x:c r="M74" s="415" t="n">
        <x:v>0</x:v>
      </x:c>
      <x:c r="N74" s="415" t="n">
        <x:v>0</x:v>
      </x:c>
      <x:c r="O74" s="415" t="n">
        <x:v>0</x:v>
      </x:c>
      <x:c r="P74" s="415" t="n">
        <x:v>0</x:v>
      </x:c>
      <x:c r="Q74" s="415" t="n">
        <x:v>1</x:v>
      </x:c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 t="str">
        <x:v>比例規則</x:v>
      </x:c>
      <x:c r="B75" s="407" t="str">
        <x:v>可部署門檻+Top-K</x:v>
      </x:c>
      <x:c r="C75" s="407" t="n">
        <x:v>20</x:v>
      </x:c>
      <x:c r="D75" s="407" t="n">
        <x:v>4</x:v>
      </x:c>
      <x:c r="E75" s="416" t="n">
        <x:v>0.4</x:v>
      </x:c>
      <x:c r="F75" s="416" t="n">
        <x:v>0.25</x:v>
      </x:c>
      <x:c r="G75" s="407" t="n">
        <x:v>0</x:v>
      </x:c>
      <x:c r="H75" s="415" t="n">
        <x:v>0</x:v>
      </x:c>
      <x:c r="I75" s="407" t="n">
        <x:v>0</x:v>
      </x:c>
      <x:c r="J75" s="415" t="n">
        <x:v>0</x:v>
      </x:c>
      <x:c r="K75" s="407" t="n">
        <x:v>0</x:v>
      </x:c>
      <x:c r="L75" s="407" t="n">
        <x:v>0</x:v>
      </x:c>
      <x:c r="M75" s="415" t="n">
        <x:v>0</x:v>
      </x:c>
      <x:c r="N75" s="415" t="n">
        <x:v>0</x:v>
      </x:c>
      <x:c r="O75" s="415" t="n">
        <x:v>0</x:v>
      </x:c>
      <x:c r="P75" s="415" t="n">
        <x:v>0</x:v>
      </x:c>
      <x:c r="Q75" s="415" t="n">
        <x:v>1</x:v>
      </x:c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 t="str">
        <x:v>比例規則</x:v>
      </x:c>
      <x:c r="B76" s="407" t="str">
        <x:v>可部署門檻+Top-K</x:v>
      </x:c>
      <x:c r="C76" s="407" t="n">
        <x:v>25</x:v>
      </x:c>
      <x:c r="D76" s="407" t="n">
        <x:v>5</x:v>
      </x:c>
      <x:c r="E76" s="416" t="n">
        <x:v>0.4</x:v>
      </x:c>
      <x:c r="F76" s="416" t="n">
        <x:v>0.25</x:v>
      </x:c>
      <x:c r="G76" s="407" t="n">
        <x:v>0</x:v>
      </x:c>
      <x:c r="H76" s="415" t="n">
        <x:v>0</x:v>
      </x:c>
      <x:c r="I76" s="407" t="n">
        <x:v>0</x:v>
      </x:c>
      <x:c r="J76" s="415" t="n">
        <x:v>0</x:v>
      </x:c>
      <x:c r="K76" s="407" t="n">
        <x:v>0</x:v>
      </x:c>
      <x:c r="L76" s="407" t="n">
        <x:v>0</x:v>
      </x:c>
      <x:c r="M76" s="415" t="n">
        <x:v>0</x:v>
      </x:c>
      <x:c r="N76" s="415" t="n">
        <x:v>0</x:v>
      </x:c>
      <x:c r="O76" s="415" t="n">
        <x:v>0</x:v>
      </x:c>
      <x:c r="P76" s="415" t="n">
        <x:v>0</x:v>
      </x:c>
      <x:c r="Q76" s="415" t="n">
        <x:v>1</x:v>
      </x:c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 t="str">
        <x:v>XGBoost 正式調參</x:v>
      </x:c>
      <x:c r="B77" s="407" t="str">
        <x:v>純容量排名</x:v>
      </x:c>
      <x:c r="C77" s="407" t="n">
        <x:v>10</x:v>
      </x:c>
      <x:c r="D77" s="407" t="n">
        <x:v>2</x:v>
      </x:c>
      <x:c r="E77" s="416" t="n">
        <x:v>0</x:v>
      </x:c>
      <x:c r="F77" s="416" t="n">
        <x:v>0</x:v>
      </x:c>
      <x:c r="G77" s="407" t="n">
        <x:v>10</x:v>
      </x:c>
      <x:c r="H77" s="415" t="n">
        <x:v>0.35</x:v>
      </x:c>
      <x:c r="I77" s="407" t="n">
        <x:v>1360</x:v>
      </x:c>
      <x:c r="J77" s="415" t="n">
        <x:v>0.3963235294117647</x:v>
      </x:c>
      <x:c r="K77" s="407" t="n">
        <x:v>123.63636363636364</x:v>
      </x:c>
      <x:c r="L77" s="407" t="n">
        <x:v>74.63636363636364</x:v>
      </x:c>
      <x:c r="M77" s="415" t="n">
        <x:v>0.05059859950304947</x:v>
      </x:c>
      <x:c r="N77" s="415" t="n">
        <x:v>0.06132075471698113</x:v>
      </x:c>
      <x:c r="O77" s="415" t="n">
        <x:v>0.0559596771100153</x:v>
      </x:c>
      <x:c r="P77" s="415" t="n">
        <x:v>1</x:v>
      </x:c>
      <x:c r="Q77" s="415" t="n">
        <x:v>0</x:v>
      </x:c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 t="str">
        <x:v>XGBoost 正式調參</x:v>
      </x:c>
      <x:c r="B78" s="407" t="str">
        <x:v>純容量排名</x:v>
      </x:c>
      <x:c r="C78" s="407" t="n">
        <x:v>15</x:v>
      </x:c>
      <x:c r="D78" s="407" t="n">
        <x:v>3</x:v>
      </x:c>
      <x:c r="E78" s="416" t="n">
        <x:v>0</x:v>
      </x:c>
      <x:c r="F78" s="416" t="n">
        <x:v>0</x:v>
      </x:c>
      <x:c r="G78" s="407" t="n">
        <x:v>15</x:v>
      </x:c>
      <x:c r="H78" s="415" t="n">
        <x:v>0.32987012987012987</x:v>
      </x:c>
      <x:c r="I78" s="407" t="n">
        <x:v>1999</x:v>
      </x:c>
      <x:c r="J78" s="415" t="n">
        <x:v>0.3811905952976488</x:v>
      </x:c>
      <x:c r="K78" s="407" t="n">
        <x:v>181.72727272727272</x:v>
      </x:c>
      <x:c r="L78" s="407" t="n">
        <x:v>112.45454545454545</x:v>
      </x:c>
      <x:c r="M78" s="415" t="n">
        <x:v>0.07250960018070929</x:v>
      </x:c>
      <x:c r="N78" s="415" t="n">
        <x:v>0.08086253369272237</x:v>
      </x:c>
      <x:c r="O78" s="415" t="n">
        <x:v>0.07668606693671583</x:v>
      </x:c>
      <x:c r="P78" s="415" t="n">
        <x:v>1</x:v>
      </x:c>
      <x:c r="Q78" s="415" t="n">
        <x:v>0</x:v>
      </x:c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 t="str">
        <x:v>XGBoost 正式調參</x:v>
      </x:c>
      <x:c r="B79" s="407" t="str">
        <x:v>純容量排名</x:v>
      </x:c>
      <x:c r="C79" s="407" t="n">
        <x:v>20</x:v>
      </x:c>
      <x:c r="D79" s="407" t="n">
        <x:v>4</x:v>
      </x:c>
      <x:c r="E79" s="416" t="n">
        <x:v>0</x:v>
      </x:c>
      <x:c r="F79" s="416" t="n">
        <x:v>0</x:v>
      </x:c>
      <x:c r="G79" s="407" t="n">
        <x:v>20</x:v>
      </x:c>
      <x:c r="H79" s="415" t="n">
        <x:v>0.32012987012987015</x:v>
      </x:c>
      <x:c r="I79" s="407" t="n">
        <x:v>2617</x:v>
      </x:c>
      <x:c r="J79" s="415" t="n">
        <x:v>0.37676729079098203</x:v>
      </x:c>
      <x:c r="K79" s="407" t="n">
        <x:v>237.9090909090909</x:v>
      </x:c>
      <x:c r="L79" s="407" t="n">
        <x:v>148.27272727272728</x:v>
      </x:c>
      <x:c r="M79" s="415" t="n">
        <x:v>0.09453354416083126</x:v>
      </x:c>
      <x:c r="N79" s="415" t="n">
        <x:v>0.10040431266846361</x:v>
      </x:c>
      <x:c r="O79" s="415" t="n">
        <x:v>0.09746892841464744</x:v>
      </x:c>
      <x:c r="P79" s="415" t="n">
        <x:v>1</x:v>
      </x:c>
      <x:c r="Q79" s="415" t="n">
        <x:v>0</x:v>
      </x:c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 t="str">
        <x:v>XGBoost 正式調參</x:v>
      </x:c>
      <x:c r="B80" s="407" t="str">
        <x:v>純容量排名</x:v>
      </x:c>
      <x:c r="C80" s="407" t="n">
        <x:v>25</x:v>
      </x:c>
      <x:c r="D80" s="407" t="n">
        <x:v>5</x:v>
      </x:c>
      <x:c r="E80" s="416" t="n">
        <x:v>0</x:v>
      </x:c>
      <x:c r="F80" s="416" t="n">
        <x:v>0</x:v>
      </x:c>
      <x:c r="G80" s="407" t="n">
        <x:v>25</x:v>
      </x:c>
      <x:c r="H80" s="415" t="n">
        <x:v>0.3116883116883117</x:v>
      </x:c>
      <x:c r="I80" s="407" t="n">
        <x:v>3232</x:v>
      </x:c>
      <x:c r="J80" s="415" t="n">
        <x:v>0.3712871287128713</x:v>
      </x:c>
      <x:c r="K80" s="407" t="n">
        <x:v>293.8181818181818</x:v>
      </x:c>
      <x:c r="L80" s="407" t="n">
        <x:v>184.72727272727272</x:v>
      </x:c>
      <x:c r="M80" s="415" t="n">
        <x:v>0.11554099841879377</x:v>
      </x:c>
      <x:c r="N80" s="415" t="n">
        <x:v>0.1192722371967655</x:v>
      </x:c>
      <x:c r="O80" s="415" t="n">
        <x:v>0.11740661780777964</x:v>
      </x:c>
      <x:c r="P80" s="415" t="n">
        <x:v>1</x:v>
      </x:c>
      <x:c r="Q80" s="415" t="n">
        <x:v>0</x:v>
      </x:c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 t="str">
        <x:v>XGBoost 正式調參</x:v>
      </x:c>
      <x:c r="B81" s="407" t="str">
        <x:v>可部署門檻+Top-K</x:v>
      </x:c>
      <x:c r="C81" s="407" t="n">
        <x:v>10</x:v>
      </x:c>
      <x:c r="D81" s="407" t="n">
        <x:v>2</x:v>
      </x:c>
      <x:c r="E81" s="416" t="n">
        <x:v>0.4</x:v>
      </x:c>
      <x:c r="F81" s="416" t="n">
        <x:v>0.25</x:v>
      </x:c>
      <x:c r="G81" s="407" t="n">
        <x:v>6.9480519480519485</x:v>
      </x:c>
      <x:c r="H81" s="415" t="n">
        <x:v>0.39345794392523364</x:v>
      </x:c>
      <x:c r="I81" s="407" t="n">
        <x:v>954</x:v>
      </x:c>
      <x:c r="J81" s="415" t="n">
        <x:v>0.4412997903563941</x:v>
      </x:c>
      <x:c r="K81" s="407" t="n">
        <x:v>86.72727272727273</x:v>
      </x:c>
      <x:c r="L81" s="407" t="n">
        <x:v>48.45454545454545</x:v>
      </x:c>
      <x:c r="M81" s="415" t="n">
        <x:v>0.037158346510051954</x:v>
      </x:c>
      <x:c r="N81" s="415" t="n">
        <x:v>0.06199460916442048</x:v>
      </x:c>
      <x:c r="O81" s="415" t="n">
        <x:v>0.04957647783723622</x:v>
      </x:c>
      <x:c r="P81" s="415" t="n">
        <x:v>0.45454545454545453</x:v>
      </x:c>
      <x:c r="Q81" s="415" t="n">
        <x:v>0.5064935064935064</x:v>
      </x:c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 t="str">
        <x:v>XGBoost 正式調參</x:v>
      </x:c>
      <x:c r="B82" s="407" t="str">
        <x:v>可部署門檻+Top-K</x:v>
      </x:c>
      <x:c r="C82" s="407" t="n">
        <x:v>15</x:v>
      </x:c>
      <x:c r="D82" s="407" t="n">
        <x:v>3</x:v>
      </x:c>
      <x:c r="E82" s="416" t="n">
        <x:v>0.4</x:v>
      </x:c>
      <x:c r="F82" s="416" t="n">
        <x:v>0.25</x:v>
      </x:c>
      <x:c r="G82" s="407" t="n">
        <x:v>8.902597402597403</x:v>
      </x:c>
      <x:c r="H82" s="415" t="n">
        <x:v>0.399708242159008</x:v>
      </x:c>
      <x:c r="I82" s="407" t="n">
        <x:v>1209</x:v>
      </x:c>
      <x:c r="J82" s="415" t="n">
        <x:v>0.4532671629445823</x:v>
      </x:c>
      <x:c r="K82" s="407" t="n">
        <x:v>109.9090909090909</x:v>
      </x:c>
      <x:c r="L82" s="407" t="n">
        <x:v>60.09090909090909</x:v>
      </x:c>
      <x:c r="M82" s="415" t="n">
        <x:v>0.04890444996611701</x:v>
      </x:c>
      <x:c r="N82" s="415" t="n">
        <x:v>0.07749326145552561</x:v>
      </x:c>
      <x:c r="O82" s="415" t="n">
        <x:v>0.06319885571082132</x:v>
      </x:c>
      <x:c r="P82" s="415" t="n">
        <x:v>0.3051948051948052</x:v>
      </x:c>
      <x:c r="Q82" s="415" t="n">
        <x:v>0.6623376623376623</x:v>
      </x:c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 t="str">
        <x:v>XGBoost 正式調參</x:v>
      </x:c>
      <x:c r="B83" s="407" t="str">
        <x:v>可部署門檻+Top-K</x:v>
      </x:c>
      <x:c r="C83" s="407" t="n">
        <x:v>20</x:v>
      </x:c>
      <x:c r="D83" s="407" t="n">
        <x:v>4</x:v>
      </x:c>
      <x:c r="E83" s="416" t="n">
        <x:v>0.4</x:v>
      </x:c>
      <x:c r="F83" s="416" t="n">
        <x:v>0.25</x:v>
      </x:c>
      <x:c r="G83" s="407" t="n">
        <x:v>10.279220779220779</x:v>
      </x:c>
      <x:c r="H83" s="415" t="n">
        <x:v>0.40998104864181933</x:v>
      </x:c>
      <x:c r="I83" s="407" t="n">
        <x:v>1394</x:v>
      </x:c>
      <x:c r="J83" s="415" t="n">
        <x:v>0.4655667144906743</x:v>
      </x:c>
      <x:c r="K83" s="407" t="n">
        <x:v>126.72727272727273</x:v>
      </x:c>
      <x:c r="L83" s="407" t="n">
        <x:v>67.72727272727273</x:v>
      </x:c>
      <x:c r="M83" s="415" t="n">
        <x:v>0.05963406370002259</x:v>
      </x:c>
      <x:c r="N83" s="415" t="n">
        <x:v>0.08153638814016173</x:v>
      </x:c>
      <x:c r="O83" s="415" t="n">
        <x:v>0.07058522592009216</x:v>
      </x:c>
      <x:c r="P83" s="415" t="n">
        <x:v>0.22727272727272727</x:v>
      </x:c>
      <x:c r="Q83" s="415" t="n">
        <x:v>0.7662337662337663</x:v>
      </x:c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 t="str">
        <x:v>XGBoost 正式調參</x:v>
      </x:c>
      <x:c r="B84" s="407" t="str">
        <x:v>可部署門檻+Top-K</x:v>
      </x:c>
      <x:c r="C84" s="407" t="n">
        <x:v>25</x:v>
      </x:c>
      <x:c r="D84" s="407" t="n">
        <x:v>5</x:v>
      </x:c>
      <x:c r="E84" s="416" t="n">
        <x:v>0.4</x:v>
      </x:c>
      <x:c r="F84" s="416" t="n">
        <x:v>0.25</x:v>
      </x:c>
      <x:c r="G84" s="407" t="n">
        <x:v>11.363636363636363</x:v>
      </x:c>
      <x:c r="H84" s="415" t="n">
        <x:v>0.40914285714285714</x:v>
      </x:c>
      <x:c r="I84" s="407" t="n">
        <x:v>1531</x:v>
      </x:c>
      <x:c r="J84" s="415" t="n">
        <x:v>0.4676681907250163</x:v>
      </x:c>
      <x:c r="K84" s="407" t="n">
        <x:v>139.1818181818182</x:v>
      </x:c>
      <x:c r="L84" s="407" t="n">
        <x:v>74.0909090909091</x:v>
      </x:c>
      <x:c r="M84" s="415" t="n">
        <x:v>0.06720126496498757</x:v>
      </x:c>
      <x:c r="N84" s="415" t="n">
        <x:v>0.08153638814016173</x:v>
      </x:c>
      <x:c r="O84" s="415" t="n">
        <x:v>0.07436882655257465</x:v>
      </x:c>
      <x:c r="P84" s="415" t="n">
        <x:v>0.21428571428571427</x:v>
      </x:c>
      <x:c r="Q84" s="415" t="n">
        <x:v>0.7857142857142857</x:v>
      </x:c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AG2"/>
    <x:mergeCell ref="A3:AG3"/>
    <x:mergeCell ref="T29:AG36"/>
  </x:mergeCells>
  <x:pageMargins left="0.7" right="0.7" top="0.75" bottom="0.75" header="0.3" footer="0.3"/>
  <x:drawing xmlns:r="http://schemas.openxmlformats.org/officeDocument/2006/relationships" r:id="R47ab6ec6e7ee48ae"/>
  <x:tableParts count="3">
    <x:tablePart xmlns:r="http://schemas.openxmlformats.org/officeDocument/2006/relationships" r:id="R89d214247a5a4a20"/>
    <x:tablePart xmlns:r="http://schemas.openxmlformats.org/officeDocument/2006/relationships" r:id="Ra7e56f6a735d4864"/>
    <x:tablePart xmlns:r="http://schemas.openxmlformats.org/officeDocument/2006/relationships" r:id="Rfb07955ce9b34f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29" customHeight="1">
      <x:c r="A1" s="4" t="str">
        <x:v>Top-K：缺車與滿柱分開看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本頁摘要為CV規則混合候選；20%滿柱軟保留是最低保障，不是上限，沒有滿柱候選時名額回到全體排序。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K</x:v>
      </x:c>
      <x:c r="B5" s="52" t="str">
        <x:v>事件</x:v>
      </x:c>
      <x:c r="C5" s="52" t="str">
        <x:v>可評估事件</x:v>
      </x:c>
      <x:c r="D5" s="52" t="str">
        <x:v>入選快照</x:v>
      </x:c>
      <x:c r="E5" s="52" t="str">
        <x:v>命中快照</x:v>
      </x:c>
      <x:c r="F5" s="52" t="str">
        <x:v>快照命中率</x:v>
      </x:c>
      <x:c r="G5" s="52" t="str">
        <x:v>新事件召回</x:v>
      </x:c>
      <x:c r="H5" s="52" t="str">
        <x:v>Episode</x:v>
      </x:c>
      <x:c r="I5" s="52" t="str">
        <x:v>命中Episode</x:v>
      </x:c>
      <x:c r="J5" s="52" t="str">
        <x:v>Episode命中率</x:v>
      </x:c>
      <x:c r="K5" s="52" t="str">
        <x:v>方法</x:v>
      </x:c>
      <x:c r="L5" s="53" t="str">
        <x:v>政策</x:v>
      </x:c>
      <x:c r="M5" s="407"/>
      <x:c r="N5" s="51" t="str">
        <x:v>K</x:v>
      </x:c>
      <x:c r="O5" s="52" t="str">
        <x:v>缺車召回</x:v>
      </x:c>
      <x:c r="P5" s="52" t="str">
        <x:v>滿柱召回</x:v>
      </x:c>
      <x:c r="Q5" s="53" t="str">
        <x:v>Macro</x:v>
      </x:c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n">
        <x:v>10</x:v>
      </x:c>
      <x:c r="B6" s="407" t="str">
        <x:v>缺車</x:v>
      </x:c>
      <x:c r="C6" s="407" t="n">
        <x:v>8854</x:v>
      </x:c>
      <x:c r="D6" s="407" t="n">
        <x:v>780</x:v>
      </x:c>
      <x:c r="E6" s="407" t="n">
        <x:v>328</x:v>
      </x:c>
      <x:c r="F6" s="415" t="n">
        <x:v>0.4205128205128205</x:v>
      </x:c>
      <x:c r="G6" s="415" t="n">
        <x:v>0.03704540320758979</x:v>
      </x:c>
      <x:c r="H6" s="407" t="n">
        <x:v>694</x:v>
      </x:c>
      <x:c r="I6" s="407" t="n">
        <x:v>328</x:v>
      </x:c>
      <x:c r="J6" s="415" t="n">
        <x:v>0.47262247838616717</x:v>
      </x:c>
      <x:c r="K6" s="407" t="str">
        <x:v>跨模型混合（CV規則）</x:v>
      </x:c>
      <x:c r="L6" s="407" t="str">
        <x:v>可部署門檻+Top-K</x:v>
      </x:c>
      <x:c r="M6" s="407"/>
      <x:c r="N6" s="407" t="n">
        <x:f>'TopK總比較'!A6</x:f>
        <x:v>10</x:v>
      </x:c>
      <x:c r="O6" s="407" t="n">
        <x:f>'TopK總比較'!N6</x:f>
        <x:v>0.03704540320758979</x:v>
      </x:c>
      <x:c r="P6" s="407" t="n">
        <x:f>'TopK總比較'!O6</x:f>
        <x:v>0.06266846361185983</x:v>
      </x:c>
      <x:c r="Q6" s="407" t="n">
        <x:f>'TopK總比較'!P6</x:f>
        <x:v>0.049856933409724816</x:v>
      </x:c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n">
        <x:v>10</x:v>
      </x:c>
      <x:c r="B7" s="407" t="str">
        <x:v>滿柱</x:v>
      </x:c>
      <x:c r="C7" s="407" t="n">
        <x:v>1484</x:v>
      </x:c>
      <x:c r="D7" s="407" t="n">
        <x:v>306</x:v>
      </x:c>
      <x:c r="E7" s="407" t="n">
        <x:v>93</x:v>
      </x:c>
      <x:c r="F7" s="415" t="n">
        <x:v>0.30392156862745096</x:v>
      </x:c>
      <x:c r="G7" s="415" t="n">
        <x:v>0.06266846361185983</x:v>
      </x:c>
      <x:c r="H7" s="407" t="n">
        <x:v>260</x:v>
      </x:c>
      <x:c r="I7" s="407" t="n">
        <x:v>93</x:v>
      </x:c>
      <x:c r="J7" s="415" t="n">
        <x:v>0.3576923076923077</x:v>
      </x:c>
      <x:c r="K7" s="407" t="str">
        <x:v>跨模型混合（CV規則）</x:v>
      </x:c>
      <x:c r="L7" s="407" t="str">
        <x:v>可部署門檻+Top-K</x:v>
      </x:c>
      <x:c r="M7" s="407"/>
      <x:c r="N7" s="407" t="n">
        <x:f>'TopK總比較'!A7</x:f>
        <x:v>15</x:v>
      </x:c>
      <x:c r="O7" s="407" t="n">
        <x:f>'TopK總比較'!N7</x:f>
        <x:v>0.049695053083352154</x:v>
      </x:c>
      <x:c r="P7" s="407" t="n">
        <x:f>'TopK總比較'!O7</x:f>
        <x:v>0.0747978436657682</x:v>
      </x:c>
      <x:c r="Q7" s="407" t="n">
        <x:f>'TopK總比較'!P7</x:f>
        <x:v>0.06224644837456017</x:v>
      </x:c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 t="n">
        <x:v>15</x:v>
      </x:c>
      <x:c r="B8" s="407" t="str">
        <x:v>缺車</x:v>
      </x:c>
      <x:c r="C8" s="407" t="n">
        <x:v>8854</x:v>
      </x:c>
      <x:c r="D8" s="407" t="n">
        <x:v>1026</x:v>
      </x:c>
      <x:c r="E8" s="407" t="n">
        <x:v>440</x:v>
      </x:c>
      <x:c r="F8" s="415" t="n">
        <x:v>0.42884990253411304</x:v>
      </x:c>
      <x:c r="G8" s="415" t="n">
        <x:v>0.049695053083352154</x:v>
      </x:c>
      <x:c r="H8" s="407" t="n">
        <x:v>903</x:v>
      </x:c>
      <x:c r="I8" s="407" t="n">
        <x:v>440</x:v>
      </x:c>
      <x:c r="J8" s="415" t="n">
        <x:v>0.48726467331118495</x:v>
      </x:c>
      <x:c r="K8" s="407" t="str">
        <x:v>跨模型混合（CV規則）</x:v>
      </x:c>
      <x:c r="L8" s="407" t="str">
        <x:v>可部署門檻+Top-K</x:v>
      </x:c>
      <x:c r="M8" s="407"/>
      <x:c r="N8" s="407" t="n">
        <x:f>'TopK總比較'!A8</x:f>
        <x:v>20</x:v>
      </x:c>
      <x:c r="O8" s="407" t="n">
        <x:f>'TopK總比較'!N8</x:f>
        <x:v>0.059182290490173935</x:v>
      </x:c>
      <x:c r="P8" s="407" t="n">
        <x:f>'TopK總比較'!O8</x:f>
        <x:v>0.08086253369272237</x:v>
      </x:c>
      <x:c r="Q8" s="407" t="n">
        <x:f>'TopK總比較'!P8</x:f>
        <x:v>0.07002241209144815</x:v>
      </x:c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 t="n">
        <x:v>15</x:v>
      </x:c>
      <x:c r="B9" s="407" t="str">
        <x:v>滿柱</x:v>
      </x:c>
      <x:c r="C9" s="407" t="n">
        <x:v>1484</x:v>
      </x:c>
      <x:c r="D9" s="407" t="n">
        <x:v>389</x:v>
      </x:c>
      <x:c r="E9" s="407" t="n">
        <x:v>111</x:v>
      </x:c>
      <x:c r="F9" s="415" t="n">
        <x:v>0.2853470437017995</x:v>
      </x:c>
      <x:c r="G9" s="415" t="n">
        <x:v>0.0747978436657682</x:v>
      </x:c>
      <x:c r="H9" s="407" t="n">
        <x:v>325</x:v>
      </x:c>
      <x:c r="I9" s="407" t="n">
        <x:v>111</x:v>
      </x:c>
      <x:c r="J9" s="415" t="n">
        <x:v>0.3415384615384615</x:v>
      </x:c>
      <x:c r="K9" s="407" t="str">
        <x:v>跨模型混合（CV規則）</x:v>
      </x:c>
      <x:c r="L9" s="407" t="str">
        <x:v>可部署門檻+Top-K</x:v>
      </x:c>
      <x:c r="M9" s="407"/>
      <x:c r="N9" s="407" t="n">
        <x:f>'TopK總比較'!A9</x:f>
        <x:v>25</x:v>
      </x:c>
      <x:c r="O9" s="407" t="n">
        <x:f>'TopK總比較'!N9</x:f>
        <x:v>0.06754009487237407</x:v>
      </x:c>
      <x:c r="P9" s="407" t="n">
        <x:f>'TopK總比較'!O9</x:f>
        <x:v>0.08153638814016173</x:v>
      </x:c>
      <x:c r="Q9" s="407" t="n">
        <x:f>'TopK總比較'!P9</x:f>
        <x:v>0.0745382415062679</x:v>
      </x:c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 t="n">
        <x:v>20</x:v>
      </x:c>
      <x:c r="B10" s="407" t="str">
        <x:v>缺車</x:v>
      </x:c>
      <x:c r="C10" s="407" t="n">
        <x:v>8854</x:v>
      </x:c>
      <x:c r="D10" s="407" t="n">
        <x:v>1220</x:v>
      </x:c>
      <x:c r="E10" s="407" t="n">
        <x:v>524</x:v>
      </x:c>
      <x:c r="F10" s="415" t="n">
        <x:v>0.42950819672131146</x:v>
      </x:c>
      <x:c r="G10" s="415" t="n">
        <x:v>0.059182290490173935</x:v>
      </x:c>
      <x:c r="H10" s="407" t="n">
        <x:v>1063</x:v>
      </x:c>
      <x:c r="I10" s="407" t="n">
        <x:v>524</x:v>
      </x:c>
      <x:c r="J10" s="415" t="n">
        <x:v>0.4929444967074318</x:v>
      </x:c>
      <x:c r="K10" s="407" t="str">
        <x:v>跨模型混合（CV規則）</x:v>
      </x:c>
      <x:c r="L10" s="407" t="str">
        <x:v>可部署門檻+Top-K</x:v>
      </x:c>
      <x:c r="M10" s="407"/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n">
        <x:v>20</x:v>
      </x:c>
      <x:c r="B11" s="407" t="str">
        <x:v>滿柱</x:v>
      </x:c>
      <x:c r="C11" s="407" t="n">
        <x:v>1484</x:v>
      </x:c>
      <x:c r="D11" s="407" t="n">
        <x:v>421</x:v>
      </x:c>
      <x:c r="E11" s="407" t="n">
        <x:v>120</x:v>
      </x:c>
      <x:c r="F11" s="415" t="n">
        <x:v>0.2850356294536817</x:v>
      </x:c>
      <x:c r="G11" s="415" t="n">
        <x:v>0.08086253369272237</x:v>
      </x:c>
      <x:c r="H11" s="407" t="n">
        <x:v>350</x:v>
      </x:c>
      <x:c r="I11" s="407" t="n">
        <x:v>120</x:v>
      </x:c>
      <x:c r="J11" s="415" t="n">
        <x:v>0.34285714285714286</x:v>
      </x:c>
      <x:c r="K11" s="407" t="str">
        <x:v>跨模型混合（CV規則）</x:v>
      </x:c>
      <x:c r="L11" s="407" t="str">
        <x:v>可部署門檻+Top-K</x:v>
      </x:c>
      <x:c r="M11" s="407"/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n">
        <x:v>25</x:v>
      </x:c>
      <x:c r="B12" s="407" t="str">
        <x:v>缺車</x:v>
      </x:c>
      <x:c r="C12" s="407" t="n">
        <x:v>8854</x:v>
      </x:c>
      <x:c r="D12" s="407" t="n">
        <x:v>1382</x:v>
      </x:c>
      <x:c r="E12" s="407" t="n">
        <x:v>598</x:v>
      </x:c>
      <x:c r="F12" s="415" t="n">
        <x:v>0.43270622286541244</x:v>
      </x:c>
      <x:c r="G12" s="415" t="n">
        <x:v>0.06754009487237407</x:v>
      </x:c>
      <x:c r="H12" s="407" t="n">
        <x:v>1201</x:v>
      </x:c>
      <x:c r="I12" s="407" t="n">
        <x:v>598</x:v>
      </x:c>
      <x:c r="J12" s="415" t="n">
        <x:v>0.49791840133222315</x:v>
      </x:c>
      <x:c r="K12" s="407" t="str">
        <x:v>跨模型混合（CV規則）</x:v>
      </x:c>
      <x:c r="L12" s="407" t="str">
        <x:v>可部署門檻+Top-K</x:v>
      </x:c>
      <x:c r="M12" s="407"/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n">
        <x:v>25</x:v>
      </x:c>
      <x:c r="B13" s="407" t="str">
        <x:v>滿柱</x:v>
      </x:c>
      <x:c r="C13" s="407" t="n">
        <x:v>1484</x:v>
      </x:c>
      <x:c r="D13" s="407" t="n">
        <x:v>429</x:v>
      </x:c>
      <x:c r="E13" s="407" t="n">
        <x:v>121</x:v>
      </x:c>
      <x:c r="F13" s="415" t="n">
        <x:v>0.28205128205128205</x:v>
      </x:c>
      <x:c r="G13" s="415" t="n">
        <x:v>0.08153638814016173</x:v>
      </x:c>
      <x:c r="H13" s="407" t="n">
        <x:v>354</x:v>
      </x:c>
      <x:c r="I13" s="407" t="n">
        <x:v>121</x:v>
      </x:c>
      <x:c r="J13" s="415" t="n">
        <x:v>0.3418079096045198</x:v>
      </x:c>
      <x:c r="K13" s="407" t="str">
        <x:v>跨模型混合（CV規則）</x:v>
      </x:c>
      <x:c r="L13" s="407" t="str">
        <x:v>可部署門檻+Top-K</x:v>
      </x:c>
      <x:c r="M13" s="407"/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/>
      <x:c r="B14" s="407"/>
      <x:c r="C14" s="407"/>
      <x:c r="D14" s="407"/>
      <x:c r="E14" s="407"/>
      <x:c r="F14" s="407"/>
      <x:c r="G14" s="407"/>
      <x:c r="H14" s="407"/>
      <x:c r="I14" s="407"/>
      <x:c r="J14" s="407"/>
      <x:c r="K14" s="407"/>
      <x:c r="L14" s="407"/>
      <x:c r="M14" s="407"/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/>
      <x:c r="B15" s="407"/>
      <x:c r="C15" s="407"/>
      <x:c r="D15" s="407"/>
      <x:c r="E15" s="407"/>
      <x:c r="F15" s="407"/>
      <x:c r="G15" s="407"/>
      <x:c r="H15" s="407"/>
      <x:c r="I15" s="407"/>
      <x:c r="J15" s="407"/>
      <x:c r="K15" s="407"/>
      <x:c r="L15" s="407"/>
      <x:c r="M15" s="407"/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/>
      <x:c r="B16" s="407"/>
      <x:c r="C16" s="407"/>
      <x:c r="D16" s="407"/>
      <x:c r="E16" s="407"/>
      <x:c r="F16" s="407"/>
      <x:c r="G16" s="407"/>
      <x:c r="H16" s="407"/>
      <x:c r="I16" s="407"/>
      <x:c r="J16" s="407"/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/>
      <x:c r="B17" s="407"/>
      <x:c r="C17" s="407"/>
      <x:c r="D17" s="407"/>
      <x:c r="E17" s="407"/>
      <x:c r="F17" s="407"/>
      <x:c r="G17" s="407"/>
      <x:c r="H17" s="407"/>
      <x:c r="I17" s="407"/>
      <x:c r="J17" s="407"/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 ht="32" customHeight="1">
      <x:c r="A18" s="51" t="str">
        <x:v>方法</x:v>
      </x:c>
      <x:c r="B18" s="52" t="str">
        <x:v>政策</x:v>
      </x:c>
      <x:c r="C18" s="52" t="str">
        <x:v>K</x:v>
      </x:c>
      <x:c r="D18" s="52" t="str">
        <x:v>事件</x:v>
      </x:c>
      <x:c r="E18" s="52" t="str">
        <x:v>可評估事件</x:v>
      </x:c>
      <x:c r="F18" s="52" t="str">
        <x:v>入選快照</x:v>
      </x:c>
      <x:c r="G18" s="52" t="str">
        <x:v>命中快照</x:v>
      </x:c>
      <x:c r="H18" s="52" t="str">
        <x:v>事件召回</x:v>
      </x:c>
      <x:c r="I18" s="52" t="str">
        <x:v>快照命中率</x:v>
      </x:c>
      <x:c r="J18" s="52" t="str">
        <x:v>Episode</x:v>
      </x:c>
      <x:c r="K18" s="52" t="str">
        <x:v>命中Episode</x:v>
      </x:c>
      <x:c r="L18" s="52" t="str">
        <x:v>Episode命中率</x:v>
      </x:c>
      <x:c r="M18" s="53" t="str">
        <x:v>Policy ID</x:v>
      </x:c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跨模型混合（CV規則）</x:v>
      </x:c>
      <x:c r="B19" s="407" t="str">
        <x:v>純容量排名</x:v>
      </x:c>
      <x:c r="C19" s="407" t="n">
        <x:v>10</x:v>
      </x:c>
      <x:c r="D19" s="407" t="str">
        <x:v>缺車</x:v>
      </x:c>
      <x:c r="E19" s="407" t="n">
        <x:v>8854</x:v>
      </x:c>
      <x:c r="F19" s="407" t="n">
        <x:v>1225</x:v>
      </x:c>
      <x:c r="G19" s="407" t="n">
        <x:v>446</x:v>
      </x:c>
      <x:c r="H19" s="415" t="n">
        <x:v>0.050372712898125144</x:v>
      </x:c>
      <x:c r="I19" s="415" t="n">
        <x:v>0.3640816326530612</x:v>
      </x:c>
      <x:c r="J19" s="407" t="n">
        <x:v>1079</x:v>
      </x:c>
      <x:c r="K19" s="407" t="n">
        <x:v>446</x:v>
      </x:c>
      <x:c r="L19" s="415" t="n">
        <x:v>0.41334569045412417</x:v>
      </x:c>
      <x:c r="M19" s="407" t="str">
        <x:v>hybrid_champion_fixed_capacity_k10_r2</x:v>
      </x:c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跨模型混合（CV規則）</x:v>
      </x:c>
      <x:c r="B20" s="407" t="str">
        <x:v>純容量排名</x:v>
      </x:c>
      <x:c r="C20" s="407" t="n">
        <x:v>10</x:v>
      </x:c>
      <x:c r="D20" s="407" t="str">
        <x:v>滿柱</x:v>
      </x:c>
      <x:c r="E20" s="407" t="n">
        <x:v>1484</x:v>
      </x:c>
      <x:c r="F20" s="407" t="n">
        <x:v>315</x:v>
      </x:c>
      <x:c r="G20" s="407" t="n">
        <x:v>91</x:v>
      </x:c>
      <x:c r="H20" s="415" t="n">
        <x:v>0.06132075471698113</x:v>
      </x:c>
      <x:c r="I20" s="415" t="n">
        <x:v>0.28888888888888886</x:v>
      </x:c>
      <x:c r="J20" s="407" t="n">
        <x:v>267</x:v>
      </x:c>
      <x:c r="K20" s="407" t="n">
        <x:v>91</x:v>
      </x:c>
      <x:c r="L20" s="415" t="n">
        <x:v>0.3408239700374532</x:v>
      </x:c>
      <x:c r="M20" s="407" t="str">
        <x:v>hybrid_champion_fixed_capacity_k10_r2</x:v>
      </x:c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跨模型混合（CV規則）</x:v>
      </x:c>
      <x:c r="B21" s="407" t="str">
        <x:v>純容量排名</x:v>
      </x:c>
      <x:c r="C21" s="407" t="n">
        <x:v>15</x:v>
      </x:c>
      <x:c r="D21" s="407" t="str">
        <x:v>缺車</x:v>
      </x:c>
      <x:c r="E21" s="407" t="n">
        <x:v>8854</x:v>
      </x:c>
      <x:c r="F21" s="407" t="n">
        <x:v>1844</x:v>
      </x:c>
      <x:c r="G21" s="407" t="n">
        <x:v>655</x:v>
      </x:c>
      <x:c r="H21" s="415" t="n">
        <x:v>0.07397786311271741</x:v>
      </x:c>
      <x:c r="I21" s="415" t="n">
        <x:v>0.3552060737527115</x:v>
      </x:c>
      <x:c r="J21" s="407" t="n">
        <x:v>1584</x:v>
      </x:c>
      <x:c r="K21" s="407" t="n">
        <x:v>655</x:v>
      </x:c>
      <x:c r="L21" s="415" t="n">
        <x:v>0.413510101010101</x:v>
      </x:c>
      <x:c r="M21" s="407" t="str">
        <x:v>hybrid_champion_fixed_capacity_k15_r3</x:v>
      </x:c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 t="str">
        <x:v>跨模型混合（CV規則）</x:v>
      </x:c>
      <x:c r="B22" s="407" t="str">
        <x:v>純容量排名</x:v>
      </x:c>
      <x:c r="C22" s="407" t="n">
        <x:v>15</x:v>
      </x:c>
      <x:c r="D22" s="407" t="str">
        <x:v>滿柱</x:v>
      </x:c>
      <x:c r="E22" s="407" t="n">
        <x:v>1484</x:v>
      </x:c>
      <x:c r="F22" s="407" t="n">
        <x:v>466</x:v>
      </x:c>
      <x:c r="G22" s="407" t="n">
        <x:v>120</x:v>
      </x:c>
      <x:c r="H22" s="415" t="n">
        <x:v>0.08086253369272237</x:v>
      </x:c>
      <x:c r="I22" s="415" t="n">
        <x:v>0.2575107296137339</x:v>
      </x:c>
      <x:c r="J22" s="407" t="n">
        <x:v>383</x:v>
      </x:c>
      <x:c r="K22" s="407" t="n">
        <x:v>120</x:v>
      </x:c>
      <x:c r="L22" s="415" t="n">
        <x:v>0.3133159268929504</x:v>
      </x:c>
      <x:c r="M22" s="407" t="str">
        <x:v>hybrid_champion_fixed_capacity_k15_r3</x:v>
      </x:c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 t="str">
        <x:v>跨模型混合（CV規則）</x:v>
      </x:c>
      <x:c r="B23" s="407" t="str">
        <x:v>純容量排名</x:v>
      </x:c>
      <x:c r="C23" s="407" t="n">
        <x:v>20</x:v>
      </x:c>
      <x:c r="D23" s="407" t="str">
        <x:v>缺車</x:v>
      </x:c>
      <x:c r="E23" s="407" t="n">
        <x:v>8854</x:v>
      </x:c>
      <x:c r="F23" s="407" t="n">
        <x:v>2455</x:v>
      </x:c>
      <x:c r="G23" s="407" t="n">
        <x:v>832</x:v>
      </x:c>
      <x:c r="H23" s="415" t="n">
        <x:v>0.09396882764852044</x:v>
      </x:c>
      <x:c r="I23" s="415" t="n">
        <x:v>0.3389002036659878</x:v>
      </x:c>
      <x:c r="J23" s="407" t="n">
        <x:v>2065</x:v>
      </x:c>
      <x:c r="K23" s="407" t="n">
        <x:v>832</x:v>
      </x:c>
      <x:c r="L23" s="415" t="n">
        <x:v>0.40290556900726393</x:v>
      </x:c>
      <x:c r="M23" s="407" t="str">
        <x:v>hybrid_champion_fixed_capacity_k20_r4</x:v>
      </x:c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 t="str">
        <x:v>跨模型混合（CV規則）</x:v>
      </x:c>
      <x:c r="B24" s="407" t="str">
        <x:v>純容量排名</x:v>
      </x:c>
      <x:c r="C24" s="407" t="n">
        <x:v>20</x:v>
      </x:c>
      <x:c r="D24" s="407" t="str">
        <x:v>滿柱</x:v>
      </x:c>
      <x:c r="E24" s="407" t="n">
        <x:v>1484</x:v>
      </x:c>
      <x:c r="F24" s="407" t="n">
        <x:v>625</x:v>
      </x:c>
      <x:c r="G24" s="407" t="n">
        <x:v>149</x:v>
      </x:c>
      <x:c r="H24" s="415" t="n">
        <x:v>0.10040431266846361</x:v>
      </x:c>
      <x:c r="I24" s="415" t="n">
        <x:v>0.2384</x:v>
      </x:c>
      <x:c r="J24" s="407" t="n">
        <x:v>512</x:v>
      </x:c>
      <x:c r="K24" s="407" t="n">
        <x:v>149</x:v>
      </x:c>
      <x:c r="L24" s="415" t="n">
        <x:v>0.291015625</x:v>
      </x:c>
      <x:c r="M24" s="407" t="str">
        <x:v>hybrid_champion_fixed_capacity_k20_r4</x:v>
      </x:c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 t="str">
        <x:v>跨模型混合（CV規則）</x:v>
      </x:c>
      <x:c r="B25" s="407" t="str">
        <x:v>純容量排名</x:v>
      </x:c>
      <x:c r="C25" s="407" t="n">
        <x:v>25</x:v>
      </x:c>
      <x:c r="D25" s="407" t="str">
        <x:v>缺車</x:v>
      </x:c>
      <x:c r="E25" s="407" t="n">
        <x:v>8854</x:v>
      </x:c>
      <x:c r="F25" s="407" t="n">
        <x:v>3068</x:v>
      </x:c>
      <x:c r="G25" s="407" t="n">
        <x:v>1018</x:v>
      </x:c>
      <x:c r="H25" s="415" t="n">
        <x:v>0.11497628190648294</x:v>
      </x:c>
      <x:c r="I25" s="415" t="n">
        <x:v>0.3318122555410691</x:v>
      </x:c>
      <x:c r="J25" s="407" t="n">
        <x:v>2555</x:v>
      </x:c>
      <x:c r="K25" s="407" t="n">
        <x:v>1018</x:v>
      </x:c>
      <x:c r="L25" s="415" t="n">
        <x:v>0.3984344422700587</x:v>
      </x:c>
      <x:c r="M25" s="407" t="str">
        <x:v>hybrid_champion_fixed_capacity_k25_r5</x:v>
      </x:c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跨模型混合（CV規則）</x:v>
      </x:c>
      <x:c r="B26" s="407" t="str">
        <x:v>純容量排名</x:v>
      </x:c>
      <x:c r="C26" s="407" t="n">
        <x:v>25</x:v>
      </x:c>
      <x:c r="D26" s="407" t="str">
        <x:v>滿柱</x:v>
      </x:c>
      <x:c r="E26" s="407" t="n">
        <x:v>1484</x:v>
      </x:c>
      <x:c r="F26" s="407" t="n">
        <x:v>782</x:v>
      </x:c>
      <x:c r="G26" s="407" t="n">
        <x:v>176</x:v>
      </x:c>
      <x:c r="H26" s="415" t="n">
        <x:v>0.11859838274932614</x:v>
      </x:c>
      <x:c r="I26" s="415" t="n">
        <x:v>0.22506393861892582</x:v>
      </x:c>
      <x:c r="J26" s="407" t="n">
        <x:v>620</x:v>
      </x:c>
      <x:c r="K26" s="407" t="n">
        <x:v>176</x:v>
      </x:c>
      <x:c r="L26" s="415" t="n">
        <x:v>0.2838709677419355</x:v>
      </x:c>
      <x:c r="M26" s="407" t="str">
        <x:v>hybrid_champion_fixed_capacity_k25_r5</x:v>
      </x:c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跨模型混合（CV規則）</x:v>
      </x:c>
      <x:c r="B27" s="407" t="str">
        <x:v>可部署門檻+Top-K</x:v>
      </x:c>
      <x:c r="C27" s="407" t="n">
        <x:v>10</x:v>
      </x:c>
      <x:c r="D27" s="407" t="str">
        <x:v>缺車</x:v>
      </x:c>
      <x:c r="E27" s="407" t="n">
        <x:v>8854</x:v>
      </x:c>
      <x:c r="F27" s="407" t="n">
        <x:v>780</x:v>
      </x:c>
      <x:c r="G27" s="407" t="n">
        <x:v>328</x:v>
      </x:c>
      <x:c r="H27" s="415" t="n">
        <x:v>0.03704540320758979</x:v>
      </x:c>
      <x:c r="I27" s="415" t="n">
        <x:v>0.4205128205128205</x:v>
      </x:c>
      <x:c r="J27" s="407" t="n">
        <x:v>694</x:v>
      </x:c>
      <x:c r="K27" s="407" t="n">
        <x:v>328</x:v>
      </x:c>
      <x:c r="L27" s="415" t="n">
        <x:v>0.47262247838616717</x:v>
      </x:c>
      <x:c r="M27" s="407" t="str">
        <x:v>hybrid_champion_deployable_floors_k10_r2</x:v>
      </x:c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跨模型混合（CV規則）</x:v>
      </x:c>
      <x:c r="B28" s="407" t="str">
        <x:v>可部署門檻+Top-K</x:v>
      </x:c>
      <x:c r="C28" s="407" t="n">
        <x:v>10</x:v>
      </x:c>
      <x:c r="D28" s="407" t="str">
        <x:v>滿柱</x:v>
      </x:c>
      <x:c r="E28" s="407" t="n">
        <x:v>1484</x:v>
      </x:c>
      <x:c r="F28" s="407" t="n">
        <x:v>306</x:v>
      </x:c>
      <x:c r="G28" s="407" t="n">
        <x:v>93</x:v>
      </x:c>
      <x:c r="H28" s="415" t="n">
        <x:v>0.06266846361185983</x:v>
      </x:c>
      <x:c r="I28" s="415" t="n">
        <x:v>0.30392156862745096</x:v>
      </x:c>
      <x:c r="J28" s="407" t="n">
        <x:v>260</x:v>
      </x:c>
      <x:c r="K28" s="407" t="n">
        <x:v>93</x:v>
      </x:c>
      <x:c r="L28" s="415" t="n">
        <x:v>0.3576923076923077</x:v>
      </x:c>
      <x:c r="M28" s="407" t="str">
        <x:v>hybrid_champion_deployable_floors_k10_r2</x:v>
      </x:c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跨模型混合（CV規則）</x:v>
      </x:c>
      <x:c r="B29" s="407" t="str">
        <x:v>可部署門檻+Top-K</x:v>
      </x:c>
      <x:c r="C29" s="407" t="n">
        <x:v>15</x:v>
      </x:c>
      <x:c r="D29" s="407" t="str">
        <x:v>缺車</x:v>
      </x:c>
      <x:c r="E29" s="407" t="n">
        <x:v>8854</x:v>
      </x:c>
      <x:c r="F29" s="407" t="n">
        <x:v>1026</x:v>
      </x:c>
      <x:c r="G29" s="407" t="n">
        <x:v>440</x:v>
      </x:c>
      <x:c r="H29" s="415" t="n">
        <x:v>0.049695053083352154</x:v>
      </x:c>
      <x:c r="I29" s="415" t="n">
        <x:v>0.42884990253411304</x:v>
      </x:c>
      <x:c r="J29" s="407" t="n">
        <x:v>903</x:v>
      </x:c>
      <x:c r="K29" s="407" t="n">
        <x:v>440</x:v>
      </x:c>
      <x:c r="L29" s="415" t="n">
        <x:v>0.48726467331118495</x:v>
      </x:c>
      <x:c r="M29" s="407" t="str">
        <x:v>hybrid_champion_deployable_floors_k15_r3</x:v>
      </x:c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 t="str">
        <x:v>跨模型混合（CV規則）</x:v>
      </x:c>
      <x:c r="B30" s="407" t="str">
        <x:v>可部署門檻+Top-K</x:v>
      </x:c>
      <x:c r="C30" s="407" t="n">
        <x:v>15</x:v>
      </x:c>
      <x:c r="D30" s="407" t="str">
        <x:v>滿柱</x:v>
      </x:c>
      <x:c r="E30" s="407" t="n">
        <x:v>1484</x:v>
      </x:c>
      <x:c r="F30" s="407" t="n">
        <x:v>389</x:v>
      </x:c>
      <x:c r="G30" s="407" t="n">
        <x:v>111</x:v>
      </x:c>
      <x:c r="H30" s="415" t="n">
        <x:v>0.0747978436657682</x:v>
      </x:c>
      <x:c r="I30" s="415" t="n">
        <x:v>0.2853470437017995</x:v>
      </x:c>
      <x:c r="J30" s="407" t="n">
        <x:v>325</x:v>
      </x:c>
      <x:c r="K30" s="407" t="n">
        <x:v>111</x:v>
      </x:c>
      <x:c r="L30" s="415" t="n">
        <x:v>0.3415384615384615</x:v>
      </x:c>
      <x:c r="M30" s="407" t="str">
        <x:v>hybrid_champion_deployable_floors_k15_r3</x:v>
      </x:c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str">
        <x:v>跨模型混合（CV規則）</x:v>
      </x:c>
      <x:c r="B31" s="407" t="str">
        <x:v>可部署門檻+Top-K</x:v>
      </x:c>
      <x:c r="C31" s="407" t="n">
        <x:v>20</x:v>
      </x:c>
      <x:c r="D31" s="407" t="str">
        <x:v>缺車</x:v>
      </x:c>
      <x:c r="E31" s="407" t="n">
        <x:v>8854</x:v>
      </x:c>
      <x:c r="F31" s="407" t="n">
        <x:v>1220</x:v>
      </x:c>
      <x:c r="G31" s="407" t="n">
        <x:v>524</x:v>
      </x:c>
      <x:c r="H31" s="415" t="n">
        <x:v>0.059182290490173935</x:v>
      </x:c>
      <x:c r="I31" s="415" t="n">
        <x:v>0.42950819672131146</x:v>
      </x:c>
      <x:c r="J31" s="407" t="n">
        <x:v>1063</x:v>
      </x:c>
      <x:c r="K31" s="407" t="n">
        <x:v>524</x:v>
      </x:c>
      <x:c r="L31" s="415" t="n">
        <x:v>0.4929444967074318</x:v>
      </x:c>
      <x:c r="M31" s="407" t="str">
        <x:v>hybrid_champion_deployable_floors_k20_r4</x:v>
      </x:c>
      <x:c r="N31" s="114" t="str">
        <x:v>缺車事件8,854筆，遠多於滿柱1,484筆。若只按全域機率排序，滿柱容易被缺車淹沒。軟保留是服務公平性的管理選擇，不是模型自動學出的真理。</x:v>
      </x:c>
      <x:c r="O31" s="115" t="str">
        <x:v>缺車事件8,854筆，遠多於滿柱1,484筆。若只按全域機率排序，滿柱容易被缺車淹沒。軟保留是服務公平性的管理選擇，不是模型自動學出的真理。</x:v>
      </x:c>
      <x:c r="P31" s="115" t="str">
        <x:v>缺車事件8,854筆，遠多於滿柱1,484筆。若只按全域機率排序，滿柱容易被缺車淹沒。軟保留是服務公平性的管理選擇，不是模型自動學出的真理。</x:v>
      </x:c>
      <x:c r="Q31" s="115" t="str">
        <x:v>缺車事件8,854筆，遠多於滿柱1,484筆。若只按全域機率排序，滿柱容易被缺車淹沒。軟保留是服務公平性的管理選擇，不是模型自動學出的真理。</x:v>
      </x:c>
      <x:c r="R31" s="115" t="str">
        <x:v>缺車事件8,854筆，遠多於滿柱1,484筆。若只按全域機率排序，滿柱容易被缺車淹沒。軟保留是服務公平性的管理選擇，不是模型自動學出的真理。</x:v>
      </x:c>
      <x:c r="S31" s="115" t="str">
        <x:v>缺車事件8,854筆，遠多於滿柱1,484筆。若只按全域機率排序，滿柱容易被缺車淹沒。軟保留是服務公平性的管理選擇，不是模型自動學出的真理。</x:v>
      </x:c>
      <x:c r="T31" s="115" t="str">
        <x:v>缺車事件8,854筆，遠多於滿柱1,484筆。若只按全域機率排序，滿柱容易被缺車淹沒。軟保留是服務公平性的管理選擇，不是模型自動學出的真理。</x:v>
      </x:c>
      <x:c r="U31" s="115" t="str">
        <x:v>缺車事件8,854筆，遠多於滿柱1,484筆。若只按全域機率排序，滿柱容易被缺車淹沒。軟保留是服務公平性的管理選擇，不是模型自動學出的真理。</x:v>
      </x:c>
      <x:c r="V31" s="115" t="str">
        <x:v>缺車事件8,854筆，遠多於滿柱1,484筆。若只按全域機率排序，滿柱容易被缺車淹沒。軟保留是服務公平性的管理選擇，不是模型自動學出的真理。</x:v>
      </x:c>
      <x:c r="W31" s="116" t="str">
        <x:v>缺車事件8,854筆，遠多於滿柱1,484筆。若只按全域機率排序，滿柱容易被缺車淹沒。軟保留是服務公平性的管理選擇，不是模型自動學出的真理。</x:v>
      </x:c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str">
        <x:v>跨模型混合（CV規則）</x:v>
      </x:c>
      <x:c r="B32" s="407" t="str">
        <x:v>可部署門檻+Top-K</x:v>
      </x:c>
      <x:c r="C32" s="407" t="n">
        <x:v>20</x:v>
      </x:c>
      <x:c r="D32" s="407" t="str">
        <x:v>滿柱</x:v>
      </x:c>
      <x:c r="E32" s="407" t="n">
        <x:v>1484</x:v>
      </x:c>
      <x:c r="F32" s="407" t="n">
        <x:v>421</x:v>
      </x:c>
      <x:c r="G32" s="407" t="n">
        <x:v>120</x:v>
      </x:c>
      <x:c r="H32" s="415" t="n">
        <x:v>0.08086253369272237</x:v>
      </x:c>
      <x:c r="I32" s="415" t="n">
        <x:v>0.2850356294536817</x:v>
      </x:c>
      <x:c r="J32" s="407" t="n">
        <x:v>350</x:v>
      </x:c>
      <x:c r="K32" s="407" t="n">
        <x:v>120</x:v>
      </x:c>
      <x:c r="L32" s="415" t="n">
        <x:v>0.34285714285714286</x:v>
      </x:c>
      <x:c r="M32" s="407" t="str">
        <x:v>hybrid_champion_deployable_floors_k20_r4</x:v>
      </x:c>
      <x:c r="N32" s="117" t="str">
        <x:v>缺車事件8,854筆，遠多於滿柱1,484筆。若只按全域機率排序，滿柱容易被缺車淹沒。軟保留是服務公平性的管理選擇，不是模型自動學出的真理。</x:v>
      </x:c>
      <x:c r="O32" s="118" t="str">
        <x:v>缺車事件8,854筆，遠多於滿柱1,484筆。若只按全域機率排序，滿柱容易被缺車淹沒。軟保留是服務公平性的管理選擇，不是模型自動學出的真理。</x:v>
      </x:c>
      <x:c r="P32" s="118" t="str">
        <x:v>缺車事件8,854筆，遠多於滿柱1,484筆。若只按全域機率排序，滿柱容易被缺車淹沒。軟保留是服務公平性的管理選擇，不是模型自動學出的真理。</x:v>
      </x:c>
      <x:c r="Q32" s="118" t="str">
        <x:v>缺車事件8,854筆，遠多於滿柱1,484筆。若只按全域機率排序，滿柱容易被缺車淹沒。軟保留是服務公平性的管理選擇，不是模型自動學出的真理。</x:v>
      </x:c>
      <x:c r="R32" s="118" t="str">
        <x:v>缺車事件8,854筆，遠多於滿柱1,484筆。若只按全域機率排序，滿柱容易被缺車淹沒。軟保留是服務公平性的管理選擇，不是模型自動學出的真理。</x:v>
      </x:c>
      <x:c r="S32" s="118" t="str">
        <x:v>缺車事件8,854筆，遠多於滿柱1,484筆。若只按全域機率排序，滿柱容易被缺車淹沒。軟保留是服務公平性的管理選擇，不是模型自動學出的真理。</x:v>
      </x:c>
      <x:c r="T32" s="118" t="str">
        <x:v>缺車事件8,854筆，遠多於滿柱1,484筆。若只按全域機率排序，滿柱容易被缺車淹沒。軟保留是服務公平性的管理選擇，不是模型自動學出的真理。</x:v>
      </x:c>
      <x:c r="U32" s="118" t="str">
        <x:v>缺車事件8,854筆，遠多於滿柱1,484筆。若只按全域機率排序，滿柱容易被缺車淹沒。軟保留是服務公平性的管理選擇，不是模型自動學出的真理。</x:v>
      </x:c>
      <x:c r="V32" s="118" t="str">
        <x:v>缺車事件8,854筆，遠多於滿柱1,484筆。若只按全域機率排序，滿柱容易被缺車淹沒。軟保留是服務公平性的管理選擇，不是模型自動學出的真理。</x:v>
      </x:c>
      <x:c r="W32" s="119" t="str">
        <x:v>缺車事件8,854筆，遠多於滿柱1,484筆。若只按全域機率排序，滿柱容易被缺車淹沒。軟保留是服務公平性的管理選擇，不是模型自動學出的真理。</x:v>
      </x:c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str">
        <x:v>跨模型混合（CV規則）</x:v>
      </x:c>
      <x:c r="B33" s="407" t="str">
        <x:v>可部署門檻+Top-K</x:v>
      </x:c>
      <x:c r="C33" s="407" t="n">
        <x:v>25</x:v>
      </x:c>
      <x:c r="D33" s="407" t="str">
        <x:v>缺車</x:v>
      </x:c>
      <x:c r="E33" s="407" t="n">
        <x:v>8854</x:v>
      </x:c>
      <x:c r="F33" s="407" t="n">
        <x:v>1382</x:v>
      </x:c>
      <x:c r="G33" s="407" t="n">
        <x:v>598</x:v>
      </x:c>
      <x:c r="H33" s="415" t="n">
        <x:v>0.06754009487237407</x:v>
      </x:c>
      <x:c r="I33" s="415" t="n">
        <x:v>0.43270622286541244</x:v>
      </x:c>
      <x:c r="J33" s="407" t="n">
        <x:v>1201</x:v>
      </x:c>
      <x:c r="K33" s="407" t="n">
        <x:v>598</x:v>
      </x:c>
      <x:c r="L33" s="415" t="n">
        <x:v>0.49791840133222315</x:v>
      </x:c>
      <x:c r="M33" s="407" t="str">
        <x:v>hybrid_champion_deployable_floors_k25_r5</x:v>
      </x:c>
      <x:c r="N33" s="117" t="str">
        <x:v>缺車事件8,854筆，遠多於滿柱1,484筆。若只按全域機率排序，滿柱容易被缺車淹沒。軟保留是服務公平性的管理選擇，不是模型自動學出的真理。</x:v>
      </x:c>
      <x:c r="O33" s="118" t="str">
        <x:v>缺車事件8,854筆，遠多於滿柱1,484筆。若只按全域機率排序，滿柱容易被缺車淹沒。軟保留是服務公平性的管理選擇，不是模型自動學出的真理。</x:v>
      </x:c>
      <x:c r="P33" s="118" t="str">
        <x:v>缺車事件8,854筆，遠多於滿柱1,484筆。若只按全域機率排序，滿柱容易被缺車淹沒。軟保留是服務公平性的管理選擇，不是模型自動學出的真理。</x:v>
      </x:c>
      <x:c r="Q33" s="118" t="str">
        <x:v>缺車事件8,854筆，遠多於滿柱1,484筆。若只按全域機率排序，滿柱容易被缺車淹沒。軟保留是服務公平性的管理選擇，不是模型自動學出的真理。</x:v>
      </x:c>
      <x:c r="R33" s="118" t="str">
        <x:v>缺車事件8,854筆，遠多於滿柱1,484筆。若只按全域機率排序，滿柱容易被缺車淹沒。軟保留是服務公平性的管理選擇，不是模型自動學出的真理。</x:v>
      </x:c>
      <x:c r="S33" s="118" t="str">
        <x:v>缺車事件8,854筆，遠多於滿柱1,484筆。若只按全域機率排序，滿柱容易被缺車淹沒。軟保留是服務公平性的管理選擇，不是模型自動學出的真理。</x:v>
      </x:c>
      <x:c r="T33" s="118" t="str">
        <x:v>缺車事件8,854筆，遠多於滿柱1,484筆。若只按全域機率排序，滿柱容易被缺車淹沒。軟保留是服務公平性的管理選擇，不是模型自動學出的真理。</x:v>
      </x:c>
      <x:c r="U33" s="118" t="str">
        <x:v>缺車事件8,854筆，遠多於滿柱1,484筆。若只按全域機率排序，滿柱容易被缺車淹沒。軟保留是服務公平性的管理選擇，不是模型自動學出的真理。</x:v>
      </x:c>
      <x:c r="V33" s="118" t="str">
        <x:v>缺車事件8,854筆，遠多於滿柱1,484筆。若只按全域機率排序，滿柱容易被缺車淹沒。軟保留是服務公平性的管理選擇，不是模型自動學出的真理。</x:v>
      </x:c>
      <x:c r="W33" s="119" t="str">
        <x:v>缺車事件8,854筆，遠多於滿柱1,484筆。若只按全域機率排序，滿柱容易被缺車淹沒。軟保留是服務公平性的管理選擇，不是模型自動學出的真理。</x:v>
      </x:c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跨模型混合（CV規則）</x:v>
      </x:c>
      <x:c r="B34" s="407" t="str">
        <x:v>可部署門檻+Top-K</x:v>
      </x:c>
      <x:c r="C34" s="407" t="n">
        <x:v>25</x:v>
      </x:c>
      <x:c r="D34" s="407" t="str">
        <x:v>滿柱</x:v>
      </x:c>
      <x:c r="E34" s="407" t="n">
        <x:v>1484</x:v>
      </x:c>
      <x:c r="F34" s="407" t="n">
        <x:v>429</x:v>
      </x:c>
      <x:c r="G34" s="407" t="n">
        <x:v>121</x:v>
      </x:c>
      <x:c r="H34" s="415" t="n">
        <x:v>0.08153638814016173</x:v>
      </x:c>
      <x:c r="I34" s="415" t="n">
        <x:v>0.28205128205128205</x:v>
      </x:c>
      <x:c r="J34" s="407" t="n">
        <x:v>354</x:v>
      </x:c>
      <x:c r="K34" s="407" t="n">
        <x:v>121</x:v>
      </x:c>
      <x:c r="L34" s="415" t="n">
        <x:v>0.3418079096045198</x:v>
      </x:c>
      <x:c r="M34" s="407" t="str">
        <x:v>hybrid_champion_deployable_floors_k25_r5</x:v>
      </x:c>
      <x:c r="N34" s="117" t="str">
        <x:v>缺車事件8,854筆，遠多於滿柱1,484筆。若只按全域機率排序，滿柱容易被缺車淹沒。軟保留是服務公平性的管理選擇，不是模型自動學出的真理。</x:v>
      </x:c>
      <x:c r="O34" s="118" t="str">
        <x:v>缺車事件8,854筆，遠多於滿柱1,484筆。若只按全域機率排序，滿柱容易被缺車淹沒。軟保留是服務公平性的管理選擇，不是模型自動學出的真理。</x:v>
      </x:c>
      <x:c r="P34" s="118" t="str">
        <x:v>缺車事件8,854筆，遠多於滿柱1,484筆。若只按全域機率排序，滿柱容易被缺車淹沒。軟保留是服務公平性的管理選擇，不是模型自動學出的真理。</x:v>
      </x:c>
      <x:c r="Q34" s="118" t="str">
        <x:v>缺車事件8,854筆，遠多於滿柱1,484筆。若只按全域機率排序，滿柱容易被缺車淹沒。軟保留是服務公平性的管理選擇，不是模型自動學出的真理。</x:v>
      </x:c>
      <x:c r="R34" s="118" t="str">
        <x:v>缺車事件8,854筆，遠多於滿柱1,484筆。若只按全域機率排序，滿柱容易被缺車淹沒。軟保留是服務公平性的管理選擇，不是模型自動學出的真理。</x:v>
      </x:c>
      <x:c r="S34" s="118" t="str">
        <x:v>缺車事件8,854筆，遠多於滿柱1,484筆。若只按全域機率排序，滿柱容易被缺車淹沒。軟保留是服務公平性的管理選擇，不是模型自動學出的真理。</x:v>
      </x:c>
      <x:c r="T34" s="118" t="str">
        <x:v>缺車事件8,854筆，遠多於滿柱1,484筆。若只按全域機率排序，滿柱容易被缺車淹沒。軟保留是服務公平性的管理選擇，不是模型自動學出的真理。</x:v>
      </x:c>
      <x:c r="U34" s="118" t="str">
        <x:v>缺車事件8,854筆，遠多於滿柱1,484筆。若只按全域機率排序，滿柱容易被缺車淹沒。軟保留是服務公平性的管理選擇，不是模型自動學出的真理。</x:v>
      </x:c>
      <x:c r="V34" s="118" t="str">
        <x:v>缺車事件8,854筆，遠多於滿柱1,484筆。若只按全域機率排序，滿柱容易被缺車淹沒。軟保留是服務公平性的管理選擇，不是模型自動學出的真理。</x:v>
      </x:c>
      <x:c r="W34" s="119" t="str">
        <x:v>缺車事件8,854筆，遠多於滿柱1,484筆。若只按全域機率排序，滿柱容易被缺車淹沒。軟保留是服務公平性的管理選擇，不是模型自動學出的真理。</x:v>
      </x:c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LightGBM 正式調參</x:v>
      </x:c>
      <x:c r="B35" s="407" t="str">
        <x:v>純容量排名</x:v>
      </x:c>
      <x:c r="C35" s="407" t="n">
        <x:v>10</x:v>
      </x:c>
      <x:c r="D35" s="407" t="str">
        <x:v>缺車</x:v>
      </x:c>
      <x:c r="E35" s="407" t="n">
        <x:v>8854</x:v>
      </x:c>
      <x:c r="F35" s="407" t="n">
        <x:v>1224</x:v>
      </x:c>
      <x:c r="G35" s="407" t="n">
        <x:v>447</x:v>
      </x:c>
      <x:c r="H35" s="415" t="n">
        <x:v>0.05048565620058731</x:v>
      </x:c>
      <x:c r="I35" s="415" t="n">
        <x:v>0.36519607843137253</x:v>
      </x:c>
      <x:c r="J35" s="407" t="n">
        <x:v>1078</x:v>
      </x:c>
      <x:c r="K35" s="407" t="n">
        <x:v>447</x:v>
      </x:c>
      <x:c r="L35" s="415" t="n">
        <x:v>0.41465677179962895</x:v>
      </x:c>
      <x:c r="M35" s="407" t="str">
        <x:v>lightgbm_tuned_fixed_capacity_k10_r2</x:v>
      </x:c>
      <x:c r="N35" s="117" t="str">
        <x:v>缺車事件8,854筆，遠多於滿柱1,484筆。若只按全域機率排序，滿柱容易被缺車淹沒。軟保留是服務公平性的管理選擇，不是模型自動學出的真理。</x:v>
      </x:c>
      <x:c r="O35" s="118" t="str">
        <x:v>缺車事件8,854筆，遠多於滿柱1,484筆。若只按全域機率排序，滿柱容易被缺車淹沒。軟保留是服務公平性的管理選擇，不是模型自動學出的真理。</x:v>
      </x:c>
      <x:c r="P35" s="118" t="str">
        <x:v>缺車事件8,854筆，遠多於滿柱1,484筆。若只按全域機率排序，滿柱容易被缺車淹沒。軟保留是服務公平性的管理選擇，不是模型自動學出的真理。</x:v>
      </x:c>
      <x:c r="Q35" s="118" t="str">
        <x:v>缺車事件8,854筆，遠多於滿柱1,484筆。若只按全域機率排序，滿柱容易被缺車淹沒。軟保留是服務公平性的管理選擇，不是模型自動學出的真理。</x:v>
      </x:c>
      <x:c r="R35" s="118" t="str">
        <x:v>缺車事件8,854筆，遠多於滿柱1,484筆。若只按全域機率排序，滿柱容易被缺車淹沒。軟保留是服務公平性的管理選擇，不是模型自動學出的真理。</x:v>
      </x:c>
      <x:c r="S35" s="118" t="str">
        <x:v>缺車事件8,854筆，遠多於滿柱1,484筆。若只按全域機率排序，滿柱容易被缺車淹沒。軟保留是服務公平性的管理選擇，不是模型自動學出的真理。</x:v>
      </x:c>
      <x:c r="T35" s="118" t="str">
        <x:v>缺車事件8,854筆，遠多於滿柱1,484筆。若只按全域機率排序，滿柱容易被缺車淹沒。軟保留是服務公平性的管理選擇，不是模型自動學出的真理。</x:v>
      </x:c>
      <x:c r="U35" s="118" t="str">
        <x:v>缺車事件8,854筆，遠多於滿柱1,484筆。若只按全域機率排序，滿柱容易被缺車淹沒。軟保留是服務公平性的管理選擇，不是模型自動學出的真理。</x:v>
      </x:c>
      <x:c r="V35" s="118" t="str">
        <x:v>缺車事件8,854筆，遠多於滿柱1,484筆。若只按全域機率排序，滿柱容易被缺車淹沒。軟保留是服務公平性的管理選擇，不是模型自動學出的真理。</x:v>
      </x:c>
      <x:c r="W35" s="119" t="str">
        <x:v>缺車事件8,854筆，遠多於滿柱1,484筆。若只按全域機率排序，滿柱容易被缺車淹沒。軟保留是服務公平性的管理選擇，不是模型自動學出的真理。</x:v>
      </x:c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LightGBM 正式調參</x:v>
      </x:c>
      <x:c r="B36" s="407" t="str">
        <x:v>純容量排名</x:v>
      </x:c>
      <x:c r="C36" s="407" t="n">
        <x:v>10</x:v>
      </x:c>
      <x:c r="D36" s="407" t="str">
        <x:v>滿柱</x:v>
      </x:c>
      <x:c r="E36" s="407" t="n">
        <x:v>1484</x:v>
      </x:c>
      <x:c r="F36" s="407" t="n">
        <x:v>316</x:v>
      </x:c>
      <x:c r="G36" s="407" t="n">
        <x:v>94</x:v>
      </x:c>
      <x:c r="H36" s="415" t="n">
        <x:v>0.06334231805929919</x:v>
      </x:c>
      <x:c r="I36" s="415" t="n">
        <x:v>0.2974683544303797</x:v>
      </x:c>
      <x:c r="J36" s="407" t="n">
        <x:v>278</x:v>
      </x:c>
      <x:c r="K36" s="407" t="n">
        <x:v>94</x:v>
      </x:c>
      <x:c r="L36" s="415" t="n">
        <x:v>0.3381294964028777</x:v>
      </x:c>
      <x:c r="M36" s="407" t="str">
        <x:v>lightgbm_tuned_fixed_capacity_k10_r2</x:v>
      </x:c>
      <x:c r="N36" s="117" t="str">
        <x:v>缺車事件8,854筆，遠多於滿柱1,484筆。若只按全域機率排序，滿柱容易被缺車淹沒。軟保留是服務公平性的管理選擇，不是模型自動學出的真理。</x:v>
      </x:c>
      <x:c r="O36" s="118" t="str">
        <x:v>缺車事件8,854筆，遠多於滿柱1,484筆。若只按全域機率排序，滿柱容易被缺車淹沒。軟保留是服務公平性的管理選擇，不是模型自動學出的真理。</x:v>
      </x:c>
      <x:c r="P36" s="118" t="str">
        <x:v>缺車事件8,854筆，遠多於滿柱1,484筆。若只按全域機率排序，滿柱容易被缺車淹沒。軟保留是服務公平性的管理選擇，不是模型自動學出的真理。</x:v>
      </x:c>
      <x:c r="Q36" s="118" t="str">
        <x:v>缺車事件8,854筆，遠多於滿柱1,484筆。若只按全域機率排序，滿柱容易被缺車淹沒。軟保留是服務公平性的管理選擇，不是模型自動學出的真理。</x:v>
      </x:c>
      <x:c r="R36" s="118" t="str">
        <x:v>缺車事件8,854筆，遠多於滿柱1,484筆。若只按全域機率排序，滿柱容易被缺車淹沒。軟保留是服務公平性的管理選擇，不是模型自動學出的真理。</x:v>
      </x:c>
      <x:c r="S36" s="118" t="str">
        <x:v>缺車事件8,854筆，遠多於滿柱1,484筆。若只按全域機率排序，滿柱容易被缺車淹沒。軟保留是服務公平性的管理選擇，不是模型自動學出的真理。</x:v>
      </x:c>
      <x:c r="T36" s="118" t="str">
        <x:v>缺車事件8,854筆，遠多於滿柱1,484筆。若只按全域機率排序，滿柱容易被缺車淹沒。軟保留是服務公平性的管理選擇，不是模型自動學出的真理。</x:v>
      </x:c>
      <x:c r="U36" s="118" t="str">
        <x:v>缺車事件8,854筆，遠多於滿柱1,484筆。若只按全域機率排序，滿柱容易被缺車淹沒。軟保留是服務公平性的管理選擇，不是模型自動學出的真理。</x:v>
      </x:c>
      <x:c r="V36" s="118" t="str">
        <x:v>缺車事件8,854筆，遠多於滿柱1,484筆。若只按全域機率排序，滿柱容易被缺車淹沒。軟保留是服務公平性的管理選擇，不是模型自動學出的真理。</x:v>
      </x:c>
      <x:c r="W36" s="119" t="str">
        <x:v>缺車事件8,854筆，遠多於滿柱1,484筆。若只按全域機率排序，滿柱容易被缺車淹沒。軟保留是服務公平性的管理選擇，不是模型自動學出的真理。</x:v>
      </x:c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LightGBM 正式調參</x:v>
      </x:c>
      <x:c r="B37" s="407" t="str">
        <x:v>純容量排名</x:v>
      </x:c>
      <x:c r="C37" s="407" t="n">
        <x:v>15</x:v>
      </x:c>
      <x:c r="D37" s="407" t="str">
        <x:v>缺車</x:v>
      </x:c>
      <x:c r="E37" s="407" t="n">
        <x:v>8854</x:v>
      </x:c>
      <x:c r="F37" s="407" t="n">
        <x:v>1840</x:v>
      </x:c>
      <x:c r="G37" s="407" t="n">
        <x:v>655</x:v>
      </x:c>
      <x:c r="H37" s="415" t="n">
        <x:v>0.07397786311271741</x:v>
      </x:c>
      <x:c r="I37" s="415" t="n">
        <x:v>0.35597826086956524</x:v>
      </x:c>
      <x:c r="J37" s="407" t="n">
        <x:v>1582</x:v>
      </x:c>
      <x:c r="K37" s="407" t="n">
        <x:v>655</x:v>
      </x:c>
      <x:c r="L37" s="415" t="n">
        <x:v>0.4140328697850822</x:v>
      </x:c>
      <x:c r="M37" s="407" t="str">
        <x:v>lightgbm_tuned_fixed_capacity_k15_r3</x:v>
      </x:c>
      <x:c r="N37" s="117" t="str">
        <x:v>缺車事件8,854筆，遠多於滿柱1,484筆。若只按全域機率排序，滿柱容易被缺車淹沒。軟保留是服務公平性的管理選擇，不是模型自動學出的真理。</x:v>
      </x:c>
      <x:c r="O37" s="118" t="str">
        <x:v>缺車事件8,854筆，遠多於滿柱1,484筆。若只按全域機率排序，滿柱容易被缺車淹沒。軟保留是服務公平性的管理選擇，不是模型自動學出的真理。</x:v>
      </x:c>
      <x:c r="P37" s="118" t="str">
        <x:v>缺車事件8,854筆，遠多於滿柱1,484筆。若只按全域機率排序，滿柱容易被缺車淹沒。軟保留是服務公平性的管理選擇，不是模型自動學出的真理。</x:v>
      </x:c>
      <x:c r="Q37" s="118" t="str">
        <x:v>缺車事件8,854筆，遠多於滿柱1,484筆。若只按全域機率排序，滿柱容易被缺車淹沒。軟保留是服務公平性的管理選擇，不是模型自動學出的真理。</x:v>
      </x:c>
      <x:c r="R37" s="118" t="str">
        <x:v>缺車事件8,854筆，遠多於滿柱1,484筆。若只按全域機率排序，滿柱容易被缺車淹沒。軟保留是服務公平性的管理選擇，不是模型自動學出的真理。</x:v>
      </x:c>
      <x:c r="S37" s="118" t="str">
        <x:v>缺車事件8,854筆，遠多於滿柱1,484筆。若只按全域機率排序，滿柱容易被缺車淹沒。軟保留是服務公平性的管理選擇，不是模型自動學出的真理。</x:v>
      </x:c>
      <x:c r="T37" s="118" t="str">
        <x:v>缺車事件8,854筆，遠多於滿柱1,484筆。若只按全域機率排序，滿柱容易被缺車淹沒。軟保留是服務公平性的管理選擇，不是模型自動學出的真理。</x:v>
      </x:c>
      <x:c r="U37" s="118" t="str">
        <x:v>缺車事件8,854筆，遠多於滿柱1,484筆。若只按全域機率排序，滿柱容易被缺車淹沒。軟保留是服務公平性的管理選擇，不是模型自動學出的真理。</x:v>
      </x:c>
      <x:c r="V37" s="118" t="str">
        <x:v>缺車事件8,854筆，遠多於滿柱1,484筆。若只按全域機率排序，滿柱容易被缺車淹沒。軟保留是服務公平性的管理選擇，不是模型自動學出的真理。</x:v>
      </x:c>
      <x:c r="W37" s="119" t="str">
        <x:v>缺車事件8,854筆，遠多於滿柱1,484筆。若只按全域機率排序，滿柱容易被缺車淹沒。軟保留是服務公平性的管理選擇，不是模型自動學出的真理。</x:v>
      </x:c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LightGBM 正式調參</x:v>
      </x:c>
      <x:c r="B38" s="407" t="str">
        <x:v>純容量排名</x:v>
      </x:c>
      <x:c r="C38" s="407" t="n">
        <x:v>15</x:v>
      </x:c>
      <x:c r="D38" s="407" t="str">
        <x:v>滿柱</x:v>
      </x:c>
      <x:c r="E38" s="407" t="n">
        <x:v>1484</x:v>
      </x:c>
      <x:c r="F38" s="407" t="n">
        <x:v>470</x:v>
      </x:c>
      <x:c r="G38" s="407" t="n">
        <x:v>132</x:v>
      </x:c>
      <x:c r="H38" s="415" t="n">
        <x:v>0.0889487870619946</x:v>
      </x:c>
      <x:c r="I38" s="415" t="n">
        <x:v>0.28085106382978725</x:v>
      </x:c>
      <x:c r="J38" s="407" t="n">
        <x:v>399</x:v>
      </x:c>
      <x:c r="K38" s="407" t="n">
        <x:v>132</x:v>
      </x:c>
      <x:c r="L38" s="415" t="n">
        <x:v>0.3308270676691729</x:v>
      </x:c>
      <x:c r="M38" s="407" t="str">
        <x:v>lightgbm_tuned_fixed_capacity_k15_r3</x:v>
      </x:c>
      <x:c r="N38" s="120" t="str">
        <x:v>缺車事件8,854筆，遠多於滿柱1,484筆。若只按全域機率排序，滿柱容易被缺車淹沒。軟保留是服務公平性的管理選擇，不是模型自動學出的真理。</x:v>
      </x:c>
      <x:c r="O38" s="121" t="str">
        <x:v>缺車事件8,854筆，遠多於滿柱1,484筆。若只按全域機率排序，滿柱容易被缺車淹沒。軟保留是服務公平性的管理選擇，不是模型自動學出的真理。</x:v>
      </x:c>
      <x:c r="P38" s="121" t="str">
        <x:v>缺車事件8,854筆，遠多於滿柱1,484筆。若只按全域機率排序，滿柱容易被缺車淹沒。軟保留是服務公平性的管理選擇，不是模型自動學出的真理。</x:v>
      </x:c>
      <x:c r="Q38" s="121" t="str">
        <x:v>缺車事件8,854筆，遠多於滿柱1,484筆。若只按全域機率排序，滿柱容易被缺車淹沒。軟保留是服務公平性的管理選擇，不是模型自動學出的真理。</x:v>
      </x:c>
      <x:c r="R38" s="121" t="str">
        <x:v>缺車事件8,854筆，遠多於滿柱1,484筆。若只按全域機率排序，滿柱容易被缺車淹沒。軟保留是服務公平性的管理選擇，不是模型自動學出的真理。</x:v>
      </x:c>
      <x:c r="S38" s="121" t="str">
        <x:v>缺車事件8,854筆，遠多於滿柱1,484筆。若只按全域機率排序，滿柱容易被缺車淹沒。軟保留是服務公平性的管理選擇，不是模型自動學出的真理。</x:v>
      </x:c>
      <x:c r="T38" s="121" t="str">
        <x:v>缺車事件8,854筆，遠多於滿柱1,484筆。若只按全域機率排序，滿柱容易被缺車淹沒。軟保留是服務公平性的管理選擇，不是模型自動學出的真理。</x:v>
      </x:c>
      <x:c r="U38" s="121" t="str">
        <x:v>缺車事件8,854筆，遠多於滿柱1,484筆。若只按全域機率排序，滿柱容易被缺車淹沒。軟保留是服務公平性的管理選擇，不是模型自動學出的真理。</x:v>
      </x:c>
      <x:c r="V38" s="121" t="str">
        <x:v>缺車事件8,854筆，遠多於滿柱1,484筆。若只按全域機率排序，滿柱容易被缺車淹沒。軟保留是服務公平性的管理選擇，不是模型自動學出的真理。</x:v>
      </x:c>
      <x:c r="W38" s="122" t="str">
        <x:v>缺車事件8,854筆，遠多於滿柱1,484筆。若只按全域機率排序，滿柱容易被缺車淹沒。軟保留是服務公平性的管理選擇，不是模型自動學出的真理。</x:v>
      </x:c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LightGBM 正式調參</x:v>
      </x:c>
      <x:c r="B39" s="407" t="str">
        <x:v>純容量排名</x:v>
      </x:c>
      <x:c r="C39" s="407" t="n">
        <x:v>20</x:v>
      </x:c>
      <x:c r="D39" s="407" t="str">
        <x:v>缺車</x:v>
      </x:c>
      <x:c r="E39" s="407" t="n">
        <x:v>8854</x:v>
      </x:c>
      <x:c r="F39" s="407" t="n">
        <x:v>2453</x:v>
      </x:c>
      <x:c r="G39" s="407" t="n">
        <x:v>831</x:v>
      </x:c>
      <x:c r="H39" s="415" t="n">
        <x:v>0.09385588434605828</x:v>
      </x:c>
      <x:c r="I39" s="415" t="n">
        <x:v>0.33876885446392174</x:v>
      </x:c>
      <x:c r="J39" s="407" t="n">
        <x:v>2064</x:v>
      </x:c>
      <x:c r="K39" s="407" t="n">
        <x:v>831</x:v>
      </x:c>
      <x:c r="L39" s="415" t="n">
        <x:v>0.40261627906976744</x:v>
      </x:c>
      <x:c r="M39" s="407" t="str">
        <x:v>lightgbm_tuned_fixed_capacity_k20_r4</x:v>
      </x:c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LightGBM 正式調參</x:v>
      </x:c>
      <x:c r="B40" s="407" t="str">
        <x:v>純容量排名</x:v>
      </x:c>
      <x:c r="C40" s="407" t="n">
        <x:v>20</x:v>
      </x:c>
      <x:c r="D40" s="407" t="str">
        <x:v>滿柱</x:v>
      </x:c>
      <x:c r="E40" s="407" t="n">
        <x:v>1484</x:v>
      </x:c>
      <x:c r="F40" s="407" t="n">
        <x:v>627</x:v>
      </x:c>
      <x:c r="G40" s="407" t="n">
        <x:v>163</x:v>
      </x:c>
      <x:c r="H40" s="415" t="n">
        <x:v>0.10983827493261455</x:v>
      </x:c>
      <x:c r="I40" s="415" t="n">
        <x:v>0.25996810207336524</x:v>
      </x:c>
      <x:c r="J40" s="407" t="n">
        <x:v>526</x:v>
      </x:c>
      <x:c r="K40" s="407" t="n">
        <x:v>163</x:v>
      </x:c>
      <x:c r="L40" s="415" t="n">
        <x:v>0.30988593155893535</x:v>
      </x:c>
      <x:c r="M40" s="407" t="str">
        <x:v>lightgbm_tuned_fixed_capacity_k20_r4</x:v>
      </x:c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LightGBM 正式調參</x:v>
      </x:c>
      <x:c r="B41" s="407" t="str">
        <x:v>純容量排名</x:v>
      </x:c>
      <x:c r="C41" s="407" t="n">
        <x:v>25</x:v>
      </x:c>
      <x:c r="D41" s="407" t="str">
        <x:v>缺車</x:v>
      </x:c>
      <x:c r="E41" s="407" t="n">
        <x:v>8854</x:v>
      </x:c>
      <x:c r="F41" s="407" t="n">
        <x:v>3069</x:v>
      </x:c>
      <x:c r="G41" s="407" t="n">
        <x:v>1020</x:v>
      </x:c>
      <x:c r="H41" s="415" t="n">
        <x:v>0.11520216851140727</x:v>
      </x:c>
      <x:c r="I41" s="415" t="n">
        <x:v>0.33235581622678395</x:v>
      </x:c>
      <x:c r="J41" s="407" t="n">
        <x:v>2556</x:v>
      </x:c>
      <x:c r="K41" s="407" t="n">
        <x:v>1020</x:v>
      </x:c>
      <x:c r="L41" s="415" t="n">
        <x:v>0.39906103286384975</x:v>
      </x:c>
      <x:c r="M41" s="407" t="str">
        <x:v>lightgbm_tuned_fixed_capacity_k25_r5</x:v>
      </x:c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LightGBM 正式調參</x:v>
      </x:c>
      <x:c r="B42" s="407" t="str">
        <x:v>純容量排名</x:v>
      </x:c>
      <x:c r="C42" s="407" t="n">
        <x:v>25</x:v>
      </x:c>
      <x:c r="D42" s="407" t="str">
        <x:v>滿柱</x:v>
      </x:c>
      <x:c r="E42" s="407" t="n">
        <x:v>1484</x:v>
      </x:c>
      <x:c r="F42" s="407" t="n">
        <x:v>781</x:v>
      </x:c>
      <x:c r="G42" s="407" t="n">
        <x:v>190</x:v>
      </x:c>
      <x:c r="H42" s="415" t="n">
        <x:v>0.1280323450134771</x:v>
      </x:c>
      <x:c r="I42" s="415" t="n">
        <x:v>0.24327784891165172</x:v>
      </x:c>
      <x:c r="J42" s="407" t="n">
        <x:v>645</x:v>
      </x:c>
      <x:c r="K42" s="407" t="n">
        <x:v>190</x:v>
      </x:c>
      <x:c r="L42" s="415" t="n">
        <x:v>0.29457364341085274</x:v>
      </x:c>
      <x:c r="M42" s="407" t="str">
        <x:v>lightgbm_tuned_fixed_capacity_k25_r5</x:v>
      </x:c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LightGBM 正式調參</x:v>
      </x:c>
      <x:c r="B43" s="407" t="str">
        <x:v>可部署門檻+Top-K</x:v>
      </x:c>
      <x:c r="C43" s="407" t="n">
        <x:v>10</x:v>
      </x:c>
      <x:c r="D43" s="407" t="str">
        <x:v>缺車</x:v>
      </x:c>
      <x:c r="E43" s="407" t="n">
        <x:v>8854</x:v>
      </x:c>
      <x:c r="F43" s="407" t="n">
        <x:v>780</x:v>
      </x:c>
      <x:c r="G43" s="407" t="n">
        <x:v>331</x:v>
      </x:c>
      <x:c r="H43" s="415" t="n">
        <x:v>0.03738423311497628</x:v>
      </x:c>
      <x:c r="I43" s="415" t="n">
        <x:v>0.42435897435897435</x:v>
      </x:c>
      <x:c r="J43" s="407" t="n">
        <x:v>696</x:v>
      </x:c>
      <x:c r="K43" s="407" t="n">
        <x:v>331</x:v>
      </x:c>
      <x:c r="L43" s="415" t="n">
        <x:v>0.4755747126436782</x:v>
      </x:c>
      <x:c r="M43" s="407" t="str">
        <x:v>lightgbm_tuned_deployable_floors_k10_r2</x:v>
      </x:c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 t="str">
        <x:v>LightGBM 正式調參</x:v>
      </x:c>
      <x:c r="B44" s="407" t="str">
        <x:v>可部署門檻+Top-K</x:v>
      </x:c>
      <x:c r="C44" s="407" t="n">
        <x:v>10</x:v>
      </x:c>
      <x:c r="D44" s="407" t="str">
        <x:v>滿柱</x:v>
      </x:c>
      <x:c r="E44" s="407" t="n">
        <x:v>1484</x:v>
      </x:c>
      <x:c r="F44" s="407" t="n">
        <x:v>316</x:v>
      </x:c>
      <x:c r="G44" s="407" t="n">
        <x:v>97</x:v>
      </x:c>
      <x:c r="H44" s="415" t="n">
        <x:v>0.06536388140161725</x:v>
      </x:c>
      <x:c r="I44" s="415" t="n">
        <x:v>0.3069620253164557</x:v>
      </x:c>
      <x:c r="J44" s="407" t="n">
        <x:v>282</x:v>
      </x:c>
      <x:c r="K44" s="407" t="n">
        <x:v>97</x:v>
      </x:c>
      <x:c r="L44" s="415" t="n">
        <x:v>0.34397163120567376</x:v>
      </x:c>
      <x:c r="M44" s="407" t="str">
        <x:v>lightgbm_tuned_deployable_floors_k10_r2</x:v>
      </x:c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 t="str">
        <x:v>LightGBM 正式調參</x:v>
      </x:c>
      <x:c r="B45" s="407" t="str">
        <x:v>可部署門檻+Top-K</x:v>
      </x:c>
      <x:c r="C45" s="407" t="n">
        <x:v>15</x:v>
      </x:c>
      <x:c r="D45" s="407" t="str">
        <x:v>缺車</x:v>
      </x:c>
      <x:c r="E45" s="407" t="n">
        <x:v>8854</x:v>
      </x:c>
      <x:c r="F45" s="407" t="n">
        <x:v>1022</x:v>
      </x:c>
      <x:c r="G45" s="407" t="n">
        <x:v>440</x:v>
      </x:c>
      <x:c r="H45" s="415" t="n">
        <x:v>0.049695053083352154</x:v>
      </x:c>
      <x:c r="I45" s="415" t="n">
        <x:v>0.43052837573385516</x:v>
      </x:c>
      <x:c r="J45" s="407" t="n">
        <x:v>898</x:v>
      </x:c>
      <x:c r="K45" s="407" t="n">
        <x:v>440</x:v>
      </x:c>
      <x:c r="L45" s="415" t="n">
        <x:v>0.48997772828507796</x:v>
      </x:c>
      <x:c r="M45" s="407" t="str">
        <x:v>lightgbm_tuned_deployable_floors_k15_r3</x:v>
      </x:c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 t="str">
        <x:v>LightGBM 正式調參</x:v>
      </x:c>
      <x:c r="B46" s="407" t="str">
        <x:v>可部署門檻+Top-K</x:v>
      </x:c>
      <x:c r="C46" s="407" t="n">
        <x:v>15</x:v>
      </x:c>
      <x:c r="D46" s="407" t="str">
        <x:v>滿柱</x:v>
      </x:c>
      <x:c r="E46" s="407" t="n">
        <x:v>1484</x:v>
      </x:c>
      <x:c r="F46" s="407" t="n">
        <x:v>387</x:v>
      </x:c>
      <x:c r="G46" s="407" t="n">
        <x:v>121</x:v>
      </x:c>
      <x:c r="H46" s="415" t="n">
        <x:v>0.08153638814016173</x:v>
      </x:c>
      <x:c r="I46" s="415" t="n">
        <x:v>0.31266149870801035</x:v>
      </x:c>
      <x:c r="J46" s="407" t="n">
        <x:v>338</x:v>
      </x:c>
      <x:c r="K46" s="407" t="n">
        <x:v>121</x:v>
      </x:c>
      <x:c r="L46" s="415" t="n">
        <x:v>0.35798816568047337</x:v>
      </x:c>
      <x:c r="M46" s="407" t="str">
        <x:v>lightgbm_tuned_deployable_floors_k15_r3</x:v>
      </x:c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 t="str">
        <x:v>LightGBM 正式調參</x:v>
      </x:c>
      <x:c r="B47" s="407" t="str">
        <x:v>可部署門檻+Top-K</x:v>
      </x:c>
      <x:c r="C47" s="407" t="n">
        <x:v>20</x:v>
      </x:c>
      <x:c r="D47" s="407" t="str">
        <x:v>缺車</x:v>
      </x:c>
      <x:c r="E47" s="407" t="n">
        <x:v>8854</x:v>
      </x:c>
      <x:c r="F47" s="407" t="n">
        <x:v>1212</x:v>
      </x:c>
      <x:c r="G47" s="407" t="n">
        <x:v>520</x:v>
      </x:c>
      <x:c r="H47" s="415" t="n">
        <x:v>0.05873051728032528</x:v>
      </x:c>
      <x:c r="I47" s="415" t="n">
        <x:v>0.429042904290429</x:v>
      </x:c>
      <x:c r="J47" s="407" t="n">
        <x:v>1053</x:v>
      </x:c>
      <x:c r="K47" s="407" t="n">
        <x:v>520</x:v>
      </x:c>
      <x:c r="L47" s="415" t="n">
        <x:v>0.49382716049382713</x:v>
      </x:c>
      <x:c r="M47" s="407" t="str">
        <x:v>lightgbm_tuned_deployable_floors_k20_r4</x:v>
      </x:c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 t="str">
        <x:v>LightGBM 正式調參</x:v>
      </x:c>
      <x:c r="B48" s="407" t="str">
        <x:v>可部署門檻+Top-K</x:v>
      </x:c>
      <x:c r="C48" s="407" t="n">
        <x:v>20</x:v>
      </x:c>
      <x:c r="D48" s="407" t="str">
        <x:v>滿柱</x:v>
      </x:c>
      <x:c r="E48" s="407" t="n">
        <x:v>1484</x:v>
      </x:c>
      <x:c r="F48" s="407" t="n">
        <x:v>418</x:v>
      </x:c>
      <x:c r="G48" s="407" t="n">
        <x:v>134</x:v>
      </x:c>
      <x:c r="H48" s="415" t="n">
        <x:v>0.09029649595687332</x:v>
      </x:c>
      <x:c r="I48" s="415" t="n">
        <x:v>0.32057416267942584</x:v>
      </x:c>
      <x:c r="J48" s="407" t="n">
        <x:v>363</x:v>
      </x:c>
      <x:c r="K48" s="407" t="n">
        <x:v>134</x:v>
      </x:c>
      <x:c r="L48" s="415" t="n">
        <x:v>0.3691460055096419</x:v>
      </x:c>
      <x:c r="M48" s="407" t="str">
        <x:v>lightgbm_tuned_deployable_floors_k20_r4</x:v>
      </x:c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407" t="str">
        <x:v>LightGBM 正式調參</x:v>
      </x:c>
      <x:c r="B49" s="407" t="str">
        <x:v>可部署門檻+Top-K</x:v>
      </x:c>
      <x:c r="C49" s="407" t="n">
        <x:v>25</x:v>
      </x:c>
      <x:c r="D49" s="407" t="str">
        <x:v>缺車</x:v>
      </x:c>
      <x:c r="E49" s="407" t="n">
        <x:v>8854</x:v>
      </x:c>
      <x:c r="F49" s="407" t="n">
        <x:v>1370</x:v>
      </x:c>
      <x:c r="G49" s="407" t="n">
        <x:v>594</x:v>
      </x:c>
      <x:c r="H49" s="415" t="n">
        <x:v>0.06708832166252542</x:v>
      </x:c>
      <x:c r="I49" s="415" t="n">
        <x:v>0.4335766423357664</x:v>
      </x:c>
      <x:c r="J49" s="407" t="n">
        <x:v>1194</x:v>
      </x:c>
      <x:c r="K49" s="407" t="n">
        <x:v>594</x:v>
      </x:c>
      <x:c r="L49" s="415" t="n">
        <x:v>0.49748743718592964</x:v>
      </x:c>
      <x:c r="M49" s="407" t="str">
        <x:v>lightgbm_tuned_deployable_floors_k25_r5</x:v>
      </x:c>
      <x:c r="N49" s="407"/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 t="str">
        <x:v>LightGBM 正式調參</x:v>
      </x:c>
      <x:c r="B50" s="407" t="str">
        <x:v>可部署門檻+Top-K</x:v>
      </x:c>
      <x:c r="C50" s="407" t="n">
        <x:v>25</x:v>
      </x:c>
      <x:c r="D50" s="407" t="str">
        <x:v>滿柱</x:v>
      </x:c>
      <x:c r="E50" s="407" t="n">
        <x:v>1484</x:v>
      </x:c>
      <x:c r="F50" s="407" t="n">
        <x:v>428</x:v>
      </x:c>
      <x:c r="G50" s="407" t="n">
        <x:v>137</x:v>
      </x:c>
      <x:c r="H50" s="415" t="n">
        <x:v>0.09231805929919137</x:v>
      </x:c>
      <x:c r="I50" s="415" t="n">
        <x:v>0.32009345794392524</x:v>
      </x:c>
      <x:c r="J50" s="407" t="n">
        <x:v>370</x:v>
      </x:c>
      <x:c r="K50" s="407" t="n">
        <x:v>137</x:v>
      </x:c>
      <x:c r="L50" s="415" t="n">
        <x:v>0.37027027027027026</x:v>
      </x:c>
      <x:c r="M50" s="407" t="str">
        <x:v>lightgbm_tuned_deployable_floors_k25_r5</x:v>
      </x:c>
      <x:c r="N50" s="407"/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 t="str">
        <x:v>LightGBM 舊版</x:v>
      </x:c>
      <x:c r="B51" s="407" t="str">
        <x:v>純容量排名</x:v>
      </x:c>
      <x:c r="C51" s="407" t="n">
        <x:v>10</x:v>
      </x:c>
      <x:c r="D51" s="407" t="str">
        <x:v>缺車</x:v>
      </x:c>
      <x:c r="E51" s="407" t="n">
        <x:v>8854</x:v>
      </x:c>
      <x:c r="F51" s="407" t="n">
        <x:v>1223</x:v>
      </x:c>
      <x:c r="G51" s="407" t="n">
        <x:v>452</x:v>
      </x:c>
      <x:c r="H51" s="415" t="n">
        <x:v>0.051050372712898126</x:v>
      </x:c>
      <x:c r="I51" s="415" t="n">
        <x:v>0.3695829926410466</x:v>
      </x:c>
      <x:c r="J51" s="407" t="n">
        <x:v>1077</x:v>
      </x:c>
      <x:c r="K51" s="407" t="n">
        <x:v>452</x:v>
      </x:c>
      <x:c r="L51" s="415" t="n">
        <x:v>0.41968430826369546</x:v>
      </x:c>
      <x:c r="M51" s="407" t="str">
        <x:v>lightgbm_v1_fixed_capacity_k10_r2</x:v>
      </x:c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 t="str">
        <x:v>LightGBM 舊版</x:v>
      </x:c>
      <x:c r="B52" s="407" t="str">
        <x:v>純容量排名</x:v>
      </x:c>
      <x:c r="C52" s="407" t="n">
        <x:v>10</x:v>
      </x:c>
      <x:c r="D52" s="407" t="str">
        <x:v>滿柱</x:v>
      </x:c>
      <x:c r="E52" s="407" t="n">
        <x:v>1484</x:v>
      </x:c>
      <x:c r="F52" s="407" t="n">
        <x:v>317</x:v>
      </x:c>
      <x:c r="G52" s="407" t="n">
        <x:v>93</x:v>
      </x:c>
      <x:c r="H52" s="415" t="n">
        <x:v>0.06266846361185983</x:v>
      </x:c>
      <x:c r="I52" s="415" t="n">
        <x:v>0.29337539432176657</x:v>
      </x:c>
      <x:c r="J52" s="407" t="n">
        <x:v>275</x:v>
      </x:c>
      <x:c r="K52" s="407" t="n">
        <x:v>93</x:v>
      </x:c>
      <x:c r="L52" s="415" t="n">
        <x:v>0.3381818181818182</x:v>
      </x:c>
      <x:c r="M52" s="407" t="str">
        <x:v>lightgbm_v1_fixed_capacity_k10_r2</x:v>
      </x:c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 t="str">
        <x:v>LightGBM 舊版</x:v>
      </x:c>
      <x:c r="B53" s="407" t="str">
        <x:v>純容量排名</x:v>
      </x:c>
      <x:c r="C53" s="407" t="n">
        <x:v>15</x:v>
      </x:c>
      <x:c r="D53" s="407" t="str">
        <x:v>缺車</x:v>
      </x:c>
      <x:c r="E53" s="407" t="n">
        <x:v>8854</x:v>
      </x:c>
      <x:c r="F53" s="407" t="n">
        <x:v>1837</x:v>
      </x:c>
      <x:c r="G53" s="407" t="n">
        <x:v>640</x:v>
      </x:c>
      <x:c r="H53" s="415" t="n">
        <x:v>0.07228371357578496</x:v>
      </x:c>
      <x:c r="I53" s="415" t="n">
        <x:v>0.3483941208492107</x:v>
      </x:c>
      <x:c r="J53" s="407" t="n">
        <x:v>1560</x:v>
      </x:c>
      <x:c r="K53" s="407" t="n">
        <x:v>640</x:v>
      </x:c>
      <x:c r="L53" s="415" t="n">
        <x:v>0.41025641025641024</x:v>
      </x:c>
      <x:c r="M53" s="407" t="str">
        <x:v>lightgbm_v1_fixed_capacity_k15_r3</x:v>
      </x:c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 t="str">
        <x:v>LightGBM 舊版</x:v>
      </x:c>
      <x:c r="B54" s="407" t="str">
        <x:v>純容量排名</x:v>
      </x:c>
      <x:c r="C54" s="407" t="n">
        <x:v>15</x:v>
      </x:c>
      <x:c r="D54" s="407" t="str">
        <x:v>滿柱</x:v>
      </x:c>
      <x:c r="E54" s="407" t="n">
        <x:v>1484</x:v>
      </x:c>
      <x:c r="F54" s="407" t="n">
        <x:v>473</x:v>
      </x:c>
      <x:c r="G54" s="407" t="n">
        <x:v>123</x:v>
      </x:c>
      <x:c r="H54" s="415" t="n">
        <x:v>0.08288409703504043</x:v>
      </x:c>
      <x:c r="I54" s="415" t="n">
        <x:v>0.26004228329809725</x:v>
      </x:c>
      <x:c r="J54" s="407" t="n">
        <x:v>397</x:v>
      </x:c>
      <x:c r="K54" s="407" t="n">
        <x:v>123</x:v>
      </x:c>
      <x:c r="L54" s="415" t="n">
        <x:v>0.30982367758186397</x:v>
      </x:c>
      <x:c r="M54" s="407" t="str">
        <x:v>lightgbm_v1_fixed_capacity_k15_r3</x:v>
      </x:c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 t="str">
        <x:v>LightGBM 舊版</x:v>
      </x:c>
      <x:c r="B55" s="407" t="str">
        <x:v>純容量排名</x:v>
      </x:c>
      <x:c r="C55" s="407" t="n">
        <x:v>20</x:v>
      </x:c>
      <x:c r="D55" s="407" t="str">
        <x:v>缺車</x:v>
      </x:c>
      <x:c r="E55" s="407" t="n">
        <x:v>8854</x:v>
      </x:c>
      <x:c r="F55" s="407" t="n">
        <x:v>2454</x:v>
      </x:c>
      <x:c r="G55" s="407" t="n">
        <x:v>841</x:v>
      </x:c>
      <x:c r="H55" s="415" t="n">
        <x:v>0.09498531737067992</x:v>
      </x:c>
      <x:c r="I55" s="415" t="n">
        <x:v>0.34270578647106764</x:v>
      </x:c>
      <x:c r="J55" s="407" t="n">
        <x:v>2059</x:v>
      </x:c>
      <x:c r="K55" s="407" t="n">
        <x:v>841</x:v>
      </x:c>
      <x:c r="L55" s="415" t="n">
        <x:v>0.4084507042253521</x:v>
      </x:c>
      <x:c r="M55" s="407" t="str">
        <x:v>lightgbm_v1_fixed_capacity_k20_r4</x:v>
      </x:c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 t="str">
        <x:v>LightGBM 舊版</x:v>
      </x:c>
      <x:c r="B56" s="407" t="str">
        <x:v>純容量排名</x:v>
      </x:c>
      <x:c r="C56" s="407" t="n">
        <x:v>20</x:v>
      </x:c>
      <x:c r="D56" s="407" t="str">
        <x:v>滿柱</x:v>
      </x:c>
      <x:c r="E56" s="407" t="n">
        <x:v>1484</x:v>
      </x:c>
      <x:c r="F56" s="407" t="n">
        <x:v>626</x:v>
      </x:c>
      <x:c r="G56" s="407" t="n">
        <x:v>157</x:v>
      </x:c>
      <x:c r="H56" s="415" t="n">
        <x:v>0.10579514824797843</x:v>
      </x:c>
      <x:c r="I56" s="415" t="n">
        <x:v>0.2507987220447284</x:v>
      </x:c>
      <x:c r="J56" s="407" t="n">
        <x:v>511</x:v>
      </x:c>
      <x:c r="K56" s="407" t="n">
        <x:v>157</x:v>
      </x:c>
      <x:c r="L56" s="415" t="n">
        <x:v>0.30724070450097846</x:v>
      </x:c>
      <x:c r="M56" s="407" t="str">
        <x:v>lightgbm_v1_fixed_capacity_k20_r4</x:v>
      </x:c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 t="str">
        <x:v>LightGBM 舊版</x:v>
      </x:c>
      <x:c r="B57" s="407" t="str">
        <x:v>純容量排名</x:v>
      </x:c>
      <x:c r="C57" s="407" t="n">
        <x:v>25</x:v>
      </x:c>
      <x:c r="D57" s="407" t="str">
        <x:v>缺車</x:v>
      </x:c>
      <x:c r="E57" s="407" t="n">
        <x:v>8854</x:v>
      </x:c>
      <x:c r="F57" s="407" t="n">
        <x:v>3069</x:v>
      </x:c>
      <x:c r="G57" s="407" t="n">
        <x:v>1028</x:v>
      </x:c>
      <x:c r="H57" s="415" t="n">
        <x:v>0.11610571493110458</x:v>
      </x:c>
      <x:c r="I57" s="415" t="n">
        <x:v>0.3349625285109156</x:v>
      </x:c>
      <x:c r="J57" s="407" t="n">
        <x:v>2547</x:v>
      </x:c>
      <x:c r="K57" s="407" t="n">
        <x:v>1028</x:v>
      </x:c>
      <x:c r="L57" s="415" t="n">
        <x:v>0.40361209265802905</x:v>
      </x:c>
      <x:c r="M57" s="407" t="str">
        <x:v>lightgbm_v1_fixed_capacity_k25_r5</x:v>
      </x:c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 t="str">
        <x:v>LightGBM 舊版</x:v>
      </x:c>
      <x:c r="B58" s="407" t="str">
        <x:v>純容量排名</x:v>
      </x:c>
      <x:c r="C58" s="407" t="n">
        <x:v>25</x:v>
      </x:c>
      <x:c r="D58" s="407" t="str">
        <x:v>滿柱</x:v>
      </x:c>
      <x:c r="E58" s="407" t="n">
        <x:v>1484</x:v>
      </x:c>
      <x:c r="F58" s="407" t="n">
        <x:v>781</x:v>
      </x:c>
      <x:c r="G58" s="407" t="n">
        <x:v>184</x:v>
      </x:c>
      <x:c r="H58" s="415" t="n">
        <x:v>0.12398921832884097</x:v>
      </x:c>
      <x:c r="I58" s="415" t="n">
        <x:v>0.235595390524968</x:v>
      </x:c>
      <x:c r="J58" s="407" t="n">
        <x:v>632</x:v>
      </x:c>
      <x:c r="K58" s="407" t="n">
        <x:v>184</x:v>
      </x:c>
      <x:c r="L58" s="415" t="n">
        <x:v>0.2911392405063291</x:v>
      </x:c>
      <x:c r="M58" s="407" t="str">
        <x:v>lightgbm_v1_fixed_capacity_k25_r5</x:v>
      </x:c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 t="str">
        <x:v>LightGBM 舊版</x:v>
      </x:c>
      <x:c r="B59" s="407" t="str">
        <x:v>可部署門檻+Top-K</x:v>
      </x:c>
      <x:c r="C59" s="407" t="n">
        <x:v>10</x:v>
      </x:c>
      <x:c r="D59" s="407" t="str">
        <x:v>缺車</x:v>
      </x:c>
      <x:c r="E59" s="407" t="n">
        <x:v>8854</x:v>
      </x:c>
      <x:c r="F59" s="407" t="n">
        <x:v>804</x:v>
      </x:c>
      <x:c r="G59" s="407" t="n">
        <x:v>352</x:v>
      </x:c>
      <x:c r="H59" s="415" t="n">
        <x:v>0.039756042466681726</x:v>
      </x:c>
      <x:c r="I59" s="415" t="n">
        <x:v>0.43781094527363185</x:v>
      </x:c>
      <x:c r="J59" s="407" t="n">
        <x:v>717</x:v>
      </x:c>
      <x:c r="K59" s="407" t="n">
        <x:v>352</x:v>
      </x:c>
      <x:c r="L59" s="415" t="n">
        <x:v>0.4909344490934449</x:v>
      </x:c>
      <x:c r="M59" s="407" t="str">
        <x:v>lightgbm_v1_deployable_floors_k10_r2</x:v>
      </x:c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 t="str">
        <x:v>LightGBM 舊版</x:v>
      </x:c>
      <x:c r="B60" s="407" t="str">
        <x:v>可部署門檻+Top-K</x:v>
      </x:c>
      <x:c r="C60" s="407" t="n">
        <x:v>10</x:v>
      </x:c>
      <x:c r="D60" s="407" t="str">
        <x:v>滿柱</x:v>
      </x:c>
      <x:c r="E60" s="407" t="n">
        <x:v>1484</x:v>
      </x:c>
      <x:c r="F60" s="407" t="n">
        <x:v>332</x:v>
      </x:c>
      <x:c r="G60" s="407" t="n">
        <x:v>98</x:v>
      </x:c>
      <x:c r="H60" s="415" t="n">
        <x:v>0.0660377358490566</x:v>
      </x:c>
      <x:c r="I60" s="415" t="n">
        <x:v>0.29518072289156627</x:v>
      </x:c>
      <x:c r="J60" s="407" t="n">
        <x:v>288</x:v>
      </x:c>
      <x:c r="K60" s="407" t="n">
        <x:v>98</x:v>
      </x:c>
      <x:c r="L60" s="415" t="n">
        <x:v>0.3402777777777778</x:v>
      </x:c>
      <x:c r="M60" s="407" t="str">
        <x:v>lightgbm_v1_deployable_floors_k10_r2</x:v>
      </x:c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 t="str">
        <x:v>LightGBM 舊版</x:v>
      </x:c>
      <x:c r="B61" s="407" t="str">
        <x:v>可部署門檻+Top-K</x:v>
      </x:c>
      <x:c r="C61" s="407" t="n">
        <x:v>15</x:v>
      </x:c>
      <x:c r="D61" s="407" t="str">
        <x:v>缺車</x:v>
      </x:c>
      <x:c r="E61" s="407" t="n">
        <x:v>8854</x:v>
      </x:c>
      <x:c r="F61" s="407" t="n">
        <x:v>1039</x:v>
      </x:c>
      <x:c r="G61" s="407" t="n">
        <x:v>455</x:v>
      </x:c>
      <x:c r="H61" s="415" t="n">
        <x:v>0.05138920262028462</x:v>
      </x:c>
      <x:c r="I61" s="415" t="n">
        <x:v>0.4379210779595765</x:v>
      </x:c>
      <x:c r="J61" s="407" t="n">
        <x:v>914</x:v>
      </x:c>
      <x:c r="K61" s="407" t="n">
        <x:v>455</x:v>
      </x:c>
      <x:c r="L61" s="415" t="n">
        <x:v>0.49781181619256015</x:v>
      </x:c>
      <x:c r="M61" s="407" t="str">
        <x:v>lightgbm_v1_deployable_floors_k15_r3</x:v>
      </x:c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 t="str">
        <x:v>LightGBM 舊版</x:v>
      </x:c>
      <x:c r="B62" s="407" t="str">
        <x:v>可部署門檻+Top-K</x:v>
      </x:c>
      <x:c r="C62" s="407" t="n">
        <x:v>15</x:v>
      </x:c>
      <x:c r="D62" s="407" t="str">
        <x:v>滿柱</x:v>
      </x:c>
      <x:c r="E62" s="407" t="n">
        <x:v>1484</x:v>
      </x:c>
      <x:c r="F62" s="407" t="n">
        <x:v>417</x:v>
      </x:c>
      <x:c r="G62" s="407" t="n">
        <x:v>121</x:v>
      </x:c>
      <x:c r="H62" s="415" t="n">
        <x:v>0.08153638814016173</x:v>
      </x:c>
      <x:c r="I62" s="415" t="n">
        <x:v>0.290167865707434</x:v>
      </x:c>
      <x:c r="J62" s="407" t="n">
        <x:v>355</x:v>
      </x:c>
      <x:c r="K62" s="407" t="n">
        <x:v>121</x:v>
      </x:c>
      <x:c r="L62" s="415" t="n">
        <x:v>0.3408450704225352</x:v>
      </x:c>
      <x:c r="M62" s="407" t="str">
        <x:v>lightgbm_v1_deployable_floors_k15_r3</x:v>
      </x:c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 t="str">
        <x:v>LightGBM 舊版</x:v>
      </x:c>
      <x:c r="B63" s="407" t="str">
        <x:v>可部署門檻+Top-K</x:v>
      </x:c>
      <x:c r="C63" s="407" t="n">
        <x:v>20</x:v>
      </x:c>
      <x:c r="D63" s="407" t="str">
        <x:v>缺車</x:v>
      </x:c>
      <x:c r="E63" s="407" t="n">
        <x:v>8854</x:v>
      </x:c>
      <x:c r="F63" s="407" t="n">
        <x:v>1224</x:v>
      </x:c>
      <x:c r="G63" s="407" t="n">
        <x:v>537</x:v>
      </x:c>
      <x:c r="H63" s="415" t="n">
        <x:v>0.06065055342218206</x:v>
      </x:c>
      <x:c r="I63" s="415" t="n">
        <x:v>0.4387254901960784</x:v>
      </x:c>
      <x:c r="J63" s="407" t="n">
        <x:v>1073</x:v>
      </x:c>
      <x:c r="K63" s="407" t="n">
        <x:v>537</x:v>
      </x:c>
      <x:c r="L63" s="415" t="n">
        <x:v>0.5004659832246039</x:v>
      </x:c>
      <x:c r="M63" s="407" t="str">
        <x:v>lightgbm_v1_deployable_floors_k20_r4</x:v>
      </x:c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 t="str">
        <x:v>LightGBM 舊版</x:v>
      </x:c>
      <x:c r="B64" s="407" t="str">
        <x:v>可部署門檻+Top-K</x:v>
      </x:c>
      <x:c r="C64" s="407" t="n">
        <x:v>20</x:v>
      </x:c>
      <x:c r="D64" s="407" t="str">
        <x:v>滿柱</x:v>
      </x:c>
      <x:c r="E64" s="407" t="n">
        <x:v>1484</x:v>
      </x:c>
      <x:c r="F64" s="407" t="n">
        <x:v>460</x:v>
      </x:c>
      <x:c r="G64" s="407" t="n">
        <x:v>139</x:v>
      </x:c>
      <x:c r="H64" s="415" t="n">
        <x:v>0.09366576819407008</x:v>
      </x:c>
      <x:c r="I64" s="415" t="n">
        <x:v>0.30217391304347824</x:v>
      </x:c>
      <x:c r="J64" s="407" t="n">
        <x:v>385</x:v>
      </x:c>
      <x:c r="K64" s="407" t="n">
        <x:v>139</x:v>
      </x:c>
      <x:c r="L64" s="415" t="n">
        <x:v>0.36103896103896105</x:v>
      </x:c>
      <x:c r="M64" s="407" t="str">
        <x:v>lightgbm_v1_deployable_floors_k20_r4</x:v>
      </x:c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 t="str">
        <x:v>LightGBM 舊版</x:v>
      </x:c>
      <x:c r="B65" s="407" t="str">
        <x:v>可部署門檻+Top-K</x:v>
      </x:c>
      <x:c r="C65" s="407" t="n">
        <x:v>25</x:v>
      </x:c>
      <x:c r="D65" s="407" t="str">
        <x:v>缺車</x:v>
      </x:c>
      <x:c r="E65" s="407" t="n">
        <x:v>8854</x:v>
      </x:c>
      <x:c r="F65" s="407" t="n">
        <x:v>1381</x:v>
      </x:c>
      <x:c r="G65" s="407" t="n">
        <x:v>606</x:v>
      </x:c>
      <x:c r="H65" s="415" t="n">
        <x:v>0.06844364129207138</x:v>
      </x:c>
      <x:c r="I65" s="415" t="n">
        <x:v>0.4388124547429399</x:v>
      </x:c>
      <x:c r="J65" s="407" t="n">
        <x:v>1201</x:v>
      </x:c>
      <x:c r="K65" s="407" t="n">
        <x:v>606</x:v>
      </x:c>
      <x:c r="L65" s="415" t="n">
        <x:v>0.5045795170691091</x:v>
      </x:c>
      <x:c r="M65" s="407" t="str">
        <x:v>lightgbm_v1_deployable_floors_k25_r5</x:v>
      </x:c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 t="str">
        <x:v>LightGBM 舊版</x:v>
      </x:c>
      <x:c r="B66" s="407" t="str">
        <x:v>可部署門檻+Top-K</x:v>
      </x:c>
      <x:c r="C66" s="407" t="n">
        <x:v>25</x:v>
      </x:c>
      <x:c r="D66" s="407" t="str">
        <x:v>滿柱</x:v>
      </x:c>
      <x:c r="E66" s="407" t="n">
        <x:v>1484</x:v>
      </x:c>
      <x:c r="F66" s="407" t="n">
        <x:v>475</x:v>
      </x:c>
      <x:c r="G66" s="407" t="n">
        <x:v>145</x:v>
      </x:c>
      <x:c r="H66" s="415" t="n">
        <x:v>0.0977088948787062</x:v>
      </x:c>
      <x:c r="I66" s="415" t="n">
        <x:v>0.30526315789473685</x:v>
      </x:c>
      <x:c r="J66" s="407" t="n">
        <x:v>395</x:v>
      </x:c>
      <x:c r="K66" s="407" t="n">
        <x:v>145</x:v>
      </x:c>
      <x:c r="L66" s="415" t="n">
        <x:v>0.3670886075949367</x:v>
      </x:c>
      <x:c r="M66" s="407" t="str">
        <x:v>lightgbm_v1_deployable_floors_k25_r5</x:v>
      </x:c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 t="str">
        <x:v>線性外推</x:v>
      </x:c>
      <x:c r="B67" s="407" t="str">
        <x:v>純容量排名</x:v>
      </x:c>
      <x:c r="C67" s="407" t="n">
        <x:v>10</x:v>
      </x:c>
      <x:c r="D67" s="407" t="str">
        <x:v>缺車</x:v>
      </x:c>
      <x:c r="E67" s="407" t="n">
        <x:v>8854</x:v>
      </x:c>
      <x:c r="F67" s="407" t="n">
        <x:v>1188</x:v>
      </x:c>
      <x:c r="G67" s="407" t="n">
        <x:v>180</x:v>
      </x:c>
      <x:c r="H67" s="415" t="n">
        <x:v>0.020329794443189518</x:v>
      </x:c>
      <x:c r="I67" s="415" t="n">
        <x:v>0.15151515151515152</x:v>
      </x:c>
      <x:c r="J67" s="407" t="n">
        <x:v>1188</x:v>
      </x:c>
      <x:c r="K67" s="407" t="n">
        <x:v>180</x:v>
      </x:c>
      <x:c r="L67" s="415" t="n">
        <x:v>0.15151515151515152</x:v>
      </x:c>
      <x:c r="M67" s="407" t="str">
        <x:v>linear_extrapolation_fixed_capacity_k10_r2</x:v>
      </x:c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 t="str">
        <x:v>線性外推</x:v>
      </x:c>
      <x:c r="B68" s="407" t="str">
        <x:v>純容量排名</x:v>
      </x:c>
      <x:c r="C68" s="407" t="n">
        <x:v>10</x:v>
      </x:c>
      <x:c r="D68" s="407" t="str">
        <x:v>滿柱</x:v>
      </x:c>
      <x:c r="E68" s="407" t="n">
        <x:v>1484</x:v>
      </x:c>
      <x:c r="F68" s="407" t="n">
        <x:v>352</x:v>
      </x:c>
      <x:c r="G68" s="407" t="n">
        <x:v>21</x:v>
      </x:c>
      <x:c r="H68" s="415" t="n">
        <x:v>0.014150943396226415</x:v>
      </x:c>
      <x:c r="I68" s="415" t="n">
        <x:v>0.05965909090909091</x:v>
      </x:c>
      <x:c r="J68" s="407" t="n">
        <x:v>352</x:v>
      </x:c>
      <x:c r="K68" s="407" t="n">
        <x:v>21</x:v>
      </x:c>
      <x:c r="L68" s="415" t="n">
        <x:v>0.05965909090909091</x:v>
      </x:c>
      <x:c r="M68" s="407" t="str">
        <x:v>linear_extrapolation_fixed_capacity_k10_r2</x:v>
      </x:c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 t="str">
        <x:v>線性外推</x:v>
      </x:c>
      <x:c r="B69" s="407" t="str">
        <x:v>純容量排名</x:v>
      </x:c>
      <x:c r="C69" s="407" t="n">
        <x:v>15</x:v>
      </x:c>
      <x:c r="D69" s="407" t="str">
        <x:v>缺車</x:v>
      </x:c>
      <x:c r="E69" s="407" t="n">
        <x:v>8854</x:v>
      </x:c>
      <x:c r="F69" s="407" t="n">
        <x:v>1798</x:v>
      </x:c>
      <x:c r="G69" s="407" t="n">
        <x:v>267</x:v>
      </x:c>
      <x:c r="H69" s="415" t="n">
        <x:v>0.030155861757397786</x:v>
      </x:c>
      <x:c r="I69" s="415" t="n">
        <x:v>0.14849833147942157</x:v>
      </x:c>
      <x:c r="J69" s="407" t="n">
        <x:v>1798</x:v>
      </x:c>
      <x:c r="K69" s="407" t="n">
        <x:v>267</x:v>
      </x:c>
      <x:c r="L69" s="415" t="n">
        <x:v>0.14849833147942157</x:v>
      </x:c>
      <x:c r="M69" s="407" t="str">
        <x:v>linear_extrapolation_fixed_capacity_k15_r3</x:v>
      </x:c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 t="str">
        <x:v>線性外推</x:v>
      </x:c>
      <x:c r="B70" s="407" t="str">
        <x:v>純容量排名</x:v>
      </x:c>
      <x:c r="C70" s="407" t="n">
        <x:v>15</x:v>
      </x:c>
      <x:c r="D70" s="407" t="str">
        <x:v>滿柱</x:v>
      </x:c>
      <x:c r="E70" s="407" t="n">
        <x:v>1484</x:v>
      </x:c>
      <x:c r="F70" s="407" t="n">
        <x:v>512</x:v>
      </x:c>
      <x:c r="G70" s="407" t="n">
        <x:v>34</x:v>
      </x:c>
      <x:c r="H70" s="415" t="n">
        <x:v>0.022911051212938006</x:v>
      </x:c>
      <x:c r="I70" s="415" t="n">
        <x:v>0.06640625</x:v>
      </x:c>
      <x:c r="J70" s="407" t="n">
        <x:v>512</x:v>
      </x:c>
      <x:c r="K70" s="407" t="n">
        <x:v>34</x:v>
      </x:c>
      <x:c r="L70" s="415" t="n">
        <x:v>0.06640625</x:v>
      </x:c>
      <x:c r="M70" s="407" t="str">
        <x:v>linear_extrapolation_fixed_capacity_k15_r3</x:v>
      </x:c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 t="str">
        <x:v>線性外推</x:v>
      </x:c>
      <x:c r="B71" s="407" t="str">
        <x:v>純容量排名</x:v>
      </x:c>
      <x:c r="C71" s="407" t="n">
        <x:v>20</x:v>
      </x:c>
      <x:c r="D71" s="407" t="str">
        <x:v>缺車</x:v>
      </x:c>
      <x:c r="E71" s="407" t="n">
        <x:v>8854</x:v>
      </x:c>
      <x:c r="F71" s="407" t="n">
        <x:v>2414</x:v>
      </x:c>
      <x:c r="G71" s="407" t="n">
        <x:v>377</x:v>
      </x:c>
      <x:c r="H71" s="415" t="n">
        <x:v>0.042579625028235826</x:v>
      </x:c>
      <x:c r="I71" s="415" t="n">
        <x:v>0.15617232808616405</x:v>
      </x:c>
      <x:c r="J71" s="407" t="n">
        <x:v>2410</x:v>
      </x:c>
      <x:c r="K71" s="407" t="n">
        <x:v>377</x:v>
      </x:c>
      <x:c r="L71" s="415" t="n">
        <x:v>0.15643153526970954</x:v>
      </x:c>
      <x:c r="M71" s="407" t="str">
        <x:v>linear_extrapolation_fixed_capacity_k20_r4</x:v>
      </x:c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 t="str">
        <x:v>線性外推</x:v>
      </x:c>
      <x:c r="B72" s="407" t="str">
        <x:v>純容量排名</x:v>
      </x:c>
      <x:c r="C72" s="407" t="n">
        <x:v>20</x:v>
      </x:c>
      <x:c r="D72" s="407" t="str">
        <x:v>滿柱</x:v>
      </x:c>
      <x:c r="E72" s="407" t="n">
        <x:v>1484</x:v>
      </x:c>
      <x:c r="F72" s="407" t="n">
        <x:v>666</x:v>
      </x:c>
      <x:c r="G72" s="407" t="n">
        <x:v>41</x:v>
      </x:c>
      <x:c r="H72" s="415" t="n">
        <x:v>0.027628032345013476</x:v>
      </x:c>
      <x:c r="I72" s="415" t="n">
        <x:v>0.06156156156156156</x:v>
      </x:c>
      <x:c r="J72" s="407" t="n">
        <x:v>666</x:v>
      </x:c>
      <x:c r="K72" s="407" t="n">
        <x:v>41</x:v>
      </x:c>
      <x:c r="L72" s="415" t="n">
        <x:v>0.06156156156156156</x:v>
      </x:c>
      <x:c r="M72" s="407" t="str">
        <x:v>linear_extrapolation_fixed_capacity_k20_r4</x:v>
      </x:c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 t="str">
        <x:v>線性外推</x:v>
      </x:c>
      <x:c r="B73" s="407" t="str">
        <x:v>純容量排名</x:v>
      </x:c>
      <x:c r="C73" s="407" t="n">
        <x:v>25</x:v>
      </x:c>
      <x:c r="D73" s="407" t="str">
        <x:v>缺車</x:v>
      </x:c>
      <x:c r="E73" s="407" t="n">
        <x:v>8854</x:v>
      </x:c>
      <x:c r="F73" s="407" t="n">
        <x:v>3044</x:v>
      </x:c>
      <x:c r="G73" s="407" t="n">
        <x:v>481</x:v>
      </x:c>
      <x:c r="H73" s="415" t="n">
        <x:v>0.05432572848430088</x:v>
      </x:c>
      <x:c r="I73" s="415" t="n">
        <x:v>0.15801576872536136</x:v>
      </x:c>
      <x:c r="J73" s="407" t="n">
        <x:v>3035</x:v>
      </x:c>
      <x:c r="K73" s="407" t="n">
        <x:v>481</x:v>
      </x:c>
      <x:c r="L73" s="415" t="n">
        <x:v>0.1584843492586491</x:v>
      </x:c>
      <x:c r="M73" s="407" t="str">
        <x:v>linear_extrapolation_fixed_capacity_k25_r5</x:v>
      </x:c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 t="str">
        <x:v>線性外推</x:v>
      </x:c>
      <x:c r="B74" s="407" t="str">
        <x:v>純容量排名</x:v>
      </x:c>
      <x:c r="C74" s="407" t="n">
        <x:v>25</x:v>
      </x:c>
      <x:c r="D74" s="407" t="str">
        <x:v>滿柱</x:v>
      </x:c>
      <x:c r="E74" s="407" t="n">
        <x:v>1484</x:v>
      </x:c>
      <x:c r="F74" s="407" t="n">
        <x:v>806</x:v>
      </x:c>
      <x:c r="G74" s="407" t="n">
        <x:v>49</x:v>
      </x:c>
      <x:c r="H74" s="415" t="n">
        <x:v>0.0330188679245283</x:v>
      </x:c>
      <x:c r="I74" s="415" t="n">
        <x:v>0.060794044665012405</x:v>
      </x:c>
      <x:c r="J74" s="407" t="n">
        <x:v>806</x:v>
      </x:c>
      <x:c r="K74" s="407" t="n">
        <x:v>49</x:v>
      </x:c>
      <x:c r="L74" s="415" t="n">
        <x:v>0.060794044665012405</x:v>
      </x:c>
      <x:c r="M74" s="407" t="str">
        <x:v>linear_extrapolation_fixed_capacity_k25_r5</x:v>
      </x:c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 t="str">
        <x:v>線性外推</x:v>
      </x:c>
      <x:c r="B75" s="407" t="str">
        <x:v>可部署門檻+Top-K</x:v>
      </x:c>
      <x:c r="C75" s="407" t="n">
        <x:v>10</x:v>
      </x:c>
      <x:c r="D75" s="407" t="str">
        <x:v>缺車</x:v>
      </x:c>
      <x:c r="E75" s="407" t="n">
        <x:v>8854</x:v>
      </x:c>
      <x:c r="F75" s="407" t="n">
        <x:v>565</x:v>
      </x:c>
      <x:c r="G75" s="407" t="n">
        <x:v>76</x:v>
      </x:c>
      <x:c r="H75" s="415" t="n">
        <x:v>0.008583690987124463</x:v>
      </x:c>
      <x:c r="I75" s="415" t="n">
        <x:v>0.13451327433628318</x:v>
      </x:c>
      <x:c r="J75" s="407" t="n">
        <x:v>565</x:v>
      </x:c>
      <x:c r="K75" s="407" t="n">
        <x:v>76</x:v>
      </x:c>
      <x:c r="L75" s="415" t="n">
        <x:v>0.13451327433628318</x:v>
      </x:c>
      <x:c r="M75" s="407" t="str">
        <x:v>linear_extrapolation_deployable_floors_k10_r2</x:v>
      </x:c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 t="str">
        <x:v>線性外推</x:v>
      </x:c>
      <x:c r="B76" s="407" t="str">
        <x:v>可部署門檻+Top-K</x:v>
      </x:c>
      <x:c r="C76" s="407" t="n">
        <x:v>10</x:v>
      </x:c>
      <x:c r="D76" s="407" t="str">
        <x:v>滿柱</x:v>
      </x:c>
      <x:c r="E76" s="407" t="n">
        <x:v>1484</x:v>
      </x:c>
      <x:c r="F76" s="407" t="n">
        <x:v>200</x:v>
      </x:c>
      <x:c r="G76" s="407" t="n">
        <x:v>14</x:v>
      </x:c>
      <x:c r="H76" s="415" t="n">
        <x:v>0.009433962264150943</x:v>
      </x:c>
      <x:c r="I76" s="415" t="n">
        <x:v>0.07</x:v>
      </x:c>
      <x:c r="J76" s="407" t="n">
        <x:v>200</x:v>
      </x:c>
      <x:c r="K76" s="407" t="n">
        <x:v>14</x:v>
      </x:c>
      <x:c r="L76" s="415" t="n">
        <x:v>0.07</x:v>
      </x:c>
      <x:c r="M76" s="407" t="str">
        <x:v>linear_extrapolation_deployable_floors_k10_r2</x:v>
      </x:c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 t="str">
        <x:v>線性外推</x:v>
      </x:c>
      <x:c r="B77" s="407" t="str">
        <x:v>可部署門檻+Top-K</x:v>
      </x:c>
      <x:c r="C77" s="407" t="n">
        <x:v>15</x:v>
      </x:c>
      <x:c r="D77" s="407" t="str">
        <x:v>缺車</x:v>
      </x:c>
      <x:c r="E77" s="407" t="n">
        <x:v>8854</x:v>
      </x:c>
      <x:c r="F77" s="407" t="n">
        <x:v>644</x:v>
      </x:c>
      <x:c r="G77" s="407" t="n">
        <x:v>86</x:v>
      </x:c>
      <x:c r="H77" s="415" t="n">
        <x:v>0.009713124011746104</x:v>
      </x:c>
      <x:c r="I77" s="415" t="n">
        <x:v>0.13354037267080746</x:v>
      </x:c>
      <x:c r="J77" s="407" t="n">
        <x:v>644</x:v>
      </x:c>
      <x:c r="K77" s="407" t="n">
        <x:v>86</x:v>
      </x:c>
      <x:c r="L77" s="415" t="n">
        <x:v>0.13354037267080746</x:v>
      </x:c>
      <x:c r="M77" s="407" t="str">
        <x:v>linear_extrapolation_deployable_floors_k15_r3</x:v>
      </x:c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 t="str">
        <x:v>線性外推</x:v>
      </x:c>
      <x:c r="B78" s="407" t="str">
        <x:v>可部署門檻+Top-K</x:v>
      </x:c>
      <x:c r="C78" s="407" t="n">
        <x:v>15</x:v>
      </x:c>
      <x:c r="D78" s="407" t="str">
        <x:v>滿柱</x:v>
      </x:c>
      <x:c r="E78" s="407" t="n">
        <x:v>1484</x:v>
      </x:c>
      <x:c r="F78" s="407" t="n">
        <x:v>214</x:v>
      </x:c>
      <x:c r="G78" s="407" t="n">
        <x:v>15</x:v>
      </x:c>
      <x:c r="H78" s="415" t="n">
        <x:v>0.010107816711590296</x:v>
      </x:c>
      <x:c r="I78" s="415" t="n">
        <x:v>0.07009345794392523</x:v>
      </x:c>
      <x:c r="J78" s="407" t="n">
        <x:v>214</x:v>
      </x:c>
      <x:c r="K78" s="407" t="n">
        <x:v>15</x:v>
      </x:c>
      <x:c r="L78" s="415" t="n">
        <x:v>0.07009345794392523</x:v>
      </x:c>
      <x:c r="M78" s="407" t="str">
        <x:v>linear_extrapolation_deployable_floors_k15_r3</x:v>
      </x:c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 t="str">
        <x:v>線性外推</x:v>
      </x:c>
      <x:c r="B79" s="407" t="str">
        <x:v>可部署門檻+Top-K</x:v>
      </x:c>
      <x:c r="C79" s="407" t="n">
        <x:v>20</x:v>
      </x:c>
      <x:c r="D79" s="407" t="str">
        <x:v>缺車</x:v>
      </x:c>
      <x:c r="E79" s="407" t="n">
        <x:v>8854</x:v>
      </x:c>
      <x:c r="F79" s="407" t="n">
        <x:v>660</x:v>
      </x:c>
      <x:c r="G79" s="407" t="n">
        <x:v>89</x:v>
      </x:c>
      <x:c r="H79" s="415" t="n">
        <x:v>0.010051953919132595</x:v>
      </x:c>
      <x:c r="I79" s="415" t="n">
        <x:v>0.13484848484848486</x:v>
      </x:c>
      <x:c r="J79" s="407" t="n">
        <x:v>660</x:v>
      </x:c>
      <x:c r="K79" s="407" t="n">
        <x:v>89</x:v>
      </x:c>
      <x:c r="L79" s="415" t="n">
        <x:v>0.13484848484848486</x:v>
      </x:c>
      <x:c r="M79" s="407" t="str">
        <x:v>linear_extrapolation_deployable_floors_k20_r4</x:v>
      </x:c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 t="str">
        <x:v>線性外推</x:v>
      </x:c>
      <x:c r="B80" s="407" t="str">
        <x:v>可部署門檻+Top-K</x:v>
      </x:c>
      <x:c r="C80" s="407" t="n">
        <x:v>20</x:v>
      </x:c>
      <x:c r="D80" s="407" t="str">
        <x:v>滿柱</x:v>
      </x:c>
      <x:c r="E80" s="407" t="n">
        <x:v>1484</x:v>
      </x:c>
      <x:c r="F80" s="407" t="n">
        <x:v>216</x:v>
      </x:c>
      <x:c r="G80" s="407" t="n">
        <x:v>16</x:v>
      </x:c>
      <x:c r="H80" s="415" t="n">
        <x:v>0.01078167115902965</x:v>
      </x:c>
      <x:c r="I80" s="415" t="n">
        <x:v>0.07407407407407407</x:v>
      </x:c>
      <x:c r="J80" s="407" t="n">
        <x:v>216</x:v>
      </x:c>
      <x:c r="K80" s="407" t="n">
        <x:v>16</x:v>
      </x:c>
      <x:c r="L80" s="415" t="n">
        <x:v>0.07407407407407407</x:v>
      </x:c>
      <x:c r="M80" s="407" t="str">
        <x:v>linear_extrapolation_deployable_floors_k20_r4</x:v>
      </x:c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 t="str">
        <x:v>線性外推</x:v>
      </x:c>
      <x:c r="B81" s="407" t="str">
        <x:v>可部署門檻+Top-K</x:v>
      </x:c>
      <x:c r="C81" s="407" t="n">
        <x:v>25</x:v>
      </x:c>
      <x:c r="D81" s="407" t="str">
        <x:v>缺車</x:v>
      </x:c>
      <x:c r="E81" s="407" t="n">
        <x:v>8854</x:v>
      </x:c>
      <x:c r="F81" s="407" t="n">
        <x:v>660</x:v>
      </x:c>
      <x:c r="G81" s="407" t="n">
        <x:v>89</x:v>
      </x:c>
      <x:c r="H81" s="415" t="n">
        <x:v>0.010051953919132595</x:v>
      </x:c>
      <x:c r="I81" s="415" t="n">
        <x:v>0.13484848484848486</x:v>
      </x:c>
      <x:c r="J81" s="407" t="n">
        <x:v>660</x:v>
      </x:c>
      <x:c r="K81" s="407" t="n">
        <x:v>89</x:v>
      </x:c>
      <x:c r="L81" s="415" t="n">
        <x:v>0.13484848484848486</x:v>
      </x:c>
      <x:c r="M81" s="407" t="str">
        <x:v>linear_extrapolation_deployable_floors_k25_r5</x:v>
      </x:c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 t="str">
        <x:v>線性外推</x:v>
      </x:c>
      <x:c r="B82" s="407" t="str">
        <x:v>可部署門檻+Top-K</x:v>
      </x:c>
      <x:c r="C82" s="407" t="n">
        <x:v>25</x:v>
      </x:c>
      <x:c r="D82" s="407" t="str">
        <x:v>滿柱</x:v>
      </x:c>
      <x:c r="E82" s="407" t="n">
        <x:v>1484</x:v>
      </x:c>
      <x:c r="F82" s="407" t="n">
        <x:v>216</x:v>
      </x:c>
      <x:c r="G82" s="407" t="n">
        <x:v>16</x:v>
      </x:c>
      <x:c r="H82" s="415" t="n">
        <x:v>0.01078167115902965</x:v>
      </x:c>
      <x:c r="I82" s="415" t="n">
        <x:v>0.07407407407407407</x:v>
      </x:c>
      <x:c r="J82" s="407" t="n">
        <x:v>216</x:v>
      </x:c>
      <x:c r="K82" s="407" t="n">
        <x:v>16</x:v>
      </x:c>
      <x:c r="L82" s="415" t="n">
        <x:v>0.07407407407407407</x:v>
      </x:c>
      <x:c r="M82" s="407" t="str">
        <x:v>linear_extrapolation_deployable_floors_k25_r5</x:v>
      </x:c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 t="str">
        <x:v>Logistic</x:v>
      </x:c>
      <x:c r="B83" s="407" t="str">
        <x:v>純容量排名</x:v>
      </x:c>
      <x:c r="C83" s="407" t="n">
        <x:v>10</x:v>
      </x:c>
      <x:c r="D83" s="407" t="str">
        <x:v>缺車</x:v>
      </x:c>
      <x:c r="E83" s="407" t="n">
        <x:v>8854</x:v>
      </x:c>
      <x:c r="F83" s="407" t="n">
        <x:v>1232</x:v>
      </x:c>
      <x:c r="G83" s="407" t="n">
        <x:v>287</x:v>
      </x:c>
      <x:c r="H83" s="415" t="n">
        <x:v>0.032414727806641064</x:v>
      </x:c>
      <x:c r="I83" s="415" t="n">
        <x:v>0.23295454545454544</x:v>
      </x:c>
      <x:c r="J83" s="407" t="n">
        <x:v>1102</x:v>
      </x:c>
      <x:c r="K83" s="407" t="n">
        <x:v>287</x:v>
      </x:c>
      <x:c r="L83" s="415" t="n">
        <x:v>0.2604355716878403</x:v>
      </x:c>
      <x:c r="M83" s="407" t="str">
        <x:v>logistic_fixed_capacity_k10_r2</x:v>
      </x:c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 t="str">
        <x:v>Logistic</x:v>
      </x:c>
      <x:c r="B84" s="407" t="str">
        <x:v>純容量排名</x:v>
      </x:c>
      <x:c r="C84" s="407" t="n">
        <x:v>10</x:v>
      </x:c>
      <x:c r="D84" s="407" t="str">
        <x:v>滿柱</x:v>
      </x:c>
      <x:c r="E84" s="407" t="n">
        <x:v>1484</x:v>
      </x:c>
      <x:c r="F84" s="407" t="n">
        <x:v>308</x:v>
      </x:c>
      <x:c r="G84" s="407" t="n">
        <x:v>50</x:v>
      </x:c>
      <x:c r="H84" s="415" t="n">
        <x:v>0.03369272237196765</x:v>
      </x:c>
      <x:c r="I84" s="415" t="n">
        <x:v>0.16233766233766234</x:v>
      </x:c>
      <x:c r="J84" s="407" t="n">
        <x:v>287</x:v>
      </x:c>
      <x:c r="K84" s="407" t="n">
        <x:v>50</x:v>
      </x:c>
      <x:c r="L84" s="415" t="n">
        <x:v>0.17421602787456447</x:v>
      </x:c>
      <x:c r="M84" s="407" t="str">
        <x:v>logistic_fixed_capacity_k10_r2</x:v>
      </x:c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 t="str">
        <x:v>Logistic</x:v>
      </x:c>
      <x:c r="B85" s="407" t="str">
        <x:v>純容量排名</x:v>
      </x:c>
      <x:c r="C85" s="407" t="n">
        <x:v>15</x:v>
      </x:c>
      <x:c r="D85" s="407" t="str">
        <x:v>缺車</x:v>
      </x:c>
      <x:c r="E85" s="407" t="n">
        <x:v>8854</x:v>
      </x:c>
      <x:c r="F85" s="407" t="n">
        <x:v>1848</x:v>
      </x:c>
      <x:c r="G85" s="407" t="n">
        <x:v>455</x:v>
      </x:c>
      <x:c r="H85" s="415" t="n">
        <x:v>0.05138920262028462</x:v>
      </x:c>
      <x:c r="I85" s="415" t="n">
        <x:v>0.24621212121212122</x:v>
      </x:c>
      <x:c r="J85" s="407" t="n">
        <x:v>1642</x:v>
      </x:c>
      <x:c r="K85" s="407" t="n">
        <x:v>455</x:v>
      </x:c>
      <x:c r="L85" s="415" t="n">
        <x:v>0.27710109622411694</x:v>
      </x:c>
      <x:c r="M85" s="407" t="str">
        <x:v>logistic_fixed_capacity_k15_r3</x:v>
      </x:c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 t="str">
        <x:v>Logistic</x:v>
      </x:c>
      <x:c r="B86" s="407" t="str">
        <x:v>純容量排名</x:v>
      </x:c>
      <x:c r="C86" s="407" t="n">
        <x:v>15</x:v>
      </x:c>
      <x:c r="D86" s="407" t="str">
        <x:v>滿柱</x:v>
      </x:c>
      <x:c r="E86" s="407" t="n">
        <x:v>1484</x:v>
      </x:c>
      <x:c r="F86" s="407" t="n">
        <x:v>462</x:v>
      </x:c>
      <x:c r="G86" s="407" t="n">
        <x:v>68</x:v>
      </x:c>
      <x:c r="H86" s="415" t="n">
        <x:v>0.04582210242587601</x:v>
      </x:c>
      <x:c r="I86" s="415" t="n">
        <x:v>0.1471861471861472</x:v>
      </x:c>
      <x:c r="J86" s="407" t="n">
        <x:v>423</x:v>
      </x:c>
      <x:c r="K86" s="407" t="n">
        <x:v>68</x:v>
      </x:c>
      <x:c r="L86" s="415" t="n">
        <x:v>0.1607565011820331</x:v>
      </x:c>
      <x:c r="M86" s="407" t="str">
        <x:v>logistic_fixed_capacity_k15_r3</x:v>
      </x:c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 t="str">
        <x:v>Logistic</x:v>
      </x:c>
      <x:c r="B87" s="407" t="str">
        <x:v>純容量排名</x:v>
      </x:c>
      <x:c r="C87" s="407" t="n">
        <x:v>20</x:v>
      </x:c>
      <x:c r="D87" s="407" t="str">
        <x:v>缺車</x:v>
      </x:c>
      <x:c r="E87" s="407" t="n">
        <x:v>8854</x:v>
      </x:c>
      <x:c r="F87" s="407" t="n">
        <x:v>2464</x:v>
      </x:c>
      <x:c r="G87" s="407" t="n">
        <x:v>611</x:v>
      </x:c>
      <x:c r="H87" s="415" t="n">
        <x:v>0.0690083578043822</x:v>
      </x:c>
      <x:c r="I87" s="415" t="n">
        <x:v>0.24797077922077923</x:v>
      </x:c>
      <x:c r="J87" s="407" t="n">
        <x:v>2171</x:v>
      </x:c>
      <x:c r="K87" s="407" t="n">
        <x:v>611</x:v>
      </x:c>
      <x:c r="L87" s="415" t="n">
        <x:v>0.281437125748503</x:v>
      </x:c>
      <x:c r="M87" s="407" t="str">
        <x:v>logistic_fixed_capacity_k20_r4</x:v>
      </x:c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 t="str">
        <x:v>Logistic</x:v>
      </x:c>
      <x:c r="B88" s="407" t="str">
        <x:v>純容量排名</x:v>
      </x:c>
      <x:c r="C88" s="407" t="n">
        <x:v>20</x:v>
      </x:c>
      <x:c r="D88" s="407" t="str">
        <x:v>滿柱</x:v>
      </x:c>
      <x:c r="E88" s="407" t="n">
        <x:v>1484</x:v>
      </x:c>
      <x:c r="F88" s="407" t="n">
        <x:v>616</x:v>
      </x:c>
      <x:c r="G88" s="407" t="n">
        <x:v>95</x:v>
      </x:c>
      <x:c r="H88" s="415" t="n">
        <x:v>0.06401617250673855</x:v>
      </x:c>
      <x:c r="I88" s="415" t="n">
        <x:v>0.15422077922077923</x:v>
      </x:c>
      <x:c r="J88" s="407" t="n">
        <x:v>545</x:v>
      </x:c>
      <x:c r="K88" s="407" t="n">
        <x:v>95</x:v>
      </x:c>
      <x:c r="L88" s="415" t="n">
        <x:v>0.1743119266055046</x:v>
      </x:c>
      <x:c r="M88" s="407" t="str">
        <x:v>logistic_fixed_capacity_k20_r4</x:v>
      </x:c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 t="str">
        <x:v>Logistic</x:v>
      </x:c>
      <x:c r="B89" s="407" t="str">
        <x:v>純容量排名</x:v>
      </x:c>
      <x:c r="C89" s="407" t="n">
        <x:v>25</x:v>
      </x:c>
      <x:c r="D89" s="407" t="str">
        <x:v>缺車</x:v>
      </x:c>
      <x:c r="E89" s="407" t="n">
        <x:v>8854</x:v>
      </x:c>
      <x:c r="F89" s="407" t="n">
        <x:v>3080</x:v>
      </x:c>
      <x:c r="G89" s="407" t="n">
        <x:v>748</x:v>
      </x:c>
      <x:c r="H89" s="415" t="n">
        <x:v>0.08448159024169867</x:v>
      </x:c>
      <x:c r="I89" s="415" t="n">
        <x:v>0.24285714285714285</x:v>
      </x:c>
      <x:c r="J89" s="407" t="n">
        <x:v>2669</x:v>
      </x:c>
      <x:c r="K89" s="407" t="n">
        <x:v>748</x:v>
      </x:c>
      <x:c r="L89" s="415" t="n">
        <x:v>0.2802547770700637</x:v>
      </x:c>
      <x:c r="M89" s="407" t="str">
        <x:v>logistic_fixed_capacity_k25_r5</x:v>
      </x:c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 t="str">
        <x:v>Logistic</x:v>
      </x:c>
      <x:c r="B90" s="407" t="str">
        <x:v>純容量排名</x:v>
      </x:c>
      <x:c r="C90" s="407" t="n">
        <x:v>25</x:v>
      </x:c>
      <x:c r="D90" s="407" t="str">
        <x:v>滿柱</x:v>
      </x:c>
      <x:c r="E90" s="407" t="n">
        <x:v>1484</x:v>
      </x:c>
      <x:c r="F90" s="407" t="n">
        <x:v>770</x:v>
      </x:c>
      <x:c r="G90" s="407" t="n">
        <x:v>116</x:v>
      </x:c>
      <x:c r="H90" s="415" t="n">
        <x:v>0.07816711590296496</x:v>
      </x:c>
      <x:c r="I90" s="415" t="n">
        <x:v>0.15064935064935064</x:v>
      </x:c>
      <x:c r="J90" s="407" t="n">
        <x:v>682</x:v>
      </x:c>
      <x:c r="K90" s="407" t="n">
        <x:v>116</x:v>
      </x:c>
      <x:c r="L90" s="415" t="n">
        <x:v>0.17008797653958943</x:v>
      </x:c>
      <x:c r="M90" s="407" t="str">
        <x:v>logistic_fixed_capacity_k25_r5</x:v>
      </x:c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 t="str">
        <x:v>Logistic</x:v>
      </x:c>
      <x:c r="B91" s="407" t="str">
        <x:v>可部署門檻+Top-K</x:v>
      </x:c>
      <x:c r="C91" s="407" t="n">
        <x:v>10</x:v>
      </x:c>
      <x:c r="D91" s="407" t="str">
        <x:v>缺車</x:v>
      </x:c>
      <x:c r="E91" s="407" t="n">
        <x:v>8854</x:v>
      </x:c>
      <x:c r="F91" s="407" t="n">
        <x:v>370</x:v>
      </x:c>
      <x:c r="G91" s="407" t="n">
        <x:v>110</x:v>
      </x:c>
      <x:c r="H91" s="415" t="n">
        <x:v>0.012423763270838039</x:v>
      </x:c>
      <x:c r="I91" s="415" t="n">
        <x:v>0.2972972972972973</x:v>
      </x:c>
      <x:c r="J91" s="407" t="n">
        <x:v>331</x:v>
      </x:c>
      <x:c r="K91" s="407" t="n">
        <x:v>110</x:v>
      </x:c>
      <x:c r="L91" s="415" t="n">
        <x:v>0.3323262839879154</x:v>
      </x:c>
      <x:c r="M91" s="407" t="str">
        <x:v>logistic_deployable_floors_k10_r2</x:v>
      </x:c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 t="str">
        <x:v>Logistic</x:v>
      </x:c>
      <x:c r="B92" s="407" t="str">
        <x:v>可部署門檻+Top-K</x:v>
      </x:c>
      <x:c r="C92" s="407" t="n">
        <x:v>10</x:v>
      </x:c>
      <x:c r="D92" s="407" t="str">
        <x:v>滿柱</x:v>
      </x:c>
      <x:c r="E92" s="407" t="n">
        <x:v>1484</x:v>
      </x:c>
      <x:c r="F92" s="407" t="n">
        <x:v>0</x:v>
      </x:c>
      <x:c r="G92" s="407" t="n">
        <x:v>0</x:v>
      </x:c>
      <x:c r="H92" s="415" t="n">
        <x:v>0</x:v>
      </x:c>
      <x:c r="I92" s="415" t="n">
        <x:v>0</x:v>
      </x:c>
      <x:c r="J92" s="407" t="n">
        <x:v>0</x:v>
      </x:c>
      <x:c r="K92" s="407" t="n">
        <x:v>0</x:v>
      </x:c>
      <x:c r="L92" s="415" t="n">
        <x:v>0</x:v>
      </x:c>
      <x:c r="M92" s="407" t="str">
        <x:v>logistic_deployable_floors_k10_r2</x:v>
      </x:c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 t="str">
        <x:v>Logistic</x:v>
      </x:c>
      <x:c r="B93" s="407" t="str">
        <x:v>可部署門檻+Top-K</x:v>
      </x:c>
      <x:c r="C93" s="407" t="n">
        <x:v>15</x:v>
      </x:c>
      <x:c r="D93" s="407" t="str">
        <x:v>缺車</x:v>
      </x:c>
      <x:c r="E93" s="407" t="n">
        <x:v>8854</x:v>
      </x:c>
      <x:c r="F93" s="407" t="n">
        <x:v>381</x:v>
      </x:c>
      <x:c r="G93" s="407" t="n">
        <x:v>113</x:v>
      </x:c>
      <x:c r="H93" s="415" t="n">
        <x:v>0.012762593178224532</x:v>
      </x:c>
      <x:c r="I93" s="415" t="n">
        <x:v>0.29658792650918636</x:v>
      </x:c>
      <x:c r="J93" s="407" t="n">
        <x:v>341</x:v>
      </x:c>
      <x:c r="K93" s="407" t="n">
        <x:v>113</x:v>
      </x:c>
      <x:c r="L93" s="415" t="n">
        <x:v>0.3313782991202346</x:v>
      </x:c>
      <x:c r="M93" s="407" t="str">
        <x:v>logistic_deployable_floors_k15_r3</x:v>
      </x:c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 t="str">
        <x:v>Logistic</x:v>
      </x:c>
      <x:c r="B94" s="407" t="str">
        <x:v>可部署門檻+Top-K</x:v>
      </x:c>
      <x:c r="C94" s="407" t="n">
        <x:v>15</x:v>
      </x:c>
      <x:c r="D94" s="407" t="str">
        <x:v>滿柱</x:v>
      </x:c>
      <x:c r="E94" s="407" t="n">
        <x:v>1484</x:v>
      </x:c>
      <x:c r="F94" s="407" t="n">
        <x:v>0</x:v>
      </x:c>
      <x:c r="G94" s="407" t="n">
        <x:v>0</x:v>
      </x:c>
      <x:c r="H94" s="415" t="n">
        <x:v>0</x:v>
      </x:c>
      <x:c r="I94" s="415" t="n">
        <x:v>0</x:v>
      </x:c>
      <x:c r="J94" s="407" t="n">
        <x:v>0</x:v>
      </x:c>
      <x:c r="K94" s="407" t="n">
        <x:v>0</x:v>
      </x:c>
      <x:c r="L94" s="415" t="n">
        <x:v>0</x:v>
      </x:c>
      <x:c r="M94" s="407" t="str">
        <x:v>logistic_deployable_floors_k15_r3</x:v>
      </x:c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 t="str">
        <x:v>Logistic</x:v>
      </x:c>
      <x:c r="B95" s="407" t="str">
        <x:v>可部署門檻+Top-K</x:v>
      </x:c>
      <x:c r="C95" s="407" t="n">
        <x:v>20</x:v>
      </x:c>
      <x:c r="D95" s="407" t="str">
        <x:v>缺車</x:v>
      </x:c>
      <x:c r="E95" s="407" t="n">
        <x:v>8854</x:v>
      </x:c>
      <x:c r="F95" s="407" t="n">
        <x:v>381</x:v>
      </x:c>
      <x:c r="G95" s="407" t="n">
        <x:v>113</x:v>
      </x:c>
      <x:c r="H95" s="415" t="n">
        <x:v>0.012762593178224532</x:v>
      </x:c>
      <x:c r="I95" s="415" t="n">
        <x:v>0.29658792650918636</x:v>
      </x:c>
      <x:c r="J95" s="407" t="n">
        <x:v>341</x:v>
      </x:c>
      <x:c r="K95" s="407" t="n">
        <x:v>113</x:v>
      </x:c>
      <x:c r="L95" s="415" t="n">
        <x:v>0.3313782991202346</x:v>
      </x:c>
      <x:c r="M95" s="407" t="str">
        <x:v>logistic_deployable_floors_k20_r4</x:v>
      </x:c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 t="str">
        <x:v>Logistic</x:v>
      </x:c>
      <x:c r="B96" s="407" t="str">
        <x:v>可部署門檻+Top-K</x:v>
      </x:c>
      <x:c r="C96" s="407" t="n">
        <x:v>20</x:v>
      </x:c>
      <x:c r="D96" s="407" t="str">
        <x:v>滿柱</x:v>
      </x:c>
      <x:c r="E96" s="407" t="n">
        <x:v>1484</x:v>
      </x:c>
      <x:c r="F96" s="407" t="n">
        <x:v>0</x:v>
      </x:c>
      <x:c r="G96" s="407" t="n">
        <x:v>0</x:v>
      </x:c>
      <x:c r="H96" s="415" t="n">
        <x:v>0</x:v>
      </x:c>
      <x:c r="I96" s="415" t="n">
        <x:v>0</x:v>
      </x:c>
      <x:c r="J96" s="407" t="n">
        <x:v>0</x:v>
      </x:c>
      <x:c r="K96" s="407" t="n">
        <x:v>0</x:v>
      </x:c>
      <x:c r="L96" s="415" t="n">
        <x:v>0</x:v>
      </x:c>
      <x:c r="M96" s="407" t="str">
        <x:v>logistic_deployable_floors_k20_r4</x:v>
      </x:c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 t="str">
        <x:v>Logistic</x:v>
      </x:c>
      <x:c r="B97" s="407" t="str">
        <x:v>可部署門檻+Top-K</x:v>
      </x:c>
      <x:c r="C97" s="407" t="n">
        <x:v>25</x:v>
      </x:c>
      <x:c r="D97" s="407" t="str">
        <x:v>缺車</x:v>
      </x:c>
      <x:c r="E97" s="407" t="n">
        <x:v>8854</x:v>
      </x:c>
      <x:c r="F97" s="407" t="n">
        <x:v>381</x:v>
      </x:c>
      <x:c r="G97" s="407" t="n">
        <x:v>113</x:v>
      </x:c>
      <x:c r="H97" s="415" t="n">
        <x:v>0.012762593178224532</x:v>
      </x:c>
      <x:c r="I97" s="415" t="n">
        <x:v>0.29658792650918636</x:v>
      </x:c>
      <x:c r="J97" s="407" t="n">
        <x:v>341</x:v>
      </x:c>
      <x:c r="K97" s="407" t="n">
        <x:v>113</x:v>
      </x:c>
      <x:c r="L97" s="415" t="n">
        <x:v>0.3313782991202346</x:v>
      </x:c>
      <x:c r="M97" s="407" t="str">
        <x:v>logistic_deployable_floors_k25_r5</x:v>
      </x:c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 t="str">
        <x:v>Logistic</x:v>
      </x:c>
      <x:c r="B98" s="407" t="str">
        <x:v>可部署門檻+Top-K</x:v>
      </x:c>
      <x:c r="C98" s="407" t="n">
        <x:v>25</x:v>
      </x:c>
      <x:c r="D98" s="407" t="str">
        <x:v>滿柱</x:v>
      </x:c>
      <x:c r="E98" s="407" t="n">
        <x:v>1484</x:v>
      </x:c>
      <x:c r="F98" s="407" t="n">
        <x:v>0</x:v>
      </x:c>
      <x:c r="G98" s="407" t="n">
        <x:v>0</x:v>
      </x:c>
      <x:c r="H98" s="415" t="n">
        <x:v>0</x:v>
      </x:c>
      <x:c r="I98" s="415" t="n">
        <x:v>0</x:v>
      </x:c>
      <x:c r="J98" s="407" t="n">
        <x:v>0</x:v>
      </x:c>
      <x:c r="K98" s="407" t="n">
        <x:v>0</x:v>
      </x:c>
      <x:c r="L98" s="415" t="n">
        <x:v>0</x:v>
      </x:c>
      <x:c r="M98" s="407" t="str">
        <x:v>logistic_deployable_floors_k25_r5</x:v>
      </x:c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 t="str">
        <x:v>比例規則</x:v>
      </x:c>
      <x:c r="B99" s="407" t="str">
        <x:v>純容量排名</x:v>
      </x:c>
      <x:c r="C99" s="407" t="n">
        <x:v>10</x:v>
      </x:c>
      <x:c r="D99" s="407" t="str">
        <x:v>缺車</x:v>
      </x:c>
      <x:c r="E99" s="407" t="n">
        <x:v>8854</x:v>
      </x:c>
      <x:c r="F99" s="407" t="n">
        <x:v>1232</x:v>
      </x:c>
      <x:c r="G99" s="407" t="n">
        <x:v>263</x:v>
      </x:c>
      <x:c r="H99" s="415" t="n">
        <x:v>0.02970408854754913</x:v>
      </x:c>
      <x:c r="I99" s="415" t="n">
        <x:v>0.21347402597402598</x:v>
      </x:c>
      <x:c r="J99" s="407" t="n">
        <x:v>1035</x:v>
      </x:c>
      <x:c r="K99" s="407" t="n">
        <x:v>263</x:v>
      </x:c>
      <x:c r="L99" s="415" t="n">
        <x:v>0.2541062801932367</x:v>
      </x:c>
      <x:c r="M99" s="407" t="str">
        <x:v>ratio_rule_fixed_capacity_k10_r2</x:v>
      </x:c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 t="str">
        <x:v>比例規則</x:v>
      </x:c>
      <x:c r="B100" s="407" t="str">
        <x:v>純容量排名</x:v>
      </x:c>
      <x:c r="C100" s="407" t="n">
        <x:v>10</x:v>
      </x:c>
      <x:c r="D100" s="407" t="str">
        <x:v>滿柱</x:v>
      </x:c>
      <x:c r="E100" s="407" t="n">
        <x:v>1484</x:v>
      </x:c>
      <x:c r="F100" s="407" t="n">
        <x:v>308</x:v>
      </x:c>
      <x:c r="G100" s="407" t="n">
        <x:v>27</x:v>
      </x:c>
      <x:c r="H100" s="415" t="n">
        <x:v>0.018194070080862535</x:v>
      </x:c>
      <x:c r="I100" s="415" t="n">
        <x:v>0.08766233766233766</x:v>
      </x:c>
      <x:c r="J100" s="407" t="n">
        <x:v>279</x:v>
      </x:c>
      <x:c r="K100" s="407" t="n">
        <x:v>27</x:v>
      </x:c>
      <x:c r="L100" s="415" t="n">
        <x:v>0.0967741935483871</x:v>
      </x:c>
      <x:c r="M100" s="407" t="str">
        <x:v>ratio_rule_fixed_capacity_k10_r2</x:v>
      </x:c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 t="str">
        <x:v>比例規則</x:v>
      </x:c>
      <x:c r="B101" s="407" t="str">
        <x:v>純容量排名</x:v>
      </x:c>
      <x:c r="C101" s="407" t="n">
        <x:v>15</x:v>
      </x:c>
      <x:c r="D101" s="407" t="str">
        <x:v>缺車</x:v>
      </x:c>
      <x:c r="E101" s="407" t="n">
        <x:v>8854</x:v>
      </x:c>
      <x:c r="F101" s="407" t="n">
        <x:v>1848</x:v>
      </x:c>
      <x:c r="G101" s="407" t="n">
        <x:v>385</x:v>
      </x:c>
      <x:c r="H101" s="415" t="n">
        <x:v>0.043483171447933136</x:v>
      </x:c>
      <x:c r="I101" s="415" t="n">
        <x:v>0.20833333333333334</x:v>
      </x:c>
      <x:c r="J101" s="407" t="n">
        <x:v>1512</x:v>
      </x:c>
      <x:c r="K101" s="407" t="n">
        <x:v>385</x:v>
      </x:c>
      <x:c r="L101" s="415" t="n">
        <x:v>0.25462962962962965</x:v>
      </x:c>
      <x:c r="M101" s="407" t="str">
        <x:v>ratio_rule_fixed_capacity_k15_r3</x:v>
      </x:c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 t="str">
        <x:v>比例規則</x:v>
      </x:c>
      <x:c r="B102" s="407" t="str">
        <x:v>純容量排名</x:v>
      </x:c>
      <x:c r="C102" s="407" t="n">
        <x:v>15</x:v>
      </x:c>
      <x:c r="D102" s="407" t="str">
        <x:v>滿柱</x:v>
      </x:c>
      <x:c r="E102" s="407" t="n">
        <x:v>1484</x:v>
      </x:c>
      <x:c r="F102" s="407" t="n">
        <x:v>462</x:v>
      </x:c>
      <x:c r="G102" s="407" t="n">
        <x:v>44</x:v>
      </x:c>
      <x:c r="H102" s="415" t="n">
        <x:v>0.029649595687331536</x:v>
      </x:c>
      <x:c r="I102" s="415" t="n">
        <x:v>0.09523809523809523</x:v>
      </x:c>
      <x:c r="J102" s="407" t="n">
        <x:v>412</x:v>
      </x:c>
      <x:c r="K102" s="407" t="n">
        <x:v>44</x:v>
      </x:c>
      <x:c r="L102" s="415" t="n">
        <x:v>0.10679611650485436</x:v>
      </x:c>
      <x:c r="M102" s="407" t="str">
        <x:v>ratio_rule_fixed_capacity_k15_r3</x:v>
      </x:c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 t="str">
        <x:v>比例規則</x:v>
      </x:c>
      <x:c r="B103" s="407" t="str">
        <x:v>純容量排名</x:v>
      </x:c>
      <x:c r="C103" s="407" t="n">
        <x:v>20</x:v>
      </x:c>
      <x:c r="D103" s="407" t="str">
        <x:v>缺車</x:v>
      </x:c>
      <x:c r="E103" s="407" t="n">
        <x:v>8854</x:v>
      </x:c>
      <x:c r="F103" s="407" t="n">
        <x:v>2464</x:v>
      </x:c>
      <x:c r="G103" s="407" t="n">
        <x:v>527</x:v>
      </x:c>
      <x:c r="H103" s="415" t="n">
        <x:v>0.059521120397560426</x:v>
      </x:c>
      <x:c r="I103" s="415" t="n">
        <x:v>0.21387987012987014</x:v>
      </x:c>
      <x:c r="J103" s="407" t="n">
        <x:v>2001</x:v>
      </x:c>
      <x:c r="K103" s="407" t="n">
        <x:v>527</x:v>
      </x:c>
      <x:c r="L103" s="415" t="n">
        <x:v>0.263368315842079</x:v>
      </x:c>
      <x:c r="M103" s="407" t="str">
        <x:v>ratio_rule_fixed_capacity_k20_r4</x:v>
      </x:c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 t="str">
        <x:v>比例規則</x:v>
      </x:c>
      <x:c r="B104" s="407" t="str">
        <x:v>純容量排名</x:v>
      </x:c>
      <x:c r="C104" s="407" t="n">
        <x:v>20</x:v>
      </x:c>
      <x:c r="D104" s="407" t="str">
        <x:v>滿柱</x:v>
      </x:c>
      <x:c r="E104" s="407" t="n">
        <x:v>1484</x:v>
      </x:c>
      <x:c r="F104" s="407" t="n">
        <x:v>616</x:v>
      </x:c>
      <x:c r="G104" s="407" t="n">
        <x:v>64</x:v>
      </x:c>
      <x:c r="H104" s="415" t="n">
        <x:v>0.0431266846361186</x:v>
      </x:c>
      <x:c r="I104" s="415" t="n">
        <x:v>0.1038961038961039</x:v>
      </x:c>
      <x:c r="J104" s="407" t="n">
        <x:v>548</x:v>
      </x:c>
      <x:c r="K104" s="407" t="n">
        <x:v>64</x:v>
      </x:c>
      <x:c r="L104" s="415" t="n">
        <x:v>0.11678832116788321</x:v>
      </x:c>
      <x:c r="M104" s="407" t="str">
        <x:v>ratio_rule_fixed_capacity_k20_r4</x:v>
      </x:c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 t="str">
        <x:v>比例規則</x:v>
      </x:c>
      <x:c r="B105" s="407" t="str">
        <x:v>純容量排名</x:v>
      </x:c>
      <x:c r="C105" s="407" t="n">
        <x:v>25</x:v>
      </x:c>
      <x:c r="D105" s="407" t="str">
        <x:v>缺車</x:v>
      </x:c>
      <x:c r="E105" s="407" t="n">
        <x:v>8854</x:v>
      </x:c>
      <x:c r="F105" s="407" t="n">
        <x:v>3080</x:v>
      </x:c>
      <x:c r="G105" s="407" t="n">
        <x:v>647</x:v>
      </x:c>
      <x:c r="H105" s="415" t="n">
        <x:v>0.0730743166930201</x:v>
      </x:c>
      <x:c r="I105" s="415" t="n">
        <x:v>0.21006493506493507</x:v>
      </x:c>
      <x:c r="J105" s="407" t="n">
        <x:v>2447</x:v>
      </x:c>
      <x:c r="K105" s="407" t="n">
        <x:v>647</x:v>
      </x:c>
      <x:c r="L105" s="415" t="n">
        <x:v>0.26440539436044136</x:v>
      </x:c>
      <x:c r="M105" s="407" t="str">
        <x:v>ratio_rule_fixed_capacity_k25_r5</x:v>
      </x:c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 t="str">
        <x:v>比例規則</x:v>
      </x:c>
      <x:c r="B106" s="407" t="str">
        <x:v>純容量排名</x:v>
      </x:c>
      <x:c r="C106" s="407" t="n">
        <x:v>25</x:v>
      </x:c>
      <x:c r="D106" s="407" t="str">
        <x:v>滿柱</x:v>
      </x:c>
      <x:c r="E106" s="407" t="n">
        <x:v>1484</x:v>
      </x:c>
      <x:c r="F106" s="407" t="n">
        <x:v>770</x:v>
      </x:c>
      <x:c r="G106" s="407" t="n">
        <x:v>77</x:v>
      </x:c>
      <x:c r="H106" s="415" t="n">
        <x:v>0.05188679245283019</x:v>
      </x:c>
      <x:c r="I106" s="415" t="n">
        <x:v>0.1</x:v>
      </x:c>
      <x:c r="J106" s="407" t="n">
        <x:v>663</x:v>
      </x:c>
      <x:c r="K106" s="407" t="n">
        <x:v>77</x:v>
      </x:c>
      <x:c r="L106" s="415" t="n">
        <x:v>0.11613876319758673</x:v>
      </x:c>
      <x:c r="M106" s="407" t="str">
        <x:v>ratio_rule_fixed_capacity_k25_r5</x:v>
      </x:c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 t="str">
        <x:v>比例規則</x:v>
      </x:c>
      <x:c r="B107" s="407" t="str">
        <x:v>可部署門檻+Top-K</x:v>
      </x:c>
      <x:c r="C107" s="407" t="n">
        <x:v>10</x:v>
      </x:c>
      <x:c r="D107" s="407" t="str">
        <x:v>缺車</x:v>
      </x:c>
      <x:c r="E107" s="407" t="n">
        <x:v>8854</x:v>
      </x:c>
      <x:c r="F107" s="407" t="n">
        <x:v>0</x:v>
      </x:c>
      <x:c r="G107" s="407" t="n">
        <x:v>0</x:v>
      </x:c>
      <x:c r="H107" s="415" t="n">
        <x:v>0</x:v>
      </x:c>
      <x:c r="I107" s="415" t="n">
        <x:v>0</x:v>
      </x:c>
      <x:c r="J107" s="407" t="n">
        <x:v>0</x:v>
      </x:c>
      <x:c r="K107" s="407" t="n">
        <x:v>0</x:v>
      </x:c>
      <x:c r="L107" s="415" t="n">
        <x:v>0</x:v>
      </x:c>
      <x:c r="M107" s="407" t="str">
        <x:v>ratio_rule_deployable_floors_k10_r2</x:v>
      </x:c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 t="str">
        <x:v>比例規則</x:v>
      </x:c>
      <x:c r="B108" s="407" t="str">
        <x:v>可部署門檻+Top-K</x:v>
      </x:c>
      <x:c r="C108" s="407" t="n">
        <x:v>10</x:v>
      </x:c>
      <x:c r="D108" s="407" t="str">
        <x:v>滿柱</x:v>
      </x:c>
      <x:c r="E108" s="407" t="n">
        <x:v>1484</x:v>
      </x:c>
      <x:c r="F108" s="407" t="n">
        <x:v>0</x:v>
      </x:c>
      <x:c r="G108" s="407" t="n">
        <x:v>0</x:v>
      </x:c>
      <x:c r="H108" s="415" t="n">
        <x:v>0</x:v>
      </x:c>
      <x:c r="I108" s="415" t="n">
        <x:v>0</x:v>
      </x:c>
      <x:c r="J108" s="407" t="n">
        <x:v>0</x:v>
      </x:c>
      <x:c r="K108" s="407" t="n">
        <x:v>0</x:v>
      </x:c>
      <x:c r="L108" s="415" t="n">
        <x:v>0</x:v>
      </x:c>
      <x:c r="M108" s="407" t="str">
        <x:v>ratio_rule_deployable_floors_k10_r2</x:v>
      </x:c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 t="str">
        <x:v>比例規則</x:v>
      </x:c>
      <x:c r="B109" s="407" t="str">
        <x:v>可部署門檻+Top-K</x:v>
      </x:c>
      <x:c r="C109" s="407" t="n">
        <x:v>15</x:v>
      </x:c>
      <x:c r="D109" s="407" t="str">
        <x:v>缺車</x:v>
      </x:c>
      <x:c r="E109" s="407" t="n">
        <x:v>8854</x:v>
      </x:c>
      <x:c r="F109" s="407" t="n">
        <x:v>0</x:v>
      </x:c>
      <x:c r="G109" s="407" t="n">
        <x:v>0</x:v>
      </x:c>
      <x:c r="H109" s="415" t="n">
        <x:v>0</x:v>
      </x:c>
      <x:c r="I109" s="415" t="n">
        <x:v>0</x:v>
      </x:c>
      <x:c r="J109" s="407" t="n">
        <x:v>0</x:v>
      </x:c>
      <x:c r="K109" s="407" t="n">
        <x:v>0</x:v>
      </x:c>
      <x:c r="L109" s="415" t="n">
        <x:v>0</x:v>
      </x:c>
      <x:c r="M109" s="407" t="str">
        <x:v>ratio_rule_deployable_floors_k15_r3</x:v>
      </x:c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 t="str">
        <x:v>比例規則</x:v>
      </x:c>
      <x:c r="B110" s="407" t="str">
        <x:v>可部署門檻+Top-K</x:v>
      </x:c>
      <x:c r="C110" s="407" t="n">
        <x:v>15</x:v>
      </x:c>
      <x:c r="D110" s="407" t="str">
        <x:v>滿柱</x:v>
      </x:c>
      <x:c r="E110" s="407" t="n">
        <x:v>1484</x:v>
      </x:c>
      <x:c r="F110" s="407" t="n">
        <x:v>0</x:v>
      </x:c>
      <x:c r="G110" s="407" t="n">
        <x:v>0</x:v>
      </x:c>
      <x:c r="H110" s="415" t="n">
        <x:v>0</x:v>
      </x:c>
      <x:c r="I110" s="415" t="n">
        <x:v>0</x:v>
      </x:c>
      <x:c r="J110" s="407" t="n">
        <x:v>0</x:v>
      </x:c>
      <x:c r="K110" s="407" t="n">
        <x:v>0</x:v>
      </x:c>
      <x:c r="L110" s="415" t="n">
        <x:v>0</x:v>
      </x:c>
      <x:c r="M110" s="407" t="str">
        <x:v>ratio_rule_deployable_floors_k15_r3</x:v>
      </x:c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 t="str">
        <x:v>比例規則</x:v>
      </x:c>
      <x:c r="B111" s="407" t="str">
        <x:v>可部署門檻+Top-K</x:v>
      </x:c>
      <x:c r="C111" s="407" t="n">
        <x:v>20</x:v>
      </x:c>
      <x:c r="D111" s="407" t="str">
        <x:v>缺車</x:v>
      </x:c>
      <x:c r="E111" s="407" t="n">
        <x:v>8854</x:v>
      </x:c>
      <x:c r="F111" s="407" t="n">
        <x:v>0</x:v>
      </x:c>
      <x:c r="G111" s="407" t="n">
        <x:v>0</x:v>
      </x:c>
      <x:c r="H111" s="415" t="n">
        <x:v>0</x:v>
      </x:c>
      <x:c r="I111" s="415" t="n">
        <x:v>0</x:v>
      </x:c>
      <x:c r="J111" s="407" t="n">
        <x:v>0</x:v>
      </x:c>
      <x:c r="K111" s="407" t="n">
        <x:v>0</x:v>
      </x:c>
      <x:c r="L111" s="415" t="n">
        <x:v>0</x:v>
      </x:c>
      <x:c r="M111" s="407" t="str">
        <x:v>ratio_rule_deployable_floors_k20_r4</x:v>
      </x:c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 t="str">
        <x:v>比例規則</x:v>
      </x:c>
      <x:c r="B112" s="407" t="str">
        <x:v>可部署門檻+Top-K</x:v>
      </x:c>
      <x:c r="C112" s="407" t="n">
        <x:v>20</x:v>
      </x:c>
      <x:c r="D112" s="407" t="str">
        <x:v>滿柱</x:v>
      </x:c>
      <x:c r="E112" s="407" t="n">
        <x:v>1484</x:v>
      </x:c>
      <x:c r="F112" s="407" t="n">
        <x:v>0</x:v>
      </x:c>
      <x:c r="G112" s="407" t="n">
        <x:v>0</x:v>
      </x:c>
      <x:c r="H112" s="415" t="n">
        <x:v>0</x:v>
      </x:c>
      <x:c r="I112" s="415" t="n">
        <x:v>0</x:v>
      </x:c>
      <x:c r="J112" s="407" t="n">
        <x:v>0</x:v>
      </x:c>
      <x:c r="K112" s="407" t="n">
        <x:v>0</x:v>
      </x:c>
      <x:c r="L112" s="415" t="n">
        <x:v>0</x:v>
      </x:c>
      <x:c r="M112" s="407" t="str">
        <x:v>ratio_rule_deployable_floors_k20_r4</x:v>
      </x:c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 t="str">
        <x:v>比例規則</x:v>
      </x:c>
      <x:c r="B113" s="407" t="str">
        <x:v>可部署門檻+Top-K</x:v>
      </x:c>
      <x:c r="C113" s="407" t="n">
        <x:v>25</x:v>
      </x:c>
      <x:c r="D113" s="407" t="str">
        <x:v>缺車</x:v>
      </x:c>
      <x:c r="E113" s="407" t="n">
        <x:v>8854</x:v>
      </x:c>
      <x:c r="F113" s="407" t="n">
        <x:v>0</x:v>
      </x:c>
      <x:c r="G113" s="407" t="n">
        <x:v>0</x:v>
      </x:c>
      <x:c r="H113" s="415" t="n">
        <x:v>0</x:v>
      </x:c>
      <x:c r="I113" s="415" t="n">
        <x:v>0</x:v>
      </x:c>
      <x:c r="J113" s="407" t="n">
        <x:v>0</x:v>
      </x:c>
      <x:c r="K113" s="407" t="n">
        <x:v>0</x:v>
      </x:c>
      <x:c r="L113" s="415" t="n">
        <x:v>0</x:v>
      </x:c>
      <x:c r="M113" s="407" t="str">
        <x:v>ratio_rule_deployable_floors_k25_r5</x:v>
      </x:c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 t="str">
        <x:v>比例規則</x:v>
      </x:c>
      <x:c r="B114" s="407" t="str">
        <x:v>可部署門檻+Top-K</x:v>
      </x:c>
      <x:c r="C114" s="407" t="n">
        <x:v>25</x:v>
      </x:c>
      <x:c r="D114" s="407" t="str">
        <x:v>滿柱</x:v>
      </x:c>
      <x:c r="E114" s="407" t="n">
        <x:v>1484</x:v>
      </x:c>
      <x:c r="F114" s="407" t="n">
        <x:v>0</x:v>
      </x:c>
      <x:c r="G114" s="407" t="n">
        <x:v>0</x:v>
      </x:c>
      <x:c r="H114" s="415" t="n">
        <x:v>0</x:v>
      </x:c>
      <x:c r="I114" s="415" t="n">
        <x:v>0</x:v>
      </x:c>
      <x:c r="J114" s="407" t="n">
        <x:v>0</x:v>
      </x:c>
      <x:c r="K114" s="407" t="n">
        <x:v>0</x:v>
      </x:c>
      <x:c r="L114" s="415" t="n">
        <x:v>0</x:v>
      </x:c>
      <x:c r="M114" s="407" t="str">
        <x:v>ratio_rule_deployable_floors_k25_r5</x:v>
      </x:c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 t="str">
        <x:v>XGBoost 正式調參</x:v>
      </x:c>
      <x:c r="B115" s="407" t="str">
        <x:v>純容量排名</x:v>
      </x:c>
      <x:c r="C115" s="407" t="n">
        <x:v>10</x:v>
      </x:c>
      <x:c r="D115" s="407" t="str">
        <x:v>缺車</x:v>
      </x:c>
      <x:c r="E115" s="407" t="n">
        <x:v>8854</x:v>
      </x:c>
      <x:c r="F115" s="407" t="n">
        <x:v>1224</x:v>
      </x:c>
      <x:c r="G115" s="407" t="n">
        <x:v>448</x:v>
      </x:c>
      <x:c r="H115" s="415" t="n">
        <x:v>0.05059859950304947</x:v>
      </x:c>
      <x:c r="I115" s="415" t="n">
        <x:v>0.3660130718954248</x:v>
      </x:c>
      <x:c r="J115" s="407" t="n">
        <x:v>1094</x:v>
      </x:c>
      <x:c r="K115" s="407" t="n">
        <x:v>448</x:v>
      </x:c>
      <x:c r="L115" s="415" t="n">
        <x:v>0.40950639853747717</x:v>
      </x:c>
      <x:c r="M115" s="407" t="str">
        <x:v>xgboost_tuned_fixed_capacity_k10_r2</x:v>
      </x:c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 t="str">
        <x:v>XGBoost 正式調參</x:v>
      </x:c>
      <x:c r="B116" s="407" t="str">
        <x:v>純容量排名</x:v>
      </x:c>
      <x:c r="C116" s="407" t="n">
        <x:v>10</x:v>
      </x:c>
      <x:c r="D116" s="407" t="str">
        <x:v>滿柱</x:v>
      </x:c>
      <x:c r="E116" s="407" t="n">
        <x:v>1484</x:v>
      </x:c>
      <x:c r="F116" s="407" t="n">
        <x:v>316</x:v>
      </x:c>
      <x:c r="G116" s="407" t="n">
        <x:v>91</x:v>
      </x:c>
      <x:c r="H116" s="415" t="n">
        <x:v>0.06132075471698113</x:v>
      </x:c>
      <x:c r="I116" s="415" t="n">
        <x:v>0.2879746835443038</x:v>
      </x:c>
      <x:c r="J116" s="407" t="n">
        <x:v>266</x:v>
      </x:c>
      <x:c r="K116" s="407" t="n">
        <x:v>91</x:v>
      </x:c>
      <x:c r="L116" s="415" t="n">
        <x:v>0.34210526315789475</x:v>
      </x:c>
      <x:c r="M116" s="407" t="str">
        <x:v>xgboost_tuned_fixed_capacity_k10_r2</x:v>
      </x:c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 t="str">
        <x:v>XGBoost 正式調參</x:v>
      </x:c>
      <x:c r="B117" s="407" t="str">
        <x:v>純容量排名</x:v>
      </x:c>
      <x:c r="C117" s="407" t="n">
        <x:v>15</x:v>
      </x:c>
      <x:c r="D117" s="407" t="str">
        <x:v>缺車</x:v>
      </x:c>
      <x:c r="E117" s="407" t="n">
        <x:v>8854</x:v>
      </x:c>
      <x:c r="F117" s="407" t="n">
        <x:v>1842</x:v>
      </x:c>
      <x:c r="G117" s="407" t="n">
        <x:v>642</x:v>
      </x:c>
      <x:c r="H117" s="415" t="n">
        <x:v>0.07250960018070929</x:v>
      </x:c>
      <x:c r="I117" s="415" t="n">
        <x:v>0.3485342019543974</x:v>
      </x:c>
      <x:c r="J117" s="407" t="n">
        <x:v>1616</x:v>
      </x:c>
      <x:c r="K117" s="407" t="n">
        <x:v>642</x:v>
      </x:c>
      <x:c r="L117" s="415" t="n">
        <x:v>0.3972772277227723</x:v>
      </x:c>
      <x:c r="M117" s="407" t="str">
        <x:v>xgboost_tuned_fixed_capacity_k15_r3</x:v>
      </x:c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 t="str">
        <x:v>XGBoost 正式調參</x:v>
      </x:c>
      <x:c r="B118" s="407" t="str">
        <x:v>純容量排名</x:v>
      </x:c>
      <x:c r="C118" s="407" t="n">
        <x:v>15</x:v>
      </x:c>
      <x:c r="D118" s="407" t="str">
        <x:v>滿柱</x:v>
      </x:c>
      <x:c r="E118" s="407" t="n">
        <x:v>1484</x:v>
      </x:c>
      <x:c r="F118" s="407" t="n">
        <x:v>468</x:v>
      </x:c>
      <x:c r="G118" s="407" t="n">
        <x:v>120</x:v>
      </x:c>
      <x:c r="H118" s="415" t="n">
        <x:v>0.08086253369272237</x:v>
      </x:c>
      <x:c r="I118" s="415" t="n">
        <x:v>0.2564102564102564</x:v>
      </x:c>
      <x:c r="J118" s="407" t="n">
        <x:v>383</x:v>
      </x:c>
      <x:c r="K118" s="407" t="n">
        <x:v>120</x:v>
      </x:c>
      <x:c r="L118" s="415" t="n">
        <x:v>0.3133159268929504</x:v>
      </x:c>
      <x:c r="M118" s="407" t="str">
        <x:v>xgboost_tuned_fixed_capacity_k15_r3</x:v>
      </x:c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 t="str">
        <x:v>XGBoost 正式調參</x:v>
      </x:c>
      <x:c r="B119" s="407" t="str">
        <x:v>純容量排名</x:v>
      </x:c>
      <x:c r="C119" s="407" t="n">
        <x:v>20</x:v>
      </x:c>
      <x:c r="D119" s="407" t="str">
        <x:v>缺車</x:v>
      </x:c>
      <x:c r="E119" s="407" t="n">
        <x:v>8854</x:v>
      </x:c>
      <x:c r="F119" s="407" t="n">
        <x:v>2454</x:v>
      </x:c>
      <x:c r="G119" s="407" t="n">
        <x:v>837</x:v>
      </x:c>
      <x:c r="H119" s="415" t="n">
        <x:v>0.09453354416083126</x:v>
      </x:c>
      <x:c r="I119" s="415" t="n">
        <x:v>0.3410757946210269</x:v>
      </x:c>
      <x:c r="J119" s="407" t="n">
        <x:v>2105</x:v>
      </x:c>
      <x:c r="K119" s="407" t="n">
        <x:v>837</x:v>
      </x:c>
      <x:c r="L119" s="415" t="n">
        <x:v>0.397624703087886</x:v>
      </x:c>
      <x:c r="M119" s="407" t="str">
        <x:v>xgboost_tuned_fixed_capacity_k20_r4</x:v>
      </x:c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 t="str">
        <x:v>XGBoost 正式調參</x:v>
      </x:c>
      <x:c r="B120" s="407" t="str">
        <x:v>純容量排名</x:v>
      </x:c>
      <x:c r="C120" s="407" t="n">
        <x:v>20</x:v>
      </x:c>
      <x:c r="D120" s="407" t="str">
        <x:v>滿柱</x:v>
      </x:c>
      <x:c r="E120" s="407" t="n">
        <x:v>1484</x:v>
      </x:c>
      <x:c r="F120" s="407" t="n">
        <x:v>626</x:v>
      </x:c>
      <x:c r="G120" s="407" t="n">
        <x:v>149</x:v>
      </x:c>
      <x:c r="H120" s="415" t="n">
        <x:v>0.10040431266846361</x:v>
      </x:c>
      <x:c r="I120" s="415" t="n">
        <x:v>0.2380191693290735</x:v>
      </x:c>
      <x:c r="J120" s="407" t="n">
        <x:v>512</x:v>
      </x:c>
      <x:c r="K120" s="407" t="n">
        <x:v>149</x:v>
      </x:c>
      <x:c r="L120" s="415" t="n">
        <x:v>0.291015625</x:v>
      </x:c>
      <x:c r="M120" s="407" t="str">
        <x:v>xgboost_tuned_fixed_capacity_k20_r4</x:v>
      </x:c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 t="str">
        <x:v>XGBoost 正式調參</x:v>
      </x:c>
      <x:c r="B121" s="407" t="str">
        <x:v>純容量排名</x:v>
      </x:c>
      <x:c r="C121" s="407" t="n">
        <x:v>25</x:v>
      </x:c>
      <x:c r="D121" s="407" t="str">
        <x:v>缺車</x:v>
      </x:c>
      <x:c r="E121" s="407" t="n">
        <x:v>8854</x:v>
      </x:c>
      <x:c r="F121" s="407" t="n">
        <x:v>3066</x:v>
      </x:c>
      <x:c r="G121" s="407" t="n">
        <x:v>1023</x:v>
      </x:c>
      <x:c r="H121" s="415" t="n">
        <x:v>0.11554099841879377</x:v>
      </x:c>
      <x:c r="I121" s="415" t="n">
        <x:v>0.3336594911937378</x:v>
      </x:c>
      <x:c r="J121" s="407" t="n">
        <x:v>2610</x:v>
      </x:c>
      <x:c r="K121" s="407" t="n">
        <x:v>1023</x:v>
      </x:c>
      <x:c r="L121" s="415" t="n">
        <x:v>0.39195402298850573</x:v>
      </x:c>
      <x:c r="M121" s="407" t="str">
        <x:v>xgboost_tuned_fixed_capacity_k25_r5</x:v>
      </x:c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 t="str">
        <x:v>XGBoost 正式調參</x:v>
      </x:c>
      <x:c r="B122" s="407" t="str">
        <x:v>純容量排名</x:v>
      </x:c>
      <x:c r="C122" s="407" t="n">
        <x:v>25</x:v>
      </x:c>
      <x:c r="D122" s="407" t="str">
        <x:v>滿柱</x:v>
      </x:c>
      <x:c r="E122" s="407" t="n">
        <x:v>1484</x:v>
      </x:c>
      <x:c r="F122" s="407" t="n">
        <x:v>784</x:v>
      </x:c>
      <x:c r="G122" s="407" t="n">
        <x:v>177</x:v>
      </x:c>
      <x:c r="H122" s="415" t="n">
        <x:v>0.1192722371967655</x:v>
      </x:c>
      <x:c r="I122" s="415" t="n">
        <x:v>0.22576530612244897</x:v>
      </x:c>
      <x:c r="J122" s="407" t="n">
        <x:v>622</x:v>
      </x:c>
      <x:c r="K122" s="407" t="n">
        <x:v>177</x:v>
      </x:c>
      <x:c r="L122" s="415" t="n">
        <x:v>0.2845659163987138</x:v>
      </x:c>
      <x:c r="M122" s="407" t="str">
        <x:v>xgboost_tuned_fixed_capacity_k25_r5</x:v>
      </x:c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 t="str">
        <x:v>XGBoost 正式調參</x:v>
      </x:c>
      <x:c r="B123" s="407" t="str">
        <x:v>可部署門檻+Top-K</x:v>
      </x:c>
      <x:c r="C123" s="407" t="n">
        <x:v>10</x:v>
      </x:c>
      <x:c r="D123" s="407" t="str">
        <x:v>缺車</x:v>
      </x:c>
      <x:c r="E123" s="407" t="n">
        <x:v>8854</x:v>
      </x:c>
      <x:c r="F123" s="407" t="n">
        <x:v>756</x:v>
      </x:c>
      <x:c r="G123" s="407" t="n">
        <x:v>329</x:v>
      </x:c>
      <x:c r="H123" s="415" t="n">
        <x:v>0.037158346510051954</x:v>
      </x:c>
      <x:c r="I123" s="415" t="n">
        <x:v>0.4351851851851852</x:v>
      </x:c>
      <x:c r="J123" s="407" t="n">
        <x:v>686</x:v>
      </x:c>
      <x:c r="K123" s="407" t="n">
        <x:v>329</x:v>
      </x:c>
      <x:c r="L123" s="415" t="n">
        <x:v>0.47959183673469385</x:v>
      </x:c>
      <x:c r="M123" s="407" t="str">
        <x:v>xgboost_tuned_deployable_floors_k10_r2</x:v>
      </x:c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 t="str">
        <x:v>XGBoost 正式調參</x:v>
      </x:c>
      <x:c r="B124" s="407" t="str">
        <x:v>可部署門檻+Top-K</x:v>
      </x:c>
      <x:c r="C124" s="407" t="n">
        <x:v>10</x:v>
      </x:c>
      <x:c r="D124" s="407" t="str">
        <x:v>滿柱</x:v>
      </x:c>
      <x:c r="E124" s="407" t="n">
        <x:v>1484</x:v>
      </x:c>
      <x:c r="F124" s="407" t="n">
        <x:v>314</x:v>
      </x:c>
      <x:c r="G124" s="407" t="n">
        <x:v>92</x:v>
      </x:c>
      <x:c r="H124" s="415" t="n">
        <x:v>0.06199460916442048</x:v>
      </x:c>
      <x:c r="I124" s="415" t="n">
        <x:v>0.2929936305732484</x:v>
      </x:c>
      <x:c r="J124" s="407" t="n">
        <x:v>268</x:v>
      </x:c>
      <x:c r="K124" s="407" t="n">
        <x:v>92</x:v>
      </x:c>
      <x:c r="L124" s="415" t="n">
        <x:v>0.34328358208955223</x:v>
      </x:c>
      <x:c r="M124" s="407" t="str">
        <x:v>xgboost_tuned_deployable_floors_k10_r2</x:v>
      </x:c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 t="str">
        <x:v>XGBoost 正式調參</x:v>
      </x:c>
      <x:c r="B125" s="407" t="str">
        <x:v>可部署門檻+Top-K</x:v>
      </x:c>
      <x:c r="C125" s="407" t="n">
        <x:v>15</x:v>
      </x:c>
      <x:c r="D125" s="407" t="str">
        <x:v>缺車</x:v>
      </x:c>
      <x:c r="E125" s="407" t="n">
        <x:v>8854</x:v>
      </x:c>
      <x:c r="F125" s="407" t="n">
        <x:v>976</x:v>
      </x:c>
      <x:c r="G125" s="407" t="n">
        <x:v>433</x:v>
      </x:c>
      <x:c r="H125" s="415" t="n">
        <x:v>0.04890444996611701</x:v>
      </x:c>
      <x:c r="I125" s="415" t="n">
        <x:v>0.44364754098360654</x:v>
      </x:c>
      <x:c r="J125" s="407" t="n">
        <x:v>879</x:v>
      </x:c>
      <x:c r="K125" s="407" t="n">
        <x:v>433</x:v>
      </x:c>
      <x:c r="L125" s="415" t="n">
        <x:v>0.4926052332195677</x:v>
      </x:c>
      <x:c r="M125" s="407" t="str">
        <x:v>xgboost_tuned_deployable_floors_k15_r3</x:v>
      </x:c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 t="str">
        <x:v>XGBoost 正式調參</x:v>
      </x:c>
      <x:c r="B126" s="407" t="str">
        <x:v>可部署門檻+Top-K</x:v>
      </x:c>
      <x:c r="C126" s="407" t="n">
        <x:v>15</x:v>
      </x:c>
      <x:c r="D126" s="407" t="str">
        <x:v>滿柱</x:v>
      </x:c>
      <x:c r="E126" s="407" t="n">
        <x:v>1484</x:v>
      </x:c>
      <x:c r="F126" s="407" t="n">
        <x:v>395</x:v>
      </x:c>
      <x:c r="G126" s="407" t="n">
        <x:v>115</x:v>
      </x:c>
      <x:c r="H126" s="415" t="n">
        <x:v>0.07749326145552561</x:v>
      </x:c>
      <x:c r="I126" s="415" t="n">
        <x:v>0.2911392405063291</x:v>
      </x:c>
      <x:c r="J126" s="407" t="n">
        <x:v>330</x:v>
      </x:c>
      <x:c r="K126" s="407" t="n">
        <x:v>115</x:v>
      </x:c>
      <x:c r="L126" s="415" t="n">
        <x:v>0.3484848484848485</x:v>
      </x:c>
      <x:c r="M126" s="407" t="str">
        <x:v>xgboost_tuned_deployable_floors_k15_r3</x:v>
      </x:c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 t="str">
        <x:v>XGBoost 正式調參</x:v>
      </x:c>
      <x:c r="B127" s="407" t="str">
        <x:v>可部署門檻+Top-K</x:v>
      </x:c>
      <x:c r="C127" s="407" t="n">
        <x:v>20</x:v>
      </x:c>
      <x:c r="D127" s="407" t="str">
        <x:v>缺車</x:v>
      </x:c>
      <x:c r="E127" s="407" t="n">
        <x:v>8854</x:v>
      </x:c>
      <x:c r="F127" s="407" t="n">
        <x:v>1160</x:v>
      </x:c>
      <x:c r="G127" s="407" t="n">
        <x:v>528</x:v>
      </x:c>
      <x:c r="H127" s="415" t="n">
        <x:v>0.05963406370002259</x:v>
      </x:c>
      <x:c r="I127" s="415" t="n">
        <x:v>0.45517241379310347</x:v>
      </x:c>
      <x:c r="J127" s="407" t="n">
        <x:v>1043</x:v>
      </x:c>
      <x:c r="K127" s="407" t="n">
        <x:v>528</x:v>
      </x:c>
      <x:c r="L127" s="415" t="n">
        <x:v>0.5062320230105465</x:v>
      </x:c>
      <x:c r="M127" s="407" t="str">
        <x:v>xgboost_tuned_deployable_floors_k20_r4</x:v>
      </x:c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 t="str">
        <x:v>XGBoost 正式調參</x:v>
      </x:c>
      <x:c r="B128" s="407" t="str">
        <x:v>可部署門檻+Top-K</x:v>
      </x:c>
      <x:c r="C128" s="407" t="n">
        <x:v>20</x:v>
      </x:c>
      <x:c r="D128" s="407" t="str">
        <x:v>滿柱</x:v>
      </x:c>
      <x:c r="E128" s="407" t="n">
        <x:v>1484</x:v>
      </x:c>
      <x:c r="F128" s="407" t="n">
        <x:v>423</x:v>
      </x:c>
      <x:c r="G128" s="407" t="n">
        <x:v>121</x:v>
      </x:c>
      <x:c r="H128" s="415" t="n">
        <x:v>0.08153638814016173</x:v>
      </x:c>
      <x:c r="I128" s="415" t="n">
        <x:v>0.2860520094562648</x:v>
      </x:c>
      <x:c r="J128" s="407" t="n">
        <x:v>351</x:v>
      </x:c>
      <x:c r="K128" s="407" t="n">
        <x:v>121</x:v>
      </x:c>
      <x:c r="L128" s="415" t="n">
        <x:v>0.34472934472934474</x:v>
      </x:c>
      <x:c r="M128" s="407" t="str">
        <x:v>xgboost_tuned_deployable_floors_k20_r4</x:v>
      </x:c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 t="str">
        <x:v>XGBoost 正式調參</x:v>
      </x:c>
      <x:c r="B129" s="407" t="str">
        <x:v>可部署門檻+Top-K</x:v>
      </x:c>
      <x:c r="C129" s="407" t="n">
        <x:v>25</x:v>
      </x:c>
      <x:c r="D129" s="407" t="str">
        <x:v>缺車</x:v>
      </x:c>
      <x:c r="E129" s="407" t="n">
        <x:v>8854</x:v>
      </x:c>
      <x:c r="F129" s="407" t="n">
        <x:v>1321</x:v>
      </x:c>
      <x:c r="G129" s="407" t="n">
        <x:v>595</x:v>
      </x:c>
      <x:c r="H129" s="415" t="n">
        <x:v>0.06720126496498757</x:v>
      </x:c>
      <x:c r="I129" s="415" t="n">
        <x:v>0.45041635124905377</x:v>
      </x:c>
      <x:c r="J129" s="407" t="n">
        <x:v>1177</x:v>
      </x:c>
      <x:c r="K129" s="407" t="n">
        <x:v>595</x:v>
      </x:c>
      <x:c r="L129" s="415" t="n">
        <x:v>0.5055225148683092</x:v>
      </x:c>
      <x:c r="M129" s="407" t="str">
        <x:v>xgboost_tuned_deployable_floors_k25_r5</x:v>
      </x:c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 t="str">
        <x:v>XGBoost 正式調參</x:v>
      </x:c>
      <x:c r="B130" s="407" t="str">
        <x:v>可部署門檻+Top-K</x:v>
      </x:c>
      <x:c r="C130" s="407" t="n">
        <x:v>25</x:v>
      </x:c>
      <x:c r="D130" s="407" t="str">
        <x:v>滿柱</x:v>
      </x:c>
      <x:c r="E130" s="407" t="n">
        <x:v>1484</x:v>
      </x:c>
      <x:c r="F130" s="407" t="n">
        <x:v>429</x:v>
      </x:c>
      <x:c r="G130" s="407" t="n">
        <x:v>121</x:v>
      </x:c>
      <x:c r="H130" s="415" t="n">
        <x:v>0.08153638814016173</x:v>
      </x:c>
      <x:c r="I130" s="415" t="n">
        <x:v>0.28205128205128205</x:v>
      </x:c>
      <x:c r="J130" s="407" t="n">
        <x:v>354</x:v>
      </x:c>
      <x:c r="K130" s="407" t="n">
        <x:v>121</x:v>
      </x:c>
      <x:c r="L130" s="415" t="n">
        <x:v>0.3418079096045198</x:v>
      </x:c>
      <x:c r="M130" s="407" t="str">
        <x:v>xgboost_tuned_deployable_floors_k25_r5</x:v>
      </x:c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W2"/>
    <x:mergeCell ref="A3:W3"/>
    <x:mergeCell ref="N31:W38"/>
  </x:mergeCells>
  <x:pageMargins left="0.7" right="0.7" top="0.75" bottom="0.75" header="0.3" footer="0.3"/>
  <x:drawing xmlns:r="http://schemas.openxmlformats.org/officeDocument/2006/relationships" r:id="Rc291e791ac7c4def"/>
  <x:tableParts count="2">
    <x:tablePart xmlns:r="http://schemas.openxmlformats.org/officeDocument/2006/relationships" r:id="R012525080c634b03"/>
    <x:tablePart xmlns:r="http://schemas.openxmlformats.org/officeDocument/2006/relationships" r:id="Rb673c61d08d64c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9" customHeight="1">
      <x:c r="A1" s="4" t="str">
        <x:v>每日穩定性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07"/>
      <x:c r="AD2" s="407"/>
      <x:c r="AE2" s="407"/>
      <x:c r="AF2" s="407"/>
      <x:c r="AG2" s="407"/>
    </x:row>
    <x:row r="3" ht="31" customHeight="1">
      <x:c r="A3" s="8" t="str">
        <x:v>CV規則混合候選；44列＝11天×4個K，用日期而非大量站點快照觀察波動。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日期</x:v>
      </x:c>
      <x:c r="B5" s="52" t="str">
        <x:v>K</x:v>
      </x:c>
      <x:c r="C5" s="52" t="str">
        <x:v>行動快照</x:v>
      </x:c>
      <x:c r="D5" s="52" t="str">
        <x:v>快照命中</x:v>
      </x:c>
      <x:c r="E5" s="52" t="str">
        <x:v>Episode</x:v>
      </x:c>
      <x:c r="F5" s="52" t="str">
        <x:v>命中Episode</x:v>
      </x:c>
      <x:c r="G5" s="52" t="str">
        <x:v>未命中Episode</x:v>
      </x:c>
      <x:c r="H5" s="52" t="str">
        <x:v>Episode命中率</x:v>
      </x:c>
      <x:c r="I5" s="52" t="str">
        <x:v>缺車事件</x:v>
      </x:c>
      <x:c r="J5" s="52" t="str">
        <x:v>缺車命中</x:v>
      </x:c>
      <x:c r="K5" s="52" t="str">
        <x:v>缺車召回</x:v>
      </x:c>
      <x:c r="L5" s="52" t="str">
        <x:v>滿柱事件</x:v>
      </x:c>
      <x:c r="M5" s="52" t="str">
        <x:v>滿柱命中</x:v>
      </x:c>
      <x:c r="N5" s="52" t="str">
        <x:v>滿柱召回</x:v>
      </x:c>
      <x:c r="O5" s="52" t="str">
        <x:v>Macro召回</x:v>
      </x:c>
      <x:c r="P5" s="52" t="str">
        <x:v>方法</x:v>
      </x:c>
      <x:c r="Q5" s="52" t="str">
        <x:v>政策</x:v>
      </x:c>
      <x:c r="R5" s="53" t="str">
        <x:v>Policy ID</x:v>
      </x:c>
      <x:c r="S5" s="407"/>
      <x:c r="T5" s="51" t="str">
        <x:v>日期</x:v>
      </x:c>
      <x:c r="U5" s="52" t="str">
        <x:v>K10</x:v>
      </x:c>
      <x:c r="V5" s="52" t="str">
        <x:v>K15</x:v>
      </x:c>
      <x:c r="W5" s="52" t="str">
        <x:v>K20</x:v>
      </x:c>
      <x:c r="X5" s="53" t="str">
        <x:v>K25</x:v>
      </x:c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18" t="n">
        <x:v>46163</x:v>
      </x:c>
      <x:c r="B6" s="407" t="n">
        <x:v>10</x:v>
      </x:c>
      <x:c r="C6" s="407" t="n">
        <x:v>126</x:v>
      </x:c>
      <x:c r="D6" s="407" t="n">
        <x:v>57</x:v>
      </x:c>
      <x:c r="E6" s="407" t="n">
        <x:v>109</x:v>
      </x:c>
      <x:c r="F6" s="407" t="n">
        <x:v>57</x:v>
      </x:c>
      <x:c r="G6" s="407" t="n">
        <x:v>52</x:v>
      </x:c>
      <x:c r="H6" s="415" t="n">
        <x:v>0.5229357798165137</x:v>
      </x:c>
      <x:c r="I6" s="407" t="n">
        <x:v>918</x:v>
      </x:c>
      <x:c r="J6" s="407" t="n">
        <x:v>43</x:v>
      </x:c>
      <x:c r="K6" s="415" t="n">
        <x:v>0.046840958605664486</x:v>
      </x:c>
      <x:c r="L6" s="407" t="n">
        <x:v>168</x:v>
      </x:c>
      <x:c r="M6" s="407" t="n">
        <x:v>14</x:v>
      </x:c>
      <x:c r="N6" s="415" t="n">
        <x:v>0.08333333333333333</x:v>
      </x:c>
      <x:c r="O6" s="415" t="n">
        <x:v>0.06508714596949891</x:v>
      </x:c>
      <x:c r="P6" s="407" t="str">
        <x:v>跨模型混合（CV規則）</x:v>
      </x:c>
      <x:c r="Q6" s="407" t="str">
        <x:v>可部署門檻+Top-K</x:v>
      </x:c>
      <x:c r="R6" s="407" t="str">
        <x:v>hybrid_champion_deployable_floors_k10_r2</x:v>
      </x:c>
      <x:c r="S6" s="407"/>
      <x:c r="T6" s="407" t="str">
        <x:f>"05/21"</x:f>
        <x:v>05/21</x:v>
      </x:c>
      <x:c r="U6" s="407" t="n">
        <x:f>O6</x:f>
        <x:v>0.06508714596949891</x:v>
      </x:c>
      <x:c r="V6" s="407" t="n">
        <x:f>O7</x:f>
        <x:v>0.08868269530034237</x:v>
      </x:c>
      <x:c r="W6" s="407" t="n">
        <x:f>O8</x:f>
        <x:v>0.1041472144413321</x:v>
      </x:c>
      <x:c r="X6" s="407" t="n">
        <x:f>O9</x:f>
        <x:v>0.11420401493930907</x:v>
      </x:c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18" t="n">
        <x:v>46163</x:v>
      </x:c>
      <x:c r="B7" s="407" t="n">
        <x:v>15</x:v>
      </x:c>
      <x:c r="C7" s="407" t="n">
        <x:v>176</x:v>
      </x:c>
      <x:c r="D7" s="407" t="n">
        <x:v>78</x:v>
      </x:c>
      <x:c r="E7" s="407" t="n">
        <x:v>150</x:v>
      </x:c>
      <x:c r="F7" s="407" t="n">
        <x:v>78</x:v>
      </x:c>
      <x:c r="G7" s="407" t="n">
        <x:v>72</x:v>
      </x:c>
      <x:c r="H7" s="415" t="n">
        <x:v>0.52</x:v>
      </x:c>
      <x:c r="I7" s="407" t="n">
        <x:v>918</x:v>
      </x:c>
      <x:c r="J7" s="407" t="n">
        <x:v>59</x:v>
      </x:c>
      <x:c r="K7" s="415" t="n">
        <x:v>0.06427015250544663</x:v>
      </x:c>
      <x:c r="L7" s="407" t="n">
        <x:v>168</x:v>
      </x:c>
      <x:c r="M7" s="407" t="n">
        <x:v>19</x:v>
      </x:c>
      <x:c r="N7" s="415" t="n">
        <x:v>0.1130952380952381</x:v>
      </x:c>
      <x:c r="O7" s="415" t="n">
        <x:v>0.08868269530034237</x:v>
      </x:c>
      <x:c r="P7" s="407" t="str">
        <x:v>跨模型混合（CV規則）</x:v>
      </x:c>
      <x:c r="Q7" s="407" t="str">
        <x:v>可部署門檻+Top-K</x:v>
      </x:c>
      <x:c r="R7" s="407" t="str">
        <x:v>hybrid_champion_deployable_floors_k15_r3</x:v>
      </x:c>
      <x:c r="S7" s="407"/>
      <x:c r="T7" s="407" t="str">
        <x:f>"05/22"</x:f>
        <x:v>05/22</x:v>
      </x:c>
      <x:c r="U7" s="407" t="n">
        <x:f>O10</x:f>
        <x:v>0.05456842503513133</x:v>
      </x:c>
      <x:c r="V7" s="407" t="n">
        <x:f>O11</x:f>
        <x:v>0.07260363744460058</x:v>
      </x:c>
      <x:c r="W7" s="407" t="n">
        <x:f>O12</x:f>
        <x:v>0.08541981947897524</x:v>
      </x:c>
      <x:c r="X7" s="407" t="n">
        <x:f>O13</x:f>
        <x:v>0.09195965301048535</x:v>
      </x:c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18" t="n">
        <x:v>46163</x:v>
      </x:c>
      <x:c r="B8" s="407" t="n">
        <x:v>20</x:v>
      </x:c>
      <x:c r="C8" s="407" t="n">
        <x:v>213</x:v>
      </x:c>
      <x:c r="D8" s="407" t="n">
        <x:v>93</x:v>
      </x:c>
      <x:c r="E8" s="407" t="n">
        <x:v>180</x:v>
      </x:c>
      <x:c r="F8" s="407" t="n">
        <x:v>93</x:v>
      </x:c>
      <x:c r="G8" s="407" t="n">
        <x:v>87</x:v>
      </x:c>
      <x:c r="H8" s="415" t="n">
        <x:v>0.5166666666666667</x:v>
      </x:c>
      <x:c r="I8" s="407" t="n">
        <x:v>918</x:v>
      </x:c>
      <x:c r="J8" s="407" t="n">
        <x:v>71</x:v>
      </x:c>
      <x:c r="K8" s="415" t="n">
        <x:v>0.07734204793028322</x:v>
      </x:c>
      <x:c r="L8" s="407" t="n">
        <x:v>168</x:v>
      </x:c>
      <x:c r="M8" s="407" t="n">
        <x:v>22</x:v>
      </x:c>
      <x:c r="N8" s="415" t="n">
        <x:v>0.13095238095238096</x:v>
      </x:c>
      <x:c r="O8" s="415" t="n">
        <x:v>0.1041472144413321</x:v>
      </x:c>
      <x:c r="P8" s="407" t="str">
        <x:v>跨模型混合（CV規則）</x:v>
      </x:c>
      <x:c r="Q8" s="407" t="str">
        <x:v>可部署門檻+Top-K</x:v>
      </x:c>
      <x:c r="R8" s="407" t="str">
        <x:v>hybrid_champion_deployable_floors_k20_r4</x:v>
      </x:c>
      <x:c r="S8" s="407"/>
      <x:c r="T8" s="407" t="str">
        <x:f>"05/23"</x:f>
        <x:v>05/23</x:v>
      </x:c>
      <x:c r="U8" s="407" t="n">
        <x:f>O14</x:f>
        <x:v>0.02546372239747634</x:v>
      </x:c>
      <x:c r="V8" s="407" t="n">
        <x:f>O15</x:f>
        <x:v>0.02546372239747634</x:v>
      </x:c>
      <x:c r="W8" s="407" t="n">
        <x:f>O16</x:f>
        <x:v>0.02546372239747634</x:v>
      </x:c>
      <x:c r="X8" s="407" t="n">
        <x:f>O17</x:f>
        <x:v>0.02546372239747634</x:v>
      </x:c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18" t="n">
        <x:v>46163</x:v>
      </x:c>
      <x:c r="B9" s="407" t="n">
        <x:v>25</x:v>
      </x:c>
      <x:c r="C9" s="407" t="n">
        <x:v>243</x:v>
      </x:c>
      <x:c r="D9" s="407" t="n">
        <x:v>107</x:v>
      </x:c>
      <x:c r="E9" s="407" t="n">
        <x:v>207</x:v>
      </x:c>
      <x:c r="F9" s="407" t="n">
        <x:v>107</x:v>
      </x:c>
      <x:c r="G9" s="407" t="n">
        <x:v>100</x:v>
      </x:c>
      <x:c r="H9" s="415" t="n">
        <x:v>0.5169082125603864</x:v>
      </x:c>
      <x:c r="I9" s="407" t="n">
        <x:v>918</x:v>
      </x:c>
      <x:c r="J9" s="407" t="n">
        <x:v>84</x:v>
      </x:c>
      <x:c r="K9" s="415" t="n">
        <x:v>0.0915032679738562</x:v>
      </x:c>
      <x:c r="L9" s="407" t="n">
        <x:v>168</x:v>
      </x:c>
      <x:c r="M9" s="407" t="n">
        <x:v>23</x:v>
      </x:c>
      <x:c r="N9" s="415" t="n">
        <x:v>0.13690476190476192</x:v>
      </x:c>
      <x:c r="O9" s="415" t="n">
        <x:v>0.11420401493930907</x:v>
      </x:c>
      <x:c r="P9" s="407" t="str">
        <x:v>跨模型混合（CV規則）</x:v>
      </x:c>
      <x:c r="Q9" s="407" t="str">
        <x:v>可部署門檻+Top-K</x:v>
      </x:c>
      <x:c r="R9" s="407" t="str">
        <x:v>hybrid_champion_deployable_floors_k25_r5</x:v>
      </x:c>
      <x:c r="S9" s="407"/>
      <x:c r="T9" s="407" t="str">
        <x:f>"05/24"</x:f>
        <x:v>05/24</x:v>
      </x:c>
      <x:c r="U9" s="407" t="n">
        <x:f>O18</x:f>
        <x:v>0.03986179867986799</x:v>
      </x:c>
      <x:c r="V9" s="407" t="n">
        <x:f>O19</x:f>
        <x:v>0.03986179867986799</x:v>
      </x:c>
      <x:c r="W9" s="407" t="n">
        <x:f>O20</x:f>
        <x:v>0.03986179867986799</x:v>
      </x:c>
      <x:c r="X9" s="407" t="n">
        <x:f>O21</x:f>
        <x:v>0.03986179867986799</x:v>
      </x:c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18" t="n">
        <x:v>46164</x:v>
      </x:c>
      <x:c r="B10" s="407" t="n">
        <x:v>10</x:v>
      </x:c>
      <x:c r="C10" s="407" t="n">
        <x:v>129</x:v>
      </x:c>
      <x:c r="D10" s="407" t="n">
        <x:v>54</x:v>
      </x:c>
      <x:c r="E10" s="407" t="n">
        <x:v>120</x:v>
      </x:c>
      <x:c r="F10" s="407" t="n">
        <x:v>54</x:v>
      </x:c>
      <x:c r="G10" s="407" t="n">
        <x:v>66</x:v>
      </x:c>
      <x:c r="H10" s="415" t="n">
        <x:v>0.45</x:v>
      </x:c>
      <x:c r="I10" s="407" t="n">
        <x:v>841</x:v>
      </x:c>
      <x:c r="J10" s="407" t="n">
        <x:v>44</x:v>
      </x:c>
      <x:c r="K10" s="415" t="n">
        <x:v>0.052318668252080855</x:v>
      </x:c>
      <x:c r="L10" s="407" t="n">
        <x:v>176</x:v>
      </x:c>
      <x:c r="M10" s="407" t="n">
        <x:v>10</x:v>
      </x:c>
      <x:c r="N10" s="415" t="n">
        <x:v>0.056818181818181816</x:v>
      </x:c>
      <x:c r="O10" s="415" t="n">
        <x:v>0.05456842503513133</x:v>
      </x:c>
      <x:c r="P10" s="407" t="str">
        <x:v>跨模型混合（CV規則）</x:v>
      </x:c>
      <x:c r="Q10" s="407" t="str">
        <x:v>可部署門檻+Top-K</x:v>
      </x:c>
      <x:c r="R10" s="407" t="str">
        <x:v>hybrid_champion_deployable_floors_k10_r2</x:v>
      </x:c>
      <x:c r="S10" s="407"/>
      <x:c r="T10" s="407" t="str">
        <x:f>"05/25"</x:f>
        <x:v>05/25</x:v>
      </x:c>
      <x:c r="U10" s="407" t="n">
        <x:f>O22</x:f>
        <x:v>0.041762441261393876</x:v>
      </x:c>
      <x:c r="V10" s="407" t="n">
        <x:f>O23</x:f>
        <x:v>0.053365792900413295</x:v>
      </x:c>
      <x:c r="W10" s="407" t="n">
        <x:f>O24</x:f>
        <x:v>0.06400668063182925</x:v>
      </x:c>
      <x:c r="X10" s="407" t="n">
        <x:f>O25</x:f>
        <x:v>0.0693002321236483</x:v>
      </x:c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18" t="n">
        <x:v>46164</x:v>
      </x:c>
      <x:c r="B11" s="407" t="n">
        <x:v>15</x:v>
      </x:c>
      <x:c r="C11" s="407" t="n">
        <x:v>182</x:v>
      </x:c>
      <x:c r="D11" s="407" t="n">
        <x:v>73</x:v>
      </x:c>
      <x:c r="E11" s="407" t="n">
        <x:v>166</x:v>
      </x:c>
      <x:c r="F11" s="407" t="n">
        <x:v>73</x:v>
      </x:c>
      <x:c r="G11" s="407" t="n">
        <x:v>93</x:v>
      </x:c>
      <x:c r="H11" s="415" t="n">
        <x:v>0.4397590361445783</x:v>
      </x:c>
      <x:c r="I11" s="407" t="n">
        <x:v>841</x:v>
      </x:c>
      <x:c r="J11" s="407" t="n">
        <x:v>60</x:v>
      </x:c>
      <x:c r="K11" s="415" t="n">
        <x:v>0.0713436385255648</x:v>
      </x:c>
      <x:c r="L11" s="407" t="n">
        <x:v>176</x:v>
      </x:c>
      <x:c r="M11" s="407" t="n">
        <x:v>13</x:v>
      </x:c>
      <x:c r="N11" s="415" t="n">
        <x:v>0.07386363636363637</x:v>
      </x:c>
      <x:c r="O11" s="415" t="n">
        <x:v>0.07260363744460058</x:v>
      </x:c>
      <x:c r="P11" s="407" t="str">
        <x:v>跨模型混合（CV規則）</x:v>
      </x:c>
      <x:c r="Q11" s="407" t="str">
        <x:v>可部署門檻+Top-K</x:v>
      </x:c>
      <x:c r="R11" s="407" t="str">
        <x:v>hybrid_champion_deployable_floors_k15_r3</x:v>
      </x:c>
      <x:c r="S11" s="407"/>
      <x:c r="T11" s="407" t="str">
        <x:f>"05/26"</x:f>
        <x:v>05/26</x:v>
      </x:c>
      <x:c r="U11" s="407" t="n">
        <x:f>O26</x:f>
        <x:v>0.06106648749351006</x:v>
      </x:c>
      <x:c r="V11" s="407" t="n">
        <x:f>O27</x:f>
        <x:v>0.07100372598723391</x:v>
      </x:c>
      <x:c r="W11" s="407" t="n">
        <x:f>O28</x:f>
        <x:v>0.08145252420364658</x:v>
      </x:c>
      <x:c r="X11" s="407" t="n">
        <x:f>O29</x:f>
        <x:v>0.08877469993586415</x:v>
      </x:c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18" t="n">
        <x:v>46164</x:v>
      </x:c>
      <x:c r="B12" s="407" t="n">
        <x:v>20</x:v>
      </x:c>
      <x:c r="C12" s="407" t="n">
        <x:v>216</x:v>
      </x:c>
      <x:c r="D12" s="407" t="n">
        <x:v>87</x:v>
      </x:c>
      <x:c r="E12" s="407" t="n">
        <x:v>197</x:v>
      </x:c>
      <x:c r="F12" s="407" t="n">
        <x:v>87</x:v>
      </x:c>
      <x:c r="G12" s="407" t="n">
        <x:v>110</x:v>
      </x:c>
      <x:c r="H12" s="415" t="n">
        <x:v>0.4416243654822335</x:v>
      </x:c>
      <x:c r="I12" s="407" t="n">
        <x:v>841</x:v>
      </x:c>
      <x:c r="J12" s="407" t="n">
        <x:v>72</x:v>
      </x:c>
      <x:c r="K12" s="415" t="n">
        <x:v>0.08561236623067776</x:v>
      </x:c>
      <x:c r="L12" s="407" t="n">
        <x:v>176</x:v>
      </x:c>
      <x:c r="M12" s="407" t="n">
        <x:v>15</x:v>
      </x:c>
      <x:c r="N12" s="415" t="n">
        <x:v>0.08522727272727272</x:v>
      </x:c>
      <x:c r="O12" s="415" t="n">
        <x:v>0.08541981947897524</x:v>
      </x:c>
      <x:c r="P12" s="407" t="str">
        <x:v>跨模型混合（CV規則）</x:v>
      </x:c>
      <x:c r="Q12" s="407" t="str">
        <x:v>可部署門檻+Top-K</x:v>
      </x:c>
      <x:c r="R12" s="407" t="str">
        <x:v>hybrid_champion_deployable_floors_k20_r4</x:v>
      </x:c>
      <x:c r="S12" s="407"/>
      <x:c r="T12" s="407" t="str">
        <x:f>"05/27"</x:f>
        <x:v>05/27</x:v>
      </x:c>
      <x:c r="U12" s="407" t="n">
        <x:f>O30</x:f>
        <x:v>0.06124047568183437</x:v>
      </x:c>
      <x:c r="V12" s="407" t="n">
        <x:f>O31</x:f>
        <x:v>0.08523819696646015</x:v>
      </x:c>
      <x:c r="W12" s="407" t="n">
        <x:f>O32</x:f>
        <x:v>0.09208081671230571</x:v>
      </x:c>
      <x:c r="X12" s="407" t="n">
        <x:f>O33</x:f>
        <x:v>0.0979459193516019</x:v>
      </x:c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18" t="n">
        <x:v>46164</x:v>
      </x:c>
      <x:c r="B13" s="407" t="n">
        <x:v>25</x:v>
      </x:c>
      <x:c r="C13" s="407" t="n">
        <x:v>240</x:v>
      </x:c>
      <x:c r="D13" s="407" t="n">
        <x:v>98</x:v>
      </x:c>
      <x:c r="E13" s="407" t="n">
        <x:v>216</x:v>
      </x:c>
      <x:c r="F13" s="407" t="n">
        <x:v>98</x:v>
      </x:c>
      <x:c r="G13" s="407" t="n">
        <x:v>118</x:v>
      </x:c>
      <x:c r="H13" s="415" t="n">
        <x:v>0.4537037037037037</x:v>
      </x:c>
      <x:c r="I13" s="407" t="n">
        <x:v>841</x:v>
      </x:c>
      <x:c r="J13" s="407" t="n">
        <x:v>83</x:v>
      </x:c>
      <x:c r="K13" s="415" t="n">
        <x:v>0.09869203329369798</x:v>
      </x:c>
      <x:c r="L13" s="407" t="n">
        <x:v>176</x:v>
      </x:c>
      <x:c r="M13" s="407" t="n">
        <x:v>15</x:v>
      </x:c>
      <x:c r="N13" s="415" t="n">
        <x:v>0.08522727272727272</x:v>
      </x:c>
      <x:c r="O13" s="415" t="n">
        <x:v>0.09195965301048535</x:v>
      </x:c>
      <x:c r="P13" s="407" t="str">
        <x:v>跨模型混合（CV規則）</x:v>
      </x:c>
      <x:c r="Q13" s="407" t="str">
        <x:v>可部署門檻+Top-K</x:v>
      </x:c>
      <x:c r="R13" s="407" t="str">
        <x:v>hybrid_champion_deployable_floors_k25_r5</x:v>
      </x:c>
      <x:c r="S13" s="407"/>
      <x:c r="T13" s="407" t="str">
        <x:f>"05/28"</x:f>
        <x:v>05/28</x:v>
      </x:c>
      <x:c r="U13" s="407" t="n">
        <x:f>O34</x:f>
        <x:v>0.05186387240356083</x:v>
      </x:c>
      <x:c r="V13" s="407" t="n">
        <x:f>O35</x:f>
        <x:v>0.06766815034619189</x:v>
      </x:c>
      <x:c r="W13" s="407" t="n">
        <x:f>O36</x:f>
        <x:v>0.07508654797230466</x:v>
      </x:c>
      <x:c r="X13" s="407" t="n">
        <x:f>O37</x:f>
        <x:v>0.0815158259149357</x:v>
      </x:c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18" t="n">
        <x:v>46165</x:v>
      </x:c>
      <x:c r="B14" s="407" t="n">
        <x:v>10</x:v>
      </x:c>
      <x:c r="C14" s="407" t="n">
        <x:v>61</x:v>
      </x:c>
      <x:c r="D14" s="407" t="n">
        <x:v>16</x:v>
      </x:c>
      <x:c r="E14" s="407" t="n">
        <x:v>50</x:v>
      </x:c>
      <x:c r="F14" s="407" t="n">
        <x:v>16</x:v>
      </x:c>
      <x:c r="G14" s="407" t="n">
        <x:v>34</x:v>
      </x:c>
      <x:c r="H14" s="415" t="n">
        <x:v>0.32</x:v>
      </x:c>
      <x:c r="I14" s="407" t="n">
        <x:v>634</x:v>
      </x:c>
      <x:c r="J14" s="407" t="n">
        <x:v>12</x:v>
      </x:c>
      <x:c r="K14" s="415" t="n">
        <x:v>0.01892744479495268</x:v>
      </x:c>
      <x:c r="L14" s="407" t="n">
        <x:v>125</x:v>
      </x:c>
      <x:c r="M14" s="407" t="n">
        <x:v>4</x:v>
      </x:c>
      <x:c r="N14" s="415" t="n">
        <x:v>0.032</x:v>
      </x:c>
      <x:c r="O14" s="415" t="n">
        <x:v>0.02546372239747634</x:v>
      </x:c>
      <x:c r="P14" s="407" t="str">
        <x:v>跨模型混合（CV規則）</x:v>
      </x:c>
      <x:c r="Q14" s="407" t="str">
        <x:v>可部署門檻+Top-K</x:v>
      </x:c>
      <x:c r="R14" s="407" t="str">
        <x:v>hybrid_champion_deployable_floors_k10_r2</x:v>
      </x:c>
      <x:c r="S14" s="407"/>
      <x:c r="T14" s="407" t="str">
        <x:f>"05/29"</x:f>
        <x:v>05/29</x:v>
      </x:c>
      <x:c r="U14" s="407" t="n">
        <x:f>O38</x:f>
        <x:v>0.04454614797864226</x:v>
      </x:c>
      <x:c r="V14" s="407" t="n">
        <x:f>O39</x:f>
        <x:v>0.060259344012204424</x:v>
      </x:c>
      <x:c r="W14" s="407" t="n">
        <x:f>O40</x:f>
        <x:v>0.07070938215102976</x:v>
      </x:c>
      <x:c r="X14" s="407" t="n">
        <x:f>O41</x:f>
        <x:v>0.07070938215102976</x:v>
      </x:c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18" t="n">
        <x:v>46165</x:v>
      </x:c>
      <x:c r="B15" s="407" t="n">
        <x:v>15</x:v>
      </x:c>
      <x:c r="C15" s="407" t="n">
        <x:v>61</x:v>
      </x:c>
      <x:c r="D15" s="407" t="n">
        <x:v>16</x:v>
      </x:c>
      <x:c r="E15" s="407" t="n">
        <x:v>50</x:v>
      </x:c>
      <x:c r="F15" s="407" t="n">
        <x:v>16</x:v>
      </x:c>
      <x:c r="G15" s="407" t="n">
        <x:v>34</x:v>
      </x:c>
      <x:c r="H15" s="415" t="n">
        <x:v>0.32</x:v>
      </x:c>
      <x:c r="I15" s="407" t="n">
        <x:v>634</x:v>
      </x:c>
      <x:c r="J15" s="407" t="n">
        <x:v>12</x:v>
      </x:c>
      <x:c r="K15" s="415" t="n">
        <x:v>0.01892744479495268</x:v>
      </x:c>
      <x:c r="L15" s="407" t="n">
        <x:v>125</x:v>
      </x:c>
      <x:c r="M15" s="407" t="n">
        <x:v>4</x:v>
      </x:c>
      <x:c r="N15" s="415" t="n">
        <x:v>0.032</x:v>
      </x:c>
      <x:c r="O15" s="415" t="n">
        <x:v>0.02546372239747634</x:v>
      </x:c>
      <x:c r="P15" s="407" t="str">
        <x:v>跨模型混合（CV規則）</x:v>
      </x:c>
      <x:c r="Q15" s="407" t="str">
        <x:v>可部署門檻+Top-K</x:v>
      </x:c>
      <x:c r="R15" s="407" t="str">
        <x:v>hybrid_champion_deployable_floors_k15_r3</x:v>
      </x:c>
      <x:c r="S15" s="407"/>
      <x:c r="T15" s="407" t="str">
        <x:f>"05/30"</x:f>
        <x:v>05/30</x:v>
      </x:c>
      <x:c r="U15" s="407" t="n">
        <x:f>O42</x:f>
        <x:v>0.04617957293542578</x:v>
      </x:c>
      <x:c r="V15" s="407" t="n">
        <x:f>O43</x:f>
        <x:v>0.04617957293542578</x:v>
      </x:c>
      <x:c r="W15" s="407" t="n">
        <x:f>O44</x:f>
        <x:v>0.04617957293542578</x:v>
      </x:c>
      <x:c r="X15" s="407" t="n">
        <x:f>O45</x:f>
        <x:v>0.04617957293542578</x:v>
      </x:c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18" t="n">
        <x:v>46165</x:v>
      </x:c>
      <x:c r="B16" s="407" t="n">
        <x:v>20</x:v>
      </x:c>
      <x:c r="C16" s="407" t="n">
        <x:v>61</x:v>
      </x:c>
      <x:c r="D16" s="407" t="n">
        <x:v>16</x:v>
      </x:c>
      <x:c r="E16" s="407" t="n">
        <x:v>50</x:v>
      </x:c>
      <x:c r="F16" s="407" t="n">
        <x:v>16</x:v>
      </x:c>
      <x:c r="G16" s="407" t="n">
        <x:v>34</x:v>
      </x:c>
      <x:c r="H16" s="415" t="n">
        <x:v>0.32</x:v>
      </x:c>
      <x:c r="I16" s="407" t="n">
        <x:v>634</x:v>
      </x:c>
      <x:c r="J16" s="407" t="n">
        <x:v>12</x:v>
      </x:c>
      <x:c r="K16" s="415" t="n">
        <x:v>0.01892744479495268</x:v>
      </x:c>
      <x:c r="L16" s="407" t="n">
        <x:v>125</x:v>
      </x:c>
      <x:c r="M16" s="407" t="n">
        <x:v>4</x:v>
      </x:c>
      <x:c r="N16" s="415" t="n">
        <x:v>0.032</x:v>
      </x:c>
      <x:c r="O16" s="415" t="n">
        <x:v>0.02546372239747634</x:v>
      </x:c>
      <x:c r="P16" s="407" t="str">
        <x:v>跨模型混合（CV規則）</x:v>
      </x:c>
      <x:c r="Q16" s="407" t="str">
        <x:v>可部署門檻+Top-K</x:v>
      </x:c>
      <x:c r="R16" s="407" t="str">
        <x:v>hybrid_champion_deployable_floors_k20_r4</x:v>
      </x:c>
      <x:c r="S16" s="407"/>
      <x:c r="T16" s="407" t="str">
        <x:f>"05/31"</x:f>
        <x:v>05/31</x:v>
      </x:c>
      <x:c r="U16" s="407" t="n">
        <x:f>O46</x:f>
        <x:v>0.047522564008104624</x:v>
      </x:c>
      <x:c r="V16" s="407" t="n">
        <x:f>O47</x:f>
        <x:v>0.047522564008104624</x:v>
      </x:c>
      <x:c r="W16" s="407" t="n">
        <x:f>O48</x:f>
        <x:v>0.047522564008104624</x:v>
      </x:c>
      <x:c r="X16" s="407" t="n">
        <x:f>O49</x:f>
        <x:v>0.047522564008104624</x:v>
      </x:c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18" t="n">
        <x:v>46165</x:v>
      </x:c>
      <x:c r="B17" s="407" t="n">
        <x:v>25</x:v>
      </x:c>
      <x:c r="C17" s="407" t="n">
        <x:v>61</x:v>
      </x:c>
      <x:c r="D17" s="407" t="n">
        <x:v>16</x:v>
      </x:c>
      <x:c r="E17" s="407" t="n">
        <x:v>50</x:v>
      </x:c>
      <x:c r="F17" s="407" t="n">
        <x:v>16</x:v>
      </x:c>
      <x:c r="G17" s="407" t="n">
        <x:v>34</x:v>
      </x:c>
      <x:c r="H17" s="415" t="n">
        <x:v>0.32</x:v>
      </x:c>
      <x:c r="I17" s="407" t="n">
        <x:v>634</x:v>
      </x:c>
      <x:c r="J17" s="407" t="n">
        <x:v>12</x:v>
      </x:c>
      <x:c r="K17" s="415" t="n">
        <x:v>0.01892744479495268</x:v>
      </x:c>
      <x:c r="L17" s="407" t="n">
        <x:v>125</x:v>
      </x:c>
      <x:c r="M17" s="407" t="n">
        <x:v>4</x:v>
      </x:c>
      <x:c r="N17" s="415" t="n">
        <x:v>0.032</x:v>
      </x:c>
      <x:c r="O17" s="415" t="n">
        <x:v>0.02546372239747634</x:v>
      </x:c>
      <x:c r="P17" s="407" t="str">
        <x:v>跨模型混合（CV規則）</x:v>
      </x:c>
      <x:c r="Q17" s="407" t="str">
        <x:v>可部署門檻+Top-K</x:v>
      </x:c>
      <x:c r="R17" s="407" t="str">
        <x:v>hybrid_champion_deployable_floors_k25_r5</x:v>
      </x:c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18" t="n">
        <x:v>46166</x:v>
      </x:c>
      <x:c r="B18" s="407" t="n">
        <x:v>10</x:v>
      </x:c>
      <x:c r="C18" s="407" t="n">
        <x:v>59</x:v>
      </x:c>
      <x:c r="D18" s="407" t="n">
        <x:v>13</x:v>
      </x:c>
      <x:c r="E18" s="407" t="n">
        <x:v>50</x:v>
      </x:c>
      <x:c r="F18" s="407" t="n">
        <x:v>13</x:v>
      </x:c>
      <x:c r="G18" s="407" t="n">
        <x:v>37</x:v>
      </x:c>
      <x:c r="H18" s="415" t="n">
        <x:v>0.26</x:v>
      </x:c>
      <x:c r="I18" s="407" t="n">
        <x:v>576</x:v>
      </x:c>
      <x:c r="J18" s="407" t="n">
        <x:v>6</x:v>
      </x:c>
      <x:c r="K18" s="415" t="n">
        <x:v>0.010416666666666666</x:v>
      </x:c>
      <x:c r="L18" s="407" t="n">
        <x:v>101</x:v>
      </x:c>
      <x:c r="M18" s="407" t="n">
        <x:v>7</x:v>
      </x:c>
      <x:c r="N18" s="415" t="n">
        <x:v>0.06930693069306931</x:v>
      </x:c>
      <x:c r="O18" s="415" t="n">
        <x:v>0.03986179867986799</x:v>
      </x:c>
      <x:c r="P18" s="407" t="str">
        <x:v>跨模型混合（CV規則）</x:v>
      </x:c>
      <x:c r="Q18" s="407" t="str">
        <x:v>可部署門檻+Top-K</x:v>
      </x:c>
      <x:c r="R18" s="407" t="str">
        <x:v>hybrid_champion_deployable_floors_k10_r2</x:v>
      </x:c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18" t="n">
        <x:v>46166</x:v>
      </x:c>
      <x:c r="B19" s="407" t="n">
        <x:v>15</x:v>
      </x:c>
      <x:c r="C19" s="407" t="n">
        <x:v>61</x:v>
      </x:c>
      <x:c r="D19" s="407" t="n">
        <x:v>13</x:v>
      </x:c>
      <x:c r="E19" s="407" t="n">
        <x:v>52</x:v>
      </x:c>
      <x:c r="F19" s="407" t="n">
        <x:v>13</x:v>
      </x:c>
      <x:c r="G19" s="407" t="n">
        <x:v>39</x:v>
      </x:c>
      <x:c r="H19" s="415" t="n">
        <x:v>0.25</x:v>
      </x:c>
      <x:c r="I19" s="407" t="n">
        <x:v>576</x:v>
      </x:c>
      <x:c r="J19" s="407" t="n">
        <x:v>6</x:v>
      </x:c>
      <x:c r="K19" s="415" t="n">
        <x:v>0.010416666666666666</x:v>
      </x:c>
      <x:c r="L19" s="407" t="n">
        <x:v>101</x:v>
      </x:c>
      <x:c r="M19" s="407" t="n">
        <x:v>7</x:v>
      </x:c>
      <x:c r="N19" s="415" t="n">
        <x:v>0.06930693069306931</x:v>
      </x:c>
      <x:c r="O19" s="415" t="n">
        <x:v>0.03986179867986799</x:v>
      </x:c>
      <x:c r="P19" s="407" t="str">
        <x:v>跨模型混合（CV規則）</x:v>
      </x:c>
      <x:c r="Q19" s="407" t="str">
        <x:v>可部署門檻+Top-K</x:v>
      </x:c>
      <x:c r="R19" s="407" t="str">
        <x:v>hybrid_champion_deployable_floors_k15_r3</x:v>
      </x:c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18" t="n">
        <x:v>46166</x:v>
      </x:c>
      <x:c r="B20" s="407" t="n">
        <x:v>20</x:v>
      </x:c>
      <x:c r="C20" s="407" t="n">
        <x:v>61</x:v>
      </x:c>
      <x:c r="D20" s="407" t="n">
        <x:v>13</x:v>
      </x:c>
      <x:c r="E20" s="407" t="n">
        <x:v>52</x:v>
      </x:c>
      <x:c r="F20" s="407" t="n">
        <x:v>13</x:v>
      </x:c>
      <x:c r="G20" s="407" t="n">
        <x:v>39</x:v>
      </x:c>
      <x:c r="H20" s="415" t="n">
        <x:v>0.25</x:v>
      </x:c>
      <x:c r="I20" s="407" t="n">
        <x:v>576</x:v>
      </x:c>
      <x:c r="J20" s="407" t="n">
        <x:v>6</x:v>
      </x:c>
      <x:c r="K20" s="415" t="n">
        <x:v>0.010416666666666666</x:v>
      </x:c>
      <x:c r="L20" s="407" t="n">
        <x:v>101</x:v>
      </x:c>
      <x:c r="M20" s="407" t="n">
        <x:v>7</x:v>
      </x:c>
      <x:c r="N20" s="415" t="n">
        <x:v>0.06930693069306931</x:v>
      </x:c>
      <x:c r="O20" s="415" t="n">
        <x:v>0.03986179867986799</x:v>
      </x:c>
      <x:c r="P20" s="407" t="str">
        <x:v>跨模型混合（CV規則）</x:v>
      </x:c>
      <x:c r="Q20" s="407" t="str">
        <x:v>可部署門檻+Top-K</x:v>
      </x:c>
      <x:c r="R20" s="407" t="str">
        <x:v>hybrid_champion_deployable_floors_k20_r4</x:v>
      </x:c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18" t="n">
        <x:v>46166</x:v>
      </x:c>
      <x:c r="B21" s="407" t="n">
        <x:v>25</x:v>
      </x:c>
      <x:c r="C21" s="407" t="n">
        <x:v>61</x:v>
      </x:c>
      <x:c r="D21" s="407" t="n">
        <x:v>13</x:v>
      </x:c>
      <x:c r="E21" s="407" t="n">
        <x:v>52</x:v>
      </x:c>
      <x:c r="F21" s="407" t="n">
        <x:v>13</x:v>
      </x:c>
      <x:c r="G21" s="407" t="n">
        <x:v>39</x:v>
      </x:c>
      <x:c r="H21" s="415" t="n">
        <x:v>0.25</x:v>
      </x:c>
      <x:c r="I21" s="407" t="n">
        <x:v>576</x:v>
      </x:c>
      <x:c r="J21" s="407" t="n">
        <x:v>6</x:v>
      </x:c>
      <x:c r="K21" s="415" t="n">
        <x:v>0.010416666666666666</x:v>
      </x:c>
      <x:c r="L21" s="407" t="n">
        <x:v>101</x:v>
      </x:c>
      <x:c r="M21" s="407" t="n">
        <x:v>7</x:v>
      </x:c>
      <x:c r="N21" s="415" t="n">
        <x:v>0.06930693069306931</x:v>
      </x:c>
      <x:c r="O21" s="415" t="n">
        <x:v>0.03986179867986799</x:v>
      </x:c>
      <x:c r="P21" s="407" t="str">
        <x:v>跨模型混合（CV規則）</x:v>
      </x:c>
      <x:c r="Q21" s="407" t="str">
        <x:v>可部署門檻+Top-K</x:v>
      </x:c>
      <x:c r="R21" s="407" t="str">
        <x:v>hybrid_champion_deployable_floors_k25_r5</x:v>
      </x:c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18" t="n">
        <x:v>46167</x:v>
      </x:c>
      <x:c r="B22" s="407" t="n">
        <x:v>10</x:v>
      </x:c>
      <x:c r="C22" s="407" t="n">
        <x:v>129</x:v>
      </x:c>
      <x:c r="D22" s="407" t="n">
        <x:v>51</x:v>
      </x:c>
      <x:c r="E22" s="407" t="n">
        <x:v>114</x:v>
      </x:c>
      <x:c r="F22" s="407" t="n">
        <x:v>51</x:v>
      </x:c>
      <x:c r="G22" s="407" t="n">
        <x:v>63</x:v>
      </x:c>
      <x:c r="H22" s="415" t="n">
        <x:v>0.4473684210526316</x:v>
      </x:c>
      <x:c r="I22" s="407" t="n">
        <x:v>1039</x:v>
      </x:c>
      <x:c r="J22" s="407" t="n">
        <x:v>44</x:v>
      </x:c>
      <x:c r="K22" s="415" t="n">
        <x:v>0.04234841193455245</x:v>
      </x:c>
      <x:c r="L22" s="407" t="n">
        <x:v>170</x:v>
      </x:c>
      <x:c r="M22" s="407" t="n">
        <x:v>7</x:v>
      </x:c>
      <x:c r="N22" s="415" t="n">
        <x:v>0.041176470588235294</x:v>
      </x:c>
      <x:c r="O22" s="415" t="n">
        <x:v>0.041762441261393876</x:v>
      </x:c>
      <x:c r="P22" s="407" t="str">
        <x:v>跨模型混合（CV規則）</x:v>
      </x:c>
      <x:c r="Q22" s="407" t="str">
        <x:v>可部署門檻+Top-K</x:v>
      </x:c>
      <x:c r="R22" s="407" t="str">
        <x:v>hybrid_champion_deployable_floors_k10_r2</x:v>
      </x:c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18" t="n">
        <x:v>46167</x:v>
      </x:c>
      <x:c r="B23" s="407" t="n">
        <x:v>15</x:v>
      </x:c>
      <x:c r="C23" s="407" t="n">
        <x:v>179</x:v>
      </x:c>
      <x:c r="D23" s="407" t="n">
        <x:v>70</x:v>
      </x:c>
      <x:c r="E23" s="407" t="n">
        <x:v>153</x:v>
      </x:c>
      <x:c r="F23" s="407" t="n">
        <x:v>70</x:v>
      </x:c>
      <x:c r="G23" s="407" t="n">
        <x:v>83</x:v>
      </x:c>
      <x:c r="H23" s="415" t="n">
        <x:v>0.45751633986928103</x:v>
      </x:c>
      <x:c r="I23" s="407" t="n">
        <x:v>1039</x:v>
      </x:c>
      <x:c r="J23" s="407" t="n">
        <x:v>62</x:v>
      </x:c>
      <x:c r="K23" s="415" t="n">
        <x:v>0.059672762271414825</x:v>
      </x:c>
      <x:c r="L23" s="407" t="n">
        <x:v>170</x:v>
      </x:c>
      <x:c r="M23" s="407" t="n">
        <x:v>8</x:v>
      </x:c>
      <x:c r="N23" s="415" t="n">
        <x:v>0.047058823529411764</x:v>
      </x:c>
      <x:c r="O23" s="415" t="n">
        <x:v>0.053365792900413295</x:v>
      </x:c>
      <x:c r="P23" s="407" t="str">
        <x:v>跨模型混合（CV規則）</x:v>
      </x:c>
      <x:c r="Q23" s="407" t="str">
        <x:v>可部署門檻+Top-K</x:v>
      </x:c>
      <x:c r="R23" s="407" t="str">
        <x:v>hybrid_champion_deployable_floors_k15_r3</x:v>
      </x:c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18" t="n">
        <x:v>46167</x:v>
      </x:c>
      <x:c r="B24" s="407" t="n">
        <x:v>20</x:v>
      </x:c>
      <x:c r="C24" s="407" t="n">
        <x:v>215</x:v>
      </x:c>
      <x:c r="D24" s="407" t="n">
        <x:v>87</x:v>
      </x:c>
      <x:c r="E24" s="407" t="n">
        <x:v>182</x:v>
      </x:c>
      <x:c r="F24" s="407" t="n">
        <x:v>87</x:v>
      </x:c>
      <x:c r="G24" s="407" t="n">
        <x:v>95</x:v>
      </x:c>
      <x:c r="H24" s="415" t="n">
        <x:v>0.47802197802197804</x:v>
      </x:c>
      <x:c r="I24" s="407" t="n">
        <x:v>1039</x:v>
      </x:c>
      <x:c r="J24" s="407" t="n">
        <x:v>78</x:v>
      </x:c>
      <x:c r="K24" s="415" t="n">
        <x:v>0.07507218479307026</x:v>
      </x:c>
      <x:c r="L24" s="407" t="n">
        <x:v>170</x:v>
      </x:c>
      <x:c r="M24" s="407" t="n">
        <x:v>9</x:v>
      </x:c>
      <x:c r="N24" s="415" t="n">
        <x:v>0.052941176470588235</x:v>
      </x:c>
      <x:c r="O24" s="415" t="n">
        <x:v>0.06400668063182925</x:v>
      </x:c>
      <x:c r="P24" s="407" t="str">
        <x:v>跨模型混合（CV規則）</x:v>
      </x:c>
      <x:c r="Q24" s="407" t="str">
        <x:v>可部署門檻+Top-K</x:v>
      </x:c>
      <x:c r="R24" s="407" t="str">
        <x:v>hybrid_champion_deployable_floors_k20_r4</x:v>
      </x:c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18" t="n">
        <x:v>46167</x:v>
      </x:c>
      <x:c r="B25" s="407" t="n">
        <x:v>25</x:v>
      </x:c>
      <x:c r="C25" s="407" t="n">
        <x:v>245</x:v>
      </x:c>
      <x:c r="D25" s="407" t="n">
        <x:v>98</x:v>
      </x:c>
      <x:c r="E25" s="407" t="n">
        <x:v>207</x:v>
      </x:c>
      <x:c r="F25" s="407" t="n">
        <x:v>98</x:v>
      </x:c>
      <x:c r="G25" s="407" t="n">
        <x:v>109</x:v>
      </x:c>
      <x:c r="H25" s="415" t="n">
        <x:v>0.47342995169082125</x:v>
      </x:c>
      <x:c r="I25" s="407" t="n">
        <x:v>1039</x:v>
      </x:c>
      <x:c r="J25" s="407" t="n">
        <x:v>89</x:v>
      </x:c>
      <x:c r="K25" s="415" t="n">
        <x:v>0.08565928777670838</x:v>
      </x:c>
      <x:c r="L25" s="407" t="n">
        <x:v>170</x:v>
      </x:c>
      <x:c r="M25" s="407" t="n">
        <x:v>9</x:v>
      </x:c>
      <x:c r="N25" s="415" t="n">
        <x:v>0.052941176470588235</x:v>
      </x:c>
      <x:c r="O25" s="415" t="n">
        <x:v>0.0693002321236483</x:v>
      </x:c>
      <x:c r="P25" s="407" t="str">
        <x:v>跨模型混合（CV規則）</x:v>
      </x:c>
      <x:c r="Q25" s="407" t="str">
        <x:v>可部署門檻+Top-K</x:v>
      </x:c>
      <x:c r="R25" s="407" t="str">
        <x:v>hybrid_champion_deployable_floors_k25_r5</x:v>
      </x:c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18" t="n">
        <x:v>46168</x:v>
      </x:c>
      <x:c r="B26" s="407" t="n">
        <x:v>10</x:v>
      </x:c>
      <x:c r="C26" s="407" t="n">
        <x:v>124</x:v>
      </x:c>
      <x:c r="D26" s="407" t="n">
        <x:v>51</x:v>
      </x:c>
      <x:c r="E26" s="407" t="n">
        <x:v>109</x:v>
      </x:c>
      <x:c r="F26" s="407" t="n">
        <x:v>51</x:v>
      </x:c>
      <x:c r="G26" s="407" t="n">
        <x:v>58</x:v>
      </x:c>
      <x:c r="H26" s="415" t="n">
        <x:v>0.46788990825688076</x:v>
      </x:c>
      <x:c r="I26" s="407" t="n">
        <x:v>956</x:v>
      </x:c>
      <x:c r="J26" s="407" t="n">
        <x:v>40</x:v>
      </x:c>
      <x:c r="K26" s="415" t="n">
        <x:v>0.04184100418410042</x:v>
      </x:c>
      <x:c r="L26" s="407" t="n">
        <x:v>137</x:v>
      </x:c>
      <x:c r="M26" s="407" t="n">
        <x:v>11</x:v>
      </x:c>
      <x:c r="N26" s="415" t="n">
        <x:v>0.08029197080291971</x:v>
      </x:c>
      <x:c r="O26" s="415" t="n">
        <x:v>0.06106648749351006</x:v>
      </x:c>
      <x:c r="P26" s="407" t="str">
        <x:v>跨模型混合（CV規則）</x:v>
      </x:c>
      <x:c r="Q26" s="407" t="str">
        <x:v>可部署門檻+Top-K</x:v>
      </x:c>
      <x:c r="R26" s="407" t="str">
        <x:v>hybrid_champion_deployable_floors_k10_r2</x:v>
      </x:c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18" t="n">
        <x:v>46168</x:v>
      </x:c>
      <x:c r="B27" s="407" t="n">
        <x:v>15</x:v>
      </x:c>
      <x:c r="C27" s="407" t="n">
        <x:v>168</x:v>
      </x:c>
      <x:c r="D27" s="407" t="n">
        <x:v>70</x:v>
      </x:c>
      <x:c r="E27" s="407" t="n">
        <x:v>146</x:v>
      </x:c>
      <x:c r="F27" s="407" t="n">
        <x:v>70</x:v>
      </x:c>
      <x:c r="G27" s="407" t="n">
        <x:v>76</x:v>
      </x:c>
      <x:c r="H27" s="415" t="n">
        <x:v>0.4794520547945205</x:v>
      </x:c>
      <x:c r="I27" s="407" t="n">
        <x:v>956</x:v>
      </x:c>
      <x:c r="J27" s="407" t="n">
        <x:v>59</x:v>
      </x:c>
      <x:c r="K27" s="415" t="n">
        <x:v>0.06171548117154812</x:v>
      </x:c>
      <x:c r="L27" s="407" t="n">
        <x:v>137</x:v>
      </x:c>
      <x:c r="M27" s="407" t="n">
        <x:v>11</x:v>
      </x:c>
      <x:c r="N27" s="415" t="n">
        <x:v>0.08029197080291971</x:v>
      </x:c>
      <x:c r="O27" s="415" t="n">
        <x:v>0.07100372598723391</x:v>
      </x:c>
      <x:c r="P27" s="407" t="str">
        <x:v>跨模型混合（CV規則）</x:v>
      </x:c>
      <x:c r="Q27" s="407" t="str">
        <x:v>可部署門檻+Top-K</x:v>
      </x:c>
      <x:c r="R27" s="407" t="str">
        <x:v>hybrid_champion_deployable_floors_k15_r3</x:v>
      </x:c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18" t="n">
        <x:v>46168</x:v>
      </x:c>
      <x:c r="B28" s="407" t="n">
        <x:v>20</x:v>
      </x:c>
      <x:c r="C28" s="407" t="n">
        <x:v>203</x:v>
      </x:c>
      <x:c r="D28" s="407" t="n">
        <x:v>84</x:v>
      </x:c>
      <x:c r="E28" s="407" t="n">
        <x:v>172</x:v>
      </x:c>
      <x:c r="F28" s="407" t="n">
        <x:v>84</x:v>
      </x:c>
      <x:c r="G28" s="407" t="n">
        <x:v>88</x:v>
      </x:c>
      <x:c r="H28" s="415" t="n">
        <x:v>0.4883720930232558</x:v>
      </x:c>
      <x:c r="I28" s="407" t="n">
        <x:v>956</x:v>
      </x:c>
      <x:c r="J28" s="407" t="n">
        <x:v>72</x:v>
      </x:c>
      <x:c r="K28" s="415" t="n">
        <x:v>0.07531380753138076</x:v>
      </x:c>
      <x:c r="L28" s="407" t="n">
        <x:v>137</x:v>
      </x:c>
      <x:c r="M28" s="407" t="n">
        <x:v>12</x:v>
      </x:c>
      <x:c r="N28" s="415" t="n">
        <x:v>0.08759124087591241</x:v>
      </x:c>
      <x:c r="O28" s="415" t="n">
        <x:v>0.08145252420364658</x:v>
      </x:c>
      <x:c r="P28" s="407" t="str">
        <x:v>跨模型混合（CV規則）</x:v>
      </x:c>
      <x:c r="Q28" s="407" t="str">
        <x:v>可部署門檻+Top-K</x:v>
      </x:c>
      <x:c r="R28" s="407" t="str">
        <x:v>hybrid_champion_deployable_floors_k20_r4</x:v>
      </x:c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18" t="n">
        <x:v>46168</x:v>
      </x:c>
      <x:c r="B29" s="407" t="n">
        <x:v>25</x:v>
      </x:c>
      <x:c r="C29" s="407" t="n">
        <x:v>232</x:v>
      </x:c>
      <x:c r="D29" s="407" t="n">
        <x:v>98</x:v>
      </x:c>
      <x:c r="E29" s="407" t="n">
        <x:v>197</x:v>
      </x:c>
      <x:c r="F29" s="407" t="n">
        <x:v>98</x:v>
      </x:c>
      <x:c r="G29" s="407" t="n">
        <x:v>99</x:v>
      </x:c>
      <x:c r="H29" s="415" t="n">
        <x:v>0.49746192893401014</x:v>
      </x:c>
      <x:c r="I29" s="407" t="n">
        <x:v>956</x:v>
      </x:c>
      <x:c r="J29" s="407" t="n">
        <x:v>86</x:v>
      </x:c>
      <x:c r="K29" s="415" t="n">
        <x:v>0.0899581589958159</x:v>
      </x:c>
      <x:c r="L29" s="407" t="n">
        <x:v>137</x:v>
      </x:c>
      <x:c r="M29" s="407" t="n">
        <x:v>12</x:v>
      </x:c>
      <x:c r="N29" s="415" t="n">
        <x:v>0.08759124087591241</x:v>
      </x:c>
      <x:c r="O29" s="415" t="n">
        <x:v>0.08877469993586415</x:v>
      </x:c>
      <x:c r="P29" s="407" t="str">
        <x:v>跨模型混合（CV規則）</x:v>
      </x:c>
      <x:c r="Q29" s="407" t="str">
        <x:v>可部署門檻+Top-K</x:v>
      </x:c>
      <x:c r="R29" s="407" t="str">
        <x:v>hybrid_champion_deployable_floors_k25_r5</x:v>
      </x:c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18" t="n">
        <x:v>46169</x:v>
      </x:c>
      <x:c r="B30" s="407" t="n">
        <x:v>10</x:v>
      </x:c>
      <x:c r="C30" s="407" t="n">
        <x:v>130</x:v>
      </x:c>
      <x:c r="D30" s="407" t="n">
        <x:v>56</x:v>
      </x:c>
      <x:c r="E30" s="407" t="n">
        <x:v>115</x:v>
      </x:c>
      <x:c r="F30" s="407" t="n">
        <x:v>56</x:v>
      </x:c>
      <x:c r="G30" s="407" t="n">
        <x:v>59</x:v>
      </x:c>
      <x:c r="H30" s="415" t="n">
        <x:v>0.48695652173913045</x:v>
      </x:c>
      <x:c r="I30" s="407" t="n">
        <x:v>1023</x:v>
      </x:c>
      <x:c r="J30" s="407" t="n">
        <x:v>44</x:v>
      </x:c>
      <x:c r="K30" s="415" t="n">
        <x:v>0.043010752688172046</x:v>
      </x:c>
      <x:c r="L30" s="407" t="n">
        <x:v>151</x:v>
      </x:c>
      <x:c r="M30" s="407" t="n">
        <x:v>12</x:v>
      </x:c>
      <x:c r="N30" s="415" t="n">
        <x:v>0.07947019867549669</x:v>
      </x:c>
      <x:c r="O30" s="415" t="n">
        <x:v>0.06124047568183437</x:v>
      </x:c>
      <x:c r="P30" s="407" t="str">
        <x:v>跨模型混合（CV規則）</x:v>
      </x:c>
      <x:c r="Q30" s="407" t="str">
        <x:v>可部署門檻+Top-K</x:v>
      </x:c>
      <x:c r="R30" s="407" t="str">
        <x:v>hybrid_champion_deployable_floors_k10_r2</x:v>
      </x:c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18" t="n">
        <x:v>46169</x:v>
      </x:c>
      <x:c r="B31" s="407" t="n">
        <x:v>15</x:v>
      </x:c>
      <x:c r="C31" s="407" t="n">
        <x:v>183</x:v>
      </x:c>
      <x:c r="D31" s="407" t="n">
        <x:v>82</x:v>
      </x:c>
      <x:c r="E31" s="407" t="n">
        <x:v>159</x:v>
      </x:c>
      <x:c r="F31" s="407" t="n">
        <x:v>82</x:v>
      </x:c>
      <x:c r="G31" s="407" t="n">
        <x:v>77</x:v>
      </x:c>
      <x:c r="H31" s="415" t="n">
        <x:v>0.5157232704402516</x:v>
      </x:c>
      <x:c r="I31" s="407" t="n">
        <x:v>1023</x:v>
      </x:c>
      <x:c r="J31" s="407" t="n">
        <x:v>66</x:v>
      </x:c>
      <x:c r="K31" s="415" t="n">
        <x:v>0.06451612903225806</x:v>
      </x:c>
      <x:c r="L31" s="407" t="n">
        <x:v>151</x:v>
      </x:c>
      <x:c r="M31" s="407" t="n">
        <x:v>16</x:v>
      </x:c>
      <x:c r="N31" s="415" t="n">
        <x:v>0.10596026490066225</x:v>
      </x:c>
      <x:c r="O31" s="415" t="n">
        <x:v>0.08523819696646015</x:v>
      </x:c>
      <x:c r="P31" s="407" t="str">
        <x:v>跨模型混合（CV規則）</x:v>
      </x:c>
      <x:c r="Q31" s="407" t="str">
        <x:v>可部署門檻+Top-K</x:v>
      </x:c>
      <x:c r="R31" s="407" t="str">
        <x:v>hybrid_champion_deployable_floors_k15_r3</x:v>
      </x:c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18" t="n">
        <x:v>46169</x:v>
      </x:c>
      <x:c r="B32" s="407" t="n">
        <x:v>20</x:v>
      </x:c>
      <x:c r="C32" s="407" t="n">
        <x:v>224</x:v>
      </x:c>
      <x:c r="D32" s="407" t="n">
        <x:v>96</x:v>
      </x:c>
      <x:c r="E32" s="407" t="n">
        <x:v>191</x:v>
      </x:c>
      <x:c r="F32" s="407" t="n">
        <x:v>96</x:v>
      </x:c>
      <x:c r="G32" s="407" t="n">
        <x:v>95</x:v>
      </x:c>
      <x:c r="H32" s="415" t="n">
        <x:v>0.5026178010471204</x:v>
      </x:c>
      <x:c r="I32" s="407" t="n">
        <x:v>1023</x:v>
      </x:c>
      <x:c r="J32" s="407" t="n">
        <x:v>80</x:v>
      </x:c>
      <x:c r="K32" s="415" t="n">
        <x:v>0.07820136852394917</x:v>
      </x:c>
      <x:c r="L32" s="407" t="n">
        <x:v>151</x:v>
      </x:c>
      <x:c r="M32" s="407" t="n">
        <x:v>16</x:v>
      </x:c>
      <x:c r="N32" s="415" t="n">
        <x:v>0.10596026490066225</x:v>
      </x:c>
      <x:c r="O32" s="415" t="n">
        <x:v>0.09208081671230571</x:v>
      </x:c>
      <x:c r="P32" s="407" t="str">
        <x:v>跨模型混合（CV規則）</x:v>
      </x:c>
      <x:c r="Q32" s="407" t="str">
        <x:v>可部署門檻+Top-K</x:v>
      </x:c>
      <x:c r="R32" s="407" t="str">
        <x:v>hybrid_champion_deployable_floors_k20_r4</x:v>
      </x:c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18" t="n">
        <x:v>46169</x:v>
      </x:c>
      <x:c r="B33" s="407" t="n">
        <x:v>25</x:v>
      </x:c>
      <x:c r="C33" s="407" t="n">
        <x:v>255</x:v>
      </x:c>
      <x:c r="D33" s="407" t="n">
        <x:v>108</x:v>
      </x:c>
      <x:c r="E33" s="407" t="n">
        <x:v>214</x:v>
      </x:c>
      <x:c r="F33" s="407" t="n">
        <x:v>108</x:v>
      </x:c>
      <x:c r="G33" s="407" t="n">
        <x:v>106</x:v>
      </x:c>
      <x:c r="H33" s="415" t="n">
        <x:v>0.5046728971962616</x:v>
      </x:c>
      <x:c r="I33" s="407" t="n">
        <x:v>1023</x:v>
      </x:c>
      <x:c r="J33" s="407" t="n">
        <x:v>92</x:v>
      </x:c>
      <x:c r="K33" s="415" t="n">
        <x:v>0.08993157380254155</x:v>
      </x:c>
      <x:c r="L33" s="407" t="n">
        <x:v>151</x:v>
      </x:c>
      <x:c r="M33" s="407" t="n">
        <x:v>16</x:v>
      </x:c>
      <x:c r="N33" s="415" t="n">
        <x:v>0.10596026490066225</x:v>
      </x:c>
      <x:c r="O33" s="415" t="n">
        <x:v>0.0979459193516019</x:v>
      </x:c>
      <x:c r="P33" s="407" t="str">
        <x:v>跨模型混合（CV規則）</x:v>
      </x:c>
      <x:c r="Q33" s="407" t="str">
        <x:v>可部署門檻+Top-K</x:v>
      </x:c>
      <x:c r="R33" s="407" t="str">
        <x:v>hybrid_champion_deployable_floors_k25_r5</x:v>
      </x:c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18" t="n">
        <x:v>46170</x:v>
      </x:c>
      <x:c r="B34" s="407" t="n">
        <x:v>10</x:v>
      </x:c>
      <x:c r="C34" s="407" t="n">
        <x:v>123</x:v>
      </x:c>
      <x:c r="D34" s="407" t="n">
        <x:v>57</x:v>
      </x:c>
      <x:c r="E34" s="407" t="n">
        <x:v>107</x:v>
      </x:c>
      <x:c r="F34" s="407" t="n">
        <x:v>57</x:v>
      </x:c>
      <x:c r="G34" s="407" t="n">
        <x:v>50</x:v>
      </x:c>
      <x:c r="H34" s="415" t="n">
        <x:v>0.5327102803738317</x:v>
      </x:c>
      <x:c r="I34" s="407" t="n">
        <x:v>1011</x:v>
      </x:c>
      <x:c r="J34" s="407" t="n">
        <x:v>48</x:v>
      </x:c>
      <x:c r="K34" s="415" t="n">
        <x:v>0.04747774480712166</x:v>
      </x:c>
      <x:c r="L34" s="407" t="n">
        <x:v>160</x:v>
      </x:c>
      <x:c r="M34" s="407" t="n">
        <x:v>9</x:v>
      </x:c>
      <x:c r="N34" s="415" t="n">
        <x:v>0.05625</x:v>
      </x:c>
      <x:c r="O34" s="415" t="n">
        <x:v>0.05186387240356083</x:v>
      </x:c>
      <x:c r="P34" s="407" t="str">
        <x:v>跨模型混合（CV規則）</x:v>
      </x:c>
      <x:c r="Q34" s="407" t="str">
        <x:v>可部署門檻+Top-K</x:v>
      </x:c>
      <x:c r="R34" s="407" t="str">
        <x:v>hybrid_champion_deployable_floors_k10_r2</x:v>
      </x:c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18" t="n">
        <x:v>46170</x:v>
      </x:c>
      <x:c r="B35" s="407" t="n">
        <x:v>15</x:v>
      </x:c>
      <x:c r="C35" s="407" t="n">
        <x:v>169</x:v>
      </x:c>
      <x:c r="D35" s="407" t="n">
        <x:v>73</x:v>
      </x:c>
      <x:c r="E35" s="407" t="n">
        <x:v>146</x:v>
      </x:c>
      <x:c r="F35" s="407" t="n">
        <x:v>73</x:v>
      </x:c>
      <x:c r="G35" s="407" t="n">
        <x:v>73</x:v>
      </x:c>
      <x:c r="H35" s="415" t="n">
        <x:v>0.5</x:v>
      </x:c>
      <x:c r="I35" s="407" t="n">
        <x:v>1011</x:v>
      </x:c>
      <x:c r="J35" s="407" t="n">
        <x:v>61</x:v>
      </x:c>
      <x:c r="K35" s="415" t="n">
        <x:v>0.06033630069238378</x:v>
      </x:c>
      <x:c r="L35" s="407" t="n">
        <x:v>160</x:v>
      </x:c>
      <x:c r="M35" s="407" t="n">
        <x:v>12</x:v>
      </x:c>
      <x:c r="N35" s="415" t="n">
        <x:v>0.075</x:v>
      </x:c>
      <x:c r="O35" s="415" t="n">
        <x:v>0.06766815034619189</x:v>
      </x:c>
      <x:c r="P35" s="407" t="str">
        <x:v>跨模型混合（CV規則）</x:v>
      </x:c>
      <x:c r="Q35" s="407" t="str">
        <x:v>可部署門檻+Top-K</x:v>
      </x:c>
      <x:c r="R35" s="407" t="str">
        <x:v>hybrid_champion_deployable_floors_k15_r3</x:v>
      </x:c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18" t="n">
        <x:v>46170</x:v>
      </x:c>
      <x:c r="B36" s="407" t="n">
        <x:v>20</x:v>
      </x:c>
      <x:c r="C36" s="407" t="n">
        <x:v>204</x:v>
      </x:c>
      <x:c r="D36" s="407" t="n">
        <x:v>88</x:v>
      </x:c>
      <x:c r="E36" s="407" t="n">
        <x:v>176</x:v>
      </x:c>
      <x:c r="F36" s="407" t="n">
        <x:v>88</x:v>
      </x:c>
      <x:c r="G36" s="407" t="n">
        <x:v>88</x:v>
      </x:c>
      <x:c r="H36" s="415" t="n">
        <x:v>0.5</x:v>
      </x:c>
      <x:c r="I36" s="407" t="n">
        <x:v>1011</x:v>
      </x:c>
      <x:c r="J36" s="407" t="n">
        <x:v>76</x:v>
      </x:c>
      <x:c r="K36" s="415" t="n">
        <x:v>0.0751730959446093</x:v>
      </x:c>
      <x:c r="L36" s="407" t="n">
        <x:v>160</x:v>
      </x:c>
      <x:c r="M36" s="407" t="n">
        <x:v>12</x:v>
      </x:c>
      <x:c r="N36" s="415" t="n">
        <x:v>0.075</x:v>
      </x:c>
      <x:c r="O36" s="415" t="n">
        <x:v>0.07508654797230466</x:v>
      </x:c>
      <x:c r="P36" s="407" t="str">
        <x:v>跨模型混合（CV規則）</x:v>
      </x:c>
      <x:c r="Q36" s="407" t="str">
        <x:v>可部署門檻+Top-K</x:v>
      </x:c>
      <x:c r="R36" s="407" t="str">
        <x:v>hybrid_champion_deployable_floors_k20_r4</x:v>
      </x:c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18" t="n">
        <x:v>46170</x:v>
      </x:c>
      <x:c r="B37" s="407" t="n">
        <x:v>25</x:v>
      </x:c>
      <x:c r="C37" s="407" t="n">
        <x:v>230</x:v>
      </x:c>
      <x:c r="D37" s="407" t="n">
        <x:v>101</x:v>
      </x:c>
      <x:c r="E37" s="407" t="n">
        <x:v>199</x:v>
      </x:c>
      <x:c r="F37" s="407" t="n">
        <x:v>101</x:v>
      </x:c>
      <x:c r="G37" s="407" t="n">
        <x:v>98</x:v>
      </x:c>
      <x:c r="H37" s="415" t="n">
        <x:v>0.507537688442211</x:v>
      </x:c>
      <x:c r="I37" s="407" t="n">
        <x:v>1011</x:v>
      </x:c>
      <x:c r="J37" s="407" t="n">
        <x:v>89</x:v>
      </x:c>
      <x:c r="K37" s="415" t="n">
        <x:v>0.08803165182987141</x:v>
      </x:c>
      <x:c r="L37" s="407" t="n">
        <x:v>160</x:v>
      </x:c>
      <x:c r="M37" s="407" t="n">
        <x:v>12</x:v>
      </x:c>
      <x:c r="N37" s="415" t="n">
        <x:v>0.075</x:v>
      </x:c>
      <x:c r="O37" s="415" t="n">
        <x:v>0.0815158259149357</x:v>
      </x:c>
      <x:c r="P37" s="407" t="str">
        <x:v>跨模型混合（CV規則）</x:v>
      </x:c>
      <x:c r="Q37" s="407" t="str">
        <x:v>可部署門檻+Top-K</x:v>
      </x:c>
      <x:c r="R37" s="407" t="str">
        <x:v>hybrid_champion_deployable_floors_k25_r5</x:v>
      </x:c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18" t="n">
        <x:v>46171</x:v>
      </x:c>
      <x:c r="B38" s="407" t="n">
        <x:v>10</x:v>
      </x:c>
      <x:c r="C38" s="407" t="n">
        <x:v>115</x:v>
      </x:c>
      <x:c r="D38" s="407" t="n">
        <x:v>31</x:v>
      </x:c>
      <x:c r="E38" s="407" t="n">
        <x:v>97</x:v>
      </x:c>
      <x:c r="F38" s="407" t="n">
        <x:v>31</x:v>
      </x:c>
      <x:c r="G38" s="407" t="n">
        <x:v>66</x:v>
      </x:c>
      <x:c r="H38" s="415" t="n">
        <x:v>0.31958762886597936</x:v>
      </x:c>
      <x:c r="I38" s="407" t="n">
        <x:v>570</x:v>
      </x:c>
      <x:c r="J38" s="407" t="n">
        <x:v>26</x:v>
      </x:c>
      <x:c r="K38" s="415" t="n">
        <x:v>0.0456140350877193</x:v>
      </x:c>
      <x:c r="L38" s="407" t="n">
        <x:v>115</x:v>
      </x:c>
      <x:c r="M38" s="407" t="n">
        <x:v>5</x:v>
      </x:c>
      <x:c r="N38" s="415" t="n">
        <x:v>0.043478260869565216</x:v>
      </x:c>
      <x:c r="O38" s="415" t="n">
        <x:v>0.04454614797864226</x:v>
      </x:c>
      <x:c r="P38" s="407" t="str">
        <x:v>跨模型混合（CV規則）</x:v>
      </x:c>
      <x:c r="Q38" s="407" t="str">
        <x:v>可部署門檻+Top-K</x:v>
      </x:c>
      <x:c r="R38" s="407" t="str">
        <x:v>hybrid_champion_deployable_floors_k10_r2</x:v>
      </x:c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18" t="n">
        <x:v>46171</x:v>
      </x:c>
      <x:c r="B39" s="407" t="n">
        <x:v>15</x:v>
      </x:c>
      <x:c r="C39" s="407" t="n">
        <x:v>146</x:v>
      </x:c>
      <x:c r="D39" s="407" t="n">
        <x:v>41</x:v>
      </x:c>
      <x:c r="E39" s="407" t="n">
        <x:v>123</x:v>
      </x:c>
      <x:c r="F39" s="407" t="n">
        <x:v>41</x:v>
      </x:c>
      <x:c r="G39" s="407" t="n">
        <x:v>82</x:v>
      </x:c>
      <x:c r="H39" s="415" t="n">
        <x:v>0.3333333333333333</x:v>
      </x:c>
      <x:c r="I39" s="407" t="n">
        <x:v>570</x:v>
      </x:c>
      <x:c r="J39" s="407" t="n">
        <x:v>34</x:v>
      </x:c>
      <x:c r="K39" s="415" t="n">
        <x:v>0.05964912280701754</x:v>
      </x:c>
      <x:c r="L39" s="407" t="n">
        <x:v>115</x:v>
      </x:c>
      <x:c r="M39" s="407" t="n">
        <x:v>7</x:v>
      </x:c>
      <x:c r="N39" s="415" t="n">
        <x:v>0.06086956521739131</x:v>
      </x:c>
      <x:c r="O39" s="415" t="n">
        <x:v>0.060259344012204424</x:v>
      </x:c>
      <x:c r="P39" s="407" t="str">
        <x:v>跨模型混合（CV規則）</x:v>
      </x:c>
      <x:c r="Q39" s="407" t="str">
        <x:v>可部署門檻+Top-K</x:v>
      </x:c>
      <x:c r="R39" s="407" t="str">
        <x:v>hybrid_champion_deployable_floors_k15_r3</x:v>
      </x:c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18" t="n">
        <x:v>46171</x:v>
      </x:c>
      <x:c r="B40" s="407" t="n">
        <x:v>20</x:v>
      </x:c>
      <x:c r="C40" s="407" t="n">
        <x:v>154</x:v>
      </x:c>
      <x:c r="D40" s="407" t="n">
        <x:v>45</x:v>
      </x:c>
      <x:c r="E40" s="407" t="n">
        <x:v>130</x:v>
      </x:c>
      <x:c r="F40" s="407" t="n">
        <x:v>45</x:v>
      </x:c>
      <x:c r="G40" s="407" t="n">
        <x:v>85</x:v>
      </x:c>
      <x:c r="H40" s="415" t="n">
        <x:v>0.34615384615384615</x:v>
      </x:c>
      <x:c r="I40" s="407" t="n">
        <x:v>570</x:v>
      </x:c>
      <x:c r="J40" s="407" t="n">
        <x:v>36</x:v>
      </x:c>
      <x:c r="K40" s="415" t="n">
        <x:v>0.06315789473684211</x:v>
      </x:c>
      <x:c r="L40" s="407" t="n">
        <x:v>115</x:v>
      </x:c>
      <x:c r="M40" s="407" t="n">
        <x:v>9</x:v>
      </x:c>
      <x:c r="N40" s="415" t="n">
        <x:v>0.0782608695652174</x:v>
      </x:c>
      <x:c r="O40" s="415" t="n">
        <x:v>0.07070938215102976</x:v>
      </x:c>
      <x:c r="P40" s="407" t="str">
        <x:v>跨模型混合（CV規則）</x:v>
      </x:c>
      <x:c r="Q40" s="407" t="str">
        <x:v>可部署門檻+Top-K</x:v>
      </x:c>
      <x:c r="R40" s="407" t="str">
        <x:v>hybrid_champion_deployable_floors_k20_r4</x:v>
      </x:c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18" t="n">
        <x:v>46171</x:v>
      </x:c>
      <x:c r="B41" s="407" t="n">
        <x:v>25</x:v>
      </x:c>
      <x:c r="C41" s="407" t="n">
        <x:v>154</x:v>
      </x:c>
      <x:c r="D41" s="407" t="n">
        <x:v>45</x:v>
      </x:c>
      <x:c r="E41" s="407" t="n">
        <x:v>130</x:v>
      </x:c>
      <x:c r="F41" s="407" t="n">
        <x:v>45</x:v>
      </x:c>
      <x:c r="G41" s="407" t="n">
        <x:v>85</x:v>
      </x:c>
      <x:c r="H41" s="415" t="n">
        <x:v>0.34615384615384615</x:v>
      </x:c>
      <x:c r="I41" s="407" t="n">
        <x:v>570</x:v>
      </x:c>
      <x:c r="J41" s="407" t="n">
        <x:v>36</x:v>
      </x:c>
      <x:c r="K41" s="415" t="n">
        <x:v>0.06315789473684211</x:v>
      </x:c>
      <x:c r="L41" s="407" t="n">
        <x:v>115</x:v>
      </x:c>
      <x:c r="M41" s="407" t="n">
        <x:v>9</x:v>
      </x:c>
      <x:c r="N41" s="415" t="n">
        <x:v>0.0782608695652174</x:v>
      </x:c>
      <x:c r="O41" s="415" t="n">
        <x:v>0.07070938215102976</x:v>
      </x:c>
      <x:c r="P41" s="407" t="str">
        <x:v>跨模型混合（CV規則）</x:v>
      </x:c>
      <x:c r="Q41" s="407" t="str">
        <x:v>可部署門檻+Top-K</x:v>
      </x:c>
      <x:c r="R41" s="407" t="str">
        <x:v>hybrid_champion_deployable_floors_k25_r5</x:v>
      </x:c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18" t="n">
        <x:v>46172</x:v>
      </x:c>
      <x:c r="B42" s="407" t="n">
        <x:v>10</x:v>
      </x:c>
      <x:c r="C42" s="407" t="n">
        <x:v>52</x:v>
      </x:c>
      <x:c r="D42" s="407" t="n">
        <x:v>18</x:v>
      </x:c>
      <x:c r="E42" s="407" t="n">
        <x:v>47</x:v>
      </x:c>
      <x:c r="F42" s="407" t="n">
        <x:v>18</x:v>
      </x:c>
      <x:c r="G42" s="407" t="n">
        <x:v>29</x:v>
      </x:c>
      <x:c r="H42" s="415" t="n">
        <x:v>0.3829787234042553</x:v>
      </x:c>
      <x:c r="I42" s="407" t="n">
        <x:v>676</x:v>
      </x:c>
      <x:c r="J42" s="407" t="n">
        <x:v>11</x:v>
      </x:c>
      <x:c r="K42" s="415" t="n">
        <x:v>0.016272189349112426</x:v>
      </x:c>
      <x:c r="L42" s="407" t="n">
        <x:v>92</x:v>
      </x:c>
      <x:c r="M42" s="407" t="n">
        <x:v>7</x:v>
      </x:c>
      <x:c r="N42" s="415" t="n">
        <x:v>0.07608695652173914</x:v>
      </x:c>
      <x:c r="O42" s="415" t="n">
        <x:v>0.04617957293542578</x:v>
      </x:c>
      <x:c r="P42" s="407" t="str">
        <x:v>跨模型混合（CV規則）</x:v>
      </x:c>
      <x:c r="Q42" s="407" t="str">
        <x:v>可部署門檻+Top-K</x:v>
      </x:c>
      <x:c r="R42" s="407" t="str">
        <x:v>hybrid_champion_deployable_floors_k10_r2</x:v>
      </x:c>
      <x:c r="S42" s="407"/>
      <x:c r="T42" s="114" t="str">
        <x:v>天與天差異可能同時受平假日、天氣、活動、運補與資料品質影響；目前沒有外部天氣或活動特徵，不能把單日高低直接解釋成模型因果。</x:v>
      </x:c>
      <x:c r="U42" s="115" t="str">
        <x:v>天與天差異可能同時受平假日、天氣、活動、運補與資料品質影響；目前沒有外部天氣或活動特徵，不能把單日高低直接解釋成模型因果。</x:v>
      </x:c>
      <x:c r="V42" s="115" t="str">
        <x:v>天與天差異可能同時受平假日、天氣、活動、運補與資料品質影響；目前沒有外部天氣或活動特徵，不能把單日高低直接解釋成模型因果。</x:v>
      </x:c>
      <x:c r="W42" s="115" t="str">
        <x:v>天與天差異可能同時受平假日、天氣、活動、運補與資料品質影響；目前沒有外部天氣或活動特徵，不能把單日高低直接解釋成模型因果。</x:v>
      </x:c>
      <x:c r="X42" s="115" t="str">
        <x:v>天與天差異可能同時受平假日、天氣、活動、運補與資料品質影響；目前沒有外部天氣或活動特徵，不能把單日高低直接解釋成模型因果。</x:v>
      </x:c>
      <x:c r="Y42" s="115" t="str">
        <x:v>天與天差異可能同時受平假日、天氣、活動、運補與資料品質影響；目前沒有外部天氣或活動特徵，不能把單日高低直接解釋成模型因果。</x:v>
      </x:c>
      <x:c r="Z42" s="115" t="str">
        <x:v>天與天差異可能同時受平假日、天氣、活動、運補與資料品質影響；目前沒有外部天氣或活動特徵，不能把單日高低直接解釋成模型因果。</x:v>
      </x:c>
      <x:c r="AA42" s="115" t="str">
        <x:v>天與天差異可能同時受平假日、天氣、活動、運補與資料品質影響；目前沒有外部天氣或活動特徵，不能把單日高低直接解釋成模型因果。</x:v>
      </x:c>
      <x:c r="AB42" s="116" t="str">
        <x:v>天與天差異可能同時受平假日、天氣、活動、運補與資料品質影響；目前沒有外部天氣或活動特徵，不能把單日高低直接解釋成模型因果。</x:v>
      </x:c>
      <x:c r="AC42" s="407"/>
      <x:c r="AD42" s="407"/>
      <x:c r="AE42" s="407"/>
      <x:c r="AF42" s="407"/>
      <x:c r="AG42" s="407"/>
    </x:row>
    <x:row r="43">
      <x:c r="A43" s="418" t="n">
        <x:v>46172</x:v>
      </x:c>
      <x:c r="B43" s="407" t="n">
        <x:v>15</x:v>
      </x:c>
      <x:c r="C43" s="407" t="n">
        <x:v>52</x:v>
      </x:c>
      <x:c r="D43" s="407" t="n">
        <x:v>18</x:v>
      </x:c>
      <x:c r="E43" s="407" t="n">
        <x:v>47</x:v>
      </x:c>
      <x:c r="F43" s="407" t="n">
        <x:v>18</x:v>
      </x:c>
      <x:c r="G43" s="407" t="n">
        <x:v>29</x:v>
      </x:c>
      <x:c r="H43" s="415" t="n">
        <x:v>0.3829787234042553</x:v>
      </x:c>
      <x:c r="I43" s="407" t="n">
        <x:v>676</x:v>
      </x:c>
      <x:c r="J43" s="407" t="n">
        <x:v>11</x:v>
      </x:c>
      <x:c r="K43" s="415" t="n">
        <x:v>0.016272189349112426</x:v>
      </x:c>
      <x:c r="L43" s="407" t="n">
        <x:v>92</x:v>
      </x:c>
      <x:c r="M43" s="407" t="n">
        <x:v>7</x:v>
      </x:c>
      <x:c r="N43" s="415" t="n">
        <x:v>0.07608695652173914</x:v>
      </x:c>
      <x:c r="O43" s="415" t="n">
        <x:v>0.04617957293542578</x:v>
      </x:c>
      <x:c r="P43" s="407" t="str">
        <x:v>跨模型混合（CV規則）</x:v>
      </x:c>
      <x:c r="Q43" s="407" t="str">
        <x:v>可部署門檻+Top-K</x:v>
      </x:c>
      <x:c r="R43" s="407" t="str">
        <x:v>hybrid_champion_deployable_floors_k15_r3</x:v>
      </x:c>
      <x:c r="S43" s="407"/>
      <x:c r="T43" s="117" t="str">
        <x:v>天與天差異可能同時受平假日、天氣、活動、運補與資料品質影響；目前沒有外部天氣或活動特徵，不能把單日高低直接解釋成模型因果。</x:v>
      </x:c>
      <x:c r="U43" s="118" t="str">
        <x:v>天與天差異可能同時受平假日、天氣、活動、運補與資料品質影響；目前沒有外部天氣或活動特徵，不能把單日高低直接解釋成模型因果。</x:v>
      </x:c>
      <x:c r="V43" s="118" t="str">
        <x:v>天與天差異可能同時受平假日、天氣、活動、運補與資料品質影響；目前沒有外部天氣或活動特徵，不能把單日高低直接解釋成模型因果。</x:v>
      </x:c>
      <x:c r="W43" s="118" t="str">
        <x:v>天與天差異可能同時受平假日、天氣、活動、運補與資料品質影響；目前沒有外部天氣或活動特徵，不能把單日高低直接解釋成模型因果。</x:v>
      </x:c>
      <x:c r="X43" s="118" t="str">
        <x:v>天與天差異可能同時受平假日、天氣、活動、運補與資料品質影響；目前沒有外部天氣或活動特徵，不能把單日高低直接解釋成模型因果。</x:v>
      </x:c>
      <x:c r="Y43" s="118" t="str">
        <x:v>天與天差異可能同時受平假日、天氣、活動、運補與資料品質影響；目前沒有外部天氣或活動特徵，不能把單日高低直接解釋成模型因果。</x:v>
      </x:c>
      <x:c r="Z43" s="118" t="str">
        <x:v>天與天差異可能同時受平假日、天氣、活動、運補與資料品質影響；目前沒有外部天氣或活動特徵，不能把單日高低直接解釋成模型因果。</x:v>
      </x:c>
      <x:c r="AA43" s="118" t="str">
        <x:v>天與天差異可能同時受平假日、天氣、活動、運補與資料品質影響；目前沒有外部天氣或活動特徵，不能把單日高低直接解釋成模型因果。</x:v>
      </x:c>
      <x:c r="AB43" s="119" t="str">
        <x:v>天與天差異可能同時受平假日、天氣、活動、運補與資料品質影響；目前沒有外部天氣或活動特徵，不能把單日高低直接解釋成模型因果。</x:v>
      </x:c>
      <x:c r="AC43" s="407"/>
      <x:c r="AD43" s="407"/>
      <x:c r="AE43" s="407"/>
      <x:c r="AF43" s="407"/>
      <x:c r="AG43" s="407"/>
    </x:row>
    <x:row r="44">
      <x:c r="A44" s="418" t="n">
        <x:v>46172</x:v>
      </x:c>
      <x:c r="B44" s="407" t="n">
        <x:v>20</x:v>
      </x:c>
      <x:c r="C44" s="407" t="n">
        <x:v>52</x:v>
      </x:c>
      <x:c r="D44" s="407" t="n">
        <x:v>18</x:v>
      </x:c>
      <x:c r="E44" s="407" t="n">
        <x:v>47</x:v>
      </x:c>
      <x:c r="F44" s="407" t="n">
        <x:v>18</x:v>
      </x:c>
      <x:c r="G44" s="407" t="n">
        <x:v>29</x:v>
      </x:c>
      <x:c r="H44" s="415" t="n">
        <x:v>0.3829787234042553</x:v>
      </x:c>
      <x:c r="I44" s="407" t="n">
        <x:v>676</x:v>
      </x:c>
      <x:c r="J44" s="407" t="n">
        <x:v>11</x:v>
      </x:c>
      <x:c r="K44" s="415" t="n">
        <x:v>0.016272189349112426</x:v>
      </x:c>
      <x:c r="L44" s="407" t="n">
        <x:v>92</x:v>
      </x:c>
      <x:c r="M44" s="407" t="n">
        <x:v>7</x:v>
      </x:c>
      <x:c r="N44" s="415" t="n">
        <x:v>0.07608695652173914</x:v>
      </x:c>
      <x:c r="O44" s="415" t="n">
        <x:v>0.04617957293542578</x:v>
      </x:c>
      <x:c r="P44" s="407" t="str">
        <x:v>跨模型混合（CV規則）</x:v>
      </x:c>
      <x:c r="Q44" s="407" t="str">
        <x:v>可部署門檻+Top-K</x:v>
      </x:c>
      <x:c r="R44" s="407" t="str">
        <x:v>hybrid_champion_deployable_floors_k20_r4</x:v>
      </x:c>
      <x:c r="S44" s="407"/>
      <x:c r="T44" s="117" t="str">
        <x:v>天與天差異可能同時受平假日、天氣、活動、運補與資料品質影響；目前沒有外部天氣或活動特徵，不能把單日高低直接解釋成模型因果。</x:v>
      </x:c>
      <x:c r="U44" s="118" t="str">
        <x:v>天與天差異可能同時受平假日、天氣、活動、運補與資料品質影響；目前沒有外部天氣或活動特徵，不能把單日高低直接解釋成模型因果。</x:v>
      </x:c>
      <x:c r="V44" s="118" t="str">
        <x:v>天與天差異可能同時受平假日、天氣、活動、運補與資料品質影響；目前沒有外部天氣或活動特徵，不能把單日高低直接解釋成模型因果。</x:v>
      </x:c>
      <x:c r="W44" s="118" t="str">
        <x:v>天與天差異可能同時受平假日、天氣、活動、運補與資料品質影響；目前沒有外部天氣或活動特徵，不能把單日高低直接解釋成模型因果。</x:v>
      </x:c>
      <x:c r="X44" s="118" t="str">
        <x:v>天與天差異可能同時受平假日、天氣、活動、運補與資料品質影響；目前沒有外部天氣或活動特徵，不能把單日高低直接解釋成模型因果。</x:v>
      </x:c>
      <x:c r="Y44" s="118" t="str">
        <x:v>天與天差異可能同時受平假日、天氣、活動、運補與資料品質影響；目前沒有外部天氣或活動特徵，不能把單日高低直接解釋成模型因果。</x:v>
      </x:c>
      <x:c r="Z44" s="118" t="str">
        <x:v>天與天差異可能同時受平假日、天氣、活動、運補與資料品質影響；目前沒有外部天氣或活動特徵，不能把單日高低直接解釋成模型因果。</x:v>
      </x:c>
      <x:c r="AA44" s="118" t="str">
        <x:v>天與天差異可能同時受平假日、天氣、活動、運補與資料品質影響；目前沒有外部天氣或活動特徵，不能把單日高低直接解釋成模型因果。</x:v>
      </x:c>
      <x:c r="AB44" s="119" t="str">
        <x:v>天與天差異可能同時受平假日、天氣、活動、運補與資料品質影響；目前沒有外部天氣或活動特徵，不能把單日高低直接解釋成模型因果。</x:v>
      </x:c>
      <x:c r="AC44" s="407"/>
      <x:c r="AD44" s="407"/>
      <x:c r="AE44" s="407"/>
      <x:c r="AF44" s="407"/>
      <x:c r="AG44" s="407"/>
    </x:row>
    <x:row r="45">
      <x:c r="A45" s="418" t="n">
        <x:v>46172</x:v>
      </x:c>
      <x:c r="B45" s="407" t="n">
        <x:v>25</x:v>
      </x:c>
      <x:c r="C45" s="407" t="n">
        <x:v>52</x:v>
      </x:c>
      <x:c r="D45" s="407" t="n">
        <x:v>18</x:v>
      </x:c>
      <x:c r="E45" s="407" t="n">
        <x:v>47</x:v>
      </x:c>
      <x:c r="F45" s="407" t="n">
        <x:v>18</x:v>
      </x:c>
      <x:c r="G45" s="407" t="n">
        <x:v>29</x:v>
      </x:c>
      <x:c r="H45" s="415" t="n">
        <x:v>0.3829787234042553</x:v>
      </x:c>
      <x:c r="I45" s="407" t="n">
        <x:v>676</x:v>
      </x:c>
      <x:c r="J45" s="407" t="n">
        <x:v>11</x:v>
      </x:c>
      <x:c r="K45" s="415" t="n">
        <x:v>0.016272189349112426</x:v>
      </x:c>
      <x:c r="L45" s="407" t="n">
        <x:v>92</x:v>
      </x:c>
      <x:c r="M45" s="407" t="n">
        <x:v>7</x:v>
      </x:c>
      <x:c r="N45" s="415" t="n">
        <x:v>0.07608695652173914</x:v>
      </x:c>
      <x:c r="O45" s="415" t="n">
        <x:v>0.04617957293542578</x:v>
      </x:c>
      <x:c r="P45" s="407" t="str">
        <x:v>跨模型混合（CV規則）</x:v>
      </x:c>
      <x:c r="Q45" s="407" t="str">
        <x:v>可部署門檻+Top-K</x:v>
      </x:c>
      <x:c r="R45" s="407" t="str">
        <x:v>hybrid_champion_deployable_floors_k25_r5</x:v>
      </x:c>
      <x:c r="S45" s="407"/>
      <x:c r="T45" s="117" t="str">
        <x:v>天與天差異可能同時受平假日、天氣、活動、運補與資料品質影響；目前沒有外部天氣或活動特徵，不能把單日高低直接解釋成模型因果。</x:v>
      </x:c>
      <x:c r="U45" s="118" t="str">
        <x:v>天與天差異可能同時受平假日、天氣、活動、運補與資料品質影響；目前沒有外部天氣或活動特徵，不能把單日高低直接解釋成模型因果。</x:v>
      </x:c>
      <x:c r="V45" s="118" t="str">
        <x:v>天與天差異可能同時受平假日、天氣、活動、運補與資料品質影響；目前沒有外部天氣或活動特徵，不能把單日高低直接解釋成模型因果。</x:v>
      </x:c>
      <x:c r="W45" s="118" t="str">
        <x:v>天與天差異可能同時受平假日、天氣、活動、運補與資料品質影響；目前沒有外部天氣或活動特徵，不能把單日高低直接解釋成模型因果。</x:v>
      </x:c>
      <x:c r="X45" s="118" t="str">
        <x:v>天與天差異可能同時受平假日、天氣、活動、運補與資料品質影響；目前沒有外部天氣或活動特徵，不能把單日高低直接解釋成模型因果。</x:v>
      </x:c>
      <x:c r="Y45" s="118" t="str">
        <x:v>天與天差異可能同時受平假日、天氣、活動、運補與資料品質影響；目前沒有外部天氣或活動特徵，不能把單日高低直接解釋成模型因果。</x:v>
      </x:c>
      <x:c r="Z45" s="118" t="str">
        <x:v>天與天差異可能同時受平假日、天氣、活動、運補與資料品質影響；目前沒有外部天氣或活動特徵，不能把單日高低直接解釋成模型因果。</x:v>
      </x:c>
      <x:c r="AA45" s="118" t="str">
        <x:v>天與天差異可能同時受平假日、天氣、活動、運補與資料品質影響；目前沒有外部天氣或活動特徵，不能把單日高低直接解釋成模型因果。</x:v>
      </x:c>
      <x:c r="AB45" s="119" t="str">
        <x:v>天與天差異可能同時受平假日、天氣、活動、運補與資料品質影響；目前沒有外部天氣或活動特徵，不能把單日高低直接解釋成模型因果。</x:v>
      </x:c>
      <x:c r="AC45" s="407"/>
      <x:c r="AD45" s="407"/>
      <x:c r="AE45" s="407"/>
      <x:c r="AF45" s="407"/>
      <x:c r="AG45" s="407"/>
    </x:row>
    <x:row r="46">
      <x:c r="A46" s="418" t="n">
        <x:v>46173</x:v>
      </x:c>
      <x:c r="B46" s="407" t="n">
        <x:v>10</x:v>
      </x:c>
      <x:c r="C46" s="407" t="n">
        <x:v>38</x:v>
      </x:c>
      <x:c r="D46" s="407" t="n">
        <x:v>17</x:v>
      </x:c>
      <x:c r="E46" s="407" t="n">
        <x:v>36</x:v>
      </x:c>
      <x:c r="F46" s="407" t="n">
        <x:v>17</x:v>
      </x:c>
      <x:c r="G46" s="407" t="n">
        <x:v>19</x:v>
      </x:c>
      <x:c r="H46" s="415" t="n">
        <x:v>0.4722222222222222</x:v>
      </x:c>
      <x:c r="I46" s="407" t="n">
        <x:v>610</x:v>
      </x:c>
      <x:c r="J46" s="407" t="n">
        <x:v>10</x:v>
      </x:c>
      <x:c r="K46" s="415" t="n">
        <x:v>0.01639344262295082</x:v>
      </x:c>
      <x:c r="L46" s="407" t="n">
        <x:v>89</x:v>
      </x:c>
      <x:c r="M46" s="407" t="n">
        <x:v>7</x:v>
      </x:c>
      <x:c r="N46" s="415" t="n">
        <x:v>0.07865168539325842</x:v>
      </x:c>
      <x:c r="O46" s="415" t="n">
        <x:v>0.047522564008104624</x:v>
      </x:c>
      <x:c r="P46" s="407" t="str">
        <x:v>跨模型混合（CV規則）</x:v>
      </x:c>
      <x:c r="Q46" s="407" t="str">
        <x:v>可部署門檻+Top-K</x:v>
      </x:c>
      <x:c r="R46" s="407" t="str">
        <x:v>hybrid_champion_deployable_floors_k10_r2</x:v>
      </x:c>
      <x:c r="S46" s="407"/>
      <x:c r="T46" s="117" t="str">
        <x:v>天與天差異可能同時受平假日、天氣、活動、運補與資料品質影響；目前沒有外部天氣或活動特徵，不能把單日高低直接解釋成模型因果。</x:v>
      </x:c>
      <x:c r="U46" s="118" t="str">
        <x:v>天與天差異可能同時受平假日、天氣、活動、運補與資料品質影響；目前沒有外部天氣或活動特徵，不能把單日高低直接解釋成模型因果。</x:v>
      </x:c>
      <x:c r="V46" s="118" t="str">
        <x:v>天與天差異可能同時受平假日、天氣、活動、運補與資料品質影響；目前沒有外部天氣或活動特徵，不能把單日高低直接解釋成模型因果。</x:v>
      </x:c>
      <x:c r="W46" s="118" t="str">
        <x:v>天與天差異可能同時受平假日、天氣、活動、運補與資料品質影響；目前沒有外部天氣或活動特徵，不能把單日高低直接解釋成模型因果。</x:v>
      </x:c>
      <x:c r="X46" s="118" t="str">
        <x:v>天與天差異可能同時受平假日、天氣、活動、運補與資料品質影響；目前沒有外部天氣或活動特徵，不能把單日高低直接解釋成模型因果。</x:v>
      </x:c>
      <x:c r="Y46" s="118" t="str">
        <x:v>天與天差異可能同時受平假日、天氣、活動、運補與資料品質影響；目前沒有外部天氣或活動特徵，不能把單日高低直接解釋成模型因果。</x:v>
      </x:c>
      <x:c r="Z46" s="118" t="str">
        <x:v>天與天差異可能同時受平假日、天氣、活動、運補與資料品質影響；目前沒有外部天氣或活動特徵，不能把單日高低直接解釋成模型因果。</x:v>
      </x:c>
      <x:c r="AA46" s="118" t="str">
        <x:v>天與天差異可能同時受平假日、天氣、活動、運補與資料品質影響；目前沒有外部天氣或活動特徵，不能把單日高低直接解釋成模型因果。</x:v>
      </x:c>
      <x:c r="AB46" s="119" t="str">
        <x:v>天與天差異可能同時受平假日、天氣、活動、運補與資料品質影響；目前沒有外部天氣或活動特徵，不能把單日高低直接解釋成模型因果。</x:v>
      </x:c>
      <x:c r="AC46" s="407"/>
      <x:c r="AD46" s="407"/>
      <x:c r="AE46" s="407"/>
      <x:c r="AF46" s="407"/>
      <x:c r="AG46" s="407"/>
    </x:row>
    <x:row r="47">
      <x:c r="A47" s="418" t="n">
        <x:v>46173</x:v>
      </x:c>
      <x:c r="B47" s="407" t="n">
        <x:v>15</x:v>
      </x:c>
      <x:c r="C47" s="407" t="n">
        <x:v>38</x:v>
      </x:c>
      <x:c r="D47" s="407" t="n">
        <x:v>17</x:v>
      </x:c>
      <x:c r="E47" s="407" t="n">
        <x:v>36</x:v>
      </x:c>
      <x:c r="F47" s="407" t="n">
        <x:v>17</x:v>
      </x:c>
      <x:c r="G47" s="407" t="n">
        <x:v>19</x:v>
      </x:c>
      <x:c r="H47" s="415" t="n">
        <x:v>0.4722222222222222</x:v>
      </x:c>
      <x:c r="I47" s="407" t="n">
        <x:v>610</x:v>
      </x:c>
      <x:c r="J47" s="407" t="n">
        <x:v>10</x:v>
      </x:c>
      <x:c r="K47" s="415" t="n">
        <x:v>0.01639344262295082</x:v>
      </x:c>
      <x:c r="L47" s="407" t="n">
        <x:v>89</x:v>
      </x:c>
      <x:c r="M47" s="407" t="n">
        <x:v>7</x:v>
      </x:c>
      <x:c r="N47" s="415" t="n">
        <x:v>0.07865168539325842</x:v>
      </x:c>
      <x:c r="O47" s="415" t="n">
        <x:v>0.047522564008104624</x:v>
      </x:c>
      <x:c r="P47" s="407" t="str">
        <x:v>跨模型混合（CV規則）</x:v>
      </x:c>
      <x:c r="Q47" s="407" t="str">
        <x:v>可部署門檻+Top-K</x:v>
      </x:c>
      <x:c r="R47" s="407" t="str">
        <x:v>hybrid_champion_deployable_floors_k15_r3</x:v>
      </x:c>
      <x:c r="S47" s="407"/>
      <x:c r="T47" s="117" t="str">
        <x:v>天與天差異可能同時受平假日、天氣、活動、運補與資料品質影響；目前沒有外部天氣或活動特徵，不能把單日高低直接解釋成模型因果。</x:v>
      </x:c>
      <x:c r="U47" s="118" t="str">
        <x:v>天與天差異可能同時受平假日、天氣、活動、運補與資料品質影響；目前沒有外部天氣或活動特徵，不能把單日高低直接解釋成模型因果。</x:v>
      </x:c>
      <x:c r="V47" s="118" t="str">
        <x:v>天與天差異可能同時受平假日、天氣、活動、運補與資料品質影響；目前沒有外部天氣或活動特徵，不能把單日高低直接解釋成模型因果。</x:v>
      </x:c>
      <x:c r="W47" s="118" t="str">
        <x:v>天與天差異可能同時受平假日、天氣、活動、運補與資料品質影響；目前沒有外部天氣或活動特徵，不能把單日高低直接解釋成模型因果。</x:v>
      </x:c>
      <x:c r="X47" s="118" t="str">
        <x:v>天與天差異可能同時受平假日、天氣、活動、運補與資料品質影響；目前沒有外部天氣或活動特徵，不能把單日高低直接解釋成模型因果。</x:v>
      </x:c>
      <x:c r="Y47" s="118" t="str">
        <x:v>天與天差異可能同時受平假日、天氣、活動、運補與資料品質影響；目前沒有外部天氣或活動特徵，不能把單日高低直接解釋成模型因果。</x:v>
      </x:c>
      <x:c r="Z47" s="118" t="str">
        <x:v>天與天差異可能同時受平假日、天氣、活動、運補與資料品質影響；目前沒有外部天氣或活動特徵，不能把單日高低直接解釋成模型因果。</x:v>
      </x:c>
      <x:c r="AA47" s="118" t="str">
        <x:v>天與天差異可能同時受平假日、天氣、活動、運補與資料品質影響；目前沒有外部天氣或活動特徵，不能把單日高低直接解釋成模型因果。</x:v>
      </x:c>
      <x:c r="AB47" s="119" t="str">
        <x:v>天與天差異可能同時受平假日、天氣、活動、運補與資料品質影響；目前沒有外部天氣或活動特徵，不能把單日高低直接解釋成模型因果。</x:v>
      </x:c>
      <x:c r="AC47" s="407"/>
      <x:c r="AD47" s="407"/>
      <x:c r="AE47" s="407"/>
      <x:c r="AF47" s="407"/>
      <x:c r="AG47" s="407"/>
    </x:row>
    <x:row r="48">
      <x:c r="A48" s="418" t="n">
        <x:v>46173</x:v>
      </x:c>
      <x:c r="B48" s="407" t="n">
        <x:v>20</x:v>
      </x:c>
      <x:c r="C48" s="407" t="n">
        <x:v>38</x:v>
      </x:c>
      <x:c r="D48" s="407" t="n">
        <x:v>17</x:v>
      </x:c>
      <x:c r="E48" s="407" t="n">
        <x:v>36</x:v>
      </x:c>
      <x:c r="F48" s="407" t="n">
        <x:v>17</x:v>
      </x:c>
      <x:c r="G48" s="407" t="n">
        <x:v>19</x:v>
      </x:c>
      <x:c r="H48" s="415" t="n">
        <x:v>0.4722222222222222</x:v>
      </x:c>
      <x:c r="I48" s="407" t="n">
        <x:v>610</x:v>
      </x:c>
      <x:c r="J48" s="407" t="n">
        <x:v>10</x:v>
      </x:c>
      <x:c r="K48" s="415" t="n">
        <x:v>0.01639344262295082</x:v>
      </x:c>
      <x:c r="L48" s="407" t="n">
        <x:v>89</x:v>
      </x:c>
      <x:c r="M48" s="407" t="n">
        <x:v>7</x:v>
      </x:c>
      <x:c r="N48" s="415" t="n">
        <x:v>0.07865168539325842</x:v>
      </x:c>
      <x:c r="O48" s="415" t="n">
        <x:v>0.047522564008104624</x:v>
      </x:c>
      <x:c r="P48" s="407" t="str">
        <x:v>跨模型混合（CV規則）</x:v>
      </x:c>
      <x:c r="Q48" s="407" t="str">
        <x:v>可部署門檻+Top-K</x:v>
      </x:c>
      <x:c r="R48" s="407" t="str">
        <x:v>hybrid_champion_deployable_floors_k20_r4</x:v>
      </x:c>
      <x:c r="S48" s="407"/>
      <x:c r="T48" s="120" t="str">
        <x:v>天與天差異可能同時受平假日、天氣、活動、運補與資料品質影響；目前沒有外部天氣或活動特徵，不能把單日高低直接解釋成模型因果。</x:v>
      </x:c>
      <x:c r="U48" s="121" t="str">
        <x:v>天與天差異可能同時受平假日、天氣、活動、運補與資料品質影響；目前沒有外部天氣或活動特徵，不能把單日高低直接解釋成模型因果。</x:v>
      </x:c>
      <x:c r="V48" s="121" t="str">
        <x:v>天與天差異可能同時受平假日、天氣、活動、運補與資料品質影響；目前沒有外部天氣或活動特徵，不能把單日高低直接解釋成模型因果。</x:v>
      </x:c>
      <x:c r="W48" s="121" t="str">
        <x:v>天與天差異可能同時受平假日、天氣、活動、運補與資料品質影響；目前沒有外部天氣或活動特徵，不能把單日高低直接解釋成模型因果。</x:v>
      </x:c>
      <x:c r="X48" s="121" t="str">
        <x:v>天與天差異可能同時受平假日、天氣、活動、運補與資料品質影響；目前沒有外部天氣或活動特徵，不能把單日高低直接解釋成模型因果。</x:v>
      </x:c>
      <x:c r="Y48" s="121" t="str">
        <x:v>天與天差異可能同時受平假日、天氣、活動、運補與資料品質影響；目前沒有外部天氣或活動特徵，不能把單日高低直接解釋成模型因果。</x:v>
      </x:c>
      <x:c r="Z48" s="121" t="str">
        <x:v>天與天差異可能同時受平假日、天氣、活動、運補與資料品質影響；目前沒有外部天氣或活動特徵，不能把單日高低直接解釋成模型因果。</x:v>
      </x:c>
      <x:c r="AA48" s="121" t="str">
        <x:v>天與天差異可能同時受平假日、天氣、活動、運補與資料品質影響；目前沒有外部天氣或活動特徵，不能把單日高低直接解釋成模型因果。</x:v>
      </x:c>
      <x:c r="AB48" s="122" t="str">
        <x:v>天與天差異可能同時受平假日、天氣、活動、運補與資料品質影響；目前沒有外部天氣或活動特徵，不能把單日高低直接解釋成模型因果。</x:v>
      </x:c>
      <x:c r="AC48" s="407"/>
      <x:c r="AD48" s="407"/>
      <x:c r="AE48" s="407"/>
      <x:c r="AF48" s="407"/>
      <x:c r="AG48" s="407"/>
    </x:row>
    <x:row r="49">
      <x:c r="A49" s="418" t="n">
        <x:v>46173</x:v>
      </x:c>
      <x:c r="B49" s="407" t="n">
        <x:v>25</x:v>
      </x:c>
      <x:c r="C49" s="407" t="n">
        <x:v>38</x:v>
      </x:c>
      <x:c r="D49" s="407" t="n">
        <x:v>17</x:v>
      </x:c>
      <x:c r="E49" s="407" t="n">
        <x:v>36</x:v>
      </x:c>
      <x:c r="F49" s="407" t="n">
        <x:v>17</x:v>
      </x:c>
      <x:c r="G49" s="407" t="n">
        <x:v>19</x:v>
      </x:c>
      <x:c r="H49" s="415" t="n">
        <x:v>0.4722222222222222</x:v>
      </x:c>
      <x:c r="I49" s="407" t="n">
        <x:v>610</x:v>
      </x:c>
      <x:c r="J49" s="407" t="n">
        <x:v>10</x:v>
      </x:c>
      <x:c r="K49" s="415" t="n">
        <x:v>0.01639344262295082</x:v>
      </x:c>
      <x:c r="L49" s="407" t="n">
        <x:v>89</x:v>
      </x:c>
      <x:c r="M49" s="407" t="n">
        <x:v>7</x:v>
      </x:c>
      <x:c r="N49" s="415" t="n">
        <x:v>0.07865168539325842</x:v>
      </x:c>
      <x:c r="O49" s="415" t="n">
        <x:v>0.047522564008104624</x:v>
      </x:c>
      <x:c r="P49" s="407" t="str">
        <x:v>跨模型混合（CV規則）</x:v>
      </x:c>
      <x:c r="Q49" s="407" t="str">
        <x:v>可部署門檻+Top-K</x:v>
      </x:c>
      <x:c r="R49" s="407" t="str">
        <x:v>hybrid_champion_deployable_floors_k25_r5</x:v>
      </x:c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/>
      <x:c r="B50" s="407"/>
      <x:c r="C50" s="407"/>
      <x:c r="D50" s="407"/>
      <x:c r="E50" s="407"/>
      <x:c r="F50" s="407"/>
      <x:c r="G50" s="407"/>
      <x:c r="H50" s="407"/>
      <x:c r="I50" s="407"/>
      <x:c r="J50" s="407"/>
      <x:c r="K50" s="407"/>
      <x:c r="L50" s="407"/>
      <x:c r="M50" s="407"/>
      <x:c r="N50" s="407"/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/>
      <x:c r="B51" s="407"/>
      <x:c r="C51" s="407"/>
      <x:c r="D51" s="407"/>
      <x:c r="E51" s="407"/>
      <x:c r="F51" s="407"/>
      <x:c r="G51" s="407"/>
      <x:c r="H51" s="407"/>
      <x:c r="I51" s="407"/>
      <x:c r="J51" s="407"/>
      <x:c r="K51" s="407"/>
      <x:c r="L51" s="407"/>
      <x:c r="M51" s="407"/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/>
      <x:c r="B52" s="407"/>
      <x:c r="C52" s="407"/>
      <x:c r="D52" s="407"/>
      <x:c r="E52" s="407"/>
      <x:c r="F52" s="407"/>
      <x:c r="G52" s="407"/>
      <x:c r="H52" s="407"/>
      <x:c r="I52" s="407"/>
      <x:c r="J52" s="407"/>
      <x:c r="K52" s="407"/>
      <x:c r="L52" s="407"/>
      <x:c r="M52" s="407"/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/>
      <x:c r="B53" s="407"/>
      <x:c r="C53" s="407"/>
      <x:c r="D53" s="407"/>
      <x:c r="E53" s="407"/>
      <x:c r="F53" s="407"/>
      <x:c r="G53" s="407"/>
      <x:c r="H53" s="407"/>
      <x:c r="I53" s="407"/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/>
      <x:c r="B56" s="407"/>
      <x:c r="C56" s="407"/>
      <x:c r="D56" s="407"/>
      <x:c r="E56" s="407"/>
      <x:c r="F56" s="407"/>
      <x:c r="G56" s="407"/>
      <x:c r="H56" s="407"/>
      <x:c r="I56" s="407"/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/>
      <x:c r="B57" s="407"/>
      <x:c r="C57" s="407"/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AB2"/>
    <x:mergeCell ref="A3:AB3"/>
    <x:mergeCell ref="T42:AB48"/>
  </x:mergeCells>
  <x:pageMargins left="0.7" right="0.7" top="0.75" bottom="0.75" header="0.3" footer="0.3"/>
  <x:drawing xmlns:r="http://schemas.openxmlformats.org/officeDocument/2006/relationships" r:id="R26bc5c0f3a914cbd"/>
  <x:tableParts count="1">
    <x:tablePart xmlns:r="http://schemas.openxmlformats.org/officeDocument/2006/relationships" r:id="R68f1397d24de4f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9" customHeight="1">
      <x:c r="A1" s="4" t="str">
        <x:v>Episode去重後的命中案例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07"/>
      <x:c r="P1" s="407"/>
      <x:c r="Q1" s="407"/>
      <x:c r="R1" s="407"/>
      <x:c r="S1" s="407"/>
      <x:c r="T1" s="407"/>
      <x:c r="U1" s="407"/>
      <x:c r="V1" s="407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07"/>
      <x:c r="P2" s="407"/>
      <x:c r="Q2" s="407"/>
      <x:c r="R2" s="407"/>
      <x:c r="S2" s="407"/>
      <x:c r="T2" s="407"/>
      <x:c r="U2" s="407"/>
      <x:c r="V2" s="407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同站、同事件、連續30分鐘警示合併成一個Episode；本頁案例檔不是完整母體。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07"/>
      <x:c r="P3" s="407"/>
      <x:c r="Q3" s="407"/>
      <x:c r="R3" s="407"/>
      <x:c r="S3" s="407"/>
      <x:c r="T3" s="407"/>
      <x:c r="U3" s="407"/>
      <x:c r="V3" s="407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>
      <x:c r="A5" s="143" t="str">
        <x:v>重要：may_alert_episode_sample.csv的500列全部是命中案例，不能用來計算命中率、誤警率或站點排名；本頁只說明警示如何合併與事件何時發生。</x:v>
      </x:c>
      <x:c r="B5" s="144" t="str">
        <x:v>重要：may_alert_episode_sample.csv的500列全部是命中案例，不能用來計算命中率、誤警率或站點排名；本頁只說明警示如何合併與事件何時發生。</x:v>
      </x:c>
      <x:c r="C5" s="144" t="str">
        <x:v>重要：may_alert_episode_sample.csv的500列全部是命中案例，不能用來計算命中率、誤警率或站點排名；本頁只說明警示如何合併與事件何時發生。</x:v>
      </x:c>
      <x:c r="D5" s="144" t="str">
        <x:v>重要：may_alert_episode_sample.csv的500列全部是命中案例，不能用來計算命中率、誤警率或站點排名；本頁只說明警示如何合併與事件何時發生。</x:v>
      </x:c>
      <x:c r="E5" s="144" t="str">
        <x:v>重要：may_alert_episode_sample.csv的500列全部是命中案例，不能用來計算命中率、誤警率或站點排名；本頁只說明警示如何合併與事件何時發生。</x:v>
      </x:c>
      <x:c r="F5" s="144" t="str">
        <x:v>重要：may_alert_episode_sample.csv的500列全部是命中案例，不能用來計算命中率、誤警率或站點排名；本頁只說明警示如何合併與事件何時發生。</x:v>
      </x:c>
      <x:c r="G5" s="144" t="str">
        <x:v>重要：may_alert_episode_sample.csv的500列全部是命中案例，不能用來計算命中率、誤警率或站點排名；本頁只說明警示如何合併與事件何時發生。</x:v>
      </x:c>
      <x:c r="H5" s="144" t="str">
        <x:v>重要：may_alert_episode_sample.csv的500列全部是命中案例，不能用來計算命中率、誤警率或站點排名；本頁只說明警示如何合併與事件何時發生。</x:v>
      </x:c>
      <x:c r="I5" s="144" t="str">
        <x:v>重要：may_alert_episode_sample.csv的500列全部是命中案例，不能用來計算命中率、誤警率或站點排名；本頁只說明警示如何合併與事件何時發生。</x:v>
      </x:c>
      <x:c r="J5" s="144" t="str">
        <x:v>重要：may_alert_episode_sample.csv的500列全部是命中案例，不能用來計算命中率、誤警率或站點排名；本頁只說明警示如何合併與事件何時發生。</x:v>
      </x:c>
      <x:c r="K5" s="144" t="str">
        <x:v>重要：may_alert_episode_sample.csv的500列全部是命中案例，不能用來計算命中率、誤警率或站點排名；本頁只說明警示如何合併與事件何時發生。</x:v>
      </x:c>
      <x:c r="L5" s="144" t="str">
        <x:v>重要：may_alert_episode_sample.csv的500列全部是命中案例，不能用來計算命中率、誤警率或站點排名；本頁只說明警示如何合併與事件何時發生。</x:v>
      </x:c>
      <x:c r="M5" s="144" t="str">
        <x:v>重要：may_alert_episode_sample.csv的500列全部是命中案例，不能用來計算命中率、誤警率或站點排名；本頁只說明警示如何合併與事件何時發生。</x:v>
      </x:c>
      <x:c r="N5" s="145" t="str">
        <x:v>重要：may_alert_episode_sample.csv的500列全部是命中案例，不能用來計算命中率、誤警率或站點排名；本頁只說明警示如何合併與事件何時發生。</x:v>
      </x:c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146" t="str">
        <x:v>重要：may_alert_episode_sample.csv的500列全部是命中案例，不能用來計算命中率、誤警率或站點排名；本頁只說明警示如何合併與事件何時發生。</x:v>
      </x:c>
      <x:c r="B6" s="147" t="str">
        <x:v>重要：may_alert_episode_sample.csv的500列全部是命中案例，不能用來計算命中率、誤警率或站點排名；本頁只說明警示如何合併與事件何時發生。</x:v>
      </x:c>
      <x:c r="C6" s="147" t="str">
        <x:v>重要：may_alert_episode_sample.csv的500列全部是命中案例，不能用來計算命中率、誤警率或站點排名；本頁只說明警示如何合併與事件何時發生。</x:v>
      </x:c>
      <x:c r="D6" s="147" t="str">
        <x:v>重要：may_alert_episode_sample.csv的500列全部是命中案例，不能用來計算命中率、誤警率或站點排名；本頁只說明警示如何合併與事件何時發生。</x:v>
      </x:c>
      <x:c r="E6" s="147" t="str">
        <x:v>重要：may_alert_episode_sample.csv的500列全部是命中案例，不能用來計算命中率、誤警率或站點排名；本頁只說明警示如何合併與事件何時發生。</x:v>
      </x:c>
      <x:c r="F6" s="147" t="str">
        <x:v>重要：may_alert_episode_sample.csv的500列全部是命中案例，不能用來計算命中率、誤警率或站點排名；本頁只說明警示如何合併與事件何時發生。</x:v>
      </x:c>
      <x:c r="G6" s="147" t="str">
        <x:v>重要：may_alert_episode_sample.csv的500列全部是命中案例，不能用來計算命中率、誤警率或站點排名；本頁只說明警示如何合併與事件何時發生。</x:v>
      </x:c>
      <x:c r="H6" s="147" t="str">
        <x:v>重要：may_alert_episode_sample.csv的500列全部是命中案例，不能用來計算命中率、誤警率或站點排名；本頁只說明警示如何合併與事件何時發生。</x:v>
      </x:c>
      <x:c r="I6" s="147" t="str">
        <x:v>重要：may_alert_episode_sample.csv的500列全部是命中案例，不能用來計算命中率、誤警率或站點排名；本頁只說明警示如何合併與事件何時發生。</x:v>
      </x:c>
      <x:c r="J6" s="147" t="str">
        <x:v>重要：may_alert_episode_sample.csv的500列全部是命中案例，不能用來計算命中率、誤警率或站點排名；本頁只說明警示如何合併與事件何時發生。</x:v>
      </x:c>
      <x:c r="K6" s="147" t="str">
        <x:v>重要：may_alert_episode_sample.csv的500列全部是命中案例，不能用來計算命中率、誤警率或站點排名；本頁只說明警示如何合併與事件何時發生。</x:v>
      </x:c>
      <x:c r="L6" s="147" t="str">
        <x:v>重要：may_alert_episode_sample.csv的500列全部是命中案例，不能用來計算命中率、誤警率或站點排名；本頁只說明警示如何合併與事件何時發生。</x:v>
      </x:c>
      <x:c r="M6" s="147" t="str">
        <x:v>重要：may_alert_episode_sample.csv的500列全部是命中案例，不能用來計算命中率、誤警率或站點排名；本頁只說明警示如何合併與事件何時發生。</x:v>
      </x:c>
      <x:c r="N6" s="148" t="str">
        <x:v>重要：may_alert_episode_sample.csv的500列全部是命中案例，不能用來計算命中率、誤警率或站點排名；本頁只說明警示如何合併與事件何時發生。</x:v>
      </x:c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146" t="str">
        <x:v>重要：may_alert_episode_sample.csv的500列全部是命中案例，不能用來計算命中率、誤警率或站點排名；本頁只說明警示如何合併與事件何時發生。</x:v>
      </x:c>
      <x:c r="B7" s="147" t="str">
        <x:v>重要：may_alert_episode_sample.csv的500列全部是命中案例，不能用來計算命中率、誤警率或站點排名；本頁只說明警示如何合併與事件何時發生。</x:v>
      </x:c>
      <x:c r="C7" s="147" t="str">
        <x:v>重要：may_alert_episode_sample.csv的500列全部是命中案例，不能用來計算命中率、誤警率或站點排名；本頁只說明警示如何合併與事件何時發生。</x:v>
      </x:c>
      <x:c r="D7" s="147" t="str">
        <x:v>重要：may_alert_episode_sample.csv的500列全部是命中案例，不能用來計算命中率、誤警率或站點排名；本頁只說明警示如何合併與事件何時發生。</x:v>
      </x:c>
      <x:c r="E7" s="147" t="str">
        <x:v>重要：may_alert_episode_sample.csv的500列全部是命中案例，不能用來計算命中率、誤警率或站點排名；本頁只說明警示如何合併與事件何時發生。</x:v>
      </x:c>
      <x:c r="F7" s="147" t="str">
        <x:v>重要：may_alert_episode_sample.csv的500列全部是命中案例，不能用來計算命中率、誤警率或站點排名；本頁只說明警示如何合併與事件何時發生。</x:v>
      </x:c>
      <x:c r="G7" s="147" t="str">
        <x:v>重要：may_alert_episode_sample.csv的500列全部是命中案例，不能用來計算命中率、誤警率或站點排名；本頁只說明警示如何合併與事件何時發生。</x:v>
      </x:c>
      <x:c r="H7" s="147" t="str">
        <x:v>重要：may_alert_episode_sample.csv的500列全部是命中案例，不能用來計算命中率、誤警率或站點排名；本頁只說明警示如何合併與事件何時發生。</x:v>
      </x:c>
      <x:c r="I7" s="147" t="str">
        <x:v>重要：may_alert_episode_sample.csv的500列全部是命中案例，不能用來計算命中率、誤警率或站點排名；本頁只說明警示如何合併與事件何時發生。</x:v>
      </x:c>
      <x:c r="J7" s="147" t="str">
        <x:v>重要：may_alert_episode_sample.csv的500列全部是命中案例，不能用來計算命中率、誤警率或站點排名；本頁只說明警示如何合併與事件何時發生。</x:v>
      </x:c>
      <x:c r="K7" s="147" t="str">
        <x:v>重要：may_alert_episode_sample.csv的500列全部是命中案例，不能用來計算命中率、誤警率或站點排名；本頁只說明警示如何合併與事件何時發生。</x:v>
      </x:c>
      <x:c r="L7" s="147" t="str">
        <x:v>重要：may_alert_episode_sample.csv的500列全部是命中案例，不能用來計算命中率、誤警率或站點排名；本頁只說明警示如何合併與事件何時發生。</x:v>
      </x:c>
      <x:c r="M7" s="147" t="str">
        <x:v>重要：may_alert_episode_sample.csv的500列全部是命中案例，不能用來計算命中率、誤警率或站點排名；本頁只說明警示如何合併與事件何時發生。</x:v>
      </x:c>
      <x:c r="N7" s="148" t="str">
        <x:v>重要：may_alert_episode_sample.csv的500列全部是命中案例，不能用來計算命中率、誤警率或站點排名；本頁只說明警示如何合併與事件何時發生。</x:v>
      </x:c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149" t="str">
        <x:v>重要：may_alert_episode_sample.csv的500列全部是命中案例，不能用來計算命中率、誤警率或站點排名；本頁只說明警示如何合併與事件何時發生。</x:v>
      </x:c>
      <x:c r="B8" s="150" t="str">
        <x:v>重要：may_alert_episode_sample.csv的500列全部是命中案例，不能用來計算命中率、誤警率或站點排名；本頁只說明警示如何合併與事件何時發生。</x:v>
      </x:c>
      <x:c r="C8" s="150" t="str">
        <x:v>重要：may_alert_episode_sample.csv的500列全部是命中案例，不能用來計算命中率、誤警率或站點排名；本頁只說明警示如何合併與事件何時發生。</x:v>
      </x:c>
      <x:c r="D8" s="150" t="str">
        <x:v>重要：may_alert_episode_sample.csv的500列全部是命中案例，不能用來計算命中率、誤警率或站點排名；本頁只說明警示如何合併與事件何時發生。</x:v>
      </x:c>
      <x:c r="E8" s="150" t="str">
        <x:v>重要：may_alert_episode_sample.csv的500列全部是命中案例，不能用來計算命中率、誤警率或站點排名；本頁只說明警示如何合併與事件何時發生。</x:v>
      </x:c>
      <x:c r="F8" s="150" t="str">
        <x:v>重要：may_alert_episode_sample.csv的500列全部是命中案例，不能用來計算命中率、誤警率或站點排名；本頁只說明警示如何合併與事件何時發生。</x:v>
      </x:c>
      <x:c r="G8" s="150" t="str">
        <x:v>重要：may_alert_episode_sample.csv的500列全部是命中案例，不能用來計算命中率、誤警率或站點排名；本頁只說明警示如何合併與事件何時發生。</x:v>
      </x:c>
      <x:c r="H8" s="150" t="str">
        <x:v>重要：may_alert_episode_sample.csv的500列全部是命中案例，不能用來計算命中率、誤警率或站點排名；本頁只說明警示如何合併與事件何時發生。</x:v>
      </x:c>
      <x:c r="I8" s="150" t="str">
        <x:v>重要：may_alert_episode_sample.csv的500列全部是命中案例，不能用來計算命中率、誤警率或站點排名；本頁只說明警示如何合併與事件何時發生。</x:v>
      </x:c>
      <x:c r="J8" s="150" t="str">
        <x:v>重要：may_alert_episode_sample.csv的500列全部是命中案例，不能用來計算命中率、誤警率或站點排名；本頁只說明警示如何合併與事件何時發生。</x:v>
      </x:c>
      <x:c r="K8" s="150" t="str">
        <x:v>重要：may_alert_episode_sample.csv的500列全部是命中案例，不能用來計算命中率、誤警率或站點排名；本頁只說明警示如何合併與事件何時發生。</x:v>
      </x:c>
      <x:c r="L8" s="150" t="str">
        <x:v>重要：may_alert_episode_sample.csv的500列全部是命中案例，不能用來計算命中率、誤警率或站點排名；本頁只說明警示如何合併與事件何時發生。</x:v>
      </x:c>
      <x:c r="M8" s="150" t="str">
        <x:v>重要：may_alert_episode_sample.csv的500列全部是命中案例，不能用來計算命中率、誤警率或站點排名；本頁只說明警示如何合併與事件何時發生。</x:v>
      </x:c>
      <x:c r="N8" s="151" t="str">
        <x:v>重要：may_alert_episode_sample.csv的500列全部是命中案例，不能用來計算命中率、誤警率或站點排名；本頁只說明警示如何合併與事件何時發生。</x:v>
      </x:c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/>
      <x:c r="B9" s="407"/>
      <x:c r="C9" s="407"/>
      <x:c r="D9" s="407"/>
      <x:c r="E9" s="407"/>
      <x:c r="F9" s="407"/>
      <x:c r="G9" s="407"/>
      <x:c r="H9" s="407"/>
      <x:c r="I9" s="407"/>
      <x:c r="J9" s="407"/>
      <x:c r="K9" s="407"/>
      <x:c r="L9" s="407"/>
      <x:c r="M9" s="407"/>
      <x:c r="N9" s="407"/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 ht="32" customHeight="1">
      <x:c r="A10" s="51" t="str">
        <x:v>站點ID</x:v>
      </x:c>
      <x:c r="B10" s="52" t="str">
        <x:v>分段</x:v>
      </x:c>
      <x:c r="C10" s="52" t="str">
        <x:v>事件</x:v>
      </x:c>
      <x:c r="D10" s="52" t="str">
        <x:v>Episode開始</x:v>
      </x:c>
      <x:c r="E10" s="52" t="str">
        <x:v>Episode結束</x:v>
      </x:c>
      <x:c r="F10" s="52" t="str">
        <x:v>警示快照</x:v>
      </x:c>
      <x:c r="G10" s="52" t="str">
        <x:v>捕捉事件</x:v>
      </x:c>
      <x:c r="H10" s="52" t="str">
        <x:v>最高風險</x:v>
      </x:c>
      <x:c r="I10" s="52" t="str">
        <x:v>平均風險</x:v>
      </x:c>
      <x:c r="J10" s="52" t="str">
        <x:v>事件時間</x:v>
      </x:c>
      <x:c r="K10" s="52" t="str">
        <x:v>Episode分鐘</x:v>
      </x:c>
      <x:c r="L10" s="52" t="str">
        <x:v>開始到事件分鐘</x:v>
      </x:c>
      <x:c r="M10" s="53" t="str">
        <x:v>來源模型</x:v>
      </x:c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str">
        <x:v>910</x:v>
      </x:c>
      <x:c r="B11" s="407" t="str">
        <x:v>1</x:v>
      </x:c>
      <x:c r="C11" s="407" t="str">
        <x:v>滿柱</x:v>
      </x:c>
      <x:c r="D11" s="409" t="n">
        <x:v>46170.291666666664</x:v>
      </x:c>
      <x:c r="E11" s="409" t="n">
        <x:v>46170.291666666664</x:v>
      </x:c>
      <x:c r="F11" s="407" t="n">
        <x:v>1</x:v>
      </x:c>
      <x:c r="G11" s="407" t="n">
        <x:v>1</x:v>
      </x:c>
      <x:c r="H11" s="415" t="n">
        <x:v>0.7309148907661438</x:v>
      </x:c>
      <x:c r="I11" s="415" t="n">
        <x:v>0.7309148907661438</x:v>
      </x:c>
      <x:c r="J11" s="409" t="n">
        <x:v>46170.3125</x:v>
      </x:c>
      <x:c r="K11" s="407" t="n">
        <x:v>0</x:v>
      </x:c>
      <x:c r="L11" s="407" t="n">
        <x:v>30</x:v>
      </x:c>
      <x:c r="M11" s="407" t="str">
        <x:v>LightGBM 舊版</x:v>
      </x:c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str">
        <x:v>910</x:v>
      </x:c>
      <x:c r="B12" s="407" t="str">
        <x:v>1</x:v>
      </x:c>
      <x:c r="C12" s="407" t="str">
        <x:v>滿柱</x:v>
      </x:c>
      <x:c r="D12" s="409" t="n">
        <x:v>46167.291666666664</x:v>
      </x:c>
      <x:c r="E12" s="409" t="n">
        <x:v>46167.3125</x:v>
      </x:c>
      <x:c r="F12" s="407" t="n">
        <x:v>2</x:v>
      </x:c>
      <x:c r="G12" s="407" t="n">
        <x:v>1</x:v>
      </x:c>
      <x:c r="H12" s="415" t="n">
        <x:v>0.7276244163513184</x:v>
      </x:c>
      <x:c r="I12" s="415" t="n">
        <x:v>0.6352477073669434</x:v>
      </x:c>
      <x:c r="J12" s="409" t="n">
        <x:v>46167.333333333336</x:v>
      </x:c>
      <x:c r="K12" s="407" t="n">
        <x:v>30</x:v>
      </x:c>
      <x:c r="L12" s="407" t="n">
        <x:v>60</x:v>
      </x:c>
      <x:c r="M12" s="407" t="str">
        <x:v>LightGBM 舊版</x:v>
      </x:c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str">
        <x:v>6</x:v>
      </x:c>
      <x:c r="B13" s="407" t="str">
        <x:v>1</x:v>
      </x:c>
      <x:c r="C13" s="407" t="str">
        <x:v>缺車</x:v>
      </x:c>
      <x:c r="D13" s="409" t="n">
        <x:v>46169.6875</x:v>
      </x:c>
      <x:c r="E13" s="409" t="n">
        <x:v>46169.6875</x:v>
      </x:c>
      <x:c r="F13" s="407" t="n">
        <x:v>1</x:v>
      </x:c>
      <x:c r="G13" s="407" t="n">
        <x:v>1</x:v>
      </x:c>
      <x:c r="H13" s="415" t="n">
        <x:v>0.9606815576553345</x:v>
      </x:c>
      <x:c r="I13" s="415" t="n">
        <x:v>0.9606815576553345</x:v>
      </x:c>
      <x:c r="J13" s="409" t="n">
        <x:v>46169.708333333336</x:v>
      </x:c>
      <x:c r="K13" s="407" t="n">
        <x:v>0</x:v>
      </x:c>
      <x:c r="L13" s="407" t="n">
        <x:v>30</x:v>
      </x:c>
      <x:c r="M13" s="407" t="str">
        <x:v>Logistic</x:v>
      </x:c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6</x:v>
      </x:c>
      <x:c r="B14" s="407" t="str">
        <x:v>1</x:v>
      </x:c>
      <x:c r="C14" s="407" t="str">
        <x:v>缺車</x:v>
      </x:c>
      <x:c r="D14" s="409" t="n">
        <x:v>46168.6875</x:v>
      </x:c>
      <x:c r="E14" s="409" t="n">
        <x:v>46168.708333333336</x:v>
      </x:c>
      <x:c r="F14" s="407" t="n">
        <x:v>2</x:v>
      </x:c>
      <x:c r="G14" s="407" t="n">
        <x:v>1</x:v>
      </x:c>
      <x:c r="H14" s="415" t="n">
        <x:v>0.9367489814758301</x:v>
      </x:c>
      <x:c r="I14" s="415" t="n">
        <x:v>0.8544361591339111</x:v>
      </x:c>
      <x:c r="J14" s="409" t="n">
        <x:v>46168.729166666664</x:v>
      </x:c>
      <x:c r="K14" s="407" t="n">
        <x:v>30</x:v>
      </x:c>
      <x:c r="L14" s="407" t="n">
        <x:v>60</x:v>
      </x:c>
      <x:c r="M14" s="407" t="str">
        <x:v>Logistic</x:v>
      </x:c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6</x:v>
      </x:c>
      <x:c r="B15" s="407" t="str">
        <x:v>1</x:v>
      </x:c>
      <x:c r="C15" s="407" t="str">
        <x:v>缺車</x:v>
      </x:c>
      <x:c r="D15" s="409" t="n">
        <x:v>46167.6875</x:v>
      </x:c>
      <x:c r="E15" s="409" t="n">
        <x:v>46167.708333333336</x:v>
      </x:c>
      <x:c r="F15" s="407" t="n">
        <x:v>2</x:v>
      </x:c>
      <x:c r="G15" s="407" t="n">
        <x:v>1</x:v>
      </x:c>
      <x:c r="H15" s="415" t="n">
        <x:v>0.9230737686157227</x:v>
      </x:c>
      <x:c r="I15" s="415" t="n">
        <x:v>0.8529669046401978</x:v>
      </x:c>
      <x:c r="J15" s="409" t="n">
        <x:v>46167.729166666664</x:v>
      </x:c>
      <x:c r="K15" s="407" t="n">
        <x:v>30</x:v>
      </x:c>
      <x:c r="L15" s="407" t="n">
        <x:v>60</x:v>
      </x:c>
      <x:c r="M15" s="407" t="str">
        <x:v>Logistic</x:v>
      </x:c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6</x:v>
      </x:c>
      <x:c r="B16" s="407" t="str">
        <x:v>1</x:v>
      </x:c>
      <x:c r="C16" s="407" t="str">
        <x:v>缺車</x:v>
      </x:c>
      <x:c r="D16" s="409" t="n">
        <x:v>46164.729166666664</x:v>
      </x:c>
      <x:c r="E16" s="409" t="n">
        <x:v>46164.75</x:v>
      </x:c>
      <x:c r="F16" s="407" t="n">
        <x:v>2</x:v>
      </x:c>
      <x:c r="G16" s="407" t="n">
        <x:v>1</x:v>
      </x:c>
      <x:c r="H16" s="415" t="n">
        <x:v>0.8808003067970276</x:v>
      </x:c>
      <x:c r="I16" s="415" t="n">
        <x:v>0.644189715385437</x:v>
      </x:c>
      <x:c r="J16" s="409" t="n">
        <x:v>46164.770833333336</x:v>
      </x:c>
      <x:c r="K16" s="407" t="n">
        <x:v>30</x:v>
      </x:c>
      <x:c r="L16" s="407" t="n">
        <x:v>60</x:v>
      </x:c>
      <x:c r="M16" s="407" t="str">
        <x:v>Logistic</x:v>
      </x:c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6</x:v>
      </x:c>
      <x:c r="B17" s="407" t="str">
        <x:v>1</x:v>
      </x:c>
      <x:c r="C17" s="407" t="str">
        <x:v>缺車</x:v>
      </x:c>
      <x:c r="D17" s="409" t="n">
        <x:v>46170.6875</x:v>
      </x:c>
      <x:c r="E17" s="409" t="n">
        <x:v>46170.6875</x:v>
      </x:c>
      <x:c r="F17" s="407" t="n">
        <x:v>1</x:v>
      </x:c>
      <x:c r="G17" s="407" t="n">
        <x:v>1</x:v>
      </x:c>
      <x:c r="H17" s="415" t="n">
        <x:v>0.8766350746154785</x:v>
      </x:c>
      <x:c r="I17" s="415" t="n">
        <x:v>0.8766350746154785</x:v>
      </x:c>
      <x:c r="J17" s="409" t="n">
        <x:v>46170.708333333336</x:v>
      </x:c>
      <x:c r="K17" s="407" t="n">
        <x:v>0</x:v>
      </x:c>
      <x:c r="L17" s="407" t="n">
        <x:v>30</x:v>
      </x:c>
      <x:c r="M17" s="407" t="str">
        <x:v>Logistic</x:v>
      </x:c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1097</x:v>
      </x:c>
      <x:c r="B18" s="407" t="str">
        <x:v>3</x:v>
      </x:c>
      <x:c r="C18" s="407" t="str">
        <x:v>缺車</x:v>
      </x:c>
      <x:c r="D18" s="409" t="n">
        <x:v>46170.791666666664</x:v>
      </x:c>
      <x:c r="E18" s="409" t="n">
        <x:v>46170.791666666664</x:v>
      </x:c>
      <x:c r="F18" s="407" t="n">
        <x:v>1</x:v>
      </x:c>
      <x:c r="G18" s="407" t="n">
        <x:v>1</x:v>
      </x:c>
      <x:c r="H18" s="415" t="n">
        <x:v>0.8749167323112488</x:v>
      </x:c>
      <x:c r="I18" s="415" t="n">
        <x:v>0.8749167323112488</x:v>
      </x:c>
      <x:c r="J18" s="409" t="n">
        <x:v>46170.8125</x:v>
      </x:c>
      <x:c r="K18" s="407" t="n">
        <x:v>0</x:v>
      </x:c>
      <x:c r="L18" s="407" t="n">
        <x:v>30</x:v>
      </x:c>
      <x:c r="M18" s="407" t="str">
        <x:v>Logistic</x:v>
      </x:c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1484</x:v>
      </x:c>
      <x:c r="B19" s="407" t="str">
        <x:v>3</x:v>
      </x:c>
      <x:c r="C19" s="407" t="str">
        <x:v>缺車</x:v>
      </x:c>
      <x:c r="D19" s="409" t="n">
        <x:v>46168.729166666664</x:v>
      </x:c>
      <x:c r="E19" s="409" t="n">
        <x:v>46168.729166666664</x:v>
      </x:c>
      <x:c r="F19" s="407" t="n">
        <x:v>1</x:v>
      </x:c>
      <x:c r="G19" s="407" t="n">
        <x:v>1</x:v>
      </x:c>
      <x:c r="H19" s="415" t="n">
        <x:v>0.8476184606552124</x:v>
      </x:c>
      <x:c r="I19" s="415" t="n">
        <x:v>0.8476184606552124</x:v>
      </x:c>
      <x:c r="J19" s="409" t="n">
        <x:v>46168.75</x:v>
      </x:c>
      <x:c r="K19" s="407" t="n">
        <x:v>0</x:v>
      </x:c>
      <x:c r="L19" s="407" t="n">
        <x:v>30</x:v>
      </x:c>
      <x:c r="M19" s="407" t="str">
        <x:v>Logistic</x:v>
      </x:c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1270</x:v>
      </x:c>
      <x:c r="B20" s="407" t="str">
        <x:v>3</x:v>
      </x:c>
      <x:c r="C20" s="407" t="str">
        <x:v>缺車</x:v>
      </x:c>
      <x:c r="D20" s="409" t="n">
        <x:v>46170.6875</x:v>
      </x:c>
      <x:c r="E20" s="409" t="n">
        <x:v>46170.6875</x:v>
      </x:c>
      <x:c r="F20" s="407" t="n">
        <x:v>1</x:v>
      </x:c>
      <x:c r="G20" s="407" t="n">
        <x:v>1</x:v>
      </x:c>
      <x:c r="H20" s="415" t="n">
        <x:v>0.8046393394470215</x:v>
      </x:c>
      <x:c r="I20" s="415" t="n">
        <x:v>0.8046393394470215</x:v>
      </x:c>
      <x:c r="J20" s="409" t="n">
        <x:v>46170.708333333336</x:v>
      </x:c>
      <x:c r="K20" s="407" t="n">
        <x:v>0</x:v>
      </x:c>
      <x:c r="L20" s="407" t="n">
        <x:v>30</x:v>
      </x:c>
      <x:c r="M20" s="407" t="str">
        <x:v>線性外推</x:v>
      </x:c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90</x:v>
      </x:c>
      <x:c r="B21" s="407" t="str">
        <x:v>3</x:v>
      </x:c>
      <x:c r="C21" s="407" t="str">
        <x:v>缺車</x:v>
      </x:c>
      <x:c r="D21" s="409" t="n">
        <x:v>46171.6875</x:v>
      </x:c>
      <x:c r="E21" s="409" t="n">
        <x:v>46171.6875</x:v>
      </x:c>
      <x:c r="F21" s="407" t="n">
        <x:v>1</x:v>
      </x:c>
      <x:c r="G21" s="407" t="n">
        <x:v>1</x:v>
      </x:c>
      <x:c r="H21" s="415" t="n">
        <x:v>0.7885943651199341</x:v>
      </x:c>
      <x:c r="I21" s="415" t="n">
        <x:v>0.7885943651199341</x:v>
      </x:c>
      <x:c r="J21" s="409" t="n">
        <x:v>46171.708333333336</x:v>
      </x:c>
      <x:c r="K21" s="407" t="n">
        <x:v>0</x:v>
      </x:c>
      <x:c r="L21" s="407" t="n">
        <x:v>30</x:v>
      </x:c>
      <x:c r="M21" s="407" t="str">
        <x:v>線性外推</x:v>
      </x:c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 t="str">
        <x:v>236</x:v>
      </x:c>
      <x:c r="B22" s="407" t="str">
        <x:v>2</x:v>
      </x:c>
      <x:c r="C22" s="407" t="str">
        <x:v>缺車</x:v>
      </x:c>
      <x:c r="D22" s="409" t="n">
        <x:v>46163.770833333336</x:v>
      </x:c>
      <x:c r="E22" s="409" t="n">
        <x:v>46163.770833333336</x:v>
      </x:c>
      <x:c r="F22" s="407" t="n">
        <x:v>1</x:v>
      </x:c>
      <x:c r="G22" s="407" t="n">
        <x:v>1</x:v>
      </x:c>
      <x:c r="H22" s="415" t="n">
        <x:v>0.7759898900985718</x:v>
      </x:c>
      <x:c r="I22" s="415" t="n">
        <x:v>0.7759898900985718</x:v>
      </x:c>
      <x:c r="J22" s="409" t="n">
        <x:v>46163.791666666664</x:v>
      </x:c>
      <x:c r="K22" s="407" t="n">
        <x:v>0</x:v>
      </x:c>
      <x:c r="L22" s="407" t="n">
        <x:v>30</x:v>
      </x:c>
      <x:c r="M22" s="407" t="str">
        <x:v>LightGBM 舊版</x:v>
      </x:c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 t="str">
        <x:v>1484</x:v>
      </x:c>
      <x:c r="B23" s="407" t="str">
        <x:v>3</x:v>
      </x:c>
      <x:c r="C23" s="407" t="str">
        <x:v>缺車</x:v>
      </x:c>
      <x:c r="D23" s="409" t="n">
        <x:v>46170.75</x:v>
      </x:c>
      <x:c r="E23" s="409" t="n">
        <x:v>46170.770833333336</x:v>
      </x:c>
      <x:c r="F23" s="407" t="n">
        <x:v>2</x:v>
      </x:c>
      <x:c r="G23" s="407" t="n">
        <x:v>1</x:v>
      </x:c>
      <x:c r="H23" s="415" t="n">
        <x:v>0.7668529748916626</x:v>
      </x:c>
      <x:c r="I23" s="415" t="n">
        <x:v>0.6300267577171326</x:v>
      </x:c>
      <x:c r="J23" s="409" t="n">
        <x:v>46170.791666666664</x:v>
      </x:c>
      <x:c r="K23" s="407" t="n">
        <x:v>30</x:v>
      </x:c>
      <x:c r="L23" s="407" t="n">
        <x:v>60</x:v>
      </x:c>
      <x:c r="M23" s="407" t="str">
        <x:v>Logistic</x:v>
      </x:c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 t="str">
        <x:v>1436</x:v>
      </x:c>
      <x:c r="B24" s="407" t="str">
        <x:v>1</x:v>
      </x:c>
      <x:c r="C24" s="407" t="str">
        <x:v>缺車</x:v>
      </x:c>
      <x:c r="D24" s="409" t="n">
        <x:v>46163.75</x:v>
      </x:c>
      <x:c r="E24" s="409" t="n">
        <x:v>46163.791666666664</x:v>
      </x:c>
      <x:c r="F24" s="407" t="n">
        <x:v>3</x:v>
      </x:c>
      <x:c r="G24" s="407" t="n">
        <x:v>1</x:v>
      </x:c>
      <x:c r="H24" s="415" t="n">
        <x:v>0.7584658265113831</x:v>
      </x:c>
      <x:c r="I24" s="415" t="n">
        <x:v>0.6024680733680725</x:v>
      </x:c>
      <x:c r="J24" s="409" t="n">
        <x:v>46163.8125</x:v>
      </x:c>
      <x:c r="K24" s="407" t="n">
        <x:v>60</x:v>
      </x:c>
      <x:c r="L24" s="407" t="n">
        <x:v>90</x:v>
      </x:c>
      <x:c r="M24" s="407" t="str">
        <x:v>XGBoost 正式調參</x:v>
      </x:c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 t="str">
        <x:v>1436</x:v>
      </x:c>
      <x:c r="B25" s="407" t="str">
        <x:v>1</x:v>
      </x:c>
      <x:c r="C25" s="407" t="str">
        <x:v>缺車</x:v>
      </x:c>
      <x:c r="D25" s="409" t="n">
        <x:v>46163.770833333336</x:v>
      </x:c>
      <x:c r="E25" s="409" t="n">
        <x:v>46163.791666666664</x:v>
      </x:c>
      <x:c r="F25" s="407" t="n">
        <x:v>2</x:v>
      </x:c>
      <x:c r="G25" s="407" t="n">
        <x:v>1</x:v>
      </x:c>
      <x:c r="H25" s="415" t="n">
        <x:v>0.7584658265113831</x:v>
      </x:c>
      <x:c r="I25" s="415" t="n">
        <x:v>0.7156206369400024</x:v>
      </x:c>
      <x:c r="J25" s="409" t="n">
        <x:v>46163.8125</x:v>
      </x:c>
      <x:c r="K25" s="407" t="n">
        <x:v>30</x:v>
      </x:c>
      <x:c r="L25" s="407" t="n">
        <x:v>60</x:v>
      </x:c>
      <x:c r="M25" s="407" t="str">
        <x:v>XGBoost 正式調參</x:v>
      </x:c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1287</x:v>
      </x:c>
      <x:c r="B26" s="407" t="str">
        <x:v>2</x:v>
      </x:c>
      <x:c r="C26" s="407" t="str">
        <x:v>缺車</x:v>
      </x:c>
      <x:c r="D26" s="409" t="n">
        <x:v>46168.3125</x:v>
      </x:c>
      <x:c r="E26" s="409" t="n">
        <x:v>46168.333333333336</x:v>
      </x:c>
      <x:c r="F26" s="407" t="n">
        <x:v>2</x:v>
      </x:c>
      <x:c r="G26" s="407" t="n">
        <x:v>1</x:v>
      </x:c>
      <x:c r="H26" s="415" t="n">
        <x:v>0.7543308138847351</x:v>
      </x:c>
      <x:c r="I26" s="415" t="n">
        <x:v>0.7177231907844543</x:v>
      </x:c>
      <x:c r="J26" s="409" t="n">
        <x:v>46168.354166666664</x:v>
      </x:c>
      <x:c r="K26" s="407" t="n">
        <x:v>30</x:v>
      </x:c>
      <x:c r="L26" s="407" t="n">
        <x:v>60</x:v>
      </x:c>
      <x:c r="M26" s="407" t="str">
        <x:v>跨模型混合（CV規則）</x:v>
      </x:c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149</x:v>
      </x:c>
      <x:c r="B27" s="407" t="str">
        <x:v>2</x:v>
      </x:c>
      <x:c r="C27" s="407" t="str">
        <x:v>缺車</x:v>
      </x:c>
      <x:c r="D27" s="409" t="n">
        <x:v>46168.791666666664</x:v>
      </x:c>
      <x:c r="E27" s="409" t="n">
        <x:v>46168.791666666664</x:v>
      </x:c>
      <x:c r="F27" s="407" t="n">
        <x:v>1</x:v>
      </x:c>
      <x:c r="G27" s="407" t="n">
        <x:v>1</x:v>
      </x:c>
      <x:c r="H27" s="415" t="n">
        <x:v>0.7527115941047668</x:v>
      </x:c>
      <x:c r="I27" s="415" t="n">
        <x:v>0.7527115941047668</x:v>
      </x:c>
      <x:c r="J27" s="409" t="n">
        <x:v>46168.8125</x:v>
      </x:c>
      <x:c r="K27" s="407" t="n">
        <x:v>0</x:v>
      </x:c>
      <x:c r="L27" s="407" t="n">
        <x:v>30</x:v>
      </x:c>
      <x:c r="M27" s="407" t="str">
        <x:v>XGBoost 正式調參</x:v>
      </x:c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659</x:v>
      </x:c>
      <x:c r="B28" s="407" t="str">
        <x:v>1</x:v>
      </x:c>
      <x:c r="C28" s="407" t="str">
        <x:v>缺車</x:v>
      </x:c>
      <x:c r="D28" s="409" t="n">
        <x:v>46167.75</x:v>
      </x:c>
      <x:c r="E28" s="409" t="n">
        <x:v>46167.770833333336</x:v>
      </x:c>
      <x:c r="F28" s="407" t="n">
        <x:v>2</x:v>
      </x:c>
      <x:c r="G28" s="407" t="n">
        <x:v>1</x:v>
      </x:c>
      <x:c r="H28" s="415" t="n">
        <x:v>0.7520610094070435</x:v>
      </x:c>
      <x:c r="I28" s="415" t="n">
        <x:v>0.6907690167427063</x:v>
      </x:c>
      <x:c r="J28" s="409" t="n">
        <x:v>46167.791666666664</x:v>
      </x:c>
      <x:c r="K28" s="407" t="n">
        <x:v>30</x:v>
      </x:c>
      <x:c r="L28" s="407" t="n">
        <x:v>60</x:v>
      </x:c>
      <x:c r="M28" s="407" t="str">
        <x:v>跨模型混合（CV規則）</x:v>
      </x:c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1156</x:v>
      </x:c>
      <x:c r="B29" s="407" t="str">
        <x:v>1</x:v>
      </x:c>
      <x:c r="C29" s="407" t="str">
        <x:v>缺車</x:v>
      </x:c>
      <x:c r="D29" s="409" t="n">
        <x:v>46170.75</x:v>
      </x:c>
      <x:c r="E29" s="409" t="n">
        <x:v>46170.75</x:v>
      </x:c>
      <x:c r="F29" s="407" t="n">
        <x:v>1</x:v>
      </x:c>
      <x:c r="G29" s="407" t="n">
        <x:v>1</x:v>
      </x:c>
      <x:c r="H29" s="415" t="n">
        <x:v>0.7519221305847168</x:v>
      </x:c>
      <x:c r="I29" s="415" t="n">
        <x:v>0.7519221305847168</x:v>
      </x:c>
      <x:c r="J29" s="409" t="n">
        <x:v>46170.770833333336</x:v>
      </x:c>
      <x:c r="K29" s="407" t="n">
        <x:v>0</x:v>
      </x:c>
      <x:c r="L29" s="407" t="n">
        <x:v>30</x:v>
      </x:c>
      <x:c r="M29" s="407" t="str">
        <x:v>線性外推</x:v>
      </x:c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 t="str">
        <x:v>155</x:v>
      </x:c>
      <x:c r="B30" s="407" t="str">
        <x:v>2</x:v>
      </x:c>
      <x:c r="C30" s="407" t="str">
        <x:v>缺車</x:v>
      </x:c>
      <x:c r="D30" s="409" t="n">
        <x:v>46167.333333333336</x:v>
      </x:c>
      <x:c r="E30" s="409" t="n">
        <x:v>46167.333333333336</x:v>
      </x:c>
      <x:c r="F30" s="407" t="n">
        <x:v>1</x:v>
      </x:c>
      <x:c r="G30" s="407" t="n">
        <x:v>1</x:v>
      </x:c>
      <x:c r="H30" s="415" t="n">
        <x:v>0.746577799320221</x:v>
      </x:c>
      <x:c r="I30" s="415" t="n">
        <x:v>0.746577799320221</x:v>
      </x:c>
      <x:c r="J30" s="409" t="n">
        <x:v>46167.354166666664</x:v>
      </x:c>
      <x:c r="K30" s="407" t="n">
        <x:v>0</x:v>
      </x:c>
      <x:c r="L30" s="407" t="n">
        <x:v>30</x:v>
      </x:c>
      <x:c r="M30" s="407" t="str">
        <x:v>跨模型混合（CV規則）</x:v>
      </x:c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str">
        <x:v>115</x:v>
      </x:c>
      <x:c r="B31" s="407" t="str">
        <x:v>2</x:v>
      </x:c>
      <x:c r="C31" s="407" t="str">
        <x:v>缺車</x:v>
      </x:c>
      <x:c r="D31" s="409" t="n">
        <x:v>46167.333333333336</x:v>
      </x:c>
      <x:c r="E31" s="409" t="n">
        <x:v>46167.333333333336</x:v>
      </x:c>
      <x:c r="F31" s="407" t="n">
        <x:v>1</x:v>
      </x:c>
      <x:c r="G31" s="407" t="n">
        <x:v>1</x:v>
      </x:c>
      <x:c r="H31" s="415" t="n">
        <x:v>0.7459612488746643</x:v>
      </x:c>
      <x:c r="I31" s="415" t="n">
        <x:v>0.7459612488746643</x:v>
      </x:c>
      <x:c r="J31" s="409" t="n">
        <x:v>46167.354166666664</x:v>
      </x:c>
      <x:c r="K31" s="407" t="n">
        <x:v>0</x:v>
      </x:c>
      <x:c r="L31" s="407" t="n">
        <x:v>30</x:v>
      </x:c>
      <x:c r="M31" s="407" t="str">
        <x:v>LightGBM 舊版</x:v>
      </x:c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str">
        <x:v>1419</x:v>
      </x:c>
      <x:c r="B32" s="407" t="str">
        <x:v>3</x:v>
      </x:c>
      <x:c r="C32" s="407" t="str">
        <x:v>缺車</x:v>
      </x:c>
      <x:c r="D32" s="409" t="n">
        <x:v>46170.770833333336</x:v>
      </x:c>
      <x:c r="E32" s="409" t="n">
        <x:v>46170.770833333336</x:v>
      </x:c>
      <x:c r="F32" s="407" t="n">
        <x:v>1</x:v>
      </x:c>
      <x:c r="G32" s="407" t="n">
        <x:v>1</x:v>
      </x:c>
      <x:c r="H32" s="415" t="n">
        <x:v>0.7362537980079651</x:v>
      </x:c>
      <x:c r="I32" s="415" t="n">
        <x:v>0.7362537980079651</x:v>
      </x:c>
      <x:c r="J32" s="409" t="n">
        <x:v>46170.791666666664</x:v>
      </x:c>
      <x:c r="K32" s="407" t="n">
        <x:v>0</x:v>
      </x:c>
      <x:c r="L32" s="407" t="n">
        <x:v>30</x:v>
      </x:c>
      <x:c r="M32" s="407" t="str">
        <x:v>Logistic</x:v>
      </x:c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str">
        <x:v>659</x:v>
      </x:c>
      <x:c r="B33" s="407" t="str">
        <x:v>1</x:v>
      </x:c>
      <x:c r="C33" s="407" t="str">
        <x:v>缺車</x:v>
      </x:c>
      <x:c r="D33" s="409" t="n">
        <x:v>46168.791666666664</x:v>
      </x:c>
      <x:c r="E33" s="409" t="n">
        <x:v>46168.791666666664</x:v>
      </x:c>
      <x:c r="F33" s="407" t="n">
        <x:v>1</x:v>
      </x:c>
      <x:c r="G33" s="407" t="n">
        <x:v>1</x:v>
      </x:c>
      <x:c r="H33" s="415" t="n">
        <x:v>0.7285053730010986</x:v>
      </x:c>
      <x:c r="I33" s="415" t="n">
        <x:v>0.7285053730010986</x:v>
      </x:c>
      <x:c r="J33" s="409" t="n">
        <x:v>46168.8125</x:v>
      </x:c>
      <x:c r="K33" s="407" t="n">
        <x:v>0</x:v>
      </x:c>
      <x:c r="L33" s="407" t="n">
        <x:v>30</x:v>
      </x:c>
      <x:c r="M33" s="407" t="str">
        <x:v>跨模型混合（CV規則）</x:v>
      </x:c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115</x:v>
      </x:c>
      <x:c r="B34" s="407" t="str">
        <x:v>2</x:v>
      </x:c>
      <x:c r="C34" s="407" t="str">
        <x:v>缺車</x:v>
      </x:c>
      <x:c r="D34" s="409" t="n">
        <x:v>46170.75</x:v>
      </x:c>
      <x:c r="E34" s="409" t="n">
        <x:v>46170.75</x:v>
      </x:c>
      <x:c r="F34" s="407" t="n">
        <x:v>1</x:v>
      </x:c>
      <x:c r="G34" s="407" t="n">
        <x:v>1</x:v>
      </x:c>
      <x:c r="H34" s="415" t="n">
        <x:v>0.7283420562744141</x:v>
      </x:c>
      <x:c r="I34" s="415" t="n">
        <x:v>0.7283420562744141</x:v>
      </x:c>
      <x:c r="J34" s="409" t="n">
        <x:v>46170.770833333336</x:v>
      </x:c>
      <x:c r="K34" s="407" t="n">
        <x:v>0</x:v>
      </x:c>
      <x:c r="L34" s="407" t="n">
        <x:v>30</x:v>
      </x:c>
      <x:c r="M34" s="407" t="str">
        <x:v>線性外推</x:v>
      </x:c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119</x:v>
      </x:c>
      <x:c r="B35" s="407" t="str">
        <x:v>2</x:v>
      </x:c>
      <x:c r="C35" s="407" t="str">
        <x:v>缺車</x:v>
      </x:c>
      <x:c r="D35" s="409" t="n">
        <x:v>46165.791666666664</x:v>
      </x:c>
      <x:c r="E35" s="409" t="n">
        <x:v>46165.791666666664</x:v>
      </x:c>
      <x:c r="F35" s="407" t="n">
        <x:v>1</x:v>
      </x:c>
      <x:c r="G35" s="407" t="n">
        <x:v>1</x:v>
      </x:c>
      <x:c r="H35" s="415" t="n">
        <x:v>0.7283420562744141</x:v>
      </x:c>
      <x:c r="I35" s="415" t="n">
        <x:v>0.7283420562744141</x:v>
      </x:c>
      <x:c r="J35" s="409" t="n">
        <x:v>46165.8125</x:v>
      </x:c>
      <x:c r="K35" s="407" t="n">
        <x:v>0</x:v>
      </x:c>
      <x:c r="L35" s="407" t="n">
        <x:v>30</x:v>
      </x:c>
      <x:c r="M35" s="407" t="str">
        <x:v>線性外推</x:v>
      </x:c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59</x:v>
      </x:c>
      <x:c r="B36" s="407" t="str">
        <x:v>1</x:v>
      </x:c>
      <x:c r="C36" s="407" t="str">
        <x:v>缺車</x:v>
      </x:c>
      <x:c r="D36" s="409" t="n">
        <x:v>46167.354166666664</x:v>
      </x:c>
      <x:c r="E36" s="409" t="n">
        <x:v>46167.354166666664</x:v>
      </x:c>
      <x:c r="F36" s="407" t="n">
        <x:v>1</x:v>
      </x:c>
      <x:c r="G36" s="407" t="n">
        <x:v>1</x:v>
      </x:c>
      <x:c r="H36" s="415" t="n">
        <x:v>0.725204586982727</x:v>
      </x:c>
      <x:c r="I36" s="415" t="n">
        <x:v>0.725204586982727</x:v>
      </x:c>
      <x:c r="J36" s="409" t="n">
        <x:v>46167.375</x:v>
      </x:c>
      <x:c r="K36" s="407" t="n">
        <x:v>0</x:v>
      </x:c>
      <x:c r="L36" s="407" t="n">
        <x:v>30</x:v>
      </x:c>
      <x:c r="M36" s="407" t="str">
        <x:v>LightGBM 舊版</x:v>
      </x:c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1436</x:v>
      </x:c>
      <x:c r="B37" s="407" t="str">
        <x:v>1</x:v>
      </x:c>
      <x:c r="C37" s="407" t="str">
        <x:v>缺車</x:v>
      </x:c>
      <x:c r="D37" s="409" t="n">
        <x:v>46164.791666666664</x:v>
      </x:c>
      <x:c r="E37" s="409" t="n">
        <x:v>46164.791666666664</x:v>
      </x:c>
      <x:c r="F37" s="407" t="n">
        <x:v>1</x:v>
      </x:c>
      <x:c r="G37" s="407" t="n">
        <x:v>1</x:v>
      </x:c>
      <x:c r="H37" s="415" t="n">
        <x:v>0.7237384915351868</x:v>
      </x:c>
      <x:c r="I37" s="415" t="n">
        <x:v>0.7237384915351868</x:v>
      </x:c>
      <x:c r="J37" s="409" t="n">
        <x:v>46164.8125</x:v>
      </x:c>
      <x:c r="K37" s="407" t="n">
        <x:v>0</x:v>
      </x:c>
      <x:c r="L37" s="407" t="n">
        <x:v>30</x:v>
      </x:c>
      <x:c r="M37" s="407" t="str">
        <x:v>XGBoost 正式調參</x:v>
      </x:c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/>
      <x:c r="B38" s="407"/>
      <x:c r="C38" s="407"/>
      <x:c r="D38" s="407"/>
      <x:c r="E38" s="407"/>
      <x:c r="F38" s="407"/>
      <x:c r="G38" s="407"/>
      <x:c r="H38" s="407"/>
      <x:c r="I38" s="407"/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/>
      <x:c r="B39" s="407"/>
      <x:c r="C39" s="407"/>
      <x:c r="D39" s="407"/>
      <x:c r="E39" s="407"/>
      <x:c r="F39" s="407"/>
      <x:c r="G39" s="407"/>
      <x:c r="H39" s="407"/>
      <x:c r="I39" s="407"/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/>
      <x:c r="B40" s="407"/>
      <x:c r="C40" s="407"/>
      <x:c r="D40" s="407"/>
      <x:c r="E40" s="407"/>
      <x:c r="F40" s="407"/>
      <x:c r="G40" s="407"/>
      <x:c r="H40" s="407"/>
      <x:c r="I40" s="407"/>
      <x:c r="J40" s="407"/>
      <x:c r="K40" s="407"/>
      <x:c r="L40" s="407"/>
      <x:c r="M40" s="407"/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/>
      <x:c r="B41" s="407"/>
      <x:c r="C41" s="407"/>
      <x:c r="D41" s="407"/>
      <x:c r="E41" s="407"/>
      <x:c r="F41" s="407"/>
      <x:c r="G41" s="407"/>
      <x:c r="H41" s="407"/>
      <x:c r="I41" s="407"/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/>
      <x:c r="B42" s="407"/>
      <x:c r="C42" s="407"/>
      <x:c r="D42" s="407"/>
      <x:c r="E42" s="407"/>
      <x:c r="F42" s="407"/>
      <x:c r="G42" s="407"/>
      <x:c r="H42" s="407"/>
      <x:c r="I42" s="407"/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/>
      <x:c r="B43" s="407"/>
      <x:c r="C43" s="407"/>
      <x:c r="D43" s="407"/>
      <x:c r="E43" s="407"/>
      <x:c r="F43" s="407"/>
      <x:c r="G43" s="407"/>
      <x:c r="H43" s="407"/>
      <x:c r="I43" s="407"/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170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4" s="171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4" s="172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173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5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5" s="175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173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6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6" s="175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173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7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7" s="175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173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8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8" s="175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173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49" s="174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49" s="175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176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B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C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D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E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F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G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H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I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J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K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L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M50" s="177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N50" s="178" t="str">
        <x:v>若Episode從07:30到08:00連續出現2次警示，而事件在08:30發生：操作上只算一個持續Episode，但最後一次08:00警示仍恰好對應30分鐘後的事件。「開始到事件」可能是60分鐘，不代表預測距離變成60分鐘。</x:v>
      </x:c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/>
      <x:c r="B51" s="407"/>
      <x:c r="C51" s="407"/>
      <x:c r="D51" s="407"/>
      <x:c r="E51" s="407"/>
      <x:c r="F51" s="407"/>
      <x:c r="G51" s="407"/>
      <x:c r="H51" s="407"/>
      <x:c r="I51" s="407"/>
      <x:c r="J51" s="407"/>
      <x:c r="K51" s="407"/>
      <x:c r="L51" s="407"/>
      <x:c r="M51" s="407"/>
      <x:c r="N51" s="407"/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/>
      <x:c r="B52" s="407"/>
      <x:c r="C52" s="407"/>
      <x:c r="D52" s="407"/>
      <x:c r="E52" s="407"/>
      <x:c r="F52" s="407"/>
      <x:c r="G52" s="407"/>
      <x:c r="H52" s="407"/>
      <x:c r="I52" s="407"/>
      <x:c r="J52" s="407"/>
      <x:c r="K52" s="407"/>
      <x:c r="L52" s="407"/>
      <x:c r="M52" s="407"/>
      <x:c r="N52" s="407"/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/>
      <x:c r="B53" s="407"/>
      <x:c r="C53" s="407"/>
      <x:c r="D53" s="407"/>
      <x:c r="E53" s="407"/>
      <x:c r="F53" s="407"/>
      <x:c r="G53" s="407"/>
      <x:c r="H53" s="407"/>
      <x:c r="I53" s="407"/>
      <x:c r="J53" s="407"/>
      <x:c r="K53" s="407"/>
      <x:c r="L53" s="407"/>
      <x:c r="M53" s="407"/>
      <x:c r="N53" s="407"/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/>
      <x:c r="B56" s="407"/>
      <x:c r="C56" s="407"/>
      <x:c r="D56" s="407"/>
      <x:c r="E56" s="407"/>
      <x:c r="F56" s="407"/>
      <x:c r="G56" s="407"/>
      <x:c r="H56" s="407"/>
      <x:c r="I56" s="407"/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/>
      <x:c r="B57" s="407"/>
      <x:c r="C57" s="407"/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N2"/>
    <x:mergeCell ref="A3:N3"/>
    <x:mergeCell ref="A5:N8"/>
    <x:mergeCell ref="A44:N50"/>
  </x:mergeCells>
  <x:pageMargins left="0.7" right="0.7" top="0.75" bottom="0.75" header="0.3" footer="0.3"/>
  <x:tableParts count="1">
    <x:tablePart xmlns:r="http://schemas.openxmlformats.org/officeDocument/2006/relationships" r:id="Rf5ef09c9e72545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29" customHeight="1">
      <x:c r="A1" s="4" t="str">
        <x:v>模型實際看了什麼？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各家族、各事件前10名Gain重要度；重要度不是因果。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家族</x:v>
      </x:c>
      <x:c r="B5" s="52" t="str">
        <x:v>事件</x:v>
      </x:c>
      <x:c r="C5" s="52" t="str">
        <x:v>排名</x:v>
      </x:c>
      <x:c r="D5" s="52" t="str">
        <x:v>特徵</x:v>
      </x:c>
      <x:c r="E5" s="52" t="str">
        <x:v>Gain</x:v>
      </x:c>
      <x:c r="F5" s="52" t="str">
        <x:v>Gain占比</x:v>
      </x:c>
      <x:c r="G5" s="53" t="str">
        <x:v>分割次數</x:v>
      </x:c>
      <x:c r="H5" s="407"/>
      <x:c r="I5" s="51" t="str">
        <x:v>LGB缺車</x:v>
      </x:c>
      <x:c r="J5" s="53" t="str">
        <x:v>Gain占比</x:v>
      </x:c>
      <x:c r="K5" s="407"/>
      <x:c r="L5" s="51" t="str">
        <x:v>XGB滿柱</x:v>
      </x:c>
      <x:c r="M5" s="53" t="str">
        <x:v>Gain占比</x:v>
      </x:c>
      <x:c r="N5" s="407"/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str">
        <x:v>LightGBM</x:v>
      </x:c>
      <x:c r="B6" s="407" t="str">
        <x:v>缺車</x:v>
      </x:c>
      <x:c r="C6" s="407" t="n">
        <x:v>1</x:v>
      </x:c>
      <x:c r="D6" s="407" t="str">
        <x:v>available_bikes</x:v>
      </x:c>
      <x:c r="E6" s="407" t="n">
        <x:v>1973528.2148566246</x:v>
      </x:c>
      <x:c r="F6" s="415" t="n">
        <x:v>0.38394857345800404</x:v>
      </x:c>
      <x:c r="G6" s="407" t="n">
        <x:v>622</x:v>
      </x:c>
      <x:c r="H6" s="407"/>
      <x:c r="I6" s="407" t="str">
        <x:f>D6</x:f>
        <x:v>available_bikes</x:v>
      </x:c>
      <x:c r="J6" s="407" t="n">
        <x:f>F6</x:f>
        <x:v>0.38394857345800404</x:v>
      </x:c>
      <x:c r="K6" s="407"/>
      <x:c r="L6" s="407" t="str">
        <x:f>D36</x:f>
        <x:v>available_docks</x:v>
      </x:c>
      <x:c r="M6" s="407" t="n">
        <x:f>F36</x:f>
        <x:v>0.2690046087666454</x:v>
      </x:c>
      <x:c r="N6" s="407"/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str">
        <x:v>LightGBM</x:v>
      </x:c>
      <x:c r="B7" s="407" t="str">
        <x:v>缺車</x:v>
      </x:c>
      <x:c r="C7" s="407" t="n">
        <x:v>2</x:v>
      </x:c>
      <x:c r="D7" s="407" t="str">
        <x:v>station_id</x:v>
      </x:c>
      <x:c r="E7" s="407" t="n">
        <x:v>1109786.3560390472</x:v>
      </x:c>
      <x:c r="F7" s="415" t="n">
        <x:v>0.2159081816194377</x:v>
      </x:c>
      <x:c r="G7" s="407" t="n">
        <x:v>10108</x:v>
      </x:c>
      <x:c r="H7" s="407"/>
      <x:c r="I7" s="407" t="str">
        <x:f>D7</x:f>
        <x:v>station_id</x:v>
      </x:c>
      <x:c r="J7" s="407" t="n">
        <x:f>F7</x:f>
        <x:v>0.2159081816194377</x:v>
      </x:c>
      <x:c r="K7" s="407"/>
      <x:c r="L7" s="407" t="str">
        <x:f>D37</x:f>
        <x:v>dock_ratio</x:v>
      </x:c>
      <x:c r="M7" s="407" t="n">
        <x:f>F37</x:f>
        <x:v>0.12643596917526337</x:v>
      </x:c>
      <x:c r="N7" s="407"/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 t="str">
        <x:v>LightGBM</x:v>
      </x:c>
      <x:c r="B8" s="407" t="str">
        <x:v>缺車</x:v>
      </x:c>
      <x:c r="C8" s="407" t="n">
        <x:v>3</x:v>
      </x:c>
      <x:c r="D8" s="407" t="str">
        <x:v>target_hour</x:v>
      </x:c>
      <x:c r="E8" s="407" t="n">
        <x:v>532238.2242927551</x:v>
      </x:c>
      <x:c r="F8" s="415" t="n">
        <x:v>0.10354658495311685</x:v>
      </x:c>
      <x:c r="G8" s="407" t="n">
        <x:v>4442</x:v>
      </x:c>
      <x:c r="H8" s="407"/>
      <x:c r="I8" s="407" t="str">
        <x:f>D8</x:f>
        <x:v>target_hour</x:v>
      </x:c>
      <x:c r="J8" s="407" t="n">
        <x:f>F8</x:f>
        <x:v>0.10354658495311685</x:v>
      </x:c>
      <x:c r="K8" s="407"/>
      <x:c r="L8" s="407" t="str">
        <x:f>D38</x:f>
        <x:v>delta_docks_30</x:v>
      </x:c>
      <x:c r="M8" s="407" t="n">
        <x:f>F38</x:f>
        <x:v>0.08179961039576682</x:v>
      </x:c>
      <x:c r="N8" s="407"/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 t="str">
        <x:v>LightGBM</x:v>
      </x:c>
      <x:c r="B9" s="407" t="str">
        <x:v>缺車</x:v>
      </x:c>
      <x:c r="C9" s="407" t="n">
        <x:v>4</x:v>
      </x:c>
      <x:c r="D9" s="407" t="str">
        <x:v>abs_delta_bikes_30</x:v>
      </x:c>
      <x:c r="E9" s="407" t="n">
        <x:v>356002.63883018494</x:v>
      </x:c>
      <x:c r="F9" s="415" t="n">
        <x:v>0.06926007152933698</x:v>
      </x:c>
      <x:c r="G9" s="407" t="n">
        <x:v>218</x:v>
      </x:c>
      <x:c r="H9" s="407"/>
      <x:c r="I9" s="407" t="str">
        <x:f>D9</x:f>
        <x:v>abs_delta_bikes_30</x:v>
      </x:c>
      <x:c r="J9" s="407" t="n">
        <x:f>F9</x:f>
        <x:v>0.06926007152933698</x:v>
      </x:c>
      <x:c r="K9" s="407"/>
      <x:c r="L9" s="407" t="str">
        <x:f>D39</x:f>
        <x:v>abs_delta_bikes_30</x:v>
      </x:c>
      <x:c r="M9" s="407" t="n">
        <x:f>F39</x:f>
        <x:v>0.057508957866492634</x:v>
      </x:c>
      <x:c r="N9" s="407"/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 t="str">
        <x:v>LightGBM</x:v>
      </x:c>
      <x:c r="B10" s="407" t="str">
        <x:v>缺車</x:v>
      </x:c>
      <x:c r="C10" s="407" t="n">
        <x:v>5</x:v>
      </x:c>
      <x:c r="D10" s="407" t="str">
        <x:v>bike_ratio_min_90</x:v>
      </x:c>
      <x:c r="E10" s="407" t="n">
        <x:v>352560.7044095993</x:v>
      </x:c>
      <x:c r="F10" s="415" t="n">
        <x:v>0.06859044552613547</x:v>
      </x:c>
      <x:c r="G10" s="407" t="n">
        <x:v>363</x:v>
      </x:c>
      <x:c r="H10" s="407"/>
      <x:c r="I10" s="407" t="str">
        <x:f>D10</x:f>
        <x:v>bike_ratio_min_90</x:v>
      </x:c>
      <x:c r="J10" s="407" t="n">
        <x:f>F10</x:f>
        <x:v>0.06859044552613547</x:v>
      </x:c>
      <x:c r="K10" s="407"/>
      <x:c r="L10" s="407" t="str">
        <x:f>D40</x:f>
        <x:v>dock_ratio_lag_90</x:v>
      </x:c>
      <x:c r="M10" s="407" t="n">
        <x:f>F40</x:f>
        <x:v>0.05278439854490786</x:v>
      </x:c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 t="str">
        <x:v>LightGBM</x:v>
      </x:c>
      <x:c r="B11" s="407" t="str">
        <x:v>缺車</x:v>
      </x:c>
      <x:c r="C11" s="407" t="n">
        <x:v>6</x:v>
      </x:c>
      <x:c r="D11" s="407" t="str">
        <x:v>bike_ratio</x:v>
      </x:c>
      <x:c r="E11" s="407" t="n">
        <x:v>121087.98222923279</x:v>
      </x:c>
      <x:c r="F11" s="415" t="n">
        <x:v>0.023557584679983735</x:v>
      </x:c>
      <x:c r="G11" s="407" t="n">
        <x:v>387</x:v>
      </x:c>
      <x:c r="H11" s="407"/>
      <x:c r="I11" s="407" t="str">
        <x:f>D11</x:f>
        <x:v>bike_ratio</x:v>
      </x:c>
      <x:c r="J11" s="407" t="n">
        <x:f>F11</x:f>
        <x:v>0.023557584679983735</x:v>
      </x:c>
      <x:c r="K11" s="407"/>
      <x:c r="L11" s="407" t="str">
        <x:f>D41</x:f>
        <x:v>dock_ratio_lag_60</x:v>
      </x:c>
      <x:c r="M11" s="407" t="n">
        <x:f>F41</x:f>
        <x:v>0.03400170945877</x:v>
      </x:c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 t="str">
        <x:v>LightGBM</x:v>
      </x:c>
      <x:c r="B12" s="407" t="str">
        <x:v>缺車</x:v>
      </x:c>
      <x:c r="C12" s="407" t="n">
        <x:v>7</x:v>
      </x:c>
      <x:c r="D12" s="407" t="str">
        <x:v>delta_docks_90</x:v>
      </x:c>
      <x:c r="E12" s="407" t="n">
        <x:v>90009.39728975296</x:v>
      </x:c>
      <x:c r="F12" s="415" t="n">
        <x:v>0.01751126709365342</x:v>
      </x:c>
      <x:c r="G12" s="407" t="n">
        <x:v>258</x:v>
      </x:c>
      <x:c r="H12" s="407"/>
      <x:c r="I12" s="407" t="str">
        <x:f>D12</x:f>
        <x:v>delta_docks_90</x:v>
      </x:c>
      <x:c r="J12" s="407" t="n">
        <x:f>F12</x:f>
        <x:v>0.01751126709365342</x:v>
      </x:c>
      <x:c r="K12" s="407"/>
      <x:c r="L12" s="407" t="str">
        <x:f>D42</x:f>
        <x:v>dock_ratio_min_90</x:v>
      </x:c>
      <x:c r="M12" s="407" t="n">
        <x:f>F42</x:f>
        <x:v>0.028037883344718212</x:v>
      </x:c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>
      <x:c r="A13" s="407" t="str">
        <x:v>LightGBM</x:v>
      </x:c>
      <x:c r="B13" s="407" t="str">
        <x:v>缺車</x:v>
      </x:c>
      <x:c r="C13" s="407" t="n">
        <x:v>8</x:v>
      </x:c>
      <x:c r="D13" s="407" t="str">
        <x:v>bike_ratio_lag_1d</x:v>
      </x:c>
      <x:c r="E13" s="407" t="n">
        <x:v>64924.358839035034</x:v>
      </x:c>
      <x:c r="F13" s="415" t="n">
        <x:v>0.012630989904917083</x:v>
      </x:c>
      <x:c r="G13" s="407" t="n">
        <x:v>325</x:v>
      </x:c>
      <x:c r="H13" s="407"/>
      <x:c r="I13" s="407" t="str">
        <x:f>D13</x:f>
        <x:v>bike_ratio_lag_1d</x:v>
      </x:c>
      <x:c r="J13" s="407" t="n">
        <x:f>F13</x:f>
        <x:v>0.012630989904917083</x:v>
      </x:c>
      <x:c r="K13" s="407"/>
      <x:c r="L13" s="407" t="str">
        <x:f>D43</x:f>
        <x:v>docks_lag_30</x:v>
      </x:c>
      <x:c r="M13" s="407" t="n">
        <x:f>F43</x:f>
        <x:v>0.020763438442782875</x:v>
      </x:c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LightGBM</x:v>
      </x:c>
      <x:c r="B14" s="407" t="str">
        <x:v>缺車</x:v>
      </x:c>
      <x:c r="C14" s="407" t="n">
        <x:v>9</x:v>
      </x:c>
      <x:c r="D14" s="407" t="str">
        <x:v>target_hour_cos</x:v>
      </x:c>
      <x:c r="E14" s="407" t="n">
        <x:v>62519.65926027298</x:v>
      </x:c>
      <x:c r="F14" s="415" t="n">
        <x:v>0.012163157235533215</x:v>
      </x:c>
      <x:c r="G14" s="407" t="n">
        <x:v>418</x:v>
      </x:c>
      <x:c r="H14" s="407"/>
      <x:c r="I14" s="407" t="str">
        <x:f>D14</x:f>
        <x:v>target_hour_cos</x:v>
      </x:c>
      <x:c r="J14" s="407" t="n">
        <x:f>F14</x:f>
        <x:v>0.012163157235533215</x:v>
      </x:c>
      <x:c r="K14" s="407"/>
      <x:c r="L14" s="407" t="str">
        <x:f>D44</x:f>
        <x:v>station_id</x:v>
      </x:c>
      <x:c r="M14" s="407" t="n">
        <x:f>F44</x:f>
        <x:v>0.020433556243870665</x:v>
      </x:c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LightGBM</x:v>
      </x:c>
      <x:c r="B15" s="407" t="str">
        <x:v>缺車</x:v>
      </x:c>
      <x:c r="C15" s="407" t="n">
        <x:v>10</x:v>
      </x:c>
      <x:c r="D15" s="407" t="str">
        <x:v>district_code</x:v>
      </x:c>
      <x:c r="E15" s="407" t="n">
        <x:v>60878.71449422836</x:v>
      </x:c>
      <x:c r="F15" s="415" t="n">
        <x:v>0.011843912546096647</x:v>
      </x:c>
      <x:c r="G15" s="407" t="n">
        <x:v>554</x:v>
      </x:c>
      <x:c r="H15" s="407"/>
      <x:c r="I15" s="407" t="str">
        <x:f>D15</x:f>
        <x:v>district_code</x:v>
      </x:c>
      <x:c r="J15" s="407" t="n">
        <x:f>F15</x:f>
        <x:v>0.011843912546096647</x:v>
      </x:c>
      <x:c r="K15" s="407"/>
      <x:c r="L15" s="407" t="str">
        <x:f>D45</x:f>
        <x:v>delta_docks_ratio_30</x:v>
      </x:c>
      <x:c r="M15" s="407" t="n">
        <x:f>F45</x:f>
        <x:v>0.020166032434456978</x:v>
      </x:c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LightGBM</x:v>
      </x:c>
      <x:c r="B16" s="407" t="str">
        <x:v>滿柱</x:v>
      </x:c>
      <x:c r="C16" s="407" t="n">
        <x:v>1</x:v>
      </x:c>
      <x:c r="D16" s="407" t="str">
        <x:v>available_docks</x:v>
      </x:c>
      <x:c r="E16" s="407" t="n">
        <x:v>525666.3315944672</x:v>
      </x:c>
      <x:c r="F16" s="415" t="n">
        <x:v>0.39029562891604547</x:v>
      </x:c>
      <x:c r="G16" s="407" t="n">
        <x:v>484</x:v>
      </x:c>
      <x:c r="H16" s="407"/>
      <x:c r="I16" s="407"/>
      <x:c r="J16" s="407"/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LightGBM</x:v>
      </x:c>
      <x:c r="B17" s="407" t="str">
        <x:v>滿柱</x:v>
      </x:c>
      <x:c r="C17" s="407" t="n">
        <x:v>2</x:v>
      </x:c>
      <x:c r="D17" s="407" t="str">
        <x:v>station_id</x:v>
      </x:c>
      <x:c r="E17" s="407" t="n">
        <x:v>324983.040643692</x:v>
      </x:c>
      <x:c r="F17" s="415" t="n">
        <x:v>0.24129272242021896</x:v>
      </x:c>
      <x:c r="G17" s="407" t="n">
        <x:v>3718</x:v>
      </x:c>
      <x:c r="H17" s="407"/>
      <x:c r="I17" s="407"/>
      <x:c r="J17" s="407"/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LightGBM</x:v>
      </x:c>
      <x:c r="B18" s="407" t="str">
        <x:v>滿柱</x:v>
      </x:c>
      <x:c r="C18" s="407" t="n">
        <x:v>3</x:v>
      </x:c>
      <x:c r="D18" s="407" t="str">
        <x:v>target_hour</x:v>
      </x:c>
      <x:c r="E18" s="407" t="n">
        <x:v>112626.9358446598</x:v>
      </x:c>
      <x:c r="F18" s="415" t="n">
        <x:v>0.08362300972376234</x:v>
      </x:c>
      <x:c r="G18" s="407" t="n">
        <x:v>2568</x:v>
      </x:c>
      <x:c r="H18" s="407"/>
      <x:c r="I18" s="407"/>
      <x:c r="J18" s="407"/>
      <x:c r="K18" s="407"/>
      <x:c r="L18" s="407"/>
      <x:c r="M18" s="407"/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LightGBM</x:v>
      </x:c>
      <x:c r="B19" s="407" t="str">
        <x:v>滿柱</x:v>
      </x:c>
      <x:c r="C19" s="407" t="n">
        <x:v>4</x:v>
      </x:c>
      <x:c r="D19" s="407" t="str">
        <x:v>abs_delta_bikes_30</x:v>
      </x:c>
      <x:c r="E19" s="407" t="n">
        <x:v>85468.19282770157</x:v>
      </x:c>
      <x:c r="F19" s="415" t="n">
        <x:v>0.0634582435036757</x:v>
      </x:c>
      <x:c r="G19" s="407" t="n">
        <x:v>215</x:v>
      </x:c>
      <x:c r="H19" s="407"/>
      <x:c r="I19" s="407"/>
      <x:c r="J19" s="407"/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LightGBM</x:v>
      </x:c>
      <x:c r="B20" s="407" t="str">
        <x:v>滿柱</x:v>
      </x:c>
      <x:c r="C20" s="407" t="n">
        <x:v>5</x:v>
      </x:c>
      <x:c r="D20" s="407" t="str">
        <x:v>dock_ratio_min_90</x:v>
      </x:c>
      <x:c r="E20" s="407" t="n">
        <x:v>46890.58362865448</x:v>
      </x:c>
      <x:c r="F20" s="415" t="n">
        <x:v>0.0348152216103976</x:v>
      </x:c>
      <x:c r="G20" s="407" t="n">
        <x:v>271</x:v>
      </x:c>
      <x:c r="H20" s="407"/>
      <x:c r="I20" s="407"/>
      <x:c r="J20" s="407"/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LightGBM</x:v>
      </x:c>
      <x:c r="B21" s="407" t="str">
        <x:v>滿柱</x:v>
      </x:c>
      <x:c r="C21" s="407" t="n">
        <x:v>6</x:v>
      </x:c>
      <x:c r="D21" s="407" t="str">
        <x:v>dock_ratio</x:v>
      </x:c>
      <x:c r="E21" s="407" t="n">
        <x:v>40803.71623635292</x:v>
      </x:c>
      <x:c r="F21" s="415" t="n">
        <x:v>0.030295857150054617</x:v>
      </x:c>
      <x:c r="G21" s="407" t="n">
        <x:v>215</x:v>
      </x:c>
      <x:c r="H21" s="407"/>
      <x:c r="I21" s="407"/>
      <x:c r="J21" s="407"/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 t="str">
        <x:v>LightGBM</x:v>
      </x:c>
      <x:c r="B22" s="407" t="str">
        <x:v>滿柱</x:v>
      </x:c>
      <x:c r="C22" s="407" t="n">
        <x:v>7</x:v>
      </x:c>
      <x:c r="D22" s="407" t="str">
        <x:v>target_hour_sin</x:v>
      </x:c>
      <x:c r="E22" s="407" t="n">
        <x:v>30025.62859106064</x:v>
      </x:c>
      <x:c r="F22" s="415" t="n">
        <x:v>0.022293365373052463</x:v>
      </x:c>
      <x:c r="G22" s="407" t="n">
        <x:v>411</x:v>
      </x:c>
      <x:c r="H22" s="407"/>
      <x:c r="I22" s="407"/>
      <x:c r="J22" s="407"/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 t="str">
        <x:v>LightGBM</x:v>
      </x:c>
      <x:c r="B23" s="407" t="str">
        <x:v>滿柱</x:v>
      </x:c>
      <x:c r="C23" s="407" t="n">
        <x:v>8</x:v>
      </x:c>
      <x:c r="D23" s="407" t="str">
        <x:v>delta_docks_90</x:v>
      </x:c>
      <x:c r="E23" s="407" t="n">
        <x:v>14195.657571792603</x:v>
      </x:c>
      <x:c r="F23" s="415" t="n">
        <x:v>0.010539961886191176</x:v>
      </x:c>
      <x:c r="G23" s="407" t="n">
        <x:v>253</x:v>
      </x:c>
      <x:c r="H23" s="407"/>
      <x:c r="I23" s="407"/>
      <x:c r="J23" s="407"/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 t="str">
        <x:v>LightGBM</x:v>
      </x:c>
      <x:c r="B24" s="407" t="str">
        <x:v>滿柱</x:v>
      </x:c>
      <x:c r="C24" s="407" t="n">
        <x:v>9</x:v>
      </x:c>
      <x:c r="D24" s="407" t="str">
        <x:v>district_code</x:v>
      </x:c>
      <x:c r="E24" s="407" t="n">
        <x:v>13935.170565605164</x:v>
      </x:c>
      <x:c r="F24" s="415" t="n">
        <x:v>0.010346556043370684</x:v>
      </x:c>
      <x:c r="G24" s="407" t="n">
        <x:v>611</x:v>
      </x:c>
      <x:c r="H24" s="407"/>
      <x:c r="I24" s="407"/>
      <x:c r="J24" s="407"/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>
      <x:c r="A25" s="407" t="str">
        <x:v>LightGBM</x:v>
      </x:c>
      <x:c r="B25" s="407" t="str">
        <x:v>滿柱</x:v>
      </x:c>
      <x:c r="C25" s="407" t="n">
        <x:v>10</x:v>
      </x:c>
      <x:c r="D25" s="407" t="str">
        <x:v>delta_docks_60</x:v>
      </x:c>
      <x:c r="E25" s="407" t="n">
        <x:v>12703.136479377747</x:v>
      </x:c>
      <x:c r="F25" s="415" t="n">
        <x:v>0.009431797974175758</x:v>
      </x:c>
      <x:c r="G25" s="407" t="n">
        <x:v>197</x:v>
      </x:c>
      <x:c r="H25" s="407"/>
      <x:c r="I25" s="407"/>
      <x:c r="J25" s="407"/>
      <x:c r="K25" s="407"/>
      <x:c r="L25" s="407"/>
      <x:c r="M25" s="407"/>
      <x:c r="N25" s="407"/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XGBoost</x:v>
      </x:c>
      <x:c r="B26" s="407" t="str">
        <x:v>缺車</x:v>
      </x:c>
      <x:c r="C26" s="407" t="n">
        <x:v>1</x:v>
      </x:c>
      <x:c r="D26" s="407" t="str">
        <x:v>available_bikes</x:v>
      </x:c>
      <x:c r="E26" s="407" t="n">
        <x:v>1642.4696044921875</x:v>
      </x:c>
      <x:c r="F26" s="415" t="n">
        <x:v>0.3032561736238273</x:v>
      </x:c>
      <x:c r="G26" s="407" t="n">
        <x:v>1824</x:v>
      </x:c>
      <x:c r="H26" s="407"/>
      <x:c r="I26" s="407"/>
      <x:c r="J26" s="407"/>
      <x:c r="K26" s="407"/>
      <x:c r="L26" s="407"/>
      <x:c r="M26" s="407"/>
      <x:c r="N26" s="407"/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XGBoost</x:v>
      </x:c>
      <x:c r="B27" s="407" t="str">
        <x:v>缺車</x:v>
      </x:c>
      <x:c r="C27" s="407" t="n">
        <x:v>2</x:v>
      </x:c>
      <x:c r="D27" s="407" t="str">
        <x:v>abs_delta_bikes_30</x:v>
      </x:c>
      <x:c r="E27" s="407" t="n">
        <x:v>473.9964294433594</x:v>
      </x:c>
      <x:c r="F27" s="415" t="n">
        <x:v>0.08751598392518886</x:v>
      </x:c>
      <x:c r="G27" s="407" t="n">
        <x:v>761</x:v>
      </x:c>
      <x:c r="H27" s="407"/>
      <x:c r="I27" s="407"/>
      <x:c r="J27" s="407"/>
      <x:c r="K27" s="407"/>
      <x:c r="L27" s="407"/>
      <x:c r="M27" s="407"/>
      <x:c r="N27" s="407"/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XGBoost</x:v>
      </x:c>
      <x:c r="B28" s="407" t="str">
        <x:v>缺車</x:v>
      </x:c>
      <x:c r="C28" s="407" t="n">
        <x:v>3</x:v>
      </x:c>
      <x:c r="D28" s="407" t="str">
        <x:v>bike_ratio</x:v>
      </x:c>
      <x:c r="E28" s="407" t="n">
        <x:v>430.09759521484375</x:v>
      </x:c>
      <x:c r="F28" s="415" t="n">
        <x:v>0.0794107547883597</x:v>
      </x:c>
      <x:c r="G28" s="407" t="n">
        <x:v>1403</x:v>
      </x:c>
      <x:c r="H28" s="407"/>
      <x:c r="I28" s="407"/>
      <x:c r="J28" s="407"/>
      <x:c r="K28" s="407"/>
      <x:c r="L28" s="407"/>
      <x:c r="M28" s="407"/>
      <x:c r="N28" s="407"/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XGBoost</x:v>
      </x:c>
      <x:c r="B29" s="407" t="str">
        <x:v>缺車</x:v>
      </x:c>
      <x:c r="C29" s="407" t="n">
        <x:v>4</x:v>
      </x:c>
      <x:c r="D29" s="407" t="str">
        <x:v>bike_ratio_min_90</x:v>
      </x:c>
      <x:c r="E29" s="407" t="n">
        <x:v>389.6428527832031</x:v>
      </x:c>
      <x:c r="F29" s="415" t="n">
        <x:v>0.07194142302039079</x:v>
      </x:c>
      <x:c r="G29" s="407" t="n">
        <x:v>1261</x:v>
      </x:c>
      <x:c r="H29" s="407"/>
      <x:c r="I29" s="407"/>
      <x:c r="J29" s="407"/>
      <x:c r="K29" s="407"/>
      <x:c r="L29" s="407"/>
      <x:c r="M29" s="407"/>
      <x:c r="N29" s="407"/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>
      <x:c r="A30" s="407" t="str">
        <x:v>XGBoost</x:v>
      </x:c>
      <x:c r="B30" s="407" t="str">
        <x:v>缺車</x:v>
      </x:c>
      <x:c r="C30" s="407" t="n">
        <x:v>5</x:v>
      </x:c>
      <x:c r="D30" s="407" t="str">
        <x:v>delta_docks_90</x:v>
      </x:c>
      <x:c r="E30" s="407" t="n">
        <x:v>239.55738830566406</x:v>
      </x:c>
      <x:c r="F30" s="415" t="n">
        <x:v>0.044230503104715824</x:v>
      </x:c>
      <x:c r="G30" s="407" t="n">
        <x:v>822</x:v>
      </x:c>
      <x:c r="H30" s="407"/>
      <x:c r="I30" s="407"/>
      <x:c r="J30" s="407"/>
      <x:c r="K30" s="407"/>
      <x:c r="L30" s="407"/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str">
        <x:v>XGBoost</x:v>
      </x:c>
      <x:c r="B31" s="407" t="str">
        <x:v>缺車</x:v>
      </x:c>
      <x:c r="C31" s="407" t="n">
        <x:v>6</x:v>
      </x:c>
      <x:c r="D31" s="407" t="str">
        <x:v>target_is_peak</x:v>
      </x:c>
      <x:c r="E31" s="407" t="n">
        <x:v>213.13783264160156</x:v>
      </x:c>
      <x:c r="F31" s="415" t="n">
        <x:v>0.03935254777597633</x:v>
      </x:c>
      <x:c r="G31" s="407" t="n">
        <x:v>179</x:v>
      </x:c>
      <x:c r="H31" s="407"/>
      <x:c r="I31" s="407"/>
      <x:c r="J31" s="407"/>
      <x:c r="K31" s="407"/>
      <x:c r="L31" s="407"/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str">
        <x:v>XGBoost</x:v>
      </x:c>
      <x:c r="B32" s="407" t="str">
        <x:v>缺車</x:v>
      </x:c>
      <x:c r="C32" s="407" t="n">
        <x:v>7</x:v>
      </x:c>
      <x:c r="D32" s="407" t="str">
        <x:v>delta_bikes_60</x:v>
      </x:c>
      <x:c r="E32" s="407" t="n">
        <x:v>199.93191528320312</x:v>
      </x:c>
      <x:c r="F32" s="415" t="n">
        <x:v>0.03691428288733106</x:v>
      </x:c>
      <x:c r="G32" s="407" t="n">
        <x:v>469</x:v>
      </x:c>
      <x:c r="H32" s="407"/>
      <x:c r="I32" s="407"/>
      <x:c r="J32" s="407"/>
      <x:c r="K32" s="407"/>
      <x:c r="L32" s="407"/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str">
        <x:v>XGBoost</x:v>
      </x:c>
      <x:c r="B33" s="407" t="str">
        <x:v>缺車</x:v>
      </x:c>
      <x:c r="C33" s="407" t="n">
        <x:v>8</x:v>
      </x:c>
      <x:c r="D33" s="407" t="str">
        <x:v>delta_docks_60</x:v>
      </x:c>
      <x:c r="E33" s="407" t="n">
        <x:v>193.15219116210938</x:v>
      </x:c>
      <x:c r="F33" s="415" t="n">
        <x:v>0.03566251348498421</x:v>
      </x:c>
      <x:c r="G33" s="407" t="n">
        <x:v>539</x:v>
      </x:c>
      <x:c r="H33" s="407"/>
      <x:c r="I33" s="407"/>
      <x:c r="J33" s="407"/>
      <x:c r="K33" s="407"/>
      <x:c r="L33" s="407"/>
      <x:c r="M33" s="407"/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str">
        <x:v>XGBoost</x:v>
      </x:c>
      <x:c r="B34" s="407" t="str">
        <x:v>缺車</x:v>
      </x:c>
      <x:c r="C34" s="407" t="n">
        <x:v>9</x:v>
      </x:c>
      <x:c r="D34" s="407" t="str">
        <x:v>bikes_lag_30</x:v>
      </x:c>
      <x:c r="E34" s="407" t="n">
        <x:v>139.80477905273438</x:v>
      </x:c>
      <x:c r="F34" s="415" t="n">
        <x:v>0.025812753084684857</x:v>
      </x:c>
      <x:c r="G34" s="407" t="n">
        <x:v>502</x:v>
      </x:c>
      <x:c r="H34" s="407"/>
      <x:c r="I34" s="407"/>
      <x:c r="J34" s="407"/>
      <x:c r="K34" s="407"/>
      <x:c r="L34" s="407"/>
      <x:c r="M34" s="407"/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str">
        <x:v>XGBoost</x:v>
      </x:c>
      <x:c r="B35" s="407" t="str">
        <x:v>缺車</x:v>
      </x:c>
      <x:c r="C35" s="407" t="n">
        <x:v>10</x:v>
      </x:c>
      <x:c r="D35" s="407" t="str">
        <x:v>target_is_weekend</x:v>
      </x:c>
      <x:c r="E35" s="407" t="n">
        <x:v>97.66332244873047</x:v>
      </x:c>
      <x:c r="F35" s="415" t="n">
        <x:v>0.01803199607967717</x:v>
      </x:c>
      <x:c r="G35" s="407" t="n">
        <x:v>131</x:v>
      </x:c>
      <x:c r="H35" s="407"/>
      <x:c r="I35" s="407"/>
      <x:c r="J35" s="407"/>
      <x:c r="K35" s="407"/>
      <x:c r="L35" s="407"/>
      <x:c r="M35" s="407"/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 t="str">
        <x:v>XGBoost</x:v>
      </x:c>
      <x:c r="B36" s="407" t="str">
        <x:v>滿柱</x:v>
      </x:c>
      <x:c r="C36" s="407" t="n">
        <x:v>1</x:v>
      </x:c>
      <x:c r="D36" s="407" t="str">
        <x:v>available_docks</x:v>
      </x:c>
      <x:c r="E36" s="407" t="n">
        <x:v>1055.6539306640625</x:v>
      </x:c>
      <x:c r="F36" s="415" t="n">
        <x:v>0.2690046087666454</x:v>
      </x:c>
      <x:c r="G36" s="407" t="n">
        <x:v>409</x:v>
      </x:c>
      <x:c r="H36" s="407"/>
      <x:c r="I36" s="407"/>
      <x:c r="J36" s="407"/>
      <x:c r="K36" s="407"/>
      <x:c r="L36" s="407"/>
      <x:c r="M36" s="407"/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 t="str">
        <x:v>XGBoost</x:v>
      </x:c>
      <x:c r="B37" s="407" t="str">
        <x:v>滿柱</x:v>
      </x:c>
      <x:c r="C37" s="407" t="n">
        <x:v>2</x:v>
      </x:c>
      <x:c r="D37" s="407" t="str">
        <x:v>dock_ratio</x:v>
      </x:c>
      <x:c r="E37" s="407" t="n">
        <x:v>496.1722717285156</x:v>
      </x:c>
      <x:c r="F37" s="415" t="n">
        <x:v>0.12643596917526337</x:v>
      </x:c>
      <x:c r="G37" s="407" t="n">
        <x:v>304</x:v>
      </x:c>
      <x:c r="H37" s="407"/>
      <x:c r="I37" s="407"/>
      <x:c r="J37" s="407"/>
      <x:c r="K37" s="407"/>
      <x:c r="L37" s="407"/>
      <x:c r="M37" s="407"/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 t="str">
        <x:v>XGBoost</x:v>
      </x:c>
      <x:c r="B38" s="407" t="str">
        <x:v>滿柱</x:v>
      </x:c>
      <x:c r="C38" s="407" t="n">
        <x:v>3</x:v>
      </x:c>
      <x:c r="D38" s="407" t="str">
        <x:v>delta_docks_30</x:v>
      </x:c>
      <x:c r="E38" s="407" t="n">
        <x:v>321.0059509277344</x:v>
      </x:c>
      <x:c r="F38" s="415" t="n">
        <x:v>0.08179961039576682</x:v>
      </x:c>
      <x:c r="G38" s="407" t="n">
        <x:v>30</x:v>
      </x:c>
      <x:c r="H38" s="407"/>
      <x:c r="I38" s="407"/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 t="str">
        <x:v>XGBoost</x:v>
      </x:c>
      <x:c r="B39" s="407" t="str">
        <x:v>滿柱</x:v>
      </x:c>
      <x:c r="C39" s="407" t="n">
        <x:v>4</x:v>
      </x:c>
      <x:c r="D39" s="407" t="str">
        <x:v>abs_delta_bikes_30</x:v>
      </x:c>
      <x:c r="E39" s="407" t="n">
        <x:v>225.68222045898438</x:v>
      </x:c>
      <x:c r="F39" s="415" t="n">
        <x:v>0.057508957866492634</x:v>
      </x:c>
      <x:c r="G39" s="407" t="n">
        <x:v>171</x:v>
      </x:c>
      <x:c r="H39" s="407"/>
      <x:c r="I39" s="407"/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407" t="str">
        <x:v>XGBoost</x:v>
      </x:c>
      <x:c r="B40" s="407" t="str">
        <x:v>滿柱</x:v>
      </x:c>
      <x:c r="C40" s="407" t="n">
        <x:v>5</x:v>
      </x:c>
      <x:c r="D40" s="407" t="str">
        <x:v>dock_ratio_lag_90</x:v>
      </x:c>
      <x:c r="E40" s="407" t="n">
        <x:v>207.1416473388672</x:v>
      </x:c>
      <x:c r="F40" s="415" t="n">
        <x:v>0.05278439854490786</x:v>
      </x:c>
      <x:c r="G40" s="407" t="n">
        <x:v>119</x:v>
      </x:c>
      <x:c r="H40" s="407"/>
      <x:c r="I40" s="407"/>
      <x:c r="J40" s="407"/>
      <x:c r="K40" s="407"/>
      <x:c r="L40" s="407"/>
      <x:c r="M40" s="407"/>
      <x:c r="N40" s="407"/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407" t="str">
        <x:v>XGBoost</x:v>
      </x:c>
      <x:c r="B41" s="407" t="str">
        <x:v>滿柱</x:v>
      </x:c>
      <x:c r="C41" s="407" t="n">
        <x:v>6</x:v>
      </x:c>
      <x:c r="D41" s="407" t="str">
        <x:v>dock_ratio_lag_60</x:v>
      </x:c>
      <x:c r="E41" s="407" t="n">
        <x:v>133.43280029296875</x:v>
      </x:c>
      <x:c r="F41" s="415" t="n">
        <x:v>0.03400170945877</x:v>
      </x:c>
      <x:c r="G41" s="407" t="n">
        <x:v>75</x:v>
      </x:c>
      <x:c r="H41" s="407"/>
      <x:c r="I41" s="407"/>
      <x:c r="J41" s="407"/>
      <x:c r="K41" s="407"/>
      <x:c r="L41" s="407"/>
      <x:c r="M41" s="407"/>
      <x:c r="N41" s="407"/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407" t="str">
        <x:v>XGBoost</x:v>
      </x:c>
      <x:c r="B42" s="407" t="str">
        <x:v>滿柱</x:v>
      </x:c>
      <x:c r="C42" s="407" t="n">
        <x:v>7</x:v>
      </x:c>
      <x:c r="D42" s="407" t="str">
        <x:v>dock_ratio_min_90</x:v>
      </x:c>
      <x:c r="E42" s="407" t="n">
        <x:v>110.02897644042969</x:v>
      </x:c>
      <x:c r="F42" s="415" t="n">
        <x:v>0.028037883344718212</x:v>
      </x:c>
      <x:c r="G42" s="407" t="n">
        <x:v>291</x:v>
      </x:c>
      <x:c r="H42" s="407"/>
      <x:c r="I42" s="407"/>
      <x:c r="J42" s="407"/>
      <x:c r="K42" s="407"/>
      <x:c r="L42" s="407"/>
      <x:c r="M42" s="407"/>
      <x:c r="N42" s="407"/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407" t="str">
        <x:v>XGBoost</x:v>
      </x:c>
      <x:c r="B43" s="407" t="str">
        <x:v>滿柱</x:v>
      </x:c>
      <x:c r="C43" s="407" t="n">
        <x:v>8</x:v>
      </x:c>
      <x:c r="D43" s="407" t="str">
        <x:v>docks_lag_30</x:v>
      </x:c>
      <x:c r="E43" s="407" t="n">
        <x:v>81.48189544677734</x:v>
      </x:c>
      <x:c r="F43" s="415" t="n">
        <x:v>0.020763438442782875</x:v>
      </x:c>
      <x:c r="G43" s="407" t="n">
        <x:v>102</x:v>
      </x:c>
      <x:c r="H43" s="407"/>
      <x:c r="I43" s="407"/>
      <x:c r="J43" s="407"/>
      <x:c r="K43" s="407"/>
      <x:c r="L43" s="407"/>
      <x:c r="M43" s="407"/>
      <x:c r="N43" s="407"/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407" t="str">
        <x:v>XGBoost</x:v>
      </x:c>
      <x:c r="B44" s="407" t="str">
        <x:v>滿柱</x:v>
      </x:c>
      <x:c r="C44" s="407" t="n">
        <x:v>9</x:v>
      </x:c>
      <x:c r="D44" s="407" t="str">
        <x:v>station_id</x:v>
      </x:c>
      <x:c r="E44" s="407" t="n">
        <x:v>80.18733978271484</x:v>
      </x:c>
      <x:c r="F44" s="415" t="n">
        <x:v>0.020433556243870665</x:v>
      </x:c>
      <x:c r="G44" s="407" t="n">
        <x:v>3509</x:v>
      </x:c>
      <x:c r="H44" s="407"/>
      <x:c r="I44" s="407"/>
      <x:c r="J44" s="407"/>
      <x:c r="K44" s="407"/>
      <x:c r="L44" s="407"/>
      <x:c r="M44" s="407"/>
      <x:c r="N44" s="407"/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407" t="str">
        <x:v>XGBoost</x:v>
      </x:c>
      <x:c r="B45" s="407" t="str">
        <x:v>滿柱</x:v>
      </x:c>
      <x:c r="C45" s="407" t="n">
        <x:v>10</x:v>
      </x:c>
      <x:c r="D45" s="407" t="str">
        <x:v>delta_docks_ratio_30</x:v>
      </x:c>
      <x:c r="E45" s="407" t="n">
        <x:v>79.13749694824219</x:v>
      </x:c>
      <x:c r="F45" s="415" t="n">
        <x:v>0.020166032434456978</x:v>
      </x:c>
      <x:c r="G45" s="407" t="n">
        <x:v>86</x:v>
      </x:c>
      <x:c r="H45" s="407"/>
      <x:c r="I45" s="407"/>
      <x:c r="J45" s="407"/>
      <x:c r="K45" s="407"/>
      <x:c r="L45" s="407"/>
      <x:c r="M45" s="407"/>
      <x:c r="N45" s="407"/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407"/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407"/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/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 ht="32" customHeight="1">
      <x:c r="A49" s="51" t="str">
        <x:v>特徵</x:v>
      </x:c>
      <x:c r="B49" s="52" t="str">
        <x:v>白話意思</x:v>
      </x:c>
      <x:c r="C49" s="53" t="str">
        <x:v>可能用途</x:v>
      </x:c>
      <x:c r="D49" s="407"/>
      <x:c r="E49" s="114" t="str">
        <x:v>能合理說明的是：模型主要依靠當前庫存、站點異質性、時間、近期變化與週期性。不能說高Gain特徵「導致」失衡，也不要直接比較不同演算法Gain的絕對大小。</x:v>
      </x:c>
      <x:c r="F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G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H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I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J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K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L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M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N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O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P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Q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R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S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T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U49" s="115" t="str">
        <x:v>能合理說明的是：模型主要依靠當前庫存、站點異質性、時間、近期變化與週期性。不能說高Gain特徵「導致」失衡，也不要直接比較不同演算法Gain的絕對大小。</x:v>
      </x:c>
      <x:c r="V49" s="116" t="str">
        <x:v>能合理說明的是：模型主要依靠當前庫存、站點異質性、時間、近期變化與週期性。不能說高Gain特徵「導致」失衡，也不要直接比較不同演算法Gain的絕對大小。</x:v>
      </x:c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407" t="str">
        <x:v>available_bikes</x:v>
      </x:c>
      <x:c r="B50" s="407" t="str">
        <x:v>當下可借車數</x:v>
      </x:c>
      <x:c r="C50" s="407" t="str">
        <x:v>越接近0越容易缺車</x:v>
      </x:c>
      <x:c r="D50" s="407"/>
      <x:c r="E50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0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0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407" t="str">
        <x:v>available_docks</x:v>
      </x:c>
      <x:c r="B51" s="407" t="str">
        <x:v>當下可還車位</x:v>
      </x:c>
      <x:c r="C51" s="407" t="str">
        <x:v>越接近0越容易滿柱</x:v>
      </x:c>
      <x:c r="D51" s="407"/>
      <x:c r="E51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1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1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407" t="str">
        <x:v>station_id</x:v>
      </x:c>
      <x:c r="B52" s="407" t="str">
        <x:v>站點身分</x:v>
      </x:c>
      <x:c r="C52" s="407" t="str">
        <x:v>學取各站長期差異</x:v>
      </x:c>
      <x:c r="D52" s="407"/>
      <x:c r="E52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2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2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407" t="str">
        <x:v>target_hour</x:v>
      </x:c>
      <x:c r="B53" s="407" t="str">
        <x:v>目標小時</x:v>
      </x:c>
      <x:c r="C53" s="407" t="str">
        <x:v>分辨早晚尖峰</x:v>
      </x:c>
      <x:c r="D53" s="407"/>
      <x:c r="E53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3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3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 t="str">
        <x:v>abs_delta_bikes_30</x:v>
      </x:c>
      <x:c r="B54" s="407" t="str">
        <x:v>近30分鐘車數變動絕對值</x:v>
      </x:c>
      <x:c r="C54" s="407" t="str">
        <x:v>捕捉快速流入流出或疑似運補</x:v>
      </x:c>
      <x:c r="D54" s="407"/>
      <x:c r="E54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4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4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 t="str">
        <x:v>bike_ratio / dock_ratio</x:v>
      </x:c>
      <x:c r="B55" s="407" t="str">
        <x:v>可借或可還占容量比例</x:v>
      </x:c>
      <x:c r="C55" s="407" t="str">
        <x:v>讓不同大小站可比較</x:v>
      </x:c>
      <x:c r="D55" s="407"/>
      <x:c r="E55" s="117" t="str">
        <x:v>能合理說明的是：模型主要依靠當前庫存、站點異質性、時間、近期變化與週期性。不能說高Gain特徵「導致」失衡，也不要直接比較不同演算法Gain的絕對大小。</x:v>
      </x:c>
      <x:c r="F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G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H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I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J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K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L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M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N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O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P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Q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R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S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T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U55" s="118" t="str">
        <x:v>能合理說明的是：模型主要依靠當前庫存、站點異質性、時間、近期變化與週期性。不能說高Gain特徵「導致」失衡，也不要直接比較不同演算法Gain的絕對大小。</x:v>
      </x:c>
      <x:c r="V55" s="119" t="str">
        <x:v>能合理說明的是：模型主要依靠當前庫存、站點異質性、時間、近期變化與週期性。不能說高Gain特徵「導致」失衡，也不要直接比較不同演算法Gain的絕對大小。</x:v>
      </x:c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 t="str">
        <x:v>min_90</x:v>
      </x:c>
      <x:c r="B56" s="407" t="str">
        <x:v>近90分鐘最低比例</x:v>
      </x:c>
      <x:c r="C56" s="407" t="str">
        <x:v>是否長時間接近見底</x:v>
      </x:c>
      <x:c r="D56" s="407"/>
      <x:c r="E56" s="120" t="str">
        <x:v>能合理說明的是：模型主要依靠當前庫存、站點異質性、時間、近期變化與週期性。不能說高Gain特徵「導致」失衡，也不要直接比較不同演算法Gain的絕對大小。</x:v>
      </x:c>
      <x:c r="F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G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H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I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J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K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L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M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N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O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P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Q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R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S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T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U56" s="121" t="str">
        <x:v>能合理說明的是：模型主要依靠當前庫存、站點異質性、時間、近期變化與週期性。不能說高Gain特徵「導致」失衡，也不要直接比較不同演算法Gain的絕對大小。</x:v>
      </x:c>
      <x:c r="V56" s="122" t="str">
        <x:v>能合理說明的是：模型主要依靠當前庫存、站點異質性、時間、近期變化與週期性。不能說高Gain特徵「導致」失衡，也不要直接比較不同演算法Gain的絕對大小。</x:v>
      </x:c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 t="str">
        <x:v>lag_1d / lag_7d</x:v>
      </x:c>
      <x:c r="B57" s="407" t="str">
        <x:v>前一天/前一週同時刻</x:v>
      </x:c>
      <x:c r="C57" s="407" t="str">
        <x:v>學日與週週期</x:v>
      </x:c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 t="str">
        <x:v>suspected_large_jump_past</x:v>
      </x:c>
      <x:c r="B58" s="407" t="str">
        <x:v>疑似大幅跳動標記</x:v>
      </x:c>
      <x:c r="C58" s="407" t="str">
        <x:v>讓模型自行判斷運補/異常是否有用</x:v>
      </x:c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V2"/>
    <x:mergeCell ref="A3:V3"/>
    <x:mergeCell ref="E49:V56"/>
  </x:mergeCells>
  <x:pageMargins left="0.7" right="0.7" top="0.75" bottom="0.75" header="0.3" footer="0.3"/>
  <x:drawing xmlns:r="http://schemas.openxmlformats.org/officeDocument/2006/relationships" r:id="R751f7c7c2ae24fa4"/>
  <x:tableParts count="2">
    <x:tablePart xmlns:r="http://schemas.openxmlformats.org/officeDocument/2006/relationships" r:id="R5ce30a66c847409c"/>
    <x:tablePart xmlns:r="http://schemas.openxmlformats.org/officeDocument/2006/relationships" r:id="Rbdf8419c9d87487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5" hidden="0" customWidth="1"/>
    <x:col min="4" max="4" width="17" hidden="0" customWidth="1"/>
    <x:col min="5" max="5" width="17" hidden="0" customWidth="1"/>
    <x:col min="6" max="6" width="6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4" t="str">
        <x:v>可重現參數與資料隔離稽核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07"/>
      <x:c r="P1" s="407"/>
      <x:c r="Q1" s="407"/>
      <x:c r="R1" s="407"/>
      <x:c r="S1" s="407"/>
      <x:c r="T1" s="407"/>
      <x:c r="U1" s="407"/>
      <x:c r="V1" s="407"/>
      <x:c r="W1" s="407"/>
      <x:c r="X1" s="407"/>
      <x:c r="Y1" s="407"/>
      <x:c r="Z1" s="407"/>
      <x:c r="AA1" s="407"/>
      <x:c r="AB1" s="407"/>
      <x:c r="AC1" s="407"/>
      <x:c r="AD1" s="407"/>
      <x:c r="AE1" s="407"/>
      <x:c r="AF1" s="407"/>
      <x:c r="AG1" s="40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07"/>
      <x:c r="P2" s="407"/>
      <x:c r="Q2" s="407"/>
      <x:c r="R2" s="407"/>
      <x:c r="S2" s="407"/>
      <x:c r="T2" s="407"/>
      <x:c r="U2" s="407"/>
      <x:c r="V2" s="407"/>
      <x:c r="W2" s="407"/>
      <x:c r="X2" s="407"/>
      <x:c r="Y2" s="407"/>
      <x:c r="Z2" s="407"/>
      <x:c r="AA2" s="407"/>
      <x:c r="AB2" s="407"/>
      <x:c r="AC2" s="407"/>
      <x:c r="AD2" s="407"/>
      <x:c r="AE2" s="407"/>
      <x:c r="AF2" s="407"/>
      <x:c r="AG2" s="407"/>
    </x:row>
    <x:row r="3" ht="31" customHeight="1">
      <x:c r="A3" s="8" t="str">
        <x:v>保留選擇理由、最終參數、來源雜湊、套件版本與六月隔離證據。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07"/>
      <x:c r="P3" s="407"/>
      <x:c r="Q3" s="407"/>
      <x:c r="R3" s="407"/>
      <x:c r="S3" s="407"/>
      <x:c r="T3" s="407"/>
      <x:c r="U3" s="407"/>
      <x:c r="V3" s="407"/>
      <x:c r="W3" s="407"/>
      <x:c r="X3" s="407"/>
      <x:c r="Y3" s="407"/>
      <x:c r="Z3" s="407"/>
      <x:c r="AA3" s="407"/>
      <x:c r="AB3" s="407"/>
      <x:c r="AC3" s="407"/>
      <x:c r="AD3" s="407"/>
      <x:c r="AE3" s="407"/>
      <x:c r="AF3" s="407"/>
      <x:c r="AG3" s="407"/>
    </x:row>
    <x:row r="4">
      <x:c r="A4" s="407"/>
      <x:c r="B4" s="407"/>
      <x:c r="C4" s="407"/>
      <x:c r="D4" s="407"/>
      <x:c r="E4" s="407"/>
      <x:c r="F4" s="407"/>
      <x:c r="G4" s="407"/>
      <x:c r="H4" s="407"/>
      <x:c r="I4" s="407"/>
      <x:c r="J4" s="407"/>
      <x:c r="K4" s="407"/>
      <x:c r="L4" s="407"/>
      <x:c r="M4" s="407"/>
      <x:c r="N4" s="407"/>
      <x:c r="O4" s="407"/>
      <x:c r="P4" s="407"/>
      <x:c r="Q4" s="407"/>
      <x:c r="R4" s="407"/>
      <x:c r="S4" s="407"/>
      <x:c r="T4" s="407"/>
      <x:c r="U4" s="407"/>
      <x:c r="V4" s="407"/>
      <x:c r="W4" s="407"/>
      <x:c r="X4" s="407"/>
      <x:c r="Y4" s="407"/>
      <x:c r="Z4" s="407"/>
      <x:c r="AA4" s="407"/>
      <x:c r="AB4" s="407"/>
      <x:c r="AC4" s="407"/>
      <x:c r="AD4" s="407"/>
      <x:c r="AE4" s="407"/>
      <x:c r="AF4" s="407"/>
      <x:c r="AG4" s="407"/>
    </x:row>
    <x:row r="5" ht="32" customHeight="1">
      <x:c r="A5" s="51" t="str">
        <x:v>家族</x:v>
      </x:c>
      <x:c r="B5" s="52" t="str">
        <x:v>事件</x:v>
      </x:c>
      <x:c r="C5" s="52" t="str">
        <x:v>方法</x:v>
      </x:c>
      <x:c r="D5" s="52" t="str">
        <x:v>候選</x:v>
      </x:c>
      <x:c r="E5" s="52" t="str">
        <x:v>樹數</x:v>
      </x:c>
      <x:c r="F5" s="53" t="str">
        <x:v>參數JSON</x:v>
      </x:c>
      <x:c r="G5" s="407"/>
      <x:c r="H5" s="407"/>
      <x:c r="I5" s="407"/>
      <x:c r="J5" s="407"/>
      <x:c r="K5" s="407"/>
      <x:c r="L5" s="407"/>
      <x:c r="M5" s="407"/>
      <x:c r="N5" s="407"/>
      <x:c r="O5" s="407"/>
      <x:c r="P5" s="407"/>
      <x:c r="Q5" s="407"/>
      <x:c r="R5" s="407"/>
      <x:c r="S5" s="407"/>
      <x:c r="T5" s="407"/>
      <x:c r="U5" s="407"/>
      <x:c r="V5" s="407"/>
      <x:c r="W5" s="407"/>
      <x:c r="X5" s="407"/>
      <x:c r="Y5" s="407"/>
      <x:c r="Z5" s="407"/>
      <x:c r="AA5" s="407"/>
      <x:c r="AB5" s="407"/>
      <x:c r="AC5" s="407"/>
      <x:c r="AD5" s="407"/>
      <x:c r="AE5" s="407"/>
      <x:c r="AF5" s="407"/>
      <x:c r="AG5" s="407"/>
    </x:row>
    <x:row r="6">
      <x:c r="A6" s="407" t="str">
        <x:v>LightGBM</x:v>
      </x:c>
      <x:c r="B6" s="407" t="str">
        <x:v>缺車</x:v>
      </x:c>
      <x:c r="C6" s="407" t="str">
        <x:v>LightGBM 正式調參</x:v>
      </x:c>
      <x:c r="D6" s="407" t="str">
        <x:v>lgb_01</x:v>
      </x:c>
      <x:c r="E6" s="407" t="n">
        <x:v>800</x:v>
      </x:c>
      <x:c r="F6" s="419" t="str">
        <x:v>{"candidate_id": "lgb_01", "colsample_bytree": 0.8, "learning_rate": 0.05, "max_depth": -1, "min_child_samples": 1000, "num_leaves": 31, "reg_alpha": 0.1, "reg_lambda": 2.0, "subsample": 0.8}</x:v>
      </x:c>
      <x:c r="G6" s="407"/>
      <x:c r="H6" s="407"/>
      <x:c r="I6" s="407"/>
      <x:c r="J6" s="407"/>
      <x:c r="K6" s="407"/>
      <x:c r="L6" s="407"/>
      <x:c r="M6" s="407"/>
      <x:c r="N6" s="407"/>
      <x:c r="O6" s="407"/>
      <x:c r="P6" s="407"/>
      <x:c r="Q6" s="407"/>
      <x:c r="R6" s="407"/>
      <x:c r="S6" s="407"/>
      <x:c r="T6" s="407"/>
      <x:c r="U6" s="407"/>
      <x:c r="V6" s="407"/>
      <x:c r="W6" s="407"/>
      <x:c r="X6" s="407"/>
      <x:c r="Y6" s="407"/>
      <x:c r="Z6" s="407"/>
      <x:c r="AA6" s="407"/>
      <x:c r="AB6" s="407"/>
      <x:c r="AC6" s="407"/>
      <x:c r="AD6" s="407"/>
      <x:c r="AE6" s="407"/>
      <x:c r="AF6" s="407"/>
      <x:c r="AG6" s="407"/>
    </x:row>
    <x:row r="7">
      <x:c r="A7" s="407" t="str">
        <x:v>LightGBM</x:v>
      </x:c>
      <x:c r="B7" s="407" t="str">
        <x:v>滿柱</x:v>
      </x:c>
      <x:c r="C7" s="407" t="str">
        <x:v>LightGBM 正式調參</x:v>
      </x:c>
      <x:c r="D7" s="407" t="str">
        <x:v>lgb_05</x:v>
      </x:c>
      <x:c r="E7" s="407" t="n">
        <x:v>546</x:v>
      </x:c>
      <x:c r="F7" s="419" t="str">
        <x:v>{"candidate_id": "lgb_05", "colsample_bytree": 0.7, "learning_rate": 0.05, "max_depth": 8, "min_child_samples": 2000, "num_leaves": 31, "reg_alpha": 1.0, "reg_lambda": 10.0, "subsample": 0.8}</x:v>
      </x:c>
      <x:c r="G7" s="407"/>
      <x:c r="H7" s="407"/>
      <x:c r="I7" s="407"/>
      <x:c r="J7" s="407"/>
      <x:c r="K7" s="407"/>
      <x:c r="L7" s="407"/>
      <x:c r="M7" s="407"/>
      <x:c r="N7" s="407"/>
      <x:c r="O7" s="407"/>
      <x:c r="P7" s="407"/>
      <x:c r="Q7" s="407"/>
      <x:c r="R7" s="407"/>
      <x:c r="S7" s="407"/>
      <x:c r="T7" s="407"/>
      <x:c r="U7" s="407"/>
      <x:c r="V7" s="407"/>
      <x:c r="W7" s="407"/>
      <x:c r="X7" s="407"/>
      <x:c r="Y7" s="407"/>
      <x:c r="Z7" s="407"/>
      <x:c r="AA7" s="407"/>
      <x:c r="AB7" s="407"/>
      <x:c r="AC7" s="407"/>
      <x:c r="AD7" s="407"/>
      <x:c r="AE7" s="407"/>
      <x:c r="AF7" s="407"/>
      <x:c r="AG7" s="407"/>
    </x:row>
    <x:row r="8">
      <x:c r="A8" s="407" t="str">
        <x:v>XGBoost</x:v>
      </x:c>
      <x:c r="B8" s="407" t="str">
        <x:v>缺車</x:v>
      </x:c>
      <x:c r="C8" s="407" t="str">
        <x:v>XGBoost 正式調參</x:v>
      </x:c>
      <x:c r="D8" s="407" t="str">
        <x:v>xgb_04</x:v>
      </x:c>
      <x:c r="E8" s="407" t="n">
        <x:v>797</x:v>
      </x:c>
      <x:c r="F8" s="419" t="str">
        <x:v>{"candidate_id": "xgb_04", "colsample_bytree": 0.8, "gamma": 0.1, "learning_rate": 0.03, "max_depth": 8, "min_child_weight": 50, "reg_alpha": 0.5, "reg_lambda": 5.0, "subsample": 0.8}</x:v>
      </x:c>
      <x:c r="G8" s="407"/>
      <x:c r="H8" s="407"/>
      <x:c r="I8" s="407"/>
      <x:c r="J8" s="407"/>
      <x:c r="K8" s="407"/>
      <x:c r="L8" s="407"/>
      <x:c r="M8" s="407"/>
      <x:c r="N8" s="407"/>
      <x:c r="O8" s="407"/>
      <x:c r="P8" s="407"/>
      <x:c r="Q8" s="407"/>
      <x:c r="R8" s="407"/>
      <x:c r="S8" s="407"/>
      <x:c r="T8" s="407"/>
      <x:c r="U8" s="407"/>
      <x:c r="V8" s="407"/>
      <x:c r="W8" s="407"/>
      <x:c r="X8" s="407"/>
      <x:c r="Y8" s="407"/>
      <x:c r="Z8" s="407"/>
      <x:c r="AA8" s="407"/>
      <x:c r="AB8" s="407"/>
      <x:c r="AC8" s="407"/>
      <x:c r="AD8" s="407"/>
      <x:c r="AE8" s="407"/>
      <x:c r="AF8" s="407"/>
      <x:c r="AG8" s="407"/>
    </x:row>
    <x:row r="9">
      <x:c r="A9" s="407" t="str">
        <x:v>XGBoost</x:v>
      </x:c>
      <x:c r="B9" s="407" t="str">
        <x:v>滿柱</x:v>
      </x:c>
      <x:c r="C9" s="407" t="str">
        <x:v>XGBoost 正式調參</x:v>
      </x:c>
      <x:c r="D9" s="407" t="str">
        <x:v>xgb_05</x:v>
      </x:c>
      <x:c r="E9" s="407" t="n">
        <x:v>752</x:v>
      </x:c>
      <x:c r="F9" s="419" t="str">
        <x:v>{"candidate_id": "xgb_05", "colsample_bytree": 0.7, "gamma": 0.1, "learning_rate": 0.05, "max_depth": 6, "min_child_weight": 200, "reg_alpha": 1.0, "reg_lambda": 10.0, "subsample": 0.8}</x:v>
      </x:c>
      <x:c r="G9" s="407"/>
      <x:c r="H9" s="407"/>
      <x:c r="I9" s="407"/>
      <x:c r="J9" s="407"/>
      <x:c r="K9" s="407"/>
      <x:c r="L9" s="407"/>
      <x:c r="M9" s="407"/>
      <x:c r="N9" s="407"/>
      <x:c r="O9" s="407"/>
      <x:c r="P9" s="407"/>
      <x:c r="Q9" s="407"/>
      <x:c r="R9" s="407"/>
      <x:c r="S9" s="407"/>
      <x:c r="T9" s="407"/>
      <x:c r="U9" s="407"/>
      <x:c r="V9" s="407"/>
      <x:c r="W9" s="407"/>
      <x:c r="X9" s="407"/>
      <x:c r="Y9" s="407"/>
      <x:c r="Z9" s="407"/>
      <x:c r="AA9" s="407"/>
      <x:c r="AB9" s="407"/>
      <x:c r="AC9" s="407"/>
      <x:c r="AD9" s="407"/>
      <x:c r="AE9" s="407"/>
      <x:c r="AF9" s="407"/>
      <x:c r="AG9" s="407"/>
    </x:row>
    <x:row r="10">
      <x:c r="A10" s="407"/>
      <x:c r="B10" s="407"/>
      <x:c r="C10" s="407"/>
      <x:c r="D10" s="407"/>
      <x:c r="E10" s="407"/>
      <x:c r="F10" s="407"/>
      <x:c r="G10" s="407"/>
      <x:c r="H10" s="407"/>
      <x:c r="I10" s="407"/>
      <x:c r="J10" s="407"/>
      <x:c r="K10" s="407"/>
      <x:c r="L10" s="407"/>
      <x:c r="M10" s="407"/>
      <x:c r="N10" s="407"/>
      <x:c r="O10" s="407"/>
      <x:c r="P10" s="407"/>
      <x:c r="Q10" s="407"/>
      <x:c r="R10" s="407"/>
      <x:c r="S10" s="407"/>
      <x:c r="T10" s="407"/>
      <x:c r="U10" s="407"/>
      <x:c r="V10" s="407"/>
      <x:c r="W10" s="407"/>
      <x:c r="X10" s="407"/>
      <x:c r="Y10" s="407"/>
      <x:c r="Z10" s="407"/>
      <x:c r="AA10" s="407"/>
      <x:c r="AB10" s="407"/>
      <x:c r="AC10" s="407"/>
      <x:c r="AD10" s="407"/>
      <x:c r="AE10" s="407"/>
      <x:c r="AF10" s="407"/>
      <x:c r="AG10" s="407"/>
    </x:row>
    <x:row r="11">
      <x:c r="A11" s="407"/>
      <x:c r="B11" s="407"/>
      <x:c r="C11" s="407"/>
      <x:c r="D11" s="407"/>
      <x:c r="E11" s="407"/>
      <x:c r="F11" s="407"/>
      <x:c r="G11" s="407"/>
      <x:c r="H11" s="407"/>
      <x:c r="I11" s="407"/>
      <x:c r="J11" s="407"/>
      <x:c r="K11" s="407"/>
      <x:c r="L11" s="407"/>
      <x:c r="M11" s="407"/>
      <x:c r="N11" s="407"/>
      <x:c r="O11" s="407"/>
      <x:c r="P11" s="407"/>
      <x:c r="Q11" s="407"/>
      <x:c r="R11" s="407"/>
      <x:c r="S11" s="407"/>
      <x:c r="T11" s="407"/>
      <x:c r="U11" s="407"/>
      <x:c r="V11" s="407"/>
      <x:c r="W11" s="407"/>
      <x:c r="X11" s="407"/>
      <x:c r="Y11" s="407"/>
      <x:c r="Z11" s="407"/>
      <x:c r="AA11" s="407"/>
      <x:c r="AB11" s="407"/>
      <x:c r="AC11" s="407"/>
      <x:c r="AD11" s="407"/>
      <x:c r="AE11" s="407"/>
      <x:c r="AF11" s="407"/>
      <x:c r="AG11" s="407"/>
    </x:row>
    <x:row r="12">
      <x:c r="A12" s="407"/>
      <x:c r="B12" s="407"/>
      <x:c r="C12" s="407"/>
      <x:c r="D12" s="407"/>
      <x:c r="E12" s="407"/>
      <x:c r="F12" s="407"/>
      <x:c r="G12" s="407"/>
      <x:c r="H12" s="407"/>
      <x:c r="I12" s="407"/>
      <x:c r="J12" s="407"/>
      <x:c r="K12" s="407"/>
      <x:c r="L12" s="407"/>
      <x:c r="M12" s="407"/>
      <x:c r="N12" s="407"/>
      <x:c r="O12" s="407"/>
      <x:c r="P12" s="407"/>
      <x:c r="Q12" s="407"/>
      <x:c r="R12" s="407"/>
      <x:c r="S12" s="407"/>
      <x:c r="T12" s="407"/>
      <x:c r="U12" s="407"/>
      <x:c r="V12" s="407"/>
      <x:c r="W12" s="407"/>
      <x:c r="X12" s="407"/>
      <x:c r="Y12" s="407"/>
      <x:c r="Z12" s="407"/>
      <x:c r="AA12" s="407"/>
      <x:c r="AB12" s="407"/>
      <x:c r="AC12" s="407"/>
      <x:c r="AD12" s="407"/>
      <x:c r="AE12" s="407"/>
      <x:c r="AF12" s="407"/>
      <x:c r="AG12" s="407"/>
    </x:row>
    <x:row r="13" ht="32" customHeight="1">
      <x:c r="A13" s="51" t="str">
        <x:v>檢查</x:v>
      </x:c>
      <x:c r="B13" s="52" t="str">
        <x:v>結果</x:v>
      </x:c>
      <x:c r="C13" s="52" t="str">
        <x:v>數值/狀態</x:v>
      </x:c>
      <x:c r="D13" s="53" t="str">
        <x:v>解讀</x:v>
      </x:c>
      <x:c r="E13" s="407"/>
      <x:c r="F13" s="51" t="str">
        <x:v>套件</x:v>
      </x:c>
      <x:c r="G13" s="52" t="str">
        <x:v>版本</x:v>
      </x:c>
      <x:c r="H13" s="52" t="str">
        <x:v>平台</x:v>
      </x:c>
      <x:c r="I13" s="53" t="str">
        <x:v>備註</x:v>
      </x:c>
      <x:c r="J13" s="407"/>
      <x:c r="K13" s="407"/>
      <x:c r="L13" s="407"/>
      <x:c r="M13" s="407"/>
      <x:c r="N13" s="407"/>
      <x:c r="O13" s="407"/>
      <x:c r="P13" s="407"/>
      <x:c r="Q13" s="407"/>
      <x:c r="R13" s="407"/>
      <x:c r="S13" s="407"/>
      <x:c r="T13" s="407"/>
      <x:c r="U13" s="407"/>
      <x:c r="V13" s="407"/>
      <x:c r="W13" s="407"/>
      <x:c r="X13" s="407"/>
      <x:c r="Y13" s="407"/>
      <x:c r="Z13" s="407"/>
      <x:c r="AA13" s="407"/>
      <x:c r="AB13" s="407"/>
      <x:c r="AC13" s="407"/>
      <x:c r="AD13" s="407"/>
      <x:c r="AE13" s="407"/>
      <x:c r="AF13" s="407"/>
      <x:c r="AG13" s="407"/>
    </x:row>
    <x:row r="14">
      <x:c r="A14" s="407" t="str">
        <x:v>執行完成</x:v>
      </x:c>
      <x:c r="B14" s="407" t="str">
        <x:v>通過</x:v>
      </x:c>
      <x:c r="C14" s="407" t="str">
        <x:v>是</x:v>
      </x:c>
      <x:c r="D14" s="407" t="str">
        <x:v>run_complete.json</x:v>
      </x:c>
      <x:c r="E14" s="407"/>
      <x:c r="F14" s="407" t="str">
        <x:v>python</x:v>
      </x:c>
      <x:c r="G14" s="407" t="str">
        <x:v>3.12.13</x:v>
      </x:c>
      <x:c r="H14" s="407" t="str">
        <x:v>Windows-11-10.0.26200-SP0</x:v>
      </x:c>
      <x:c r="I14" s="407" t="str">
        <x:v>執行器</x:v>
      </x:c>
      <x:c r="J14" s="407"/>
      <x:c r="K14" s="407"/>
      <x:c r="L14" s="407"/>
      <x:c r="M14" s="407"/>
      <x:c r="N14" s="407"/>
      <x:c r="O14" s="407"/>
      <x:c r="P14" s="407"/>
      <x:c r="Q14" s="407"/>
      <x:c r="R14" s="407"/>
      <x:c r="S14" s="407"/>
      <x:c r="T14" s="407"/>
      <x:c r="U14" s="407"/>
      <x:c r="V14" s="407"/>
      <x:c r="W14" s="407"/>
      <x:c r="X14" s="407"/>
      <x:c r="Y14" s="407"/>
      <x:c r="Z14" s="407"/>
      <x:c r="AA14" s="407"/>
      <x:c r="AB14" s="407"/>
      <x:c r="AC14" s="407"/>
      <x:c r="AD14" s="407"/>
      <x:c r="AE14" s="407"/>
      <x:c r="AF14" s="407"/>
      <x:c r="AG14" s="407"/>
    </x:row>
    <x:row r="15">
      <x:c r="A15" s="407" t="str">
        <x:v>六月讀取</x:v>
      </x:c>
      <x:c r="B15" s="407" t="str">
        <x:v>通過</x:v>
      </x:c>
      <x:c r="C15" s="407" t="str">
        <x:v>否</x:v>
      </x:c>
      <x:c r="D15" s="407" t="str">
        <x:v>必須為否</x:v>
      </x:c>
      <x:c r="E15" s="407"/>
      <x:c r="F15" s="407" t="str">
        <x:v>platform</x:v>
      </x:c>
      <x:c r="G15" s="407" t="str">
        <x:v>Windows-11-10.0.26200-SP0</x:v>
      </x:c>
      <x:c r="H15" s="407" t="str">
        <x:v>Windows-11-10.0.26200-SP0</x:v>
      </x:c>
      <x:c r="I15" s="407" t="str">
        <x:v>已記錄</x:v>
      </x:c>
      <x:c r="J15" s="407"/>
      <x:c r="K15" s="407"/>
      <x:c r="L15" s="407"/>
      <x:c r="M15" s="407"/>
      <x:c r="N15" s="407"/>
      <x:c r="O15" s="407"/>
      <x:c r="P15" s="407"/>
      <x:c r="Q15" s="407"/>
      <x:c r="R15" s="407"/>
      <x:c r="S15" s="407"/>
      <x:c r="T15" s="407"/>
      <x:c r="U15" s="407"/>
      <x:c r="V15" s="407"/>
      <x:c r="W15" s="407"/>
      <x:c r="X15" s="407"/>
      <x:c r="Y15" s="407"/>
      <x:c r="Z15" s="407"/>
      <x:c r="AA15" s="407"/>
      <x:c r="AB15" s="407"/>
      <x:c r="AC15" s="407"/>
      <x:c r="AD15" s="407"/>
      <x:c r="AE15" s="407"/>
      <x:c r="AF15" s="407"/>
      <x:c r="AG15" s="407"/>
    </x:row>
    <x:row r="16">
      <x:c r="A16" s="407" t="str">
        <x:v>禁止月份</x:v>
      </x:c>
      <x:c r="B16" s="407" t="str">
        <x:v>通過</x:v>
      </x:c>
      <x:c r="C16" s="407" t="str">
        <x:v>無</x:v>
      </x:c>
      <x:c r="D16" s="407" t="str">
        <x:v>白名單1–5月</x:v>
      </x:c>
      <x:c r="E16" s="407"/>
      <x:c r="F16" s="407" t="str">
        <x:v>pandas</x:v>
      </x:c>
      <x:c r="G16" s="407" t="str">
        <x:v>3.0.5</x:v>
      </x:c>
      <x:c r="H16" s="407" t="str">
        <x:v>Windows-11-10.0.26200-SP0</x:v>
      </x:c>
      <x:c r="I16" s="407" t="str">
        <x:v>已記錄</x:v>
      </x:c>
      <x:c r="J16" s="407"/>
      <x:c r="K16" s="407"/>
      <x:c r="L16" s="407"/>
      <x:c r="M16" s="407"/>
      <x:c r="N16" s="407"/>
      <x:c r="O16" s="407"/>
      <x:c r="P16" s="407"/>
      <x:c r="Q16" s="407"/>
      <x:c r="R16" s="407"/>
      <x:c r="S16" s="407"/>
      <x:c r="T16" s="407"/>
      <x:c r="U16" s="407"/>
      <x:c r="V16" s="407"/>
      <x:c r="W16" s="407"/>
      <x:c r="X16" s="407"/>
      <x:c r="Y16" s="407"/>
      <x:c r="Z16" s="407"/>
      <x:c r="AA16" s="407"/>
      <x:c r="AB16" s="407"/>
      <x:c r="AC16" s="407"/>
      <x:c r="AD16" s="407"/>
      <x:c r="AE16" s="407"/>
      <x:c r="AF16" s="407"/>
      <x:c r="AG16" s="407"/>
    </x:row>
    <x:row r="17">
      <x:c r="A17" s="407" t="str">
        <x:v>允許月份</x:v>
      </x:c>
      <x:c r="B17" s="407" t="str">
        <x:v>通過</x:v>
      </x:c>
      <x:c r="C17" s="407" t="str">
        <x:v>1, 2, 3, 4, 5</x:v>
      </x:c>
      <x:c r="D17" s="407" t="str">
        <x:v>程式不列出其他月</x:v>
      </x:c>
      <x:c r="E17" s="407"/>
      <x:c r="F17" s="407" t="str">
        <x:v>numpy</x:v>
      </x:c>
      <x:c r="G17" s="407" t="str">
        <x:v>2.5.2</x:v>
      </x:c>
      <x:c r="H17" s="407" t="str">
        <x:v>Windows-11-10.0.26200-SP0</x:v>
      </x:c>
      <x:c r="I17" s="407" t="str">
        <x:v>已記錄</x:v>
      </x:c>
      <x:c r="J17" s="407"/>
      <x:c r="K17" s="407"/>
      <x:c r="L17" s="407"/>
      <x:c r="M17" s="407"/>
      <x:c r="N17" s="407"/>
      <x:c r="O17" s="407"/>
      <x:c r="P17" s="407"/>
      <x:c r="Q17" s="407"/>
      <x:c r="R17" s="407"/>
      <x:c r="S17" s="407"/>
      <x:c r="T17" s="407"/>
      <x:c r="U17" s="407"/>
      <x:c r="V17" s="407"/>
      <x:c r="W17" s="407"/>
      <x:c r="X17" s="407"/>
      <x:c r="Y17" s="407"/>
      <x:c r="Z17" s="407"/>
      <x:c r="AA17" s="407"/>
      <x:c r="AB17" s="407"/>
      <x:c r="AC17" s="407"/>
      <x:c r="AD17" s="407"/>
      <x:c r="AE17" s="407"/>
      <x:c r="AF17" s="407"/>
      <x:c r="AG17" s="407"/>
    </x:row>
    <x:row r="18">
      <x:c r="A18" s="407" t="str">
        <x:v>評估前凍結</x:v>
      </x:c>
      <x:c r="B18" s="407" t="str">
        <x:v>通過</x:v>
      </x:c>
      <x:c r="C18" s="407" t="str">
        <x:v>是</x:v>
      </x:c>
      <x:c r="D18" s="407" t="str">
        <x:v>先凍結才評估</x:v>
      </x:c>
      <x:c r="E18" s="407"/>
      <x:c r="F18" s="407" t="str">
        <x:v>scikit_learn</x:v>
      </x:c>
      <x:c r="G18" s="407" t="str">
        <x:v>1.9.0</x:v>
      </x:c>
      <x:c r="H18" s="407" t="str">
        <x:v>Windows-11-10.0.26200-SP0</x:v>
      </x:c>
      <x:c r="I18" s="407" t="str">
        <x:v>已記錄</x:v>
      </x:c>
      <x:c r="J18" s="407"/>
      <x:c r="K18" s="407"/>
      <x:c r="L18" s="407"/>
      <x:c r="M18" s="407"/>
      <x:c r="N18" s="407"/>
      <x:c r="O18" s="407"/>
      <x:c r="P18" s="407"/>
      <x:c r="Q18" s="407"/>
      <x:c r="R18" s="407"/>
      <x:c r="S18" s="407"/>
      <x:c r="T18" s="407"/>
      <x:c r="U18" s="407"/>
      <x:c r="V18" s="407"/>
      <x:c r="W18" s="407"/>
      <x:c r="X18" s="407"/>
      <x:c r="Y18" s="407"/>
      <x:c r="Z18" s="407"/>
      <x:c r="AA18" s="407"/>
      <x:c r="AB18" s="407"/>
      <x:c r="AC18" s="407"/>
      <x:c r="AD18" s="407"/>
      <x:c r="AE18" s="407"/>
      <x:c r="AF18" s="407"/>
      <x:c r="AG18" s="407"/>
    </x:row>
    <x:row r="19">
      <x:c r="A19" s="407" t="str">
        <x:v>全新未來測試集</x:v>
      </x:c>
      <x:c r="B19" s="407" t="str">
        <x:v>無</x:v>
      </x:c>
      <x:c r="C19" s="407" t="str">
        <x:v>否</x:v>
      </x:c>
      <x:c r="D19" s="407" t="str">
        <x:v>仍需未來新月份</x:v>
      </x:c>
      <x:c r="E19" s="407"/>
      <x:c r="F19" s="407" t="str">
        <x:v>lightgbm</x:v>
      </x:c>
      <x:c r="G19" s="407" t="str">
        <x:v>4.7.0</x:v>
      </x:c>
      <x:c r="H19" s="407" t="str">
        <x:v>Windows-11-10.0.26200-SP0</x:v>
      </x:c>
      <x:c r="I19" s="407" t="str">
        <x:v>已記錄</x:v>
      </x:c>
      <x:c r="J19" s="407"/>
      <x:c r="K19" s="407"/>
      <x:c r="L19" s="407"/>
      <x:c r="M19" s="407"/>
      <x:c r="N19" s="407"/>
      <x:c r="O19" s="407"/>
      <x:c r="P19" s="407"/>
      <x:c r="Q19" s="407"/>
      <x:c r="R19" s="407"/>
      <x:c r="S19" s="407"/>
      <x:c r="T19" s="407"/>
      <x:c r="U19" s="407"/>
      <x:c r="V19" s="407"/>
      <x:c r="W19" s="407"/>
      <x:c r="X19" s="407"/>
      <x:c r="Y19" s="407"/>
      <x:c r="Z19" s="407"/>
      <x:c r="AA19" s="407"/>
      <x:c r="AB19" s="407"/>
      <x:c r="AC19" s="407"/>
      <x:c r="AD19" s="407"/>
      <x:c r="AE19" s="407"/>
      <x:c r="AF19" s="407"/>
      <x:c r="AG19" s="407"/>
    </x:row>
    <x:row r="20">
      <x:c r="A20" s="407" t="str">
        <x:v>每家族候選</x:v>
      </x:c>
      <x:c r="B20" s="407" t="str">
        <x:v>通過</x:v>
      </x:c>
      <x:c r="C20" s="407" t="n">
        <x:v>6</x:v>
      </x:c>
      <x:c r="D20" s="407" t="str">
        <x:v>各6組</x:v>
      </x:c>
      <x:c r="E20" s="407"/>
      <x:c r="F20" s="407" t="str">
        <x:v>xgboost</x:v>
      </x:c>
      <x:c r="G20" s="407" t="str">
        <x:v>3.4.1</x:v>
      </x:c>
      <x:c r="H20" s="407" t="str">
        <x:v>Windows-11-10.0.26200-SP0</x:v>
      </x:c>
      <x:c r="I20" s="407" t="str">
        <x:v>已記錄</x:v>
      </x:c>
      <x:c r="J20" s="407"/>
      <x:c r="K20" s="407"/>
      <x:c r="L20" s="407"/>
      <x:c r="M20" s="407"/>
      <x:c r="N20" s="407"/>
      <x:c r="O20" s="407"/>
      <x:c r="P20" s="407"/>
      <x:c r="Q20" s="407"/>
      <x:c r="R20" s="407"/>
      <x:c r="S20" s="407"/>
      <x:c r="T20" s="407"/>
      <x:c r="U20" s="407"/>
      <x:c r="V20" s="407"/>
      <x:c r="W20" s="407"/>
      <x:c r="X20" s="407"/>
      <x:c r="Y20" s="407"/>
      <x:c r="Z20" s="407"/>
      <x:c r="AA20" s="407"/>
      <x:c r="AB20" s="407"/>
      <x:c r="AC20" s="407"/>
      <x:c r="AD20" s="407"/>
      <x:c r="AE20" s="407"/>
      <x:c r="AF20" s="407"/>
      <x:c r="AG20" s="407"/>
    </x:row>
    <x:row r="21">
      <x:c r="A21" s="407" t="str">
        <x:v>最大樹數</x:v>
      </x:c>
      <x:c r="B21" s="407" t="str">
        <x:v>通過</x:v>
      </x:c>
      <x:c r="C21" s="407" t="n">
        <x:v>800</x:v>
      </x:c>
      <x:c r="D21" s="407" t="str">
        <x:v>搭配early stopping</x:v>
      </x:c>
      <x:c r="E21" s="407"/>
      <x:c r="F21" s="407"/>
      <x:c r="G21" s="407"/>
      <x:c r="H21" s="407"/>
      <x:c r="I21" s="407"/>
      <x:c r="J21" s="407"/>
      <x:c r="K21" s="407"/>
      <x:c r="L21" s="407"/>
      <x:c r="M21" s="407"/>
      <x:c r="N21" s="407"/>
      <x:c r="O21" s="407"/>
      <x:c r="P21" s="407"/>
      <x:c r="Q21" s="407"/>
      <x:c r="R21" s="407"/>
      <x:c r="S21" s="407"/>
      <x:c r="T21" s="407"/>
      <x:c r="U21" s="407"/>
      <x:c r="V21" s="407"/>
      <x:c r="W21" s="407"/>
      <x:c r="X21" s="407"/>
      <x:c r="Y21" s="407"/>
      <x:c r="Z21" s="407"/>
      <x:c r="AA21" s="407"/>
      <x:c r="AB21" s="407"/>
      <x:c r="AC21" s="407"/>
      <x:c r="AD21" s="407"/>
      <x:c r="AE21" s="407"/>
      <x:c r="AF21" s="407"/>
      <x:c r="AG21" s="407"/>
    </x:row>
    <x:row r="22">
      <x:c r="A22" s="407" t="str">
        <x:v>隨機種子</x:v>
      </x:c>
      <x:c r="B22" s="407" t="str">
        <x:v>通過</x:v>
      </x:c>
      <x:c r="C22" s="407" t="n">
        <x:v>42</x:v>
      </x:c>
      <x:c r="D22" s="407" t="str">
        <x:v>可重現</x:v>
      </x:c>
      <x:c r="E22" s="407"/>
      <x:c r="F22" s="407"/>
      <x:c r="G22" s="407"/>
      <x:c r="H22" s="407"/>
      <x:c r="I22" s="407"/>
      <x:c r="J22" s="407"/>
      <x:c r="K22" s="407"/>
      <x:c r="L22" s="407"/>
      <x:c r="M22" s="407"/>
      <x:c r="N22" s="407"/>
      <x:c r="O22" s="407"/>
      <x:c r="P22" s="407"/>
      <x:c r="Q22" s="407"/>
      <x:c r="R22" s="407"/>
      <x:c r="S22" s="407"/>
      <x:c r="T22" s="407"/>
      <x:c r="U22" s="407"/>
      <x:c r="V22" s="407"/>
      <x:c r="W22" s="407"/>
      <x:c r="X22" s="407"/>
      <x:c r="Y22" s="407"/>
      <x:c r="Z22" s="407"/>
      <x:c r="AA22" s="407"/>
      <x:c r="AB22" s="407"/>
      <x:c r="AC22" s="407"/>
      <x:c r="AD22" s="407"/>
      <x:c r="AE22" s="407"/>
      <x:c r="AF22" s="407"/>
      <x:c r="AG22" s="407"/>
    </x:row>
    <x:row r="23">
      <x:c r="A23" s="407" t="str">
        <x:v>總執行秒</x:v>
      </x:c>
      <x:c r="B23" s="407" t="str">
        <x:v>完成</x:v>
      </x:c>
      <x:c r="C23" s="407" t="n">
        <x:v>5030.2836661</x:v>
      </x:c>
      <x:c r="D23" s="407" t="str">
        <x:v>正式版</x:v>
      </x:c>
      <x:c r="E23" s="407"/>
      <x:c r="F23" s="407"/>
      <x:c r="G23" s="407"/>
      <x:c r="H23" s="407"/>
      <x:c r="I23" s="407"/>
      <x:c r="J23" s="407"/>
      <x:c r="K23" s="407"/>
      <x:c r="L23" s="407"/>
      <x:c r="M23" s="407"/>
      <x:c r="N23" s="407"/>
      <x:c r="O23" s="407"/>
      <x:c r="P23" s="407"/>
      <x:c r="Q23" s="407"/>
      <x:c r="R23" s="407"/>
      <x:c r="S23" s="407"/>
      <x:c r="T23" s="407"/>
      <x:c r="U23" s="407"/>
      <x:c r="V23" s="407"/>
      <x:c r="W23" s="407"/>
      <x:c r="X23" s="407"/>
      <x:c r="Y23" s="407"/>
      <x:c r="Z23" s="407"/>
      <x:c r="AA23" s="407"/>
      <x:c r="AB23" s="407"/>
      <x:c r="AC23" s="407"/>
      <x:c r="AD23" s="407"/>
      <x:c r="AE23" s="407"/>
      <x:c r="AF23" s="407"/>
      <x:c r="AG23" s="407"/>
    </x:row>
    <x:row r="24">
      <x:c r="A24" s="407"/>
      <x:c r="B24" s="407"/>
      <x:c r="C24" s="407"/>
      <x:c r="D24" s="407"/>
      <x:c r="E24" s="407"/>
      <x:c r="F24" s="407"/>
      <x:c r="G24" s="407"/>
      <x:c r="H24" s="407"/>
      <x:c r="I24" s="407"/>
      <x:c r="J24" s="407"/>
      <x:c r="K24" s="407"/>
      <x:c r="L24" s="407"/>
      <x:c r="M24" s="407"/>
      <x:c r="N24" s="407"/>
      <x:c r="O24" s="407"/>
      <x:c r="P24" s="407"/>
      <x:c r="Q24" s="407"/>
      <x:c r="R24" s="407"/>
      <x:c r="S24" s="407"/>
      <x:c r="T24" s="407"/>
      <x:c r="U24" s="407"/>
      <x:c r="V24" s="407"/>
      <x:c r="W24" s="407"/>
      <x:c r="X24" s="407"/>
      <x:c r="Y24" s="407"/>
      <x:c r="Z24" s="407"/>
      <x:c r="AA24" s="407"/>
      <x:c r="AB24" s="407"/>
      <x:c r="AC24" s="407"/>
      <x:c r="AD24" s="407"/>
      <x:c r="AE24" s="407"/>
      <x:c r="AF24" s="407"/>
      <x:c r="AG24" s="407"/>
    </x:row>
    <x:row r="25" ht="32" customHeight="1">
      <x:c r="A25" s="51" t="str">
        <x:v>家族</x:v>
      </x:c>
      <x:c r="B25" s="52" t="str">
        <x:v>折</x:v>
      </x:c>
      <x:c r="C25" s="52" t="str">
        <x:v>AP@800</x:v>
      </x:c>
      <x:c r="D25" s="52" t="str">
        <x:v>最佳輪@800</x:v>
      </x:c>
      <x:c r="E25" s="52" t="str">
        <x:v>AP@1200</x:v>
      </x:c>
      <x:c r="F25" s="52" t="str">
        <x:v>最佳輪@1200</x:v>
      </x:c>
      <x:c r="G25" s="52" t="str">
        <x:v>AP差</x:v>
      </x:c>
      <x:c r="H25" s="53" t="str">
        <x:v>1200仍受限</x:v>
      </x:c>
      <x:c r="I25" s="79" t="str">
        <x:v>樹數上限敏感度：缺車三折重算後，LightGBM平均AP=0.219165，仍高於XGBoost=0.217270，所以缺車勝者不變。惟XGBoost兩折與LightGBM一折在1200輪仍受限，列為後續驗證限制。</x:v>
      </x:c>
      <x:c r="J25" s="80" t="str">
        <x:v>樹數上限敏感度：缺車三折重算後，LightGBM平均AP=0.219165，仍高於XGBoost=0.217270，所以缺車勝者不變。惟XGBoost兩折與LightGBM一折在1200輪仍受限，列為後續驗證限制。</x:v>
      </x:c>
      <x:c r="K25" s="80" t="str">
        <x:v>樹數上限敏感度：缺車三折重算後，LightGBM平均AP=0.219165，仍高於XGBoost=0.217270，所以缺車勝者不變。惟XGBoost兩折與LightGBM一折在1200輪仍受限，列為後續驗證限制。</x:v>
      </x:c>
      <x:c r="L25" s="80" t="str">
        <x:v>樹數上限敏感度：缺車三折重算後，LightGBM平均AP=0.219165，仍高於XGBoost=0.217270，所以缺車勝者不變。惟XGBoost兩折與LightGBM一折在1200輪仍受限，列為後續驗證限制。</x:v>
      </x:c>
      <x:c r="M25" s="80" t="str">
        <x:v>樹數上限敏感度：缺車三折重算後，LightGBM平均AP=0.219165，仍高於XGBoost=0.217270，所以缺車勝者不變。惟XGBoost兩折與LightGBM一折在1200輪仍受限，列為後續驗證限制。</x:v>
      </x:c>
      <x:c r="N25" s="81" t="str">
        <x:v>樹數上限敏感度：缺車三折重算後，LightGBM平均AP=0.219165，仍高於XGBoost=0.217270，所以缺車勝者不變。惟XGBoost兩折與LightGBM一折在1200輪仍受限，列為後續驗證限制。</x:v>
      </x:c>
      <x:c r="O25" s="407"/>
      <x:c r="P25" s="407"/>
      <x:c r="Q25" s="407"/>
      <x:c r="R25" s="407"/>
      <x:c r="S25" s="407"/>
      <x:c r="T25" s="407"/>
      <x:c r="U25" s="407"/>
      <x:c r="V25" s="407"/>
      <x:c r="W25" s="407"/>
      <x:c r="X25" s="407"/>
      <x:c r="Y25" s="407"/>
      <x:c r="Z25" s="407"/>
      <x:c r="AA25" s="407"/>
      <x:c r="AB25" s="407"/>
      <x:c r="AC25" s="407"/>
      <x:c r="AD25" s="407"/>
      <x:c r="AE25" s="407"/>
      <x:c r="AF25" s="407"/>
      <x:c r="AG25" s="407"/>
    </x:row>
    <x:row r="26">
      <x:c r="A26" s="407" t="str">
        <x:v>LightGBM</x:v>
      </x:c>
      <x:c r="B26" s="407" t="str">
        <x:v>Fold 2</x:v>
      </x:c>
      <x:c r="C26" s="411" t="n">
        <x:v>0.258126346910283</x:v>
      </x:c>
      <x:c r="D26" s="407" t="n">
        <x:v>800</x:v>
      </x:c>
      <x:c r="E26" s="411" t="n">
        <x:v>0.2594190248547434</x:v>
      </x:c>
      <x:c r="F26" s="407" t="n">
        <x:v>1133</x:v>
      </x:c>
      <x:c r="G26" s="420" t="n">
        <x:v>0.001292677944460363</x:v>
      </x:c>
      <x:c r="H26" s="407" t="str">
        <x:v>否</x:v>
      </x:c>
      <x:c r="I26" s="82" t="str">
        <x:v>樹數上限敏感度：缺車三折重算後，LightGBM平均AP=0.219165，仍高於XGBoost=0.217270，所以缺車勝者不變。惟XGBoost兩折與LightGBM一折在1200輪仍受限，列為後續驗證限制。</x:v>
      </x:c>
      <x:c r="J26" s="83" t="str">
        <x:v>樹數上限敏感度：缺車三折重算後，LightGBM平均AP=0.219165，仍高於XGBoost=0.217270，所以缺車勝者不變。惟XGBoost兩折與LightGBM一折在1200輪仍受限，列為後續驗證限制。</x:v>
      </x:c>
      <x:c r="K26" s="83" t="str">
        <x:v>樹數上限敏感度：缺車三折重算後，LightGBM平均AP=0.219165，仍高於XGBoost=0.217270，所以缺車勝者不變。惟XGBoost兩折與LightGBM一折在1200輪仍受限，列為後續驗證限制。</x:v>
      </x:c>
      <x:c r="L26" s="83" t="str">
        <x:v>樹數上限敏感度：缺車三折重算後，LightGBM平均AP=0.219165，仍高於XGBoost=0.217270，所以缺車勝者不變。惟XGBoost兩折與LightGBM一折在1200輪仍受限，列為後續驗證限制。</x:v>
      </x:c>
      <x:c r="M26" s="83" t="str">
        <x:v>樹數上限敏感度：缺車三折重算後，LightGBM平均AP=0.219165，仍高於XGBoost=0.217270，所以缺車勝者不變。惟XGBoost兩折與LightGBM一折在1200輪仍受限，列為後續驗證限制。</x:v>
      </x:c>
      <x:c r="N26" s="84" t="str">
        <x:v>樹數上限敏感度：缺車三折重算後，LightGBM平均AP=0.219165，仍高於XGBoost=0.217270，所以缺車勝者不變。惟XGBoost兩折與LightGBM一折在1200輪仍受限，列為後續驗證限制。</x:v>
      </x:c>
      <x:c r="O26" s="407"/>
      <x:c r="P26" s="407"/>
      <x:c r="Q26" s="407"/>
      <x:c r="R26" s="407"/>
      <x:c r="S26" s="407"/>
      <x:c r="T26" s="407"/>
      <x:c r="U26" s="407"/>
      <x:c r="V26" s="407"/>
      <x:c r="W26" s="407"/>
      <x:c r="X26" s="407"/>
      <x:c r="Y26" s="407"/>
      <x:c r="Z26" s="407"/>
      <x:c r="AA26" s="407"/>
      <x:c r="AB26" s="407"/>
      <x:c r="AC26" s="407"/>
      <x:c r="AD26" s="407"/>
      <x:c r="AE26" s="407"/>
      <x:c r="AF26" s="407"/>
      <x:c r="AG26" s="407"/>
    </x:row>
    <x:row r="27">
      <x:c r="A27" s="407" t="str">
        <x:v>XGBoost</x:v>
      </x:c>
      <x:c r="B27" s="407" t="str">
        <x:v>Fold 2</x:v>
      </x:c>
      <x:c r="C27" s="411" t="n">
        <x:v>0.2517973074364524</x:v>
      </x:c>
      <x:c r="D27" s="407" t="n">
        <x:v>797</x:v>
      </x:c>
      <x:c r="E27" s="411" t="n">
        <x:v>0.2547281365935066</x:v>
      </x:c>
      <x:c r="F27" s="407" t="n">
        <x:v>1200</x:v>
      </x:c>
      <x:c r="G27" s="420" t="n">
        <x:v>0.0029308291570542266</x:v>
      </x:c>
      <x:c r="H27" s="407" t="str">
        <x:v>是</x:v>
      </x:c>
      <x:c r="I27" s="82" t="str">
        <x:v>樹數上限敏感度：缺車三折重算後，LightGBM平均AP=0.219165，仍高於XGBoost=0.217270，所以缺車勝者不變。惟XGBoost兩折與LightGBM一折在1200輪仍受限，列為後續驗證限制。</x:v>
      </x:c>
      <x:c r="J27" s="83" t="str">
        <x:v>樹數上限敏感度：缺車三折重算後，LightGBM平均AP=0.219165，仍高於XGBoost=0.217270，所以缺車勝者不變。惟XGBoost兩折與LightGBM一折在1200輪仍受限，列為後續驗證限制。</x:v>
      </x:c>
      <x:c r="K27" s="83" t="str">
        <x:v>樹數上限敏感度：缺車三折重算後，LightGBM平均AP=0.219165，仍高於XGBoost=0.217270，所以缺車勝者不變。惟XGBoost兩折與LightGBM一折在1200輪仍受限，列為後續驗證限制。</x:v>
      </x:c>
      <x:c r="L27" s="83" t="str">
        <x:v>樹數上限敏感度：缺車三折重算後，LightGBM平均AP=0.219165，仍高於XGBoost=0.217270，所以缺車勝者不變。惟XGBoost兩折與LightGBM一折在1200輪仍受限，列為後續驗證限制。</x:v>
      </x:c>
      <x:c r="M27" s="83" t="str">
        <x:v>樹數上限敏感度：缺車三折重算後，LightGBM平均AP=0.219165，仍高於XGBoost=0.217270，所以缺車勝者不變。惟XGBoost兩折與LightGBM一折在1200輪仍受限，列為後續驗證限制。</x:v>
      </x:c>
      <x:c r="N27" s="84" t="str">
        <x:v>樹數上限敏感度：缺車三折重算後，LightGBM平均AP=0.219165，仍高於XGBoost=0.217270，所以缺車勝者不變。惟XGBoost兩折與LightGBM一折在1200輪仍受限，列為後續驗證限制。</x:v>
      </x:c>
      <x:c r="O27" s="407"/>
      <x:c r="P27" s="407"/>
      <x:c r="Q27" s="407"/>
      <x:c r="R27" s="407"/>
      <x:c r="S27" s="407"/>
      <x:c r="T27" s="407"/>
      <x:c r="U27" s="407"/>
      <x:c r="V27" s="407"/>
      <x:c r="W27" s="407"/>
      <x:c r="X27" s="407"/>
      <x:c r="Y27" s="407"/>
      <x:c r="Z27" s="407"/>
      <x:c r="AA27" s="407"/>
      <x:c r="AB27" s="407"/>
      <x:c r="AC27" s="407"/>
      <x:c r="AD27" s="407"/>
      <x:c r="AE27" s="407"/>
      <x:c r="AF27" s="407"/>
      <x:c r="AG27" s="407"/>
    </x:row>
    <x:row r="28">
      <x:c r="A28" s="407" t="str">
        <x:v>LightGBM</x:v>
      </x:c>
      <x:c r="B28" s="407" t="str">
        <x:v>Fold 3</x:v>
      </x:c>
      <x:c r="C28" s="411" t="n">
        <x:v>0.2634452388664559</x:v>
      </x:c>
      <x:c r="D28" s="407" t="n">
        <x:v>800</x:v>
      </x:c>
      <x:c r="E28" s="411" t="n">
        <x:v>0.26613358752496885</x:v>
      </x:c>
      <x:c r="F28" s="407" t="n">
        <x:v>1199</x:v>
      </x:c>
      <x:c r="G28" s="420" t="n">
        <x:v>0.0026883486585129734</x:v>
      </x:c>
      <x:c r="H28" s="407" t="str">
        <x:v>是</x:v>
      </x:c>
      <x:c r="I28" s="82" t="str">
        <x:v>樹數上限敏感度：缺車三折重算後，LightGBM平均AP=0.219165，仍高於XGBoost=0.217270，所以缺車勝者不變。惟XGBoost兩折與LightGBM一折在1200輪仍受限，列為後續驗證限制。</x:v>
      </x:c>
      <x:c r="J28" s="83" t="str">
        <x:v>樹數上限敏感度：缺車三折重算後，LightGBM平均AP=0.219165，仍高於XGBoost=0.217270，所以缺車勝者不變。惟XGBoost兩折與LightGBM一折在1200輪仍受限，列為後續驗證限制。</x:v>
      </x:c>
      <x:c r="K28" s="83" t="str">
        <x:v>樹數上限敏感度：缺車三折重算後，LightGBM平均AP=0.219165，仍高於XGBoost=0.217270，所以缺車勝者不變。惟XGBoost兩折與LightGBM一折在1200輪仍受限，列為後續驗證限制。</x:v>
      </x:c>
      <x:c r="L28" s="83" t="str">
        <x:v>樹數上限敏感度：缺車三折重算後，LightGBM平均AP=0.219165，仍高於XGBoost=0.217270，所以缺車勝者不變。惟XGBoost兩折與LightGBM一折在1200輪仍受限，列為後續驗證限制。</x:v>
      </x:c>
      <x:c r="M28" s="83" t="str">
        <x:v>樹數上限敏感度：缺車三折重算後，LightGBM平均AP=0.219165，仍高於XGBoost=0.217270，所以缺車勝者不變。惟XGBoost兩折與LightGBM一折在1200輪仍受限，列為後續驗證限制。</x:v>
      </x:c>
      <x:c r="N28" s="84" t="str">
        <x:v>樹數上限敏感度：缺車三折重算後，LightGBM平均AP=0.219165，仍高於XGBoost=0.217270，所以缺車勝者不變。惟XGBoost兩折與LightGBM一折在1200輪仍受限，列為後續驗證限制。</x:v>
      </x:c>
      <x:c r="O28" s="407"/>
      <x:c r="P28" s="407"/>
      <x:c r="Q28" s="407"/>
      <x:c r="R28" s="407"/>
      <x:c r="S28" s="407"/>
      <x:c r="T28" s="407"/>
      <x:c r="U28" s="407"/>
      <x:c r="V28" s="407"/>
      <x:c r="W28" s="407"/>
      <x:c r="X28" s="407"/>
      <x:c r="Y28" s="407"/>
      <x:c r="Z28" s="407"/>
      <x:c r="AA28" s="407"/>
      <x:c r="AB28" s="407"/>
      <x:c r="AC28" s="407"/>
      <x:c r="AD28" s="407"/>
      <x:c r="AE28" s="407"/>
      <x:c r="AF28" s="407"/>
      <x:c r="AG28" s="407"/>
    </x:row>
    <x:row r="29">
      <x:c r="A29" s="407" t="str">
        <x:v>XGBoost</x:v>
      </x:c>
      <x:c r="B29" s="407" t="str">
        <x:v>Fold 3</x:v>
      </x:c>
      <x:c r="C29" s="411" t="n">
        <x:v>0.26044839587704</x:v>
      </x:c>
      <x:c r="D29" s="407" t="n">
        <x:v>800</x:v>
      </x:c>
      <x:c r="E29" s="411" t="n">
        <x:v>0.2641971198922727</x:v>
      </x:c>
      <x:c r="F29" s="407" t="n">
        <x:v>1200</x:v>
      </x:c>
      <x:c r="G29" s="420" t="n">
        <x:v>0.003748724015232685</x:v>
      </x:c>
      <x:c r="H29" s="407" t="str">
        <x:v>是</x:v>
      </x:c>
      <x:c r="I29" s="85" t="str">
        <x:v>樹數上限敏感度：缺車三折重算後，LightGBM平均AP=0.219165，仍高於XGBoost=0.217270，所以缺車勝者不變。惟XGBoost兩折與LightGBM一折在1200輪仍受限，列為後續驗證限制。</x:v>
      </x:c>
      <x:c r="J29" s="86" t="str">
        <x:v>樹數上限敏感度：缺車三折重算後，LightGBM平均AP=0.219165，仍高於XGBoost=0.217270，所以缺車勝者不變。惟XGBoost兩折與LightGBM一折在1200輪仍受限，列為後續驗證限制。</x:v>
      </x:c>
      <x:c r="K29" s="86" t="str">
        <x:v>樹數上限敏感度：缺車三折重算後，LightGBM平均AP=0.219165，仍高於XGBoost=0.217270，所以缺車勝者不變。惟XGBoost兩折與LightGBM一折在1200輪仍受限，列為後續驗證限制。</x:v>
      </x:c>
      <x:c r="L29" s="86" t="str">
        <x:v>樹數上限敏感度：缺車三折重算後，LightGBM平均AP=0.219165，仍高於XGBoost=0.217270，所以缺車勝者不變。惟XGBoost兩折與LightGBM一折在1200輪仍受限，列為後續驗證限制。</x:v>
      </x:c>
      <x:c r="M29" s="86" t="str">
        <x:v>樹數上限敏感度：缺車三折重算後，LightGBM平均AP=0.219165，仍高於XGBoost=0.217270，所以缺車勝者不變。惟XGBoost兩折與LightGBM一折在1200輪仍受限，列為後續驗證限制。</x:v>
      </x:c>
      <x:c r="N29" s="87" t="str">
        <x:v>樹數上限敏感度：缺車三折重算後，LightGBM平均AP=0.219165，仍高於XGBoost=0.217270，所以缺車勝者不變。惟XGBoost兩折與LightGBM一折在1200輪仍受限，列為後續驗證限制。</x:v>
      </x:c>
      <x:c r="O29" s="407"/>
      <x:c r="P29" s="407"/>
      <x:c r="Q29" s="407"/>
      <x:c r="R29" s="407"/>
      <x:c r="S29" s="407"/>
      <x:c r="T29" s="407"/>
      <x:c r="U29" s="407"/>
      <x:c r="V29" s="407"/>
      <x:c r="W29" s="407"/>
      <x:c r="X29" s="407"/>
      <x:c r="Y29" s="407"/>
      <x:c r="Z29" s="407"/>
      <x:c r="AA29" s="407"/>
      <x:c r="AB29" s="407"/>
      <x:c r="AC29" s="407"/>
      <x:c r="AD29" s="407"/>
      <x:c r="AE29" s="407"/>
      <x:c r="AF29" s="407"/>
      <x:c r="AG29" s="407"/>
    </x:row>
    <x:row r="30" ht="32" customHeight="1">
      <x:c r="A30" s="51" t="str">
        <x:v>月</x:v>
      </x:c>
      <x:c r="B30" s="52" t="str">
        <x:v>路徑</x:v>
      </x:c>
      <x:c r="C30" s="52" t="str">
        <x:v>SHA256</x:v>
      </x:c>
      <x:c r="D30" s="52" t="str">
        <x:v>列數</x:v>
      </x:c>
      <x:c r="E30" s="52" t="str">
        <x:v>缺車正例</x:v>
      </x:c>
      <x:c r="F30" s="52" t="str">
        <x:v>滿柱正例</x:v>
      </x:c>
      <x:c r="G30" s="52" t="str">
        <x:v>尖峰列</x:v>
      </x:c>
      <x:c r="H30" s="52" t="str">
        <x:v>尖峰缺車</x:v>
      </x:c>
      <x:c r="I30" s="52" t="str">
        <x:v>尖峰滿柱</x:v>
      </x:c>
      <x:c r="J30" s="52" t="str">
        <x:v>站數</x:v>
      </x:c>
      <x:c r="K30" s="52" t="str">
        <x:v>開始</x:v>
      </x:c>
      <x:c r="L30" s="53" t="str">
        <x:v>結束</x:v>
      </x:c>
      <x:c r="M30" s="407"/>
      <x:c r="N30" s="407"/>
      <x:c r="O30" s="407"/>
      <x:c r="P30" s="407"/>
      <x:c r="Q30" s="407"/>
      <x:c r="R30" s="407"/>
      <x:c r="S30" s="407"/>
      <x:c r="T30" s="407"/>
      <x:c r="U30" s="407"/>
      <x:c r="V30" s="407"/>
      <x:c r="W30" s="407"/>
      <x:c r="X30" s="407"/>
      <x:c r="Y30" s="407"/>
      <x:c r="Z30" s="407"/>
      <x:c r="AA30" s="407"/>
      <x:c r="AB30" s="407"/>
      <x:c r="AC30" s="407"/>
      <x:c r="AD30" s="407"/>
      <x:c r="AE30" s="407"/>
      <x:c r="AF30" s="407"/>
      <x:c r="AG30" s="407"/>
    </x:row>
    <x:row r="31">
      <x:c r="A31" s="407" t="n">
        <x:v>1</x:v>
      </x:c>
      <x:c r="B31" s="407" t="str">
        <x:v>C:\Users\a5140\AppData\Local\Temp\youbike_model_v1_20260828_features\features_2026_01.parquet</x:v>
      </x:c>
      <x:c r="C31" s="407" t="str">
        <x:v>a6d46cf9f0b0c7ef1072e58c187d537f377fac701dcec969e43133eb8bf75198</x:v>
      </x:c>
      <x:c r="D31" s="408" t="n">
        <x:v>2121597</x:v>
      </x:c>
      <x:c r="E31" s="408" t="n">
        <x:v>41028</x:v>
      </x:c>
      <x:c r="F31" s="408" t="n">
        <x:v>7041</x:v>
      </x:c>
      <x:c r="G31" s="408" t="n">
        <x:v>617795</x:v>
      </x:c>
      <x:c r="H31" s="408" t="n">
        <x:v>16885</x:v>
      </x:c>
      <x:c r="I31" s="408" t="n">
        <x:v>3409</x:v>
      </x:c>
      <x:c r="J31" s="408" t="n">
        <x:v>1509</x:v>
      </x:c>
      <x:c r="K31" s="409" t="n">
        <x:v>46023.020833333336</x:v>
      </x:c>
      <x:c r="L31" s="409" t="n">
        <x:v>46053.979166666664</x:v>
      </x:c>
      <x:c r="M31" s="407"/>
      <x:c r="N31" s="407"/>
      <x:c r="O31" s="407"/>
      <x:c r="P31" s="407"/>
      <x:c r="Q31" s="407"/>
      <x:c r="R31" s="407"/>
      <x:c r="S31" s="407"/>
      <x:c r="T31" s="407"/>
      <x:c r="U31" s="407"/>
      <x:c r="V31" s="407"/>
      <x:c r="W31" s="407"/>
      <x:c r="X31" s="407"/>
      <x:c r="Y31" s="407"/>
      <x:c r="Z31" s="407"/>
      <x:c r="AA31" s="407"/>
      <x:c r="AB31" s="407"/>
      <x:c r="AC31" s="407"/>
      <x:c r="AD31" s="407"/>
      <x:c r="AE31" s="407"/>
      <x:c r="AF31" s="407"/>
      <x:c r="AG31" s="407"/>
    </x:row>
    <x:row r="32">
      <x:c r="A32" s="407" t="n">
        <x:v>2</x:v>
      </x:c>
      <x:c r="B32" s="407" t="str">
        <x:v>C:\Users\a5140\AppData\Local\Temp\youbike_model_v1_20260828_features\features_2026_02.parquet</x:v>
      </x:c>
      <x:c r="C32" s="407" t="str">
        <x:v>469f4e221e27d9df18aee30d99a94021b0db8ec1dfabe3166f45bf48816ff6a4</x:v>
      </x:c>
      <x:c r="D32" s="408" t="n">
        <x:v>1934838</x:v>
      </x:c>
      <x:c r="E32" s="408" t="n">
        <x:v>34082</x:v>
      </x:c>
      <x:c r="F32" s="408" t="n">
        <x:v>6741</x:v>
      </x:c>
      <x:c r="G32" s="408" t="n">
        <x:v>566776</x:v>
      </x:c>
      <x:c r="H32" s="408" t="n">
        <x:v>12827</x:v>
      </x:c>
      <x:c r="I32" s="408" t="n">
        <x:v>2880</x:v>
      </x:c>
      <x:c r="J32" s="408" t="n">
        <x:v>1515</x:v>
      </x:c>
      <x:c r="K32" s="409" t="n">
        <x:v>46054.020833333336</x:v>
      </x:c>
      <x:c r="L32" s="409" t="n">
        <x:v>46081.979166666664</x:v>
      </x:c>
      <x:c r="M32" s="407"/>
      <x:c r="N32" s="407"/>
      <x:c r="O32" s="407"/>
      <x:c r="P32" s="407"/>
      <x:c r="Q32" s="407"/>
      <x:c r="R32" s="407"/>
      <x:c r="S32" s="407"/>
      <x:c r="T32" s="407"/>
      <x:c r="U32" s="407"/>
      <x:c r="V32" s="407"/>
      <x:c r="W32" s="407"/>
      <x:c r="X32" s="407"/>
      <x:c r="Y32" s="407"/>
      <x:c r="Z32" s="407"/>
      <x:c r="AA32" s="407"/>
      <x:c r="AB32" s="407"/>
      <x:c r="AC32" s="407"/>
      <x:c r="AD32" s="407"/>
      <x:c r="AE32" s="407"/>
      <x:c r="AF32" s="407"/>
      <x:c r="AG32" s="407"/>
    </x:row>
    <x:row r="33">
      <x:c r="A33" s="407" t="n">
        <x:v>3</x:v>
      </x:c>
      <x:c r="B33" s="407" t="str">
        <x:v>C:\Users\a5140\AppData\Local\Temp\youbike_model_v1_20260828_features\features_2026_03.parquet</x:v>
      </x:c>
      <x:c r="C33" s="407" t="str">
        <x:v>7ed2e46598987dfedf91c8aaca6ca86ef0050c8e6db98c7be9ea0ad28b536010</x:v>
      </x:c>
      <x:c r="D33" s="408" t="n">
        <x:v>2118533</x:v>
      </x:c>
      <x:c r="E33" s="408" t="n">
        <x:v>50361</x:v>
      </x:c>
      <x:c r="F33" s="408" t="n">
        <x:v>8123</x:v>
      </x:c>
      <x:c r="G33" s="408" t="n">
        <x:v>617158</x:v>
      </x:c>
      <x:c r="H33" s="408" t="n">
        <x:v>21615</x:v>
      </x:c>
      <x:c r="I33" s="408" t="n">
        <x:v>4069</x:v>
      </x:c>
      <x:c r="J33" s="408" t="n">
        <x:v>1521</x:v>
      </x:c>
      <x:c r="K33" s="409" t="n">
        <x:v>46082.020833333336</x:v>
      </x:c>
      <x:c r="L33" s="409" t="n">
        <x:v>46112.979166666664</x:v>
      </x:c>
      <x:c r="M33" s="407"/>
      <x:c r="N33" s="407"/>
      <x:c r="O33" s="407"/>
      <x:c r="P33" s="407"/>
      <x:c r="Q33" s="407"/>
      <x:c r="R33" s="407"/>
      <x:c r="S33" s="407"/>
      <x:c r="T33" s="407"/>
      <x:c r="U33" s="407"/>
      <x:c r="V33" s="407"/>
      <x:c r="W33" s="407"/>
      <x:c r="X33" s="407"/>
      <x:c r="Y33" s="407"/>
      <x:c r="Z33" s="407"/>
      <x:c r="AA33" s="407"/>
      <x:c r="AB33" s="407"/>
      <x:c r="AC33" s="407"/>
      <x:c r="AD33" s="407"/>
      <x:c r="AE33" s="407"/>
      <x:c r="AF33" s="407"/>
      <x:c r="AG33" s="407"/>
    </x:row>
    <x:row r="34">
      <x:c r="A34" s="407" t="n">
        <x:v>4</x:v>
      </x:c>
      <x:c r="B34" s="407" t="str">
        <x:v>C:\Users\a5140\AppData\Local\Temp\youbike_model_v1_20260828_features\features_2026_04.parquet</x:v>
      </x:c>
      <x:c r="C34" s="407" t="str">
        <x:v>ed9f7065060b92c14913b197f958895797fdbfdf2307fb257402911ff5f00463</x:v>
      </x:c>
      <x:c r="D34" s="408" t="n">
        <x:v>2060195</x:v>
      </x:c>
      <x:c r="E34" s="408" t="n">
        <x:v>47673</x:v>
      </x:c>
      <x:c r="F34" s="408" t="n">
        <x:v>8109</x:v>
      </x:c>
      <x:c r="G34" s="408" t="n">
        <x:v>598646</x:v>
      </x:c>
      <x:c r="H34" s="408" t="n">
        <x:v>20593</x:v>
      </x:c>
      <x:c r="I34" s="408" t="n">
        <x:v>3822</x:v>
      </x:c>
      <x:c r="J34" s="408" t="n">
        <x:v>1528</x:v>
      </x:c>
      <x:c r="K34" s="409" t="n">
        <x:v>46113.020833333336</x:v>
      </x:c>
      <x:c r="L34" s="409" t="n">
        <x:v>46142.979166666664</x:v>
      </x:c>
      <x:c r="M34" s="407"/>
      <x:c r="N34" s="407"/>
      <x:c r="O34" s="407"/>
      <x:c r="P34" s="407"/>
      <x:c r="Q34" s="407"/>
      <x:c r="R34" s="407"/>
      <x:c r="S34" s="407"/>
      <x:c r="T34" s="407"/>
      <x:c r="U34" s="407"/>
      <x:c r="V34" s="407"/>
      <x:c r="W34" s="407"/>
      <x:c r="X34" s="407"/>
      <x:c r="Y34" s="407"/>
      <x:c r="Z34" s="407"/>
      <x:c r="AA34" s="407"/>
      <x:c r="AB34" s="407"/>
      <x:c r="AC34" s="407"/>
      <x:c r="AD34" s="407"/>
      <x:c r="AE34" s="407"/>
      <x:c r="AF34" s="407"/>
      <x:c r="AG34" s="407"/>
    </x:row>
    <x:row r="35">
      <x:c r="A35" s="407" t="n">
        <x:v>5</x:v>
      </x:c>
      <x:c r="B35" s="407" t="str">
        <x:v>C:\Users\a5140\AppData\Local\Temp\youbike_model_v1_20260828_features\features_2026_05.parquet</x:v>
      </x:c>
      <x:c r="C35" s="407" t="str">
        <x:v>687ed8830d2a5e55140c7b1728bbc88a5c82c5554350ec559a3315afa30603dc</x:v>
      </x:c>
      <x:c r="D35" s="408" t="n">
        <x:v>2135157</x:v>
      </x:c>
      <x:c r="E35" s="408"/>
      <x:c r="F35" s="408"/>
      <x:c r="G35" s="408" t="n">
        <x:v>620379</x:v>
      </x:c>
      <x:c r="H35" s="408"/>
      <x:c r="I35" s="408"/>
      <x:c r="J35" s="408" t="n">
        <x:v>1536</x:v>
      </x:c>
      <x:c r="K35" s="409" t="n">
        <x:v>46143.020833333336</x:v>
      </x:c>
      <x:c r="L35" s="409" t="n">
        <x:v>46173.979166666664</x:v>
      </x:c>
      <x:c r="M35" s="407"/>
      <x:c r="N35" s="407"/>
      <x:c r="O35" s="407"/>
      <x:c r="P35" s="407"/>
      <x:c r="Q35" s="407"/>
      <x:c r="R35" s="407"/>
      <x:c r="S35" s="407"/>
      <x:c r="T35" s="407"/>
      <x:c r="U35" s="407"/>
      <x:c r="V35" s="407"/>
      <x:c r="W35" s="407"/>
      <x:c r="X35" s="407"/>
      <x:c r="Y35" s="407"/>
      <x:c r="Z35" s="407"/>
      <x:c r="AA35" s="407"/>
      <x:c r="AB35" s="407"/>
      <x:c r="AC35" s="407"/>
      <x:c r="AD35" s="407"/>
      <x:c r="AE35" s="407"/>
      <x:c r="AF35" s="407"/>
      <x:c r="AG35" s="407"/>
    </x:row>
    <x:row r="36">
      <x:c r="A36" s="407"/>
      <x:c r="B36" s="407"/>
      <x:c r="C36" s="407"/>
      <x:c r="D36" s="407"/>
      <x:c r="E36" s="407"/>
      <x:c r="F36" s="407"/>
      <x:c r="G36" s="407"/>
      <x:c r="H36" s="407"/>
      <x:c r="I36" s="407"/>
      <x:c r="J36" s="407"/>
      <x:c r="K36" s="407"/>
      <x:c r="L36" s="407"/>
      <x:c r="M36" s="407"/>
      <x:c r="N36" s="407"/>
      <x:c r="O36" s="407"/>
      <x:c r="P36" s="407"/>
      <x:c r="Q36" s="407"/>
      <x:c r="R36" s="407"/>
      <x:c r="S36" s="407"/>
      <x:c r="T36" s="407"/>
      <x:c r="U36" s="407"/>
      <x:c r="V36" s="407"/>
      <x:c r="W36" s="407"/>
      <x:c r="X36" s="407"/>
      <x:c r="Y36" s="407"/>
      <x:c r="Z36" s="407"/>
      <x:c r="AA36" s="407"/>
      <x:c r="AB36" s="407"/>
      <x:c r="AC36" s="407"/>
      <x:c r="AD36" s="407"/>
      <x:c r="AE36" s="407"/>
      <x:c r="AF36" s="407"/>
      <x:c r="AG36" s="407"/>
    </x:row>
    <x:row r="37">
      <x:c r="A37" s="407"/>
      <x:c r="B37" s="407"/>
      <x:c r="C37" s="407"/>
      <x:c r="D37" s="407"/>
      <x:c r="E37" s="407"/>
      <x:c r="F37" s="407"/>
      <x:c r="G37" s="407"/>
      <x:c r="H37" s="407"/>
      <x:c r="I37" s="407"/>
      <x:c r="J37" s="407"/>
      <x:c r="K37" s="407"/>
      <x:c r="L37" s="407"/>
      <x:c r="M37" s="407"/>
      <x:c r="N37" s="407"/>
      <x:c r="O37" s="407"/>
      <x:c r="P37" s="407"/>
      <x:c r="Q37" s="407"/>
      <x:c r="R37" s="407"/>
      <x:c r="S37" s="407"/>
      <x:c r="T37" s="407"/>
      <x:c r="U37" s="407"/>
      <x:c r="V37" s="407"/>
      <x:c r="W37" s="407"/>
      <x:c r="X37" s="407"/>
      <x:c r="Y37" s="407"/>
      <x:c r="Z37" s="407"/>
      <x:c r="AA37" s="407"/>
      <x:c r="AB37" s="407"/>
      <x:c r="AC37" s="407"/>
      <x:c r="AD37" s="407"/>
      <x:c r="AE37" s="407"/>
      <x:c r="AF37" s="407"/>
      <x:c r="AG37" s="407"/>
    </x:row>
    <x:row r="38">
      <x:c r="A38" s="407"/>
      <x:c r="B38" s="407"/>
      <x:c r="C38" s="407"/>
      <x:c r="D38" s="407"/>
      <x:c r="E38" s="407"/>
      <x:c r="F38" s="407"/>
      <x:c r="G38" s="407"/>
      <x:c r="H38" s="407"/>
      <x:c r="I38" s="407"/>
      <x:c r="J38" s="407"/>
      <x:c r="K38" s="407"/>
      <x:c r="L38" s="407"/>
      <x:c r="M38" s="407"/>
      <x:c r="N38" s="407"/>
      <x:c r="O38" s="407"/>
      <x:c r="P38" s="407"/>
      <x:c r="Q38" s="407"/>
      <x:c r="R38" s="407"/>
      <x:c r="S38" s="407"/>
      <x:c r="T38" s="407"/>
      <x:c r="U38" s="407"/>
      <x:c r="V38" s="407"/>
      <x:c r="W38" s="407"/>
      <x:c r="X38" s="407"/>
      <x:c r="Y38" s="407"/>
      <x:c r="Z38" s="407"/>
      <x:c r="AA38" s="407"/>
      <x:c r="AB38" s="407"/>
      <x:c r="AC38" s="407"/>
      <x:c r="AD38" s="407"/>
      <x:c r="AE38" s="407"/>
      <x:c r="AF38" s="407"/>
      <x:c r="AG38" s="407"/>
    </x:row>
    <x:row r="39">
      <x:c r="A39" s="407"/>
      <x:c r="B39" s="407"/>
      <x:c r="C39" s="407"/>
      <x:c r="D39" s="407"/>
      <x:c r="E39" s="407"/>
      <x:c r="F39" s="407"/>
      <x:c r="G39" s="407"/>
      <x:c r="H39" s="407"/>
      <x:c r="I39" s="407"/>
      <x:c r="J39" s="407"/>
      <x:c r="K39" s="407"/>
      <x:c r="L39" s="407"/>
      <x:c r="M39" s="407"/>
      <x:c r="N39" s="407"/>
      <x:c r="O39" s="407"/>
      <x:c r="P39" s="407"/>
      <x:c r="Q39" s="407"/>
      <x:c r="R39" s="407"/>
      <x:c r="S39" s="407"/>
      <x:c r="T39" s="407"/>
      <x:c r="U39" s="407"/>
      <x:c r="V39" s="407"/>
      <x:c r="W39" s="407"/>
      <x:c r="X39" s="407"/>
      <x:c r="Y39" s="407"/>
      <x:c r="Z39" s="407"/>
      <x:c r="AA39" s="407"/>
      <x:c r="AB39" s="407"/>
      <x:c r="AC39" s="407"/>
      <x:c r="AD39" s="407"/>
      <x:c r="AE39" s="407"/>
      <x:c r="AF39" s="407"/>
      <x:c r="AG39" s="407"/>
    </x:row>
    <x:row r="40">
      <x:c r="A40" s="143" t="str">
        <x:v>不可宣稱：XGBoost已穩定贏過LightGBM、六月仍是全新測試集、五月結果已代表未來、高特徵重要度就是因果、每個Episode都需要派車，或Top-K已可換算真實成本節省。</x:v>
      </x:c>
      <x:c r="B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C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D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E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F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G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H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I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J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K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L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M40" s="144" t="str">
        <x:v>不可宣稱：XGBoost已穩定贏過LightGBM、六月仍是全新測試集、五月結果已代表未來、高特徵重要度就是因果、每個Episode都需要派車，或Top-K已可換算真實成本節省。</x:v>
      </x:c>
      <x:c r="N40" s="145" t="str">
        <x:v>不可宣稱：XGBoost已穩定贏過LightGBM、六月仍是全新測試集、五月結果已代表未來、高特徵重要度就是因果、每個Episode都需要派車，或Top-K已可換算真實成本節省。</x:v>
      </x:c>
      <x:c r="O40" s="407"/>
      <x:c r="P40" s="407"/>
      <x:c r="Q40" s="407"/>
      <x:c r="R40" s="407"/>
      <x:c r="S40" s="407"/>
      <x:c r="T40" s="407"/>
      <x:c r="U40" s="407"/>
      <x:c r="V40" s="407"/>
      <x:c r="W40" s="407"/>
      <x:c r="X40" s="407"/>
      <x:c r="Y40" s="407"/>
      <x:c r="Z40" s="407"/>
      <x:c r="AA40" s="407"/>
      <x:c r="AB40" s="407"/>
      <x:c r="AC40" s="407"/>
      <x:c r="AD40" s="407"/>
      <x:c r="AE40" s="407"/>
      <x:c r="AF40" s="407"/>
      <x:c r="AG40" s="407"/>
    </x:row>
    <x:row r="41">
      <x:c r="A41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1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1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1" s="407"/>
      <x:c r="P41" s="407"/>
      <x:c r="Q41" s="407"/>
      <x:c r="R41" s="407"/>
      <x:c r="S41" s="407"/>
      <x:c r="T41" s="407"/>
      <x:c r="U41" s="407"/>
      <x:c r="V41" s="407"/>
      <x:c r="W41" s="407"/>
      <x:c r="X41" s="407"/>
      <x:c r="Y41" s="407"/>
      <x:c r="Z41" s="407"/>
      <x:c r="AA41" s="407"/>
      <x:c r="AB41" s="407"/>
      <x:c r="AC41" s="407"/>
      <x:c r="AD41" s="407"/>
      <x:c r="AE41" s="407"/>
      <x:c r="AF41" s="407"/>
      <x:c r="AG41" s="407"/>
    </x:row>
    <x:row r="42">
      <x:c r="A42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2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2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2" s="407"/>
      <x:c r="P42" s="407"/>
      <x:c r="Q42" s="407"/>
      <x:c r="R42" s="407"/>
      <x:c r="S42" s="407"/>
      <x:c r="T42" s="407"/>
      <x:c r="U42" s="407"/>
      <x:c r="V42" s="407"/>
      <x:c r="W42" s="407"/>
      <x:c r="X42" s="407"/>
      <x:c r="Y42" s="407"/>
      <x:c r="Z42" s="407"/>
      <x:c r="AA42" s="407"/>
      <x:c r="AB42" s="407"/>
      <x:c r="AC42" s="407"/>
      <x:c r="AD42" s="407"/>
      <x:c r="AE42" s="407"/>
      <x:c r="AF42" s="407"/>
      <x:c r="AG42" s="407"/>
    </x:row>
    <x:row r="43">
      <x:c r="A43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3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3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3" s="407"/>
      <x:c r="P43" s="407"/>
      <x:c r="Q43" s="407"/>
      <x:c r="R43" s="407"/>
      <x:c r="S43" s="407"/>
      <x:c r="T43" s="407"/>
      <x:c r="U43" s="407"/>
      <x:c r="V43" s="407"/>
      <x:c r="W43" s="407"/>
      <x:c r="X43" s="407"/>
      <x:c r="Y43" s="407"/>
      <x:c r="Z43" s="407"/>
      <x:c r="AA43" s="407"/>
      <x:c r="AB43" s="407"/>
      <x:c r="AC43" s="407"/>
      <x:c r="AD43" s="407"/>
      <x:c r="AE43" s="407"/>
      <x:c r="AF43" s="407"/>
      <x:c r="AG43" s="407"/>
    </x:row>
    <x:row r="44">
      <x:c r="A44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4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4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4" s="407"/>
      <x:c r="P44" s="407"/>
      <x:c r="Q44" s="407"/>
      <x:c r="R44" s="407"/>
      <x:c r="S44" s="407"/>
      <x:c r="T44" s="407"/>
      <x:c r="U44" s="407"/>
      <x:c r="V44" s="407"/>
      <x:c r="W44" s="407"/>
      <x:c r="X44" s="407"/>
      <x:c r="Y44" s="407"/>
      <x:c r="Z44" s="407"/>
      <x:c r="AA44" s="407"/>
      <x:c r="AB44" s="407"/>
      <x:c r="AC44" s="407"/>
      <x:c r="AD44" s="407"/>
      <x:c r="AE44" s="407"/>
      <x:c r="AF44" s="407"/>
      <x:c r="AG44" s="407"/>
    </x:row>
    <x:row r="45">
      <x:c r="A45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5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5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5" s="407"/>
      <x:c r="P45" s="407"/>
      <x:c r="Q45" s="407"/>
      <x:c r="R45" s="407"/>
      <x:c r="S45" s="407"/>
      <x:c r="T45" s="407"/>
      <x:c r="U45" s="407"/>
      <x:c r="V45" s="407"/>
      <x:c r="W45" s="407"/>
      <x:c r="X45" s="407"/>
      <x:c r="Y45" s="407"/>
      <x:c r="Z45" s="407"/>
      <x:c r="AA45" s="407"/>
      <x:c r="AB45" s="407"/>
      <x:c r="AC45" s="407"/>
      <x:c r="AD45" s="407"/>
      <x:c r="AE45" s="407"/>
      <x:c r="AF45" s="407"/>
      <x:c r="AG45" s="407"/>
    </x:row>
    <x:row r="46">
      <x:c r="A46" s="146" t="str">
        <x:v>不可宣稱：XGBoost已穩定贏過LightGBM、六月仍是全新測試集、五月結果已代表未來、高特徵重要度就是因果、每個Episode都需要派車，或Top-K已可換算真實成本節省。</x:v>
      </x:c>
      <x:c r="B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C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D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E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F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G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H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I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J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K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L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M46" s="147" t="str">
        <x:v>不可宣稱：XGBoost已穩定贏過LightGBM、六月仍是全新測試集、五月結果已代表未來、高特徵重要度就是因果、每個Episode都需要派車，或Top-K已可換算真實成本節省。</x:v>
      </x:c>
      <x:c r="N46" s="148" t="str">
        <x:v>不可宣稱：XGBoost已穩定贏過LightGBM、六月仍是全新測試集、五月結果已代表未來、高特徵重要度就是因果、每個Episode都需要派車，或Top-K已可換算真實成本節省。</x:v>
      </x:c>
      <x:c r="O46" s="407"/>
      <x:c r="P46" s="407"/>
      <x:c r="Q46" s="407"/>
      <x:c r="R46" s="407"/>
      <x:c r="S46" s="407"/>
      <x:c r="T46" s="407"/>
      <x:c r="U46" s="407"/>
      <x:c r="V46" s="407"/>
      <x:c r="W46" s="407"/>
      <x:c r="X46" s="407"/>
      <x:c r="Y46" s="407"/>
      <x:c r="Z46" s="407"/>
      <x:c r="AA46" s="407"/>
      <x:c r="AB46" s="407"/>
      <x:c r="AC46" s="407"/>
      <x:c r="AD46" s="407"/>
      <x:c r="AE46" s="407"/>
      <x:c r="AF46" s="407"/>
      <x:c r="AG46" s="407"/>
    </x:row>
    <x:row r="47">
      <x:c r="A47" s="149" t="str">
        <x:v>不可宣稱：XGBoost已穩定贏過LightGBM、六月仍是全新測試集、五月結果已代表未來、高特徵重要度就是因果、每個Episode都需要派車，或Top-K已可換算真實成本節省。</x:v>
      </x:c>
      <x:c r="B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C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D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E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F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G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H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I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J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K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L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M47" s="150" t="str">
        <x:v>不可宣稱：XGBoost已穩定贏過LightGBM、六月仍是全新測試集、五月結果已代表未來、高特徵重要度就是因果、每個Episode都需要派車，或Top-K已可換算真實成本節省。</x:v>
      </x:c>
      <x:c r="N47" s="151" t="str">
        <x:v>不可宣稱：XGBoost已穩定贏過LightGBM、六月仍是全新測試集、五月結果已代表未來、高特徵重要度就是因果、每個Episode都需要派車，或Top-K已可換算真實成本節省。</x:v>
      </x:c>
      <x:c r="O47" s="407"/>
      <x:c r="P47" s="407"/>
      <x:c r="Q47" s="407"/>
      <x:c r="R47" s="407"/>
      <x:c r="S47" s="407"/>
      <x:c r="T47" s="407"/>
      <x:c r="U47" s="407"/>
      <x:c r="V47" s="407"/>
      <x:c r="W47" s="407"/>
      <x:c r="X47" s="407"/>
      <x:c r="Y47" s="407"/>
      <x:c r="Z47" s="407"/>
      <x:c r="AA47" s="407"/>
      <x:c r="AB47" s="407"/>
      <x:c r="AC47" s="407"/>
      <x:c r="AD47" s="407"/>
      <x:c r="AE47" s="407"/>
      <x:c r="AF47" s="407"/>
      <x:c r="AG47" s="407"/>
    </x:row>
    <x:row r="48">
      <x:c r="A48" s="407"/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  <x:c r="S48" s="407"/>
      <x:c r="T48" s="407"/>
      <x:c r="U48" s="407"/>
      <x:c r="V48" s="407"/>
      <x:c r="W48" s="407"/>
      <x:c r="X48" s="407"/>
      <x:c r="Y48" s="407"/>
      <x:c r="Z48" s="407"/>
      <x:c r="AA48" s="407"/>
      <x:c r="AB48" s="407"/>
      <x:c r="AC48" s="407"/>
      <x:c r="AD48" s="407"/>
      <x:c r="AE48" s="407"/>
      <x:c r="AF48" s="407"/>
      <x:c r="AG48" s="407"/>
    </x:row>
    <x:row r="49">
      <x:c r="A49" s="114" t="str">
        <x:v>程式SHA256：402ceb027c4e68c72c7ce70a4eb1a1225d18f25502de71e027fb45e07c2fea2b
完成時間：2026-08-31T16:25:14.319708
本次六月讀取：否</x:v>
      </x:c>
      <x:c r="B49" s="115" t="str">
        <x:v>程式SHA256：402ceb027c4e68c72c7ce70a4eb1a1225d18f25502de71e027fb45e07c2fea2b
完成時間：2026-08-31T16:25:14.319708
本次六月讀取：否</x:v>
      </x:c>
      <x:c r="C49" s="115" t="str">
        <x:v>程式SHA256：402ceb027c4e68c72c7ce70a4eb1a1225d18f25502de71e027fb45e07c2fea2b
完成時間：2026-08-31T16:25:14.319708
本次六月讀取：否</x:v>
      </x:c>
      <x:c r="D49" s="115" t="str">
        <x:v>程式SHA256：402ceb027c4e68c72c7ce70a4eb1a1225d18f25502de71e027fb45e07c2fea2b
完成時間：2026-08-31T16:25:14.319708
本次六月讀取：否</x:v>
      </x:c>
      <x:c r="E49" s="115" t="str">
        <x:v>程式SHA256：402ceb027c4e68c72c7ce70a4eb1a1225d18f25502de71e027fb45e07c2fea2b
完成時間：2026-08-31T16:25:14.319708
本次六月讀取：否</x:v>
      </x:c>
      <x:c r="F49" s="115" t="str">
        <x:v>程式SHA256：402ceb027c4e68c72c7ce70a4eb1a1225d18f25502de71e027fb45e07c2fea2b
完成時間：2026-08-31T16:25:14.319708
本次六月讀取：否</x:v>
      </x:c>
      <x:c r="G49" s="115" t="str">
        <x:v>程式SHA256：402ceb027c4e68c72c7ce70a4eb1a1225d18f25502de71e027fb45e07c2fea2b
完成時間：2026-08-31T16:25:14.319708
本次六月讀取：否</x:v>
      </x:c>
      <x:c r="H49" s="115" t="str">
        <x:v>程式SHA256：402ceb027c4e68c72c7ce70a4eb1a1225d18f25502de71e027fb45e07c2fea2b
完成時間：2026-08-31T16:25:14.319708
本次六月讀取：否</x:v>
      </x:c>
      <x:c r="I49" s="115" t="str">
        <x:v>程式SHA256：402ceb027c4e68c72c7ce70a4eb1a1225d18f25502de71e027fb45e07c2fea2b
完成時間：2026-08-31T16:25:14.319708
本次六月讀取：否</x:v>
      </x:c>
      <x:c r="J49" s="115" t="str">
        <x:v>程式SHA256：402ceb027c4e68c72c7ce70a4eb1a1225d18f25502de71e027fb45e07c2fea2b
完成時間：2026-08-31T16:25:14.319708
本次六月讀取：否</x:v>
      </x:c>
      <x:c r="K49" s="115" t="str">
        <x:v>程式SHA256：402ceb027c4e68c72c7ce70a4eb1a1225d18f25502de71e027fb45e07c2fea2b
完成時間：2026-08-31T16:25:14.319708
本次六月讀取：否</x:v>
      </x:c>
      <x:c r="L49" s="115" t="str">
        <x:v>程式SHA256：402ceb027c4e68c72c7ce70a4eb1a1225d18f25502de71e027fb45e07c2fea2b
完成時間：2026-08-31T16:25:14.319708
本次六月讀取：否</x:v>
      </x:c>
      <x:c r="M49" s="115" t="str">
        <x:v>程式SHA256：402ceb027c4e68c72c7ce70a4eb1a1225d18f25502de71e027fb45e07c2fea2b
完成時間：2026-08-31T16:25:14.319708
本次六月讀取：否</x:v>
      </x:c>
      <x:c r="N49" s="116" t="str">
        <x:v>程式SHA256：402ceb027c4e68c72c7ce70a4eb1a1225d18f25502de71e027fb45e07c2fea2b
完成時間：2026-08-31T16:25:14.319708
本次六月讀取：否</x:v>
      </x:c>
      <x:c r="O49" s="407"/>
      <x:c r="P49" s="407"/>
      <x:c r="Q49" s="407"/>
      <x:c r="R49" s="407"/>
      <x:c r="S49" s="407"/>
      <x:c r="T49" s="407"/>
      <x:c r="U49" s="407"/>
      <x:c r="V49" s="407"/>
      <x:c r="W49" s="407"/>
      <x:c r="X49" s="407"/>
      <x:c r="Y49" s="407"/>
      <x:c r="Z49" s="407"/>
      <x:c r="AA49" s="407"/>
      <x:c r="AB49" s="407"/>
      <x:c r="AC49" s="407"/>
      <x:c r="AD49" s="407"/>
      <x:c r="AE49" s="407"/>
      <x:c r="AF49" s="407"/>
      <x:c r="AG49" s="407"/>
    </x:row>
    <x:row r="50">
      <x:c r="A50" s="117" t="str">
        <x:v>程式SHA256：402ceb027c4e68c72c7ce70a4eb1a1225d18f25502de71e027fb45e07c2fea2b
完成時間：2026-08-31T16:25:14.319708
本次六月讀取：否</x:v>
      </x:c>
      <x:c r="B50" s="118" t="str">
        <x:v>程式SHA256：402ceb027c4e68c72c7ce70a4eb1a1225d18f25502de71e027fb45e07c2fea2b
完成時間：2026-08-31T16:25:14.319708
本次六月讀取：否</x:v>
      </x:c>
      <x:c r="C50" s="118" t="str">
        <x:v>程式SHA256：402ceb027c4e68c72c7ce70a4eb1a1225d18f25502de71e027fb45e07c2fea2b
完成時間：2026-08-31T16:25:14.319708
本次六月讀取：否</x:v>
      </x:c>
      <x:c r="D50" s="118" t="str">
        <x:v>程式SHA256：402ceb027c4e68c72c7ce70a4eb1a1225d18f25502de71e027fb45e07c2fea2b
完成時間：2026-08-31T16:25:14.319708
本次六月讀取：否</x:v>
      </x:c>
      <x:c r="E50" s="118" t="str">
        <x:v>程式SHA256：402ceb027c4e68c72c7ce70a4eb1a1225d18f25502de71e027fb45e07c2fea2b
完成時間：2026-08-31T16:25:14.319708
本次六月讀取：否</x:v>
      </x:c>
      <x:c r="F50" s="118" t="str">
        <x:v>程式SHA256：402ceb027c4e68c72c7ce70a4eb1a1225d18f25502de71e027fb45e07c2fea2b
完成時間：2026-08-31T16:25:14.319708
本次六月讀取：否</x:v>
      </x:c>
      <x:c r="G50" s="118" t="str">
        <x:v>程式SHA256：402ceb027c4e68c72c7ce70a4eb1a1225d18f25502de71e027fb45e07c2fea2b
完成時間：2026-08-31T16:25:14.319708
本次六月讀取：否</x:v>
      </x:c>
      <x:c r="H50" s="118" t="str">
        <x:v>程式SHA256：402ceb027c4e68c72c7ce70a4eb1a1225d18f25502de71e027fb45e07c2fea2b
完成時間：2026-08-31T16:25:14.319708
本次六月讀取：否</x:v>
      </x:c>
      <x:c r="I50" s="118" t="str">
        <x:v>程式SHA256：402ceb027c4e68c72c7ce70a4eb1a1225d18f25502de71e027fb45e07c2fea2b
完成時間：2026-08-31T16:25:14.319708
本次六月讀取：否</x:v>
      </x:c>
      <x:c r="J50" s="118" t="str">
        <x:v>程式SHA256：402ceb027c4e68c72c7ce70a4eb1a1225d18f25502de71e027fb45e07c2fea2b
完成時間：2026-08-31T16:25:14.319708
本次六月讀取：否</x:v>
      </x:c>
      <x:c r="K50" s="118" t="str">
        <x:v>程式SHA256：402ceb027c4e68c72c7ce70a4eb1a1225d18f25502de71e027fb45e07c2fea2b
完成時間：2026-08-31T16:25:14.319708
本次六月讀取：否</x:v>
      </x:c>
      <x:c r="L50" s="118" t="str">
        <x:v>程式SHA256：402ceb027c4e68c72c7ce70a4eb1a1225d18f25502de71e027fb45e07c2fea2b
完成時間：2026-08-31T16:25:14.319708
本次六月讀取：否</x:v>
      </x:c>
      <x:c r="M50" s="118" t="str">
        <x:v>程式SHA256：402ceb027c4e68c72c7ce70a4eb1a1225d18f25502de71e027fb45e07c2fea2b
完成時間：2026-08-31T16:25:14.319708
本次六月讀取：否</x:v>
      </x:c>
      <x:c r="N50" s="119" t="str">
        <x:v>程式SHA256：402ceb027c4e68c72c7ce70a4eb1a1225d18f25502de71e027fb45e07c2fea2b
完成時間：2026-08-31T16:25:14.319708
本次六月讀取：否</x:v>
      </x:c>
      <x:c r="O50" s="407"/>
      <x:c r="P50" s="407"/>
      <x:c r="Q50" s="407"/>
      <x:c r="R50" s="407"/>
      <x:c r="S50" s="407"/>
      <x:c r="T50" s="407"/>
      <x:c r="U50" s="407"/>
      <x:c r="V50" s="407"/>
      <x:c r="W50" s="407"/>
      <x:c r="X50" s="407"/>
      <x:c r="Y50" s="407"/>
      <x:c r="Z50" s="407"/>
      <x:c r="AA50" s="407"/>
      <x:c r="AB50" s="407"/>
      <x:c r="AC50" s="407"/>
      <x:c r="AD50" s="407"/>
      <x:c r="AE50" s="407"/>
      <x:c r="AF50" s="407"/>
      <x:c r="AG50" s="407"/>
    </x:row>
    <x:row r="51">
      <x:c r="A51" s="117" t="str">
        <x:v>程式SHA256：402ceb027c4e68c72c7ce70a4eb1a1225d18f25502de71e027fb45e07c2fea2b
完成時間：2026-08-31T16:25:14.319708
本次六月讀取：否</x:v>
      </x:c>
      <x:c r="B51" s="118" t="str">
        <x:v>程式SHA256：402ceb027c4e68c72c7ce70a4eb1a1225d18f25502de71e027fb45e07c2fea2b
完成時間：2026-08-31T16:25:14.319708
本次六月讀取：否</x:v>
      </x:c>
      <x:c r="C51" s="118" t="str">
        <x:v>程式SHA256：402ceb027c4e68c72c7ce70a4eb1a1225d18f25502de71e027fb45e07c2fea2b
完成時間：2026-08-31T16:25:14.319708
本次六月讀取：否</x:v>
      </x:c>
      <x:c r="D51" s="118" t="str">
        <x:v>程式SHA256：402ceb027c4e68c72c7ce70a4eb1a1225d18f25502de71e027fb45e07c2fea2b
完成時間：2026-08-31T16:25:14.319708
本次六月讀取：否</x:v>
      </x:c>
      <x:c r="E51" s="118" t="str">
        <x:v>程式SHA256：402ceb027c4e68c72c7ce70a4eb1a1225d18f25502de71e027fb45e07c2fea2b
完成時間：2026-08-31T16:25:14.319708
本次六月讀取：否</x:v>
      </x:c>
      <x:c r="F51" s="118" t="str">
        <x:v>程式SHA256：402ceb027c4e68c72c7ce70a4eb1a1225d18f25502de71e027fb45e07c2fea2b
完成時間：2026-08-31T16:25:14.319708
本次六月讀取：否</x:v>
      </x:c>
      <x:c r="G51" s="118" t="str">
        <x:v>程式SHA256：402ceb027c4e68c72c7ce70a4eb1a1225d18f25502de71e027fb45e07c2fea2b
完成時間：2026-08-31T16:25:14.319708
本次六月讀取：否</x:v>
      </x:c>
      <x:c r="H51" s="118" t="str">
        <x:v>程式SHA256：402ceb027c4e68c72c7ce70a4eb1a1225d18f25502de71e027fb45e07c2fea2b
完成時間：2026-08-31T16:25:14.319708
本次六月讀取：否</x:v>
      </x:c>
      <x:c r="I51" s="118" t="str">
        <x:v>程式SHA256：402ceb027c4e68c72c7ce70a4eb1a1225d18f25502de71e027fb45e07c2fea2b
完成時間：2026-08-31T16:25:14.319708
本次六月讀取：否</x:v>
      </x:c>
      <x:c r="J51" s="118" t="str">
        <x:v>程式SHA256：402ceb027c4e68c72c7ce70a4eb1a1225d18f25502de71e027fb45e07c2fea2b
完成時間：2026-08-31T16:25:14.319708
本次六月讀取：否</x:v>
      </x:c>
      <x:c r="K51" s="118" t="str">
        <x:v>程式SHA256：402ceb027c4e68c72c7ce70a4eb1a1225d18f25502de71e027fb45e07c2fea2b
完成時間：2026-08-31T16:25:14.319708
本次六月讀取：否</x:v>
      </x:c>
      <x:c r="L51" s="118" t="str">
        <x:v>程式SHA256：402ceb027c4e68c72c7ce70a4eb1a1225d18f25502de71e027fb45e07c2fea2b
完成時間：2026-08-31T16:25:14.319708
本次六月讀取：否</x:v>
      </x:c>
      <x:c r="M51" s="118" t="str">
        <x:v>程式SHA256：402ceb027c4e68c72c7ce70a4eb1a1225d18f25502de71e027fb45e07c2fea2b
完成時間：2026-08-31T16:25:14.319708
本次六月讀取：否</x:v>
      </x:c>
      <x:c r="N51" s="119" t="str">
        <x:v>程式SHA256：402ceb027c4e68c72c7ce70a4eb1a1225d18f25502de71e027fb45e07c2fea2b
完成時間：2026-08-31T16:25:14.319708
本次六月讀取：否</x:v>
      </x:c>
      <x:c r="O51" s="407"/>
      <x:c r="P51" s="407"/>
      <x:c r="Q51" s="407"/>
      <x:c r="R51" s="407"/>
      <x:c r="S51" s="407"/>
      <x:c r="T51" s="407"/>
      <x:c r="U51" s="407"/>
      <x:c r="V51" s="407"/>
      <x:c r="W51" s="407"/>
      <x:c r="X51" s="407"/>
      <x:c r="Y51" s="407"/>
      <x:c r="Z51" s="407"/>
      <x:c r="AA51" s="407"/>
      <x:c r="AB51" s="407"/>
      <x:c r="AC51" s="407"/>
      <x:c r="AD51" s="407"/>
      <x:c r="AE51" s="407"/>
      <x:c r="AF51" s="407"/>
      <x:c r="AG51" s="407"/>
    </x:row>
    <x:row r="52">
      <x:c r="A52" s="117" t="str">
        <x:v>程式SHA256：402ceb027c4e68c72c7ce70a4eb1a1225d18f25502de71e027fb45e07c2fea2b
完成時間：2026-08-31T16:25:14.319708
本次六月讀取：否</x:v>
      </x:c>
      <x:c r="B52" s="118" t="str">
        <x:v>程式SHA256：402ceb027c4e68c72c7ce70a4eb1a1225d18f25502de71e027fb45e07c2fea2b
完成時間：2026-08-31T16:25:14.319708
本次六月讀取：否</x:v>
      </x:c>
      <x:c r="C52" s="118" t="str">
        <x:v>程式SHA256：402ceb027c4e68c72c7ce70a4eb1a1225d18f25502de71e027fb45e07c2fea2b
完成時間：2026-08-31T16:25:14.319708
本次六月讀取：否</x:v>
      </x:c>
      <x:c r="D52" s="118" t="str">
        <x:v>程式SHA256：402ceb027c4e68c72c7ce70a4eb1a1225d18f25502de71e027fb45e07c2fea2b
完成時間：2026-08-31T16:25:14.319708
本次六月讀取：否</x:v>
      </x:c>
      <x:c r="E52" s="118" t="str">
        <x:v>程式SHA256：402ceb027c4e68c72c7ce70a4eb1a1225d18f25502de71e027fb45e07c2fea2b
完成時間：2026-08-31T16:25:14.319708
本次六月讀取：否</x:v>
      </x:c>
      <x:c r="F52" s="118" t="str">
        <x:v>程式SHA256：402ceb027c4e68c72c7ce70a4eb1a1225d18f25502de71e027fb45e07c2fea2b
完成時間：2026-08-31T16:25:14.319708
本次六月讀取：否</x:v>
      </x:c>
      <x:c r="G52" s="118" t="str">
        <x:v>程式SHA256：402ceb027c4e68c72c7ce70a4eb1a1225d18f25502de71e027fb45e07c2fea2b
完成時間：2026-08-31T16:25:14.319708
本次六月讀取：否</x:v>
      </x:c>
      <x:c r="H52" s="118" t="str">
        <x:v>程式SHA256：402ceb027c4e68c72c7ce70a4eb1a1225d18f25502de71e027fb45e07c2fea2b
完成時間：2026-08-31T16:25:14.319708
本次六月讀取：否</x:v>
      </x:c>
      <x:c r="I52" s="118" t="str">
        <x:v>程式SHA256：402ceb027c4e68c72c7ce70a4eb1a1225d18f25502de71e027fb45e07c2fea2b
完成時間：2026-08-31T16:25:14.319708
本次六月讀取：否</x:v>
      </x:c>
      <x:c r="J52" s="118" t="str">
        <x:v>程式SHA256：402ceb027c4e68c72c7ce70a4eb1a1225d18f25502de71e027fb45e07c2fea2b
完成時間：2026-08-31T16:25:14.319708
本次六月讀取：否</x:v>
      </x:c>
      <x:c r="K52" s="118" t="str">
        <x:v>程式SHA256：402ceb027c4e68c72c7ce70a4eb1a1225d18f25502de71e027fb45e07c2fea2b
完成時間：2026-08-31T16:25:14.319708
本次六月讀取：否</x:v>
      </x:c>
      <x:c r="L52" s="118" t="str">
        <x:v>程式SHA256：402ceb027c4e68c72c7ce70a4eb1a1225d18f25502de71e027fb45e07c2fea2b
完成時間：2026-08-31T16:25:14.319708
本次六月讀取：否</x:v>
      </x:c>
      <x:c r="M52" s="118" t="str">
        <x:v>程式SHA256：402ceb027c4e68c72c7ce70a4eb1a1225d18f25502de71e027fb45e07c2fea2b
完成時間：2026-08-31T16:25:14.319708
本次六月讀取：否</x:v>
      </x:c>
      <x:c r="N52" s="119" t="str">
        <x:v>程式SHA256：402ceb027c4e68c72c7ce70a4eb1a1225d18f25502de71e027fb45e07c2fea2b
完成時間：2026-08-31T16:25:14.319708
本次六月讀取：否</x:v>
      </x:c>
      <x:c r="O52" s="407"/>
      <x:c r="P52" s="407"/>
      <x:c r="Q52" s="407"/>
      <x:c r="R52" s="407"/>
      <x:c r="S52" s="407"/>
      <x:c r="T52" s="407"/>
      <x:c r="U52" s="407"/>
      <x:c r="V52" s="407"/>
      <x:c r="W52" s="407"/>
      <x:c r="X52" s="407"/>
      <x:c r="Y52" s="407"/>
      <x:c r="Z52" s="407"/>
      <x:c r="AA52" s="407"/>
      <x:c r="AB52" s="407"/>
      <x:c r="AC52" s="407"/>
      <x:c r="AD52" s="407"/>
      <x:c r="AE52" s="407"/>
      <x:c r="AF52" s="407"/>
      <x:c r="AG52" s="407"/>
    </x:row>
    <x:row r="53">
      <x:c r="A53" s="120" t="str">
        <x:v>程式SHA256：402ceb027c4e68c72c7ce70a4eb1a1225d18f25502de71e027fb45e07c2fea2b
完成時間：2026-08-31T16:25:14.319708
本次六月讀取：否</x:v>
      </x:c>
      <x:c r="B53" s="121" t="str">
        <x:v>程式SHA256：402ceb027c4e68c72c7ce70a4eb1a1225d18f25502de71e027fb45e07c2fea2b
完成時間：2026-08-31T16:25:14.319708
本次六月讀取：否</x:v>
      </x:c>
      <x:c r="C53" s="121" t="str">
        <x:v>程式SHA256：402ceb027c4e68c72c7ce70a4eb1a1225d18f25502de71e027fb45e07c2fea2b
完成時間：2026-08-31T16:25:14.319708
本次六月讀取：否</x:v>
      </x:c>
      <x:c r="D53" s="121" t="str">
        <x:v>程式SHA256：402ceb027c4e68c72c7ce70a4eb1a1225d18f25502de71e027fb45e07c2fea2b
完成時間：2026-08-31T16:25:14.319708
本次六月讀取：否</x:v>
      </x:c>
      <x:c r="E53" s="121" t="str">
        <x:v>程式SHA256：402ceb027c4e68c72c7ce70a4eb1a1225d18f25502de71e027fb45e07c2fea2b
完成時間：2026-08-31T16:25:14.319708
本次六月讀取：否</x:v>
      </x:c>
      <x:c r="F53" s="121" t="str">
        <x:v>程式SHA256：402ceb027c4e68c72c7ce70a4eb1a1225d18f25502de71e027fb45e07c2fea2b
完成時間：2026-08-31T16:25:14.319708
本次六月讀取：否</x:v>
      </x:c>
      <x:c r="G53" s="121" t="str">
        <x:v>程式SHA256：402ceb027c4e68c72c7ce70a4eb1a1225d18f25502de71e027fb45e07c2fea2b
完成時間：2026-08-31T16:25:14.319708
本次六月讀取：否</x:v>
      </x:c>
      <x:c r="H53" s="121" t="str">
        <x:v>程式SHA256：402ceb027c4e68c72c7ce70a4eb1a1225d18f25502de71e027fb45e07c2fea2b
完成時間：2026-08-31T16:25:14.319708
本次六月讀取：否</x:v>
      </x:c>
      <x:c r="I53" s="121" t="str">
        <x:v>程式SHA256：402ceb027c4e68c72c7ce70a4eb1a1225d18f25502de71e027fb45e07c2fea2b
完成時間：2026-08-31T16:25:14.319708
本次六月讀取：否</x:v>
      </x:c>
      <x:c r="J53" s="121" t="str">
        <x:v>程式SHA256：402ceb027c4e68c72c7ce70a4eb1a1225d18f25502de71e027fb45e07c2fea2b
完成時間：2026-08-31T16:25:14.319708
本次六月讀取：否</x:v>
      </x:c>
      <x:c r="K53" s="121" t="str">
        <x:v>程式SHA256：402ceb027c4e68c72c7ce70a4eb1a1225d18f25502de71e027fb45e07c2fea2b
完成時間：2026-08-31T16:25:14.319708
本次六月讀取：否</x:v>
      </x:c>
      <x:c r="L53" s="121" t="str">
        <x:v>程式SHA256：402ceb027c4e68c72c7ce70a4eb1a1225d18f25502de71e027fb45e07c2fea2b
完成時間：2026-08-31T16:25:14.319708
本次六月讀取：否</x:v>
      </x:c>
      <x:c r="M53" s="121" t="str">
        <x:v>程式SHA256：402ceb027c4e68c72c7ce70a4eb1a1225d18f25502de71e027fb45e07c2fea2b
完成時間：2026-08-31T16:25:14.319708
本次六月讀取：否</x:v>
      </x:c>
      <x:c r="N53" s="122" t="str">
        <x:v>程式SHA256：402ceb027c4e68c72c7ce70a4eb1a1225d18f25502de71e027fb45e07c2fea2b
完成時間：2026-08-31T16:25:14.319708
本次六月讀取：否</x:v>
      </x:c>
      <x:c r="O53" s="407"/>
      <x:c r="P53" s="407"/>
      <x:c r="Q53" s="407"/>
      <x:c r="R53" s="407"/>
      <x:c r="S53" s="407"/>
      <x:c r="T53" s="407"/>
      <x:c r="U53" s="407"/>
      <x:c r="V53" s="407"/>
      <x:c r="W53" s="407"/>
      <x:c r="X53" s="407"/>
      <x:c r="Y53" s="407"/>
      <x:c r="Z53" s="407"/>
      <x:c r="AA53" s="407"/>
      <x:c r="AB53" s="407"/>
      <x:c r="AC53" s="407"/>
      <x:c r="AD53" s="407"/>
      <x:c r="AE53" s="407"/>
      <x:c r="AF53" s="407"/>
      <x:c r="AG53" s="407"/>
    </x:row>
    <x:row r="54">
      <x:c r="A54" s="407"/>
      <x:c r="B54" s="407"/>
      <x:c r="C54" s="407"/>
      <x:c r="D54" s="407"/>
      <x:c r="E54" s="407"/>
      <x:c r="F54" s="407"/>
      <x:c r="G54" s="407"/>
      <x:c r="H54" s="407"/>
      <x:c r="I54" s="407"/>
      <x:c r="J54" s="407"/>
      <x:c r="K54" s="407"/>
      <x:c r="L54" s="407"/>
      <x:c r="M54" s="407"/>
      <x:c r="N54" s="407"/>
      <x:c r="O54" s="407"/>
      <x:c r="P54" s="407"/>
      <x:c r="Q54" s="407"/>
      <x:c r="R54" s="407"/>
      <x:c r="S54" s="407"/>
      <x:c r="T54" s="407"/>
      <x:c r="U54" s="407"/>
      <x:c r="V54" s="407"/>
      <x:c r="W54" s="407"/>
      <x:c r="X54" s="407"/>
      <x:c r="Y54" s="407"/>
      <x:c r="Z54" s="407"/>
      <x:c r="AA54" s="407"/>
      <x:c r="AB54" s="407"/>
      <x:c r="AC54" s="407"/>
      <x:c r="AD54" s="407"/>
      <x:c r="AE54" s="407"/>
      <x:c r="AF54" s="407"/>
      <x:c r="AG54" s="407"/>
    </x:row>
    <x:row r="55">
      <x:c r="A55" s="407"/>
      <x:c r="B55" s="407"/>
      <x:c r="C55" s="407"/>
      <x:c r="D55" s="407"/>
      <x:c r="E55" s="407"/>
      <x:c r="F55" s="407"/>
      <x:c r="G55" s="407"/>
      <x:c r="H55" s="407"/>
      <x:c r="I55" s="407"/>
      <x:c r="J55" s="407"/>
      <x:c r="K55" s="407"/>
      <x:c r="L55" s="407"/>
      <x:c r="M55" s="407"/>
      <x:c r="N55" s="407"/>
      <x:c r="O55" s="407"/>
      <x:c r="P55" s="407"/>
      <x:c r="Q55" s="407"/>
      <x:c r="R55" s="407"/>
      <x:c r="S55" s="407"/>
      <x:c r="T55" s="407"/>
      <x:c r="U55" s="407"/>
      <x:c r="V55" s="407"/>
      <x:c r="W55" s="407"/>
      <x:c r="X55" s="407"/>
      <x:c r="Y55" s="407"/>
      <x:c r="Z55" s="407"/>
      <x:c r="AA55" s="407"/>
      <x:c r="AB55" s="407"/>
      <x:c r="AC55" s="407"/>
      <x:c r="AD55" s="407"/>
      <x:c r="AE55" s="407"/>
      <x:c r="AF55" s="407"/>
      <x:c r="AG55" s="407"/>
    </x:row>
    <x:row r="56">
      <x:c r="A56" s="407"/>
      <x:c r="B56" s="407"/>
      <x:c r="C56" s="407"/>
      <x:c r="D56" s="407"/>
      <x:c r="E56" s="407"/>
      <x:c r="F56" s="407"/>
      <x:c r="G56" s="407"/>
      <x:c r="H56" s="407"/>
      <x:c r="I56" s="407"/>
      <x:c r="J56" s="407"/>
      <x:c r="K56" s="407"/>
      <x:c r="L56" s="407"/>
      <x:c r="M56" s="407"/>
      <x:c r="N56" s="407"/>
      <x:c r="O56" s="407"/>
      <x:c r="P56" s="407"/>
      <x:c r="Q56" s="407"/>
      <x:c r="R56" s="407"/>
      <x:c r="S56" s="407"/>
      <x:c r="T56" s="407"/>
      <x:c r="U56" s="407"/>
      <x:c r="V56" s="407"/>
      <x:c r="W56" s="407"/>
      <x:c r="X56" s="407"/>
      <x:c r="Y56" s="407"/>
      <x:c r="Z56" s="407"/>
      <x:c r="AA56" s="407"/>
      <x:c r="AB56" s="407"/>
      <x:c r="AC56" s="407"/>
      <x:c r="AD56" s="407"/>
      <x:c r="AE56" s="407"/>
      <x:c r="AF56" s="407"/>
      <x:c r="AG56" s="407"/>
    </x:row>
    <x:row r="57">
      <x:c r="A57" s="407"/>
      <x:c r="B57" s="407"/>
      <x:c r="C57" s="407"/>
      <x:c r="D57" s="407"/>
      <x:c r="E57" s="407"/>
      <x:c r="F57" s="407"/>
      <x:c r="G57" s="407"/>
      <x:c r="H57" s="407"/>
      <x:c r="I57" s="407"/>
      <x:c r="J57" s="407"/>
      <x:c r="K57" s="407"/>
      <x:c r="L57" s="407"/>
      <x:c r="M57" s="407"/>
      <x:c r="N57" s="407"/>
      <x:c r="O57" s="407"/>
      <x:c r="P57" s="407"/>
      <x:c r="Q57" s="407"/>
      <x:c r="R57" s="407"/>
      <x:c r="S57" s="407"/>
      <x:c r="T57" s="407"/>
      <x:c r="U57" s="407"/>
      <x:c r="V57" s="407"/>
      <x:c r="W57" s="407"/>
      <x:c r="X57" s="407"/>
      <x:c r="Y57" s="407"/>
      <x:c r="Z57" s="407"/>
      <x:c r="AA57" s="407"/>
      <x:c r="AB57" s="407"/>
      <x:c r="AC57" s="407"/>
      <x:c r="AD57" s="407"/>
      <x:c r="AE57" s="407"/>
      <x:c r="AF57" s="407"/>
      <x:c r="AG57" s="407"/>
    </x:row>
    <x:row r="58">
      <x:c r="A58" s="407"/>
      <x:c r="B58" s="407"/>
      <x:c r="C58" s="407"/>
      <x:c r="D58" s="407"/>
      <x:c r="E58" s="407"/>
      <x:c r="F58" s="407"/>
      <x:c r="G58" s="407"/>
      <x:c r="H58" s="407"/>
      <x:c r="I58" s="407"/>
      <x:c r="J58" s="407"/>
      <x:c r="K58" s="407"/>
      <x:c r="L58" s="407"/>
      <x:c r="M58" s="407"/>
      <x:c r="N58" s="407"/>
      <x:c r="O58" s="407"/>
      <x:c r="P58" s="407"/>
      <x:c r="Q58" s="407"/>
      <x:c r="R58" s="407"/>
      <x:c r="S58" s="407"/>
      <x:c r="T58" s="407"/>
      <x:c r="U58" s="407"/>
      <x:c r="V58" s="407"/>
      <x:c r="W58" s="407"/>
      <x:c r="X58" s="407"/>
      <x:c r="Y58" s="407"/>
      <x:c r="Z58" s="407"/>
      <x:c r="AA58" s="407"/>
      <x:c r="AB58" s="407"/>
      <x:c r="AC58" s="407"/>
      <x:c r="AD58" s="407"/>
      <x:c r="AE58" s="407"/>
      <x:c r="AF58" s="407"/>
      <x:c r="AG58" s="407"/>
    </x:row>
    <x:row r="59">
      <x:c r="A59" s="407"/>
      <x:c r="B59" s="407"/>
      <x:c r="C59" s="407"/>
      <x:c r="D59" s="407"/>
      <x:c r="E59" s="407"/>
      <x:c r="F59" s="407"/>
      <x:c r="G59" s="407"/>
      <x:c r="H59" s="407"/>
      <x:c r="I59" s="407"/>
      <x:c r="J59" s="407"/>
      <x:c r="K59" s="407"/>
      <x:c r="L59" s="407"/>
      <x:c r="M59" s="407"/>
      <x:c r="N59" s="407"/>
      <x:c r="O59" s="407"/>
      <x:c r="P59" s="407"/>
      <x:c r="Q59" s="407"/>
      <x:c r="R59" s="407"/>
      <x:c r="S59" s="407"/>
      <x:c r="T59" s="407"/>
      <x:c r="U59" s="407"/>
      <x:c r="V59" s="407"/>
      <x:c r="W59" s="407"/>
      <x:c r="X59" s="407"/>
      <x:c r="Y59" s="407"/>
      <x:c r="Z59" s="407"/>
      <x:c r="AA59" s="407"/>
      <x:c r="AB59" s="407"/>
      <x:c r="AC59" s="407"/>
      <x:c r="AD59" s="407"/>
      <x:c r="AE59" s="407"/>
      <x:c r="AF59" s="407"/>
      <x:c r="AG59" s="407"/>
    </x:row>
    <x:row r="60">
      <x:c r="A60" s="407"/>
      <x:c r="B60" s="407"/>
      <x:c r="C60" s="407"/>
      <x:c r="D60" s="407"/>
      <x:c r="E60" s="407"/>
      <x:c r="F60" s="407"/>
      <x:c r="G60" s="407"/>
      <x:c r="H60" s="407"/>
      <x:c r="I60" s="407"/>
      <x:c r="J60" s="407"/>
      <x:c r="K60" s="407"/>
      <x:c r="L60" s="407"/>
      <x:c r="M60" s="407"/>
      <x:c r="N60" s="407"/>
      <x:c r="O60" s="407"/>
      <x:c r="P60" s="407"/>
      <x:c r="Q60" s="407"/>
      <x:c r="R60" s="407"/>
      <x:c r="S60" s="407"/>
      <x:c r="T60" s="407"/>
      <x:c r="U60" s="407"/>
      <x:c r="V60" s="407"/>
      <x:c r="W60" s="407"/>
      <x:c r="X60" s="407"/>
      <x:c r="Y60" s="407"/>
      <x:c r="Z60" s="407"/>
      <x:c r="AA60" s="407"/>
      <x:c r="AB60" s="407"/>
      <x:c r="AC60" s="407"/>
      <x:c r="AD60" s="407"/>
      <x:c r="AE60" s="407"/>
      <x:c r="AF60" s="407"/>
      <x:c r="AG60" s="407"/>
    </x:row>
    <x:row r="61">
      <x:c r="A61" s="407"/>
      <x:c r="B61" s="407"/>
      <x:c r="C61" s="407"/>
      <x:c r="D61" s="407"/>
      <x:c r="E61" s="407"/>
      <x:c r="F61" s="407"/>
      <x:c r="G61" s="407"/>
      <x:c r="H61" s="407"/>
      <x:c r="I61" s="407"/>
      <x:c r="J61" s="407"/>
      <x:c r="K61" s="407"/>
      <x:c r="L61" s="407"/>
      <x:c r="M61" s="407"/>
      <x:c r="N61" s="407"/>
      <x:c r="O61" s="407"/>
      <x:c r="P61" s="407"/>
      <x:c r="Q61" s="407"/>
      <x:c r="R61" s="407"/>
      <x:c r="S61" s="407"/>
      <x:c r="T61" s="407"/>
      <x:c r="U61" s="407"/>
      <x:c r="V61" s="407"/>
      <x:c r="W61" s="407"/>
      <x:c r="X61" s="407"/>
      <x:c r="Y61" s="407"/>
      <x:c r="Z61" s="407"/>
      <x:c r="AA61" s="407"/>
      <x:c r="AB61" s="407"/>
      <x:c r="AC61" s="407"/>
      <x:c r="AD61" s="407"/>
      <x:c r="AE61" s="407"/>
      <x:c r="AF61" s="407"/>
      <x:c r="AG61" s="407"/>
    </x:row>
    <x:row r="62">
      <x:c r="A62" s="407"/>
      <x:c r="B62" s="407"/>
      <x:c r="C62" s="407"/>
      <x:c r="D62" s="407"/>
      <x:c r="E62" s="407"/>
      <x:c r="F62" s="407"/>
      <x:c r="G62" s="407"/>
      <x:c r="H62" s="407"/>
      <x:c r="I62" s="407"/>
      <x:c r="J62" s="407"/>
      <x:c r="K62" s="407"/>
      <x:c r="L62" s="407"/>
      <x:c r="M62" s="407"/>
      <x:c r="N62" s="407"/>
      <x:c r="O62" s="407"/>
      <x:c r="P62" s="407"/>
      <x:c r="Q62" s="407"/>
      <x:c r="R62" s="407"/>
      <x:c r="S62" s="407"/>
      <x:c r="T62" s="407"/>
      <x:c r="U62" s="407"/>
      <x:c r="V62" s="407"/>
      <x:c r="W62" s="407"/>
      <x:c r="X62" s="407"/>
      <x:c r="Y62" s="407"/>
      <x:c r="Z62" s="407"/>
      <x:c r="AA62" s="407"/>
      <x:c r="AB62" s="407"/>
      <x:c r="AC62" s="407"/>
      <x:c r="AD62" s="407"/>
      <x:c r="AE62" s="407"/>
      <x:c r="AF62" s="407"/>
      <x:c r="AG62" s="407"/>
    </x:row>
    <x:row r="63">
      <x:c r="A63" s="407"/>
      <x:c r="B63" s="407"/>
      <x:c r="C63" s="407"/>
      <x:c r="D63" s="407"/>
      <x:c r="E63" s="407"/>
      <x:c r="F63" s="407"/>
      <x:c r="G63" s="407"/>
      <x:c r="H63" s="407"/>
      <x:c r="I63" s="407"/>
      <x:c r="J63" s="407"/>
      <x:c r="K63" s="407"/>
      <x:c r="L63" s="407"/>
      <x:c r="M63" s="407"/>
      <x:c r="N63" s="407"/>
      <x:c r="O63" s="407"/>
      <x:c r="P63" s="407"/>
      <x:c r="Q63" s="407"/>
      <x:c r="R63" s="407"/>
      <x:c r="S63" s="407"/>
      <x:c r="T63" s="407"/>
      <x:c r="U63" s="407"/>
      <x:c r="V63" s="407"/>
      <x:c r="W63" s="407"/>
      <x:c r="X63" s="407"/>
      <x:c r="Y63" s="407"/>
      <x:c r="Z63" s="407"/>
      <x:c r="AA63" s="407"/>
      <x:c r="AB63" s="407"/>
      <x:c r="AC63" s="407"/>
      <x:c r="AD63" s="407"/>
      <x:c r="AE63" s="407"/>
      <x:c r="AF63" s="407"/>
      <x:c r="AG63" s="407"/>
    </x:row>
    <x:row r="64">
      <x:c r="A64" s="407"/>
      <x:c r="B64" s="407"/>
      <x:c r="C64" s="407"/>
      <x:c r="D64" s="407"/>
      <x:c r="E64" s="407"/>
      <x:c r="F64" s="407"/>
      <x:c r="G64" s="407"/>
      <x:c r="H64" s="407"/>
      <x:c r="I64" s="407"/>
      <x:c r="J64" s="407"/>
      <x:c r="K64" s="407"/>
      <x:c r="L64" s="407"/>
      <x:c r="M64" s="407"/>
      <x:c r="N64" s="407"/>
      <x:c r="O64" s="407"/>
      <x:c r="P64" s="407"/>
      <x:c r="Q64" s="407"/>
      <x:c r="R64" s="407"/>
      <x:c r="S64" s="407"/>
      <x:c r="T64" s="407"/>
      <x:c r="U64" s="407"/>
      <x:c r="V64" s="407"/>
      <x:c r="W64" s="407"/>
      <x:c r="X64" s="407"/>
      <x:c r="Y64" s="407"/>
      <x:c r="Z64" s="407"/>
      <x:c r="AA64" s="407"/>
      <x:c r="AB64" s="407"/>
      <x:c r="AC64" s="407"/>
      <x:c r="AD64" s="407"/>
      <x:c r="AE64" s="407"/>
      <x:c r="AF64" s="407"/>
      <x:c r="AG64" s="407"/>
    </x:row>
    <x:row r="65">
      <x:c r="A65" s="407"/>
      <x:c r="B65" s="407"/>
      <x:c r="C65" s="407"/>
      <x:c r="D65" s="407"/>
      <x:c r="E65" s="407"/>
      <x:c r="F65" s="407"/>
      <x:c r="G65" s="407"/>
      <x:c r="H65" s="407"/>
      <x:c r="I65" s="407"/>
      <x:c r="J65" s="407"/>
      <x:c r="K65" s="407"/>
      <x:c r="L65" s="407"/>
      <x:c r="M65" s="407"/>
      <x:c r="N65" s="407"/>
      <x:c r="O65" s="407"/>
      <x:c r="P65" s="407"/>
      <x:c r="Q65" s="407"/>
      <x:c r="R65" s="407"/>
      <x:c r="S65" s="407"/>
      <x:c r="T65" s="407"/>
      <x:c r="U65" s="407"/>
      <x:c r="V65" s="407"/>
      <x:c r="W65" s="407"/>
      <x:c r="X65" s="407"/>
      <x:c r="Y65" s="407"/>
      <x:c r="Z65" s="407"/>
      <x:c r="AA65" s="407"/>
      <x:c r="AB65" s="407"/>
      <x:c r="AC65" s="407"/>
      <x:c r="AD65" s="407"/>
      <x:c r="AE65" s="407"/>
      <x:c r="AF65" s="407"/>
      <x:c r="AG65" s="407"/>
    </x:row>
    <x:row r="66">
      <x:c r="A66" s="407"/>
      <x:c r="B66" s="407"/>
      <x:c r="C66" s="407"/>
      <x:c r="D66" s="407"/>
      <x:c r="E66" s="407"/>
      <x:c r="F66" s="407"/>
      <x:c r="G66" s="407"/>
      <x:c r="H66" s="407"/>
      <x:c r="I66" s="407"/>
      <x:c r="J66" s="407"/>
      <x:c r="K66" s="407"/>
      <x:c r="L66" s="407"/>
      <x:c r="M66" s="407"/>
      <x:c r="N66" s="407"/>
      <x:c r="O66" s="407"/>
      <x:c r="P66" s="407"/>
      <x:c r="Q66" s="407"/>
      <x:c r="R66" s="407"/>
      <x:c r="S66" s="407"/>
      <x:c r="T66" s="407"/>
      <x:c r="U66" s="407"/>
      <x:c r="V66" s="407"/>
      <x:c r="W66" s="407"/>
      <x:c r="X66" s="407"/>
      <x:c r="Y66" s="407"/>
      <x:c r="Z66" s="407"/>
      <x:c r="AA66" s="407"/>
      <x:c r="AB66" s="407"/>
      <x:c r="AC66" s="407"/>
      <x:c r="AD66" s="407"/>
      <x:c r="AE66" s="407"/>
      <x:c r="AF66" s="407"/>
      <x:c r="AG66" s="407"/>
    </x:row>
    <x:row r="67">
      <x:c r="A67" s="407"/>
      <x:c r="B67" s="407"/>
      <x:c r="C67" s="407"/>
      <x:c r="D67" s="407"/>
      <x:c r="E67" s="407"/>
      <x:c r="F67" s="407"/>
      <x:c r="G67" s="407"/>
      <x:c r="H67" s="407"/>
      <x:c r="I67" s="407"/>
      <x:c r="J67" s="407"/>
      <x:c r="K67" s="407"/>
      <x:c r="L67" s="407"/>
      <x:c r="M67" s="407"/>
      <x:c r="N67" s="407"/>
      <x:c r="O67" s="407"/>
      <x:c r="P67" s="407"/>
      <x:c r="Q67" s="407"/>
      <x:c r="R67" s="407"/>
      <x:c r="S67" s="407"/>
      <x:c r="T67" s="407"/>
      <x:c r="U67" s="407"/>
      <x:c r="V67" s="407"/>
      <x:c r="W67" s="407"/>
      <x:c r="X67" s="407"/>
      <x:c r="Y67" s="407"/>
      <x:c r="Z67" s="407"/>
      <x:c r="AA67" s="407"/>
      <x:c r="AB67" s="407"/>
      <x:c r="AC67" s="407"/>
      <x:c r="AD67" s="407"/>
      <x:c r="AE67" s="407"/>
      <x:c r="AF67" s="407"/>
      <x:c r="AG67" s="407"/>
    </x:row>
    <x:row r="68">
      <x:c r="A68" s="407"/>
      <x:c r="B68" s="407"/>
      <x:c r="C68" s="407"/>
      <x:c r="D68" s="407"/>
      <x:c r="E68" s="407"/>
      <x:c r="F68" s="407"/>
      <x:c r="G68" s="407"/>
      <x:c r="H68" s="407"/>
      <x:c r="I68" s="407"/>
      <x:c r="J68" s="407"/>
      <x:c r="K68" s="407"/>
      <x:c r="L68" s="407"/>
      <x:c r="M68" s="407"/>
      <x:c r="N68" s="407"/>
      <x:c r="O68" s="407"/>
      <x:c r="P68" s="407"/>
      <x:c r="Q68" s="407"/>
      <x:c r="R68" s="407"/>
      <x:c r="S68" s="407"/>
      <x:c r="T68" s="407"/>
      <x:c r="U68" s="407"/>
      <x:c r="V68" s="407"/>
      <x:c r="W68" s="407"/>
      <x:c r="X68" s="407"/>
      <x:c r="Y68" s="407"/>
      <x:c r="Z68" s="407"/>
      <x:c r="AA68" s="407"/>
      <x:c r="AB68" s="407"/>
      <x:c r="AC68" s="407"/>
      <x:c r="AD68" s="407"/>
      <x:c r="AE68" s="407"/>
      <x:c r="AF68" s="407"/>
      <x:c r="AG68" s="407"/>
    </x:row>
    <x:row r="69">
      <x:c r="A69" s="407"/>
      <x:c r="B69" s="407"/>
      <x:c r="C69" s="407"/>
      <x:c r="D69" s="407"/>
      <x:c r="E69" s="407"/>
      <x:c r="F69" s="407"/>
      <x:c r="G69" s="407"/>
      <x:c r="H69" s="407"/>
      <x:c r="I69" s="407"/>
      <x:c r="J69" s="407"/>
      <x:c r="K69" s="407"/>
      <x:c r="L69" s="407"/>
      <x:c r="M69" s="407"/>
      <x:c r="N69" s="407"/>
      <x:c r="O69" s="407"/>
      <x:c r="P69" s="407"/>
      <x:c r="Q69" s="407"/>
      <x:c r="R69" s="407"/>
      <x:c r="S69" s="407"/>
      <x:c r="T69" s="407"/>
      <x:c r="U69" s="407"/>
      <x:c r="V69" s="407"/>
      <x:c r="W69" s="407"/>
      <x:c r="X69" s="407"/>
      <x:c r="Y69" s="407"/>
      <x:c r="Z69" s="407"/>
      <x:c r="AA69" s="407"/>
      <x:c r="AB69" s="407"/>
      <x:c r="AC69" s="407"/>
      <x:c r="AD69" s="407"/>
      <x:c r="AE69" s="407"/>
      <x:c r="AF69" s="407"/>
      <x:c r="AG69" s="407"/>
    </x:row>
    <x:row r="70">
      <x:c r="A70" s="407"/>
      <x:c r="B70" s="407"/>
      <x:c r="C70" s="407"/>
      <x:c r="D70" s="407"/>
      <x:c r="E70" s="407"/>
      <x:c r="F70" s="407"/>
      <x:c r="G70" s="407"/>
      <x:c r="H70" s="407"/>
      <x:c r="I70" s="407"/>
      <x:c r="J70" s="407"/>
      <x:c r="K70" s="407"/>
      <x:c r="L70" s="407"/>
      <x:c r="M70" s="407"/>
      <x:c r="N70" s="407"/>
      <x:c r="O70" s="407"/>
      <x:c r="P70" s="407"/>
      <x:c r="Q70" s="407"/>
      <x:c r="R70" s="407"/>
      <x:c r="S70" s="407"/>
      <x:c r="T70" s="407"/>
      <x:c r="U70" s="407"/>
      <x:c r="V70" s="407"/>
      <x:c r="W70" s="407"/>
      <x:c r="X70" s="407"/>
      <x:c r="Y70" s="407"/>
      <x:c r="Z70" s="407"/>
      <x:c r="AA70" s="407"/>
      <x:c r="AB70" s="407"/>
      <x:c r="AC70" s="407"/>
      <x:c r="AD70" s="407"/>
      <x:c r="AE70" s="407"/>
      <x:c r="AF70" s="407"/>
      <x:c r="AG70" s="407"/>
    </x:row>
    <x:row r="71">
      <x:c r="A71" s="407"/>
      <x:c r="B71" s="407"/>
      <x:c r="C71" s="407"/>
      <x:c r="D71" s="407"/>
      <x:c r="E71" s="407"/>
      <x:c r="F71" s="407"/>
      <x:c r="G71" s="407"/>
      <x:c r="H71" s="407"/>
      <x:c r="I71" s="407"/>
      <x:c r="J71" s="407"/>
      <x:c r="K71" s="407"/>
      <x:c r="L71" s="407"/>
      <x:c r="M71" s="407"/>
      <x:c r="N71" s="407"/>
      <x:c r="O71" s="407"/>
      <x:c r="P71" s="407"/>
      <x:c r="Q71" s="407"/>
      <x:c r="R71" s="407"/>
      <x:c r="S71" s="407"/>
      <x:c r="T71" s="407"/>
      <x:c r="U71" s="407"/>
      <x:c r="V71" s="407"/>
      <x:c r="W71" s="407"/>
      <x:c r="X71" s="407"/>
      <x:c r="Y71" s="407"/>
      <x:c r="Z71" s="407"/>
      <x:c r="AA71" s="407"/>
      <x:c r="AB71" s="407"/>
      <x:c r="AC71" s="407"/>
      <x:c r="AD71" s="407"/>
      <x:c r="AE71" s="407"/>
      <x:c r="AF71" s="407"/>
      <x:c r="AG71" s="407"/>
    </x:row>
    <x:row r="72">
      <x:c r="A72" s="407"/>
      <x:c r="B72" s="407"/>
      <x:c r="C72" s="407"/>
      <x:c r="D72" s="407"/>
      <x:c r="E72" s="407"/>
      <x:c r="F72" s="407"/>
      <x:c r="G72" s="407"/>
      <x:c r="H72" s="407"/>
      <x:c r="I72" s="407"/>
      <x:c r="J72" s="407"/>
      <x:c r="K72" s="407"/>
      <x:c r="L72" s="407"/>
      <x:c r="M72" s="407"/>
      <x:c r="N72" s="407"/>
      <x:c r="O72" s="407"/>
      <x:c r="P72" s="407"/>
      <x:c r="Q72" s="407"/>
      <x:c r="R72" s="407"/>
      <x:c r="S72" s="407"/>
      <x:c r="T72" s="407"/>
      <x:c r="U72" s="407"/>
      <x:c r="V72" s="407"/>
      <x:c r="W72" s="407"/>
      <x:c r="X72" s="407"/>
      <x:c r="Y72" s="407"/>
      <x:c r="Z72" s="407"/>
      <x:c r="AA72" s="407"/>
      <x:c r="AB72" s="407"/>
      <x:c r="AC72" s="407"/>
      <x:c r="AD72" s="407"/>
      <x:c r="AE72" s="407"/>
      <x:c r="AF72" s="407"/>
      <x:c r="AG72" s="407"/>
    </x:row>
    <x:row r="73">
      <x:c r="A73" s="407"/>
      <x:c r="B73" s="407"/>
      <x:c r="C73" s="407"/>
      <x:c r="D73" s="407"/>
      <x:c r="E73" s="407"/>
      <x:c r="F73" s="407"/>
      <x:c r="G73" s="407"/>
      <x:c r="H73" s="407"/>
      <x:c r="I73" s="407"/>
      <x:c r="J73" s="407"/>
      <x:c r="K73" s="407"/>
      <x:c r="L73" s="407"/>
      <x:c r="M73" s="407"/>
      <x:c r="N73" s="407"/>
      <x:c r="O73" s="407"/>
      <x:c r="P73" s="407"/>
      <x:c r="Q73" s="407"/>
      <x:c r="R73" s="407"/>
      <x:c r="S73" s="407"/>
      <x:c r="T73" s="407"/>
      <x:c r="U73" s="407"/>
      <x:c r="V73" s="407"/>
      <x:c r="W73" s="407"/>
      <x:c r="X73" s="407"/>
      <x:c r="Y73" s="407"/>
      <x:c r="Z73" s="407"/>
      <x:c r="AA73" s="407"/>
      <x:c r="AB73" s="407"/>
      <x:c r="AC73" s="407"/>
      <x:c r="AD73" s="407"/>
      <x:c r="AE73" s="407"/>
      <x:c r="AF73" s="407"/>
      <x:c r="AG73" s="407"/>
    </x:row>
    <x:row r="74">
      <x:c r="A74" s="407"/>
      <x:c r="B74" s="407"/>
      <x:c r="C74" s="407"/>
      <x:c r="D74" s="407"/>
      <x:c r="E74" s="407"/>
      <x:c r="F74" s="407"/>
      <x:c r="G74" s="407"/>
      <x:c r="H74" s="407"/>
      <x:c r="I74" s="407"/>
      <x:c r="J74" s="407"/>
      <x:c r="K74" s="407"/>
      <x:c r="L74" s="407"/>
      <x:c r="M74" s="407"/>
      <x:c r="N74" s="407"/>
      <x:c r="O74" s="407"/>
      <x:c r="P74" s="407"/>
      <x:c r="Q74" s="407"/>
      <x:c r="R74" s="407"/>
      <x:c r="S74" s="407"/>
      <x:c r="T74" s="407"/>
      <x:c r="U74" s="407"/>
      <x:c r="V74" s="407"/>
      <x:c r="W74" s="407"/>
      <x:c r="X74" s="407"/>
      <x:c r="Y74" s="407"/>
      <x:c r="Z74" s="407"/>
      <x:c r="AA74" s="407"/>
      <x:c r="AB74" s="407"/>
      <x:c r="AC74" s="407"/>
      <x:c r="AD74" s="407"/>
      <x:c r="AE74" s="407"/>
      <x:c r="AF74" s="407"/>
      <x:c r="AG74" s="407"/>
    </x:row>
    <x:row r="75">
      <x:c r="A75" s="407"/>
      <x:c r="B75" s="407"/>
      <x:c r="C75" s="407"/>
      <x:c r="D75" s="407"/>
      <x:c r="E75" s="407"/>
      <x:c r="F75" s="407"/>
      <x:c r="G75" s="407"/>
      <x:c r="H75" s="407"/>
      <x:c r="I75" s="407"/>
      <x:c r="J75" s="407"/>
      <x:c r="K75" s="407"/>
      <x:c r="L75" s="407"/>
      <x:c r="M75" s="407"/>
      <x:c r="N75" s="407"/>
      <x:c r="O75" s="407"/>
      <x:c r="P75" s="407"/>
      <x:c r="Q75" s="407"/>
      <x:c r="R75" s="407"/>
      <x:c r="S75" s="407"/>
      <x:c r="T75" s="407"/>
      <x:c r="U75" s="407"/>
      <x:c r="V75" s="407"/>
      <x:c r="W75" s="407"/>
      <x:c r="X75" s="407"/>
      <x:c r="Y75" s="407"/>
      <x:c r="Z75" s="407"/>
      <x:c r="AA75" s="407"/>
      <x:c r="AB75" s="407"/>
      <x:c r="AC75" s="407"/>
      <x:c r="AD75" s="407"/>
      <x:c r="AE75" s="407"/>
      <x:c r="AF75" s="407"/>
      <x:c r="AG75" s="407"/>
    </x:row>
    <x:row r="76">
      <x:c r="A76" s="407"/>
      <x:c r="B76" s="407"/>
      <x:c r="C76" s="407"/>
      <x:c r="D76" s="407"/>
      <x:c r="E76" s="407"/>
      <x:c r="F76" s="407"/>
      <x:c r="G76" s="407"/>
      <x:c r="H76" s="407"/>
      <x:c r="I76" s="407"/>
      <x:c r="J76" s="407"/>
      <x:c r="K76" s="407"/>
      <x:c r="L76" s="407"/>
      <x:c r="M76" s="407"/>
      <x:c r="N76" s="407"/>
      <x:c r="O76" s="407"/>
      <x:c r="P76" s="407"/>
      <x:c r="Q76" s="407"/>
      <x:c r="R76" s="407"/>
      <x:c r="S76" s="407"/>
      <x:c r="T76" s="407"/>
      <x:c r="U76" s="407"/>
      <x:c r="V76" s="407"/>
      <x:c r="W76" s="407"/>
      <x:c r="X76" s="407"/>
      <x:c r="Y76" s="407"/>
      <x:c r="Z76" s="407"/>
      <x:c r="AA76" s="407"/>
      <x:c r="AB76" s="407"/>
      <x:c r="AC76" s="407"/>
      <x:c r="AD76" s="407"/>
      <x:c r="AE76" s="407"/>
      <x:c r="AF76" s="407"/>
      <x:c r="AG76" s="407"/>
    </x:row>
    <x:row r="77">
      <x:c r="A77" s="407"/>
      <x:c r="B77" s="407"/>
      <x:c r="C77" s="407"/>
      <x:c r="D77" s="407"/>
      <x:c r="E77" s="407"/>
      <x:c r="F77" s="407"/>
      <x:c r="G77" s="407"/>
      <x:c r="H77" s="407"/>
      <x:c r="I77" s="407"/>
      <x:c r="J77" s="407"/>
      <x:c r="K77" s="407"/>
      <x:c r="L77" s="407"/>
      <x:c r="M77" s="407"/>
      <x:c r="N77" s="407"/>
      <x:c r="O77" s="407"/>
      <x:c r="P77" s="407"/>
      <x:c r="Q77" s="407"/>
      <x:c r="R77" s="407"/>
      <x:c r="S77" s="407"/>
      <x:c r="T77" s="407"/>
      <x:c r="U77" s="407"/>
      <x:c r="V77" s="407"/>
      <x:c r="W77" s="407"/>
      <x:c r="X77" s="407"/>
      <x:c r="Y77" s="407"/>
      <x:c r="Z77" s="407"/>
      <x:c r="AA77" s="407"/>
      <x:c r="AB77" s="407"/>
      <x:c r="AC77" s="407"/>
      <x:c r="AD77" s="407"/>
      <x:c r="AE77" s="407"/>
      <x:c r="AF77" s="407"/>
      <x:c r="AG77" s="407"/>
    </x:row>
    <x:row r="78">
      <x:c r="A78" s="407"/>
      <x:c r="B78" s="407"/>
      <x:c r="C78" s="407"/>
      <x:c r="D78" s="407"/>
      <x:c r="E78" s="407"/>
      <x:c r="F78" s="407"/>
      <x:c r="G78" s="407"/>
      <x:c r="H78" s="407"/>
      <x:c r="I78" s="407"/>
      <x:c r="J78" s="407"/>
      <x:c r="K78" s="407"/>
      <x:c r="L78" s="407"/>
      <x:c r="M78" s="407"/>
      <x:c r="N78" s="407"/>
      <x:c r="O78" s="407"/>
      <x:c r="P78" s="407"/>
      <x:c r="Q78" s="407"/>
      <x:c r="R78" s="407"/>
      <x:c r="S78" s="407"/>
      <x:c r="T78" s="407"/>
      <x:c r="U78" s="407"/>
      <x:c r="V78" s="407"/>
      <x:c r="W78" s="407"/>
      <x:c r="X78" s="407"/>
      <x:c r="Y78" s="407"/>
      <x:c r="Z78" s="407"/>
      <x:c r="AA78" s="407"/>
      <x:c r="AB78" s="407"/>
      <x:c r="AC78" s="407"/>
      <x:c r="AD78" s="407"/>
      <x:c r="AE78" s="407"/>
      <x:c r="AF78" s="407"/>
      <x:c r="AG78" s="407"/>
    </x:row>
    <x:row r="79">
      <x:c r="A79" s="407"/>
      <x:c r="B79" s="407"/>
      <x:c r="C79" s="407"/>
      <x:c r="D79" s="407"/>
      <x:c r="E79" s="407"/>
      <x:c r="F79" s="407"/>
      <x:c r="G79" s="407"/>
      <x:c r="H79" s="407"/>
      <x:c r="I79" s="407"/>
      <x:c r="J79" s="407"/>
      <x:c r="K79" s="407"/>
      <x:c r="L79" s="407"/>
      <x:c r="M79" s="407"/>
      <x:c r="N79" s="407"/>
      <x:c r="O79" s="407"/>
      <x:c r="P79" s="407"/>
      <x:c r="Q79" s="407"/>
      <x:c r="R79" s="407"/>
      <x:c r="S79" s="407"/>
      <x:c r="T79" s="407"/>
      <x:c r="U79" s="407"/>
      <x:c r="V79" s="407"/>
      <x:c r="W79" s="407"/>
      <x:c r="X79" s="407"/>
      <x:c r="Y79" s="407"/>
      <x:c r="Z79" s="407"/>
      <x:c r="AA79" s="407"/>
      <x:c r="AB79" s="407"/>
      <x:c r="AC79" s="407"/>
      <x:c r="AD79" s="407"/>
      <x:c r="AE79" s="407"/>
      <x:c r="AF79" s="407"/>
      <x:c r="AG79" s="407"/>
    </x:row>
    <x:row r="80">
      <x:c r="A80" s="407"/>
      <x:c r="B80" s="407"/>
      <x:c r="C80" s="407"/>
      <x:c r="D80" s="407"/>
      <x:c r="E80" s="407"/>
      <x:c r="F80" s="407"/>
      <x:c r="G80" s="407"/>
      <x:c r="H80" s="407"/>
      <x:c r="I80" s="407"/>
      <x:c r="J80" s="407"/>
      <x:c r="K80" s="407"/>
      <x:c r="L80" s="407"/>
      <x:c r="M80" s="407"/>
      <x:c r="N80" s="407"/>
      <x:c r="O80" s="407"/>
      <x:c r="P80" s="407"/>
      <x:c r="Q80" s="407"/>
      <x:c r="R80" s="407"/>
      <x:c r="S80" s="407"/>
      <x:c r="T80" s="407"/>
      <x:c r="U80" s="407"/>
      <x:c r="V80" s="407"/>
      <x:c r="W80" s="407"/>
      <x:c r="X80" s="407"/>
      <x:c r="Y80" s="407"/>
      <x:c r="Z80" s="407"/>
      <x:c r="AA80" s="407"/>
      <x:c r="AB80" s="407"/>
      <x:c r="AC80" s="407"/>
      <x:c r="AD80" s="407"/>
      <x:c r="AE80" s="407"/>
      <x:c r="AF80" s="407"/>
      <x:c r="AG80" s="407"/>
    </x:row>
    <x:row r="81">
      <x:c r="A81" s="407"/>
      <x:c r="B81" s="407"/>
      <x:c r="C81" s="407"/>
      <x:c r="D81" s="407"/>
      <x:c r="E81" s="407"/>
      <x:c r="F81" s="407"/>
      <x:c r="G81" s="407"/>
      <x:c r="H81" s="407"/>
      <x:c r="I81" s="407"/>
      <x:c r="J81" s="407"/>
      <x:c r="K81" s="407"/>
      <x:c r="L81" s="407"/>
      <x:c r="M81" s="407"/>
      <x:c r="N81" s="407"/>
      <x:c r="O81" s="407"/>
      <x:c r="P81" s="407"/>
      <x:c r="Q81" s="407"/>
      <x:c r="R81" s="407"/>
      <x:c r="S81" s="407"/>
      <x:c r="T81" s="407"/>
      <x:c r="U81" s="407"/>
      <x:c r="V81" s="407"/>
      <x:c r="W81" s="407"/>
      <x:c r="X81" s="407"/>
      <x:c r="Y81" s="407"/>
      <x:c r="Z81" s="407"/>
      <x:c r="AA81" s="407"/>
      <x:c r="AB81" s="407"/>
      <x:c r="AC81" s="407"/>
      <x:c r="AD81" s="407"/>
      <x:c r="AE81" s="407"/>
      <x:c r="AF81" s="407"/>
      <x:c r="AG81" s="407"/>
    </x:row>
    <x:row r="82">
      <x:c r="A82" s="407"/>
      <x:c r="B82" s="407"/>
      <x:c r="C82" s="407"/>
      <x:c r="D82" s="407"/>
      <x:c r="E82" s="407"/>
      <x:c r="F82" s="407"/>
      <x:c r="G82" s="407"/>
      <x:c r="H82" s="407"/>
      <x:c r="I82" s="407"/>
      <x:c r="J82" s="407"/>
      <x:c r="K82" s="407"/>
      <x:c r="L82" s="407"/>
      <x:c r="M82" s="407"/>
      <x:c r="N82" s="407"/>
      <x:c r="O82" s="407"/>
      <x:c r="P82" s="407"/>
      <x:c r="Q82" s="407"/>
      <x:c r="R82" s="407"/>
      <x:c r="S82" s="407"/>
      <x:c r="T82" s="407"/>
      <x:c r="U82" s="407"/>
      <x:c r="V82" s="407"/>
      <x:c r="W82" s="407"/>
      <x:c r="X82" s="407"/>
      <x:c r="Y82" s="407"/>
      <x:c r="Z82" s="407"/>
      <x:c r="AA82" s="407"/>
      <x:c r="AB82" s="407"/>
      <x:c r="AC82" s="407"/>
      <x:c r="AD82" s="407"/>
      <x:c r="AE82" s="407"/>
      <x:c r="AF82" s="407"/>
      <x:c r="AG82" s="407"/>
    </x:row>
    <x:row r="83">
      <x:c r="A83" s="407"/>
      <x:c r="B83" s="407"/>
      <x:c r="C83" s="407"/>
      <x:c r="D83" s="407"/>
      <x:c r="E83" s="407"/>
      <x:c r="F83" s="407"/>
      <x:c r="G83" s="407"/>
      <x:c r="H83" s="407"/>
      <x:c r="I83" s="407"/>
      <x:c r="J83" s="407"/>
      <x:c r="K83" s="407"/>
      <x:c r="L83" s="407"/>
      <x:c r="M83" s="407"/>
      <x:c r="N83" s="407"/>
      <x:c r="O83" s="407"/>
      <x:c r="P83" s="407"/>
      <x:c r="Q83" s="407"/>
      <x:c r="R83" s="407"/>
      <x:c r="S83" s="407"/>
      <x:c r="T83" s="407"/>
      <x:c r="U83" s="407"/>
      <x:c r="V83" s="407"/>
      <x:c r="W83" s="407"/>
      <x:c r="X83" s="407"/>
      <x:c r="Y83" s="407"/>
      <x:c r="Z83" s="407"/>
      <x:c r="AA83" s="407"/>
      <x:c r="AB83" s="407"/>
      <x:c r="AC83" s="407"/>
      <x:c r="AD83" s="407"/>
      <x:c r="AE83" s="407"/>
      <x:c r="AF83" s="407"/>
      <x:c r="AG83" s="407"/>
    </x:row>
    <x:row r="84">
      <x:c r="A84" s="407"/>
      <x:c r="B84" s="407"/>
      <x:c r="C84" s="407"/>
      <x:c r="D84" s="407"/>
      <x:c r="E84" s="407"/>
      <x:c r="F84" s="407"/>
      <x:c r="G84" s="407"/>
      <x:c r="H84" s="407"/>
      <x:c r="I84" s="407"/>
      <x:c r="J84" s="407"/>
      <x:c r="K84" s="407"/>
      <x:c r="L84" s="407"/>
      <x:c r="M84" s="407"/>
      <x:c r="N84" s="407"/>
      <x:c r="O84" s="407"/>
      <x:c r="P84" s="407"/>
      <x:c r="Q84" s="407"/>
      <x:c r="R84" s="407"/>
      <x:c r="S84" s="407"/>
      <x:c r="T84" s="407"/>
      <x:c r="U84" s="407"/>
      <x:c r="V84" s="407"/>
      <x:c r="W84" s="407"/>
      <x:c r="X84" s="407"/>
      <x:c r="Y84" s="407"/>
      <x:c r="Z84" s="407"/>
      <x:c r="AA84" s="407"/>
      <x:c r="AB84" s="407"/>
      <x:c r="AC84" s="407"/>
      <x:c r="AD84" s="407"/>
      <x:c r="AE84" s="407"/>
      <x:c r="AF84" s="407"/>
      <x:c r="AG84" s="407"/>
    </x:row>
    <x:row r="85">
      <x:c r="A85" s="407"/>
      <x:c r="B85" s="407"/>
      <x:c r="C85" s="407"/>
      <x:c r="D85" s="407"/>
      <x:c r="E85" s="407"/>
      <x:c r="F85" s="407"/>
      <x:c r="G85" s="407"/>
      <x:c r="H85" s="407"/>
      <x:c r="I85" s="407"/>
      <x:c r="J85" s="407"/>
      <x:c r="K85" s="407"/>
      <x:c r="L85" s="407"/>
      <x:c r="M85" s="407"/>
      <x:c r="N85" s="407"/>
      <x:c r="O85" s="407"/>
      <x:c r="P85" s="407"/>
      <x:c r="Q85" s="407"/>
      <x:c r="R85" s="407"/>
      <x:c r="S85" s="407"/>
      <x:c r="T85" s="407"/>
      <x:c r="U85" s="407"/>
      <x:c r="V85" s="407"/>
      <x:c r="W85" s="407"/>
      <x:c r="X85" s="407"/>
      <x:c r="Y85" s="407"/>
      <x:c r="Z85" s="407"/>
      <x:c r="AA85" s="407"/>
      <x:c r="AB85" s="407"/>
      <x:c r="AC85" s="407"/>
      <x:c r="AD85" s="407"/>
      <x:c r="AE85" s="407"/>
      <x:c r="AF85" s="407"/>
      <x:c r="AG85" s="407"/>
    </x:row>
    <x:row r="86">
      <x:c r="A86" s="407"/>
      <x:c r="B86" s="407"/>
      <x:c r="C86" s="407"/>
      <x:c r="D86" s="407"/>
      <x:c r="E86" s="407"/>
      <x:c r="F86" s="407"/>
      <x:c r="G86" s="407"/>
      <x:c r="H86" s="407"/>
      <x:c r="I86" s="407"/>
      <x:c r="J86" s="407"/>
      <x:c r="K86" s="407"/>
      <x:c r="L86" s="407"/>
      <x:c r="M86" s="407"/>
      <x:c r="N86" s="407"/>
      <x:c r="O86" s="407"/>
      <x:c r="P86" s="407"/>
      <x:c r="Q86" s="407"/>
      <x:c r="R86" s="407"/>
      <x:c r="S86" s="407"/>
      <x:c r="T86" s="407"/>
      <x:c r="U86" s="407"/>
      <x:c r="V86" s="407"/>
      <x:c r="W86" s="407"/>
      <x:c r="X86" s="407"/>
      <x:c r="Y86" s="407"/>
      <x:c r="Z86" s="407"/>
      <x:c r="AA86" s="407"/>
      <x:c r="AB86" s="407"/>
      <x:c r="AC86" s="407"/>
      <x:c r="AD86" s="407"/>
      <x:c r="AE86" s="407"/>
      <x:c r="AF86" s="407"/>
      <x:c r="AG86" s="407"/>
    </x:row>
    <x:row r="87">
      <x:c r="A87" s="407"/>
      <x:c r="B87" s="407"/>
      <x:c r="C87" s="407"/>
      <x:c r="D87" s="407"/>
      <x:c r="E87" s="407"/>
      <x:c r="F87" s="407"/>
      <x:c r="G87" s="407"/>
      <x:c r="H87" s="407"/>
      <x:c r="I87" s="407"/>
      <x:c r="J87" s="407"/>
      <x:c r="K87" s="407"/>
      <x:c r="L87" s="407"/>
      <x:c r="M87" s="407"/>
      <x:c r="N87" s="407"/>
      <x:c r="O87" s="407"/>
      <x:c r="P87" s="407"/>
      <x:c r="Q87" s="407"/>
      <x:c r="R87" s="407"/>
      <x:c r="S87" s="407"/>
      <x:c r="T87" s="407"/>
      <x:c r="U87" s="407"/>
      <x:c r="V87" s="407"/>
      <x:c r="W87" s="407"/>
      <x:c r="X87" s="407"/>
      <x:c r="Y87" s="407"/>
      <x:c r="Z87" s="407"/>
      <x:c r="AA87" s="407"/>
      <x:c r="AB87" s="407"/>
      <x:c r="AC87" s="407"/>
      <x:c r="AD87" s="407"/>
      <x:c r="AE87" s="407"/>
      <x:c r="AF87" s="407"/>
      <x:c r="AG87" s="407"/>
    </x:row>
    <x:row r="88">
      <x:c r="A88" s="407"/>
      <x:c r="B88" s="407"/>
      <x:c r="C88" s="407"/>
      <x:c r="D88" s="407"/>
      <x:c r="E88" s="407"/>
      <x:c r="F88" s="407"/>
      <x:c r="G88" s="407"/>
      <x:c r="H88" s="407"/>
      <x:c r="I88" s="407"/>
      <x:c r="J88" s="407"/>
      <x:c r="K88" s="407"/>
      <x:c r="L88" s="407"/>
      <x:c r="M88" s="407"/>
      <x:c r="N88" s="407"/>
      <x:c r="O88" s="407"/>
      <x:c r="P88" s="407"/>
      <x:c r="Q88" s="407"/>
      <x:c r="R88" s="407"/>
      <x:c r="S88" s="407"/>
      <x:c r="T88" s="407"/>
      <x:c r="U88" s="407"/>
      <x:c r="V88" s="407"/>
      <x:c r="W88" s="407"/>
      <x:c r="X88" s="407"/>
      <x:c r="Y88" s="407"/>
      <x:c r="Z88" s="407"/>
      <x:c r="AA88" s="407"/>
      <x:c r="AB88" s="407"/>
      <x:c r="AC88" s="407"/>
      <x:c r="AD88" s="407"/>
      <x:c r="AE88" s="407"/>
      <x:c r="AF88" s="407"/>
      <x:c r="AG88" s="407"/>
    </x:row>
    <x:row r="89">
      <x:c r="A89" s="407"/>
      <x:c r="B89" s="407"/>
      <x:c r="C89" s="407"/>
      <x:c r="D89" s="407"/>
      <x:c r="E89" s="407"/>
      <x:c r="F89" s="407"/>
      <x:c r="G89" s="407"/>
      <x:c r="H89" s="407"/>
      <x:c r="I89" s="407"/>
      <x:c r="J89" s="407"/>
      <x:c r="K89" s="407"/>
      <x:c r="L89" s="407"/>
      <x:c r="M89" s="407"/>
      <x:c r="N89" s="407"/>
      <x:c r="O89" s="407"/>
      <x:c r="P89" s="407"/>
      <x:c r="Q89" s="407"/>
      <x:c r="R89" s="407"/>
      <x:c r="S89" s="407"/>
      <x:c r="T89" s="407"/>
      <x:c r="U89" s="407"/>
      <x:c r="V89" s="407"/>
      <x:c r="W89" s="407"/>
      <x:c r="X89" s="407"/>
      <x:c r="Y89" s="407"/>
      <x:c r="Z89" s="407"/>
      <x:c r="AA89" s="407"/>
      <x:c r="AB89" s="407"/>
      <x:c r="AC89" s="407"/>
      <x:c r="AD89" s="407"/>
      <x:c r="AE89" s="407"/>
      <x:c r="AF89" s="407"/>
      <x:c r="AG89" s="407"/>
    </x:row>
    <x:row r="90">
      <x:c r="A90" s="407"/>
      <x:c r="B90" s="407"/>
      <x:c r="C90" s="407"/>
      <x:c r="D90" s="407"/>
      <x:c r="E90" s="407"/>
      <x:c r="F90" s="407"/>
      <x:c r="G90" s="407"/>
      <x:c r="H90" s="407"/>
      <x:c r="I90" s="407"/>
      <x:c r="J90" s="407"/>
      <x:c r="K90" s="407"/>
      <x:c r="L90" s="407"/>
      <x:c r="M90" s="407"/>
      <x:c r="N90" s="407"/>
      <x:c r="O90" s="407"/>
      <x:c r="P90" s="407"/>
      <x:c r="Q90" s="407"/>
      <x:c r="R90" s="407"/>
      <x:c r="S90" s="407"/>
      <x:c r="T90" s="407"/>
      <x:c r="U90" s="407"/>
      <x:c r="V90" s="407"/>
      <x:c r="W90" s="407"/>
      <x:c r="X90" s="407"/>
      <x:c r="Y90" s="407"/>
      <x:c r="Z90" s="407"/>
      <x:c r="AA90" s="407"/>
      <x:c r="AB90" s="407"/>
      <x:c r="AC90" s="407"/>
      <x:c r="AD90" s="407"/>
      <x:c r="AE90" s="407"/>
      <x:c r="AF90" s="407"/>
      <x:c r="AG90" s="407"/>
    </x:row>
    <x:row r="91">
      <x:c r="A91" s="407"/>
      <x:c r="B91" s="407"/>
      <x:c r="C91" s="407"/>
      <x:c r="D91" s="407"/>
      <x:c r="E91" s="407"/>
      <x:c r="F91" s="407"/>
      <x:c r="G91" s="407"/>
      <x:c r="H91" s="407"/>
      <x:c r="I91" s="407"/>
      <x:c r="J91" s="407"/>
      <x:c r="K91" s="407"/>
      <x:c r="L91" s="407"/>
      <x:c r="M91" s="407"/>
      <x:c r="N91" s="407"/>
      <x:c r="O91" s="407"/>
      <x:c r="P91" s="407"/>
      <x:c r="Q91" s="407"/>
      <x:c r="R91" s="407"/>
      <x:c r="S91" s="407"/>
      <x:c r="T91" s="407"/>
      <x:c r="U91" s="407"/>
      <x:c r="V91" s="407"/>
      <x:c r="W91" s="407"/>
      <x:c r="X91" s="407"/>
      <x:c r="Y91" s="407"/>
      <x:c r="Z91" s="407"/>
      <x:c r="AA91" s="407"/>
      <x:c r="AB91" s="407"/>
      <x:c r="AC91" s="407"/>
      <x:c r="AD91" s="407"/>
      <x:c r="AE91" s="407"/>
      <x:c r="AF91" s="407"/>
      <x:c r="AG91" s="407"/>
    </x:row>
    <x:row r="92">
      <x:c r="A92" s="407"/>
      <x:c r="B92" s="407"/>
      <x:c r="C92" s="407"/>
      <x:c r="D92" s="407"/>
      <x:c r="E92" s="407"/>
      <x:c r="F92" s="407"/>
      <x:c r="G92" s="407"/>
      <x:c r="H92" s="407"/>
      <x:c r="I92" s="407"/>
      <x:c r="J92" s="407"/>
      <x:c r="K92" s="407"/>
      <x:c r="L92" s="407"/>
      <x:c r="M92" s="407"/>
      <x:c r="N92" s="407"/>
      <x:c r="O92" s="407"/>
      <x:c r="P92" s="407"/>
      <x:c r="Q92" s="407"/>
      <x:c r="R92" s="407"/>
      <x:c r="S92" s="407"/>
      <x:c r="T92" s="407"/>
      <x:c r="U92" s="407"/>
      <x:c r="V92" s="407"/>
      <x:c r="W92" s="407"/>
      <x:c r="X92" s="407"/>
      <x:c r="Y92" s="407"/>
      <x:c r="Z92" s="407"/>
      <x:c r="AA92" s="407"/>
      <x:c r="AB92" s="407"/>
      <x:c r="AC92" s="407"/>
      <x:c r="AD92" s="407"/>
      <x:c r="AE92" s="407"/>
      <x:c r="AF92" s="407"/>
      <x:c r="AG92" s="407"/>
    </x:row>
    <x:row r="93">
      <x:c r="A93" s="407"/>
      <x:c r="B93" s="407"/>
      <x:c r="C93" s="407"/>
      <x:c r="D93" s="407"/>
      <x:c r="E93" s="407"/>
      <x:c r="F93" s="407"/>
      <x:c r="G93" s="407"/>
      <x:c r="H93" s="407"/>
      <x:c r="I93" s="407"/>
      <x:c r="J93" s="407"/>
      <x:c r="K93" s="407"/>
      <x:c r="L93" s="407"/>
      <x:c r="M93" s="407"/>
      <x:c r="N93" s="407"/>
      <x:c r="O93" s="407"/>
      <x:c r="P93" s="407"/>
      <x:c r="Q93" s="407"/>
      <x:c r="R93" s="407"/>
      <x:c r="S93" s="407"/>
      <x:c r="T93" s="407"/>
      <x:c r="U93" s="407"/>
      <x:c r="V93" s="407"/>
      <x:c r="W93" s="407"/>
      <x:c r="X93" s="407"/>
      <x:c r="Y93" s="407"/>
      <x:c r="Z93" s="407"/>
      <x:c r="AA93" s="407"/>
      <x:c r="AB93" s="407"/>
      <x:c r="AC93" s="407"/>
      <x:c r="AD93" s="407"/>
      <x:c r="AE93" s="407"/>
      <x:c r="AF93" s="407"/>
      <x:c r="AG93" s="407"/>
    </x:row>
    <x:row r="94">
      <x:c r="A94" s="407"/>
      <x:c r="B94" s="407"/>
      <x:c r="C94" s="407"/>
      <x:c r="D94" s="407"/>
      <x:c r="E94" s="407"/>
      <x:c r="F94" s="407"/>
      <x:c r="G94" s="407"/>
      <x:c r="H94" s="407"/>
      <x:c r="I94" s="407"/>
      <x:c r="J94" s="407"/>
      <x:c r="K94" s="407"/>
      <x:c r="L94" s="407"/>
      <x:c r="M94" s="407"/>
      <x:c r="N94" s="407"/>
      <x:c r="O94" s="407"/>
      <x:c r="P94" s="407"/>
      <x:c r="Q94" s="407"/>
      <x:c r="R94" s="407"/>
      <x:c r="S94" s="407"/>
      <x:c r="T94" s="407"/>
      <x:c r="U94" s="407"/>
      <x:c r="V94" s="407"/>
      <x:c r="W94" s="407"/>
      <x:c r="X94" s="407"/>
      <x:c r="Y94" s="407"/>
      <x:c r="Z94" s="407"/>
      <x:c r="AA94" s="407"/>
      <x:c r="AB94" s="407"/>
      <x:c r="AC94" s="407"/>
      <x:c r="AD94" s="407"/>
      <x:c r="AE94" s="407"/>
      <x:c r="AF94" s="407"/>
      <x:c r="AG94" s="407"/>
    </x:row>
    <x:row r="95">
      <x:c r="A95" s="407"/>
      <x:c r="B95" s="407"/>
      <x:c r="C95" s="407"/>
      <x:c r="D95" s="407"/>
      <x:c r="E95" s="407"/>
      <x:c r="F95" s="407"/>
      <x:c r="G95" s="407"/>
      <x:c r="H95" s="407"/>
      <x:c r="I95" s="407"/>
      <x:c r="J95" s="407"/>
      <x:c r="K95" s="407"/>
      <x:c r="L95" s="407"/>
      <x:c r="M95" s="407"/>
      <x:c r="N95" s="407"/>
      <x:c r="O95" s="407"/>
      <x:c r="P95" s="407"/>
      <x:c r="Q95" s="407"/>
      <x:c r="R95" s="407"/>
      <x:c r="S95" s="407"/>
      <x:c r="T95" s="407"/>
      <x:c r="U95" s="407"/>
      <x:c r="V95" s="407"/>
      <x:c r="W95" s="407"/>
      <x:c r="X95" s="407"/>
      <x:c r="Y95" s="407"/>
      <x:c r="Z95" s="407"/>
      <x:c r="AA95" s="407"/>
      <x:c r="AB95" s="407"/>
      <x:c r="AC95" s="407"/>
      <x:c r="AD95" s="407"/>
      <x:c r="AE95" s="407"/>
      <x:c r="AF95" s="407"/>
      <x:c r="AG95" s="407"/>
    </x:row>
    <x:row r="96">
      <x:c r="A96" s="407"/>
      <x:c r="B96" s="407"/>
      <x:c r="C96" s="407"/>
      <x:c r="D96" s="407"/>
      <x:c r="E96" s="407"/>
      <x:c r="F96" s="407"/>
      <x:c r="G96" s="407"/>
      <x:c r="H96" s="407"/>
      <x:c r="I96" s="407"/>
      <x:c r="J96" s="407"/>
      <x:c r="K96" s="407"/>
      <x:c r="L96" s="407"/>
      <x:c r="M96" s="407"/>
      <x:c r="N96" s="407"/>
      <x:c r="O96" s="407"/>
      <x:c r="P96" s="407"/>
      <x:c r="Q96" s="407"/>
      <x:c r="R96" s="407"/>
      <x:c r="S96" s="407"/>
      <x:c r="T96" s="407"/>
      <x:c r="U96" s="407"/>
      <x:c r="V96" s="407"/>
      <x:c r="W96" s="407"/>
      <x:c r="X96" s="407"/>
      <x:c r="Y96" s="407"/>
      <x:c r="Z96" s="407"/>
      <x:c r="AA96" s="407"/>
      <x:c r="AB96" s="407"/>
      <x:c r="AC96" s="407"/>
      <x:c r="AD96" s="407"/>
      <x:c r="AE96" s="407"/>
      <x:c r="AF96" s="407"/>
      <x:c r="AG96" s="407"/>
    </x:row>
    <x:row r="97">
      <x:c r="A97" s="407"/>
      <x:c r="B97" s="407"/>
      <x:c r="C97" s="407"/>
      <x:c r="D97" s="407"/>
      <x:c r="E97" s="407"/>
      <x:c r="F97" s="407"/>
      <x:c r="G97" s="407"/>
      <x:c r="H97" s="407"/>
      <x:c r="I97" s="407"/>
      <x:c r="J97" s="407"/>
      <x:c r="K97" s="407"/>
      <x:c r="L97" s="407"/>
      <x:c r="M97" s="407"/>
      <x:c r="N97" s="407"/>
      <x:c r="O97" s="407"/>
      <x:c r="P97" s="407"/>
      <x:c r="Q97" s="407"/>
      <x:c r="R97" s="407"/>
      <x:c r="S97" s="407"/>
      <x:c r="T97" s="407"/>
      <x:c r="U97" s="407"/>
      <x:c r="V97" s="407"/>
      <x:c r="W97" s="407"/>
      <x:c r="X97" s="407"/>
      <x:c r="Y97" s="407"/>
      <x:c r="Z97" s="407"/>
      <x:c r="AA97" s="407"/>
      <x:c r="AB97" s="407"/>
      <x:c r="AC97" s="407"/>
      <x:c r="AD97" s="407"/>
      <x:c r="AE97" s="407"/>
      <x:c r="AF97" s="407"/>
      <x:c r="AG97" s="407"/>
    </x:row>
    <x:row r="98">
      <x:c r="A98" s="407"/>
      <x:c r="B98" s="407"/>
      <x:c r="C98" s="407"/>
      <x:c r="D98" s="407"/>
      <x:c r="E98" s="407"/>
      <x:c r="F98" s="407"/>
      <x:c r="G98" s="407"/>
      <x:c r="H98" s="407"/>
      <x:c r="I98" s="407"/>
      <x:c r="J98" s="407"/>
      <x:c r="K98" s="407"/>
      <x:c r="L98" s="407"/>
      <x:c r="M98" s="407"/>
      <x:c r="N98" s="407"/>
      <x:c r="O98" s="407"/>
      <x:c r="P98" s="407"/>
      <x:c r="Q98" s="407"/>
      <x:c r="R98" s="407"/>
      <x:c r="S98" s="407"/>
      <x:c r="T98" s="407"/>
      <x:c r="U98" s="407"/>
      <x:c r="V98" s="407"/>
      <x:c r="W98" s="407"/>
      <x:c r="X98" s="407"/>
      <x:c r="Y98" s="407"/>
      <x:c r="Z98" s="407"/>
      <x:c r="AA98" s="407"/>
      <x:c r="AB98" s="407"/>
      <x:c r="AC98" s="407"/>
      <x:c r="AD98" s="407"/>
      <x:c r="AE98" s="407"/>
      <x:c r="AF98" s="407"/>
      <x:c r="AG98" s="407"/>
    </x:row>
    <x:row r="99">
      <x:c r="A99" s="407"/>
      <x:c r="B99" s="407"/>
      <x:c r="C99" s="407"/>
      <x:c r="D99" s="407"/>
      <x:c r="E99" s="407"/>
      <x:c r="F99" s="407"/>
      <x:c r="G99" s="407"/>
      <x:c r="H99" s="407"/>
      <x:c r="I99" s="407"/>
      <x:c r="J99" s="407"/>
      <x:c r="K99" s="407"/>
      <x:c r="L99" s="407"/>
      <x:c r="M99" s="407"/>
      <x:c r="N99" s="407"/>
      <x:c r="O99" s="407"/>
      <x:c r="P99" s="407"/>
      <x:c r="Q99" s="407"/>
      <x:c r="R99" s="407"/>
      <x:c r="S99" s="407"/>
      <x:c r="T99" s="407"/>
      <x:c r="U99" s="407"/>
      <x:c r="V99" s="407"/>
      <x:c r="W99" s="407"/>
      <x:c r="X99" s="407"/>
      <x:c r="Y99" s="407"/>
      <x:c r="Z99" s="407"/>
      <x:c r="AA99" s="407"/>
      <x:c r="AB99" s="407"/>
      <x:c r="AC99" s="407"/>
      <x:c r="AD99" s="407"/>
      <x:c r="AE99" s="407"/>
      <x:c r="AF99" s="407"/>
      <x:c r="AG99" s="407"/>
    </x:row>
    <x:row r="100">
      <x:c r="A100" s="407"/>
      <x:c r="B100" s="407"/>
      <x:c r="C100" s="407"/>
      <x:c r="D100" s="407"/>
      <x:c r="E100" s="407"/>
      <x:c r="F100" s="407"/>
      <x:c r="G100" s="407"/>
      <x:c r="H100" s="407"/>
      <x:c r="I100" s="407"/>
      <x:c r="J100" s="407"/>
      <x:c r="K100" s="407"/>
      <x:c r="L100" s="407"/>
      <x:c r="M100" s="407"/>
      <x:c r="N100" s="407"/>
      <x:c r="O100" s="407"/>
      <x:c r="P100" s="407"/>
      <x:c r="Q100" s="407"/>
      <x:c r="R100" s="407"/>
      <x:c r="S100" s="407"/>
      <x:c r="T100" s="407"/>
      <x:c r="U100" s="407"/>
      <x:c r="V100" s="407"/>
      <x:c r="W100" s="407"/>
      <x:c r="X100" s="407"/>
      <x:c r="Y100" s="407"/>
      <x:c r="Z100" s="407"/>
      <x:c r="AA100" s="407"/>
      <x:c r="AB100" s="407"/>
      <x:c r="AC100" s="407"/>
      <x:c r="AD100" s="407"/>
      <x:c r="AE100" s="407"/>
      <x:c r="AF100" s="407"/>
      <x:c r="AG100" s="407"/>
    </x:row>
    <x:row r="101">
      <x:c r="A101" s="407"/>
      <x:c r="B101" s="407"/>
      <x:c r="C101" s="407"/>
      <x:c r="D101" s="407"/>
      <x:c r="E101" s="407"/>
      <x:c r="F101" s="407"/>
      <x:c r="G101" s="407"/>
      <x:c r="H101" s="407"/>
      <x:c r="I101" s="407"/>
      <x:c r="J101" s="407"/>
      <x:c r="K101" s="407"/>
      <x:c r="L101" s="407"/>
      <x:c r="M101" s="407"/>
      <x:c r="N101" s="407"/>
      <x:c r="O101" s="407"/>
      <x:c r="P101" s="407"/>
      <x:c r="Q101" s="407"/>
      <x:c r="R101" s="407"/>
      <x:c r="S101" s="407"/>
      <x:c r="T101" s="407"/>
      <x:c r="U101" s="407"/>
      <x:c r="V101" s="407"/>
      <x:c r="W101" s="407"/>
      <x:c r="X101" s="407"/>
      <x:c r="Y101" s="407"/>
      <x:c r="Z101" s="407"/>
      <x:c r="AA101" s="407"/>
      <x:c r="AB101" s="407"/>
      <x:c r="AC101" s="407"/>
      <x:c r="AD101" s="407"/>
      <x:c r="AE101" s="407"/>
      <x:c r="AF101" s="407"/>
      <x:c r="AG101" s="407"/>
    </x:row>
    <x:row r="102">
      <x:c r="A102" s="407"/>
      <x:c r="B102" s="407"/>
      <x:c r="C102" s="407"/>
      <x:c r="D102" s="407"/>
      <x:c r="E102" s="407"/>
      <x:c r="F102" s="407"/>
      <x:c r="G102" s="407"/>
      <x:c r="H102" s="407"/>
      <x:c r="I102" s="407"/>
      <x:c r="J102" s="407"/>
      <x:c r="K102" s="407"/>
      <x:c r="L102" s="407"/>
      <x:c r="M102" s="407"/>
      <x:c r="N102" s="407"/>
      <x:c r="O102" s="407"/>
      <x:c r="P102" s="407"/>
      <x:c r="Q102" s="407"/>
      <x:c r="R102" s="407"/>
      <x:c r="S102" s="407"/>
      <x:c r="T102" s="407"/>
      <x:c r="U102" s="407"/>
      <x:c r="V102" s="407"/>
      <x:c r="W102" s="407"/>
      <x:c r="X102" s="407"/>
      <x:c r="Y102" s="407"/>
      <x:c r="Z102" s="407"/>
      <x:c r="AA102" s="407"/>
      <x:c r="AB102" s="407"/>
      <x:c r="AC102" s="407"/>
      <x:c r="AD102" s="407"/>
      <x:c r="AE102" s="407"/>
      <x:c r="AF102" s="407"/>
      <x:c r="AG102" s="407"/>
    </x:row>
    <x:row r="103">
      <x:c r="A103" s="407"/>
      <x:c r="B103" s="407"/>
      <x:c r="C103" s="407"/>
      <x:c r="D103" s="407"/>
      <x:c r="E103" s="407"/>
      <x:c r="F103" s="407"/>
      <x:c r="G103" s="407"/>
      <x:c r="H103" s="407"/>
      <x:c r="I103" s="407"/>
      <x:c r="J103" s="407"/>
      <x:c r="K103" s="407"/>
      <x:c r="L103" s="407"/>
      <x:c r="M103" s="407"/>
      <x:c r="N103" s="407"/>
      <x:c r="O103" s="407"/>
      <x:c r="P103" s="407"/>
      <x:c r="Q103" s="407"/>
      <x:c r="R103" s="407"/>
      <x:c r="S103" s="407"/>
      <x:c r="T103" s="407"/>
      <x:c r="U103" s="407"/>
      <x:c r="V103" s="407"/>
      <x:c r="W103" s="407"/>
      <x:c r="X103" s="407"/>
      <x:c r="Y103" s="407"/>
      <x:c r="Z103" s="407"/>
      <x:c r="AA103" s="407"/>
      <x:c r="AB103" s="407"/>
      <x:c r="AC103" s="407"/>
      <x:c r="AD103" s="407"/>
      <x:c r="AE103" s="407"/>
      <x:c r="AF103" s="407"/>
      <x:c r="AG103" s="407"/>
    </x:row>
    <x:row r="104">
      <x:c r="A104" s="407"/>
      <x:c r="B104" s="407"/>
      <x:c r="C104" s="407"/>
      <x:c r="D104" s="407"/>
      <x:c r="E104" s="407"/>
      <x:c r="F104" s="407"/>
      <x:c r="G104" s="407"/>
      <x:c r="H104" s="407"/>
      <x:c r="I104" s="407"/>
      <x:c r="J104" s="407"/>
      <x:c r="K104" s="407"/>
      <x:c r="L104" s="407"/>
      <x:c r="M104" s="407"/>
      <x:c r="N104" s="407"/>
      <x:c r="O104" s="407"/>
      <x:c r="P104" s="407"/>
      <x:c r="Q104" s="407"/>
      <x:c r="R104" s="407"/>
      <x:c r="S104" s="407"/>
      <x:c r="T104" s="407"/>
      <x:c r="U104" s="407"/>
      <x:c r="V104" s="407"/>
      <x:c r="W104" s="407"/>
      <x:c r="X104" s="407"/>
      <x:c r="Y104" s="407"/>
      <x:c r="Z104" s="407"/>
      <x:c r="AA104" s="407"/>
      <x:c r="AB104" s="407"/>
      <x:c r="AC104" s="407"/>
      <x:c r="AD104" s="407"/>
      <x:c r="AE104" s="407"/>
      <x:c r="AF104" s="407"/>
      <x:c r="AG104" s="407"/>
    </x:row>
    <x:row r="105">
      <x:c r="A105" s="407"/>
      <x:c r="B105" s="407"/>
      <x:c r="C105" s="407"/>
      <x:c r="D105" s="407"/>
      <x:c r="E105" s="407"/>
      <x:c r="F105" s="407"/>
      <x:c r="G105" s="407"/>
      <x:c r="H105" s="407"/>
      <x:c r="I105" s="407"/>
      <x:c r="J105" s="407"/>
      <x:c r="K105" s="407"/>
      <x:c r="L105" s="407"/>
      <x:c r="M105" s="407"/>
      <x:c r="N105" s="407"/>
      <x:c r="O105" s="407"/>
      <x:c r="P105" s="407"/>
      <x:c r="Q105" s="407"/>
      <x:c r="R105" s="407"/>
      <x:c r="S105" s="407"/>
      <x:c r="T105" s="407"/>
      <x:c r="U105" s="407"/>
      <x:c r="V105" s="407"/>
      <x:c r="W105" s="407"/>
      <x:c r="X105" s="407"/>
      <x:c r="Y105" s="407"/>
      <x:c r="Z105" s="407"/>
      <x:c r="AA105" s="407"/>
      <x:c r="AB105" s="407"/>
      <x:c r="AC105" s="407"/>
      <x:c r="AD105" s="407"/>
      <x:c r="AE105" s="407"/>
      <x:c r="AF105" s="407"/>
      <x:c r="AG105" s="407"/>
    </x:row>
    <x:row r="106">
      <x:c r="A106" s="407"/>
      <x:c r="B106" s="407"/>
      <x:c r="C106" s="407"/>
      <x:c r="D106" s="407"/>
      <x:c r="E106" s="407"/>
      <x:c r="F106" s="407"/>
      <x:c r="G106" s="407"/>
      <x:c r="H106" s="407"/>
      <x:c r="I106" s="407"/>
      <x:c r="J106" s="407"/>
      <x:c r="K106" s="407"/>
      <x:c r="L106" s="407"/>
      <x:c r="M106" s="407"/>
      <x:c r="N106" s="407"/>
      <x:c r="O106" s="407"/>
      <x:c r="P106" s="407"/>
      <x:c r="Q106" s="407"/>
      <x:c r="R106" s="407"/>
      <x:c r="S106" s="407"/>
      <x:c r="T106" s="407"/>
      <x:c r="U106" s="407"/>
      <x:c r="V106" s="407"/>
      <x:c r="W106" s="407"/>
      <x:c r="X106" s="407"/>
      <x:c r="Y106" s="407"/>
      <x:c r="Z106" s="407"/>
      <x:c r="AA106" s="407"/>
      <x:c r="AB106" s="407"/>
      <x:c r="AC106" s="407"/>
      <x:c r="AD106" s="407"/>
      <x:c r="AE106" s="407"/>
      <x:c r="AF106" s="407"/>
      <x:c r="AG106" s="407"/>
    </x:row>
    <x:row r="107">
      <x:c r="A107" s="407"/>
      <x:c r="B107" s="407"/>
      <x:c r="C107" s="407"/>
      <x:c r="D107" s="407"/>
      <x:c r="E107" s="407"/>
      <x:c r="F107" s="407"/>
      <x:c r="G107" s="407"/>
      <x:c r="H107" s="407"/>
      <x:c r="I107" s="407"/>
      <x:c r="J107" s="407"/>
      <x:c r="K107" s="407"/>
      <x:c r="L107" s="407"/>
      <x:c r="M107" s="407"/>
      <x:c r="N107" s="407"/>
      <x:c r="O107" s="407"/>
      <x:c r="P107" s="407"/>
      <x:c r="Q107" s="407"/>
      <x:c r="R107" s="407"/>
      <x:c r="S107" s="407"/>
      <x:c r="T107" s="407"/>
      <x:c r="U107" s="407"/>
      <x:c r="V107" s="407"/>
      <x:c r="W107" s="407"/>
      <x:c r="X107" s="407"/>
      <x:c r="Y107" s="407"/>
      <x:c r="Z107" s="407"/>
      <x:c r="AA107" s="407"/>
      <x:c r="AB107" s="407"/>
      <x:c r="AC107" s="407"/>
      <x:c r="AD107" s="407"/>
      <x:c r="AE107" s="407"/>
      <x:c r="AF107" s="407"/>
      <x:c r="AG107" s="407"/>
    </x:row>
    <x:row r="108">
      <x:c r="A108" s="407"/>
      <x:c r="B108" s="407"/>
      <x:c r="C108" s="407"/>
      <x:c r="D108" s="407"/>
      <x:c r="E108" s="407"/>
      <x:c r="F108" s="407"/>
      <x:c r="G108" s="407"/>
      <x:c r="H108" s="407"/>
      <x:c r="I108" s="407"/>
      <x:c r="J108" s="407"/>
      <x:c r="K108" s="407"/>
      <x:c r="L108" s="407"/>
      <x:c r="M108" s="407"/>
      <x:c r="N108" s="407"/>
      <x:c r="O108" s="407"/>
      <x:c r="P108" s="407"/>
      <x:c r="Q108" s="407"/>
      <x:c r="R108" s="407"/>
      <x:c r="S108" s="407"/>
      <x:c r="T108" s="407"/>
      <x:c r="U108" s="407"/>
      <x:c r="V108" s="407"/>
      <x:c r="W108" s="407"/>
      <x:c r="X108" s="407"/>
      <x:c r="Y108" s="407"/>
      <x:c r="Z108" s="407"/>
      <x:c r="AA108" s="407"/>
      <x:c r="AB108" s="407"/>
      <x:c r="AC108" s="407"/>
      <x:c r="AD108" s="407"/>
      <x:c r="AE108" s="407"/>
      <x:c r="AF108" s="407"/>
      <x:c r="AG108" s="407"/>
    </x:row>
    <x:row r="109">
      <x:c r="A109" s="407"/>
      <x:c r="B109" s="407"/>
      <x:c r="C109" s="407"/>
      <x:c r="D109" s="407"/>
      <x:c r="E109" s="407"/>
      <x:c r="F109" s="407"/>
      <x:c r="G109" s="407"/>
      <x:c r="H109" s="407"/>
      <x:c r="I109" s="407"/>
      <x:c r="J109" s="407"/>
      <x:c r="K109" s="407"/>
      <x:c r="L109" s="407"/>
      <x:c r="M109" s="407"/>
      <x:c r="N109" s="407"/>
      <x:c r="O109" s="407"/>
      <x:c r="P109" s="407"/>
      <x:c r="Q109" s="407"/>
      <x:c r="R109" s="407"/>
      <x:c r="S109" s="407"/>
      <x:c r="T109" s="407"/>
      <x:c r="U109" s="407"/>
      <x:c r="V109" s="407"/>
      <x:c r="W109" s="407"/>
      <x:c r="X109" s="407"/>
      <x:c r="Y109" s="407"/>
      <x:c r="Z109" s="407"/>
      <x:c r="AA109" s="407"/>
      <x:c r="AB109" s="407"/>
      <x:c r="AC109" s="407"/>
      <x:c r="AD109" s="407"/>
      <x:c r="AE109" s="407"/>
      <x:c r="AF109" s="407"/>
      <x:c r="AG109" s="407"/>
    </x:row>
    <x:row r="110">
      <x:c r="A110" s="407"/>
      <x:c r="B110" s="407"/>
      <x:c r="C110" s="407"/>
      <x:c r="D110" s="407"/>
      <x:c r="E110" s="407"/>
      <x:c r="F110" s="407"/>
      <x:c r="G110" s="407"/>
      <x:c r="H110" s="407"/>
      <x:c r="I110" s="407"/>
      <x:c r="J110" s="407"/>
      <x:c r="K110" s="407"/>
      <x:c r="L110" s="407"/>
      <x:c r="M110" s="407"/>
      <x:c r="N110" s="407"/>
      <x:c r="O110" s="407"/>
      <x:c r="P110" s="407"/>
      <x:c r="Q110" s="407"/>
      <x:c r="R110" s="407"/>
      <x:c r="S110" s="407"/>
      <x:c r="T110" s="407"/>
      <x:c r="U110" s="407"/>
      <x:c r="V110" s="407"/>
      <x:c r="W110" s="407"/>
      <x:c r="X110" s="407"/>
      <x:c r="Y110" s="407"/>
      <x:c r="Z110" s="407"/>
      <x:c r="AA110" s="407"/>
      <x:c r="AB110" s="407"/>
      <x:c r="AC110" s="407"/>
      <x:c r="AD110" s="407"/>
      <x:c r="AE110" s="407"/>
      <x:c r="AF110" s="407"/>
      <x:c r="AG110" s="407"/>
    </x:row>
    <x:row r="111">
      <x:c r="A111" s="407"/>
      <x:c r="B111" s="407"/>
      <x:c r="C111" s="407"/>
      <x:c r="D111" s="407"/>
      <x:c r="E111" s="407"/>
      <x:c r="F111" s="407"/>
      <x:c r="G111" s="407"/>
      <x:c r="H111" s="407"/>
      <x:c r="I111" s="407"/>
      <x:c r="J111" s="407"/>
      <x:c r="K111" s="407"/>
      <x:c r="L111" s="407"/>
      <x:c r="M111" s="407"/>
      <x:c r="N111" s="407"/>
      <x:c r="O111" s="407"/>
      <x:c r="P111" s="407"/>
      <x:c r="Q111" s="407"/>
      <x:c r="R111" s="407"/>
      <x:c r="S111" s="407"/>
      <x:c r="T111" s="407"/>
      <x:c r="U111" s="407"/>
      <x:c r="V111" s="407"/>
      <x:c r="W111" s="407"/>
      <x:c r="X111" s="407"/>
      <x:c r="Y111" s="407"/>
      <x:c r="Z111" s="407"/>
      <x:c r="AA111" s="407"/>
      <x:c r="AB111" s="407"/>
      <x:c r="AC111" s="407"/>
      <x:c r="AD111" s="407"/>
      <x:c r="AE111" s="407"/>
      <x:c r="AF111" s="407"/>
      <x:c r="AG111" s="407"/>
    </x:row>
    <x:row r="112">
      <x:c r="A112" s="407"/>
      <x:c r="B112" s="407"/>
      <x:c r="C112" s="407"/>
      <x:c r="D112" s="407"/>
      <x:c r="E112" s="407"/>
      <x:c r="F112" s="407"/>
      <x:c r="G112" s="407"/>
      <x:c r="H112" s="407"/>
      <x:c r="I112" s="407"/>
      <x:c r="J112" s="407"/>
      <x:c r="K112" s="407"/>
      <x:c r="L112" s="407"/>
      <x:c r="M112" s="407"/>
      <x:c r="N112" s="407"/>
      <x:c r="O112" s="407"/>
      <x:c r="P112" s="407"/>
      <x:c r="Q112" s="407"/>
      <x:c r="R112" s="407"/>
      <x:c r="S112" s="407"/>
      <x:c r="T112" s="407"/>
      <x:c r="U112" s="407"/>
      <x:c r="V112" s="407"/>
      <x:c r="W112" s="407"/>
      <x:c r="X112" s="407"/>
      <x:c r="Y112" s="407"/>
      <x:c r="Z112" s="407"/>
      <x:c r="AA112" s="407"/>
      <x:c r="AB112" s="407"/>
      <x:c r="AC112" s="407"/>
      <x:c r="AD112" s="407"/>
      <x:c r="AE112" s="407"/>
      <x:c r="AF112" s="407"/>
      <x:c r="AG112" s="407"/>
    </x:row>
    <x:row r="113">
      <x:c r="A113" s="407"/>
      <x:c r="B113" s="407"/>
      <x:c r="C113" s="407"/>
      <x:c r="D113" s="407"/>
      <x:c r="E113" s="407"/>
      <x:c r="F113" s="407"/>
      <x:c r="G113" s="407"/>
      <x:c r="H113" s="407"/>
      <x:c r="I113" s="407"/>
      <x:c r="J113" s="407"/>
      <x:c r="K113" s="407"/>
      <x:c r="L113" s="407"/>
      <x:c r="M113" s="407"/>
      <x:c r="N113" s="407"/>
      <x:c r="O113" s="407"/>
      <x:c r="P113" s="407"/>
      <x:c r="Q113" s="407"/>
      <x:c r="R113" s="407"/>
      <x:c r="S113" s="407"/>
      <x:c r="T113" s="407"/>
      <x:c r="U113" s="407"/>
      <x:c r="V113" s="407"/>
      <x:c r="W113" s="407"/>
      <x:c r="X113" s="407"/>
      <x:c r="Y113" s="407"/>
      <x:c r="Z113" s="407"/>
      <x:c r="AA113" s="407"/>
      <x:c r="AB113" s="407"/>
      <x:c r="AC113" s="407"/>
      <x:c r="AD113" s="407"/>
      <x:c r="AE113" s="407"/>
      <x:c r="AF113" s="407"/>
      <x:c r="AG113" s="407"/>
    </x:row>
    <x:row r="114">
      <x:c r="A114" s="407"/>
      <x:c r="B114" s="407"/>
      <x:c r="C114" s="407"/>
      <x:c r="D114" s="407"/>
      <x:c r="E114" s="407"/>
      <x:c r="F114" s="407"/>
      <x:c r="G114" s="407"/>
      <x:c r="H114" s="407"/>
      <x:c r="I114" s="407"/>
      <x:c r="J114" s="407"/>
      <x:c r="K114" s="407"/>
      <x:c r="L114" s="407"/>
      <x:c r="M114" s="407"/>
      <x:c r="N114" s="407"/>
      <x:c r="O114" s="407"/>
      <x:c r="P114" s="407"/>
      <x:c r="Q114" s="407"/>
      <x:c r="R114" s="407"/>
      <x:c r="S114" s="407"/>
      <x:c r="T114" s="407"/>
      <x:c r="U114" s="407"/>
      <x:c r="V114" s="407"/>
      <x:c r="W114" s="407"/>
      <x:c r="X114" s="407"/>
      <x:c r="Y114" s="407"/>
      <x:c r="Z114" s="407"/>
      <x:c r="AA114" s="407"/>
      <x:c r="AB114" s="407"/>
      <x:c r="AC114" s="407"/>
      <x:c r="AD114" s="407"/>
      <x:c r="AE114" s="407"/>
      <x:c r="AF114" s="407"/>
      <x:c r="AG114" s="407"/>
    </x:row>
    <x:row r="115">
      <x:c r="A115" s="407"/>
      <x:c r="B115" s="407"/>
      <x:c r="C115" s="407"/>
      <x:c r="D115" s="407"/>
      <x:c r="E115" s="407"/>
      <x:c r="F115" s="407"/>
      <x:c r="G115" s="407"/>
      <x:c r="H115" s="407"/>
      <x:c r="I115" s="407"/>
      <x:c r="J115" s="407"/>
      <x:c r="K115" s="407"/>
      <x:c r="L115" s="407"/>
      <x:c r="M115" s="407"/>
      <x:c r="N115" s="407"/>
      <x:c r="O115" s="407"/>
      <x:c r="P115" s="407"/>
      <x:c r="Q115" s="407"/>
      <x:c r="R115" s="407"/>
      <x:c r="S115" s="407"/>
      <x:c r="T115" s="407"/>
      <x:c r="U115" s="407"/>
      <x:c r="V115" s="407"/>
      <x:c r="W115" s="407"/>
      <x:c r="X115" s="407"/>
      <x:c r="Y115" s="407"/>
      <x:c r="Z115" s="407"/>
      <x:c r="AA115" s="407"/>
      <x:c r="AB115" s="407"/>
      <x:c r="AC115" s="407"/>
      <x:c r="AD115" s="407"/>
      <x:c r="AE115" s="407"/>
      <x:c r="AF115" s="407"/>
      <x:c r="AG115" s="407"/>
    </x:row>
    <x:row r="116">
      <x:c r="A116" s="407"/>
      <x:c r="B116" s="407"/>
      <x:c r="C116" s="407"/>
      <x:c r="D116" s="407"/>
      <x:c r="E116" s="407"/>
      <x:c r="F116" s="407"/>
      <x:c r="G116" s="407"/>
      <x:c r="H116" s="407"/>
      <x:c r="I116" s="407"/>
      <x:c r="J116" s="407"/>
      <x:c r="K116" s="407"/>
      <x:c r="L116" s="407"/>
      <x:c r="M116" s="407"/>
      <x:c r="N116" s="407"/>
      <x:c r="O116" s="407"/>
      <x:c r="P116" s="407"/>
      <x:c r="Q116" s="407"/>
      <x:c r="R116" s="407"/>
      <x:c r="S116" s="407"/>
      <x:c r="T116" s="407"/>
      <x:c r="U116" s="407"/>
      <x:c r="V116" s="407"/>
      <x:c r="W116" s="407"/>
      <x:c r="X116" s="407"/>
      <x:c r="Y116" s="407"/>
      <x:c r="Z116" s="407"/>
      <x:c r="AA116" s="407"/>
      <x:c r="AB116" s="407"/>
      <x:c r="AC116" s="407"/>
      <x:c r="AD116" s="407"/>
      <x:c r="AE116" s="407"/>
      <x:c r="AF116" s="407"/>
      <x:c r="AG116" s="407"/>
    </x:row>
    <x:row r="117">
      <x:c r="A117" s="407"/>
      <x:c r="B117" s="407"/>
      <x:c r="C117" s="407"/>
      <x:c r="D117" s="407"/>
      <x:c r="E117" s="407"/>
      <x:c r="F117" s="407"/>
      <x:c r="G117" s="407"/>
      <x:c r="H117" s="407"/>
      <x:c r="I117" s="407"/>
      <x:c r="J117" s="407"/>
      <x:c r="K117" s="407"/>
      <x:c r="L117" s="407"/>
      <x:c r="M117" s="407"/>
      <x:c r="N117" s="407"/>
      <x:c r="O117" s="407"/>
      <x:c r="P117" s="407"/>
      <x:c r="Q117" s="407"/>
      <x:c r="R117" s="407"/>
      <x:c r="S117" s="407"/>
      <x:c r="T117" s="407"/>
      <x:c r="U117" s="407"/>
      <x:c r="V117" s="407"/>
      <x:c r="W117" s="407"/>
      <x:c r="X117" s="407"/>
      <x:c r="Y117" s="407"/>
      <x:c r="Z117" s="407"/>
      <x:c r="AA117" s="407"/>
      <x:c r="AB117" s="407"/>
      <x:c r="AC117" s="407"/>
      <x:c r="AD117" s="407"/>
      <x:c r="AE117" s="407"/>
      <x:c r="AF117" s="407"/>
      <x:c r="AG117" s="407"/>
    </x:row>
    <x:row r="118">
      <x:c r="A118" s="407"/>
      <x:c r="B118" s="407"/>
      <x:c r="C118" s="407"/>
      <x:c r="D118" s="407"/>
      <x:c r="E118" s="407"/>
      <x:c r="F118" s="407"/>
      <x:c r="G118" s="407"/>
      <x:c r="H118" s="407"/>
      <x:c r="I118" s="407"/>
      <x:c r="J118" s="407"/>
      <x:c r="K118" s="407"/>
      <x:c r="L118" s="407"/>
      <x:c r="M118" s="407"/>
      <x:c r="N118" s="407"/>
      <x:c r="O118" s="407"/>
      <x:c r="P118" s="407"/>
      <x:c r="Q118" s="407"/>
      <x:c r="R118" s="407"/>
      <x:c r="S118" s="407"/>
      <x:c r="T118" s="407"/>
      <x:c r="U118" s="407"/>
      <x:c r="V118" s="407"/>
      <x:c r="W118" s="407"/>
      <x:c r="X118" s="407"/>
      <x:c r="Y118" s="407"/>
      <x:c r="Z118" s="407"/>
      <x:c r="AA118" s="407"/>
      <x:c r="AB118" s="407"/>
      <x:c r="AC118" s="407"/>
      <x:c r="AD118" s="407"/>
      <x:c r="AE118" s="407"/>
      <x:c r="AF118" s="407"/>
      <x:c r="AG118" s="407"/>
    </x:row>
    <x:row r="119">
      <x:c r="A119" s="407"/>
      <x:c r="B119" s="407"/>
      <x:c r="C119" s="407"/>
      <x:c r="D119" s="407"/>
      <x:c r="E119" s="407"/>
      <x:c r="F119" s="407"/>
      <x:c r="G119" s="407"/>
      <x:c r="H119" s="407"/>
      <x:c r="I119" s="407"/>
      <x:c r="J119" s="407"/>
      <x:c r="K119" s="407"/>
      <x:c r="L119" s="407"/>
      <x:c r="M119" s="407"/>
      <x:c r="N119" s="407"/>
      <x:c r="O119" s="407"/>
      <x:c r="P119" s="407"/>
      <x:c r="Q119" s="407"/>
      <x:c r="R119" s="407"/>
      <x:c r="S119" s="407"/>
      <x:c r="T119" s="407"/>
      <x:c r="U119" s="407"/>
      <x:c r="V119" s="407"/>
      <x:c r="W119" s="407"/>
      <x:c r="X119" s="407"/>
      <x:c r="Y119" s="407"/>
      <x:c r="Z119" s="407"/>
      <x:c r="AA119" s="407"/>
      <x:c r="AB119" s="407"/>
      <x:c r="AC119" s="407"/>
      <x:c r="AD119" s="407"/>
      <x:c r="AE119" s="407"/>
      <x:c r="AF119" s="407"/>
      <x:c r="AG119" s="407"/>
    </x:row>
    <x:row r="120">
      <x:c r="A120" s="407"/>
      <x:c r="B120" s="407"/>
      <x:c r="C120" s="407"/>
      <x:c r="D120" s="407"/>
      <x:c r="E120" s="407"/>
      <x:c r="F120" s="407"/>
      <x:c r="G120" s="407"/>
      <x:c r="H120" s="407"/>
      <x:c r="I120" s="407"/>
      <x:c r="J120" s="407"/>
      <x:c r="K120" s="407"/>
      <x:c r="L120" s="407"/>
      <x:c r="M120" s="407"/>
      <x:c r="N120" s="407"/>
      <x:c r="O120" s="407"/>
      <x:c r="P120" s="407"/>
      <x:c r="Q120" s="407"/>
      <x:c r="R120" s="407"/>
      <x:c r="S120" s="407"/>
      <x:c r="T120" s="407"/>
      <x:c r="U120" s="407"/>
      <x:c r="V120" s="407"/>
      <x:c r="W120" s="407"/>
      <x:c r="X120" s="407"/>
      <x:c r="Y120" s="407"/>
      <x:c r="Z120" s="407"/>
      <x:c r="AA120" s="407"/>
      <x:c r="AB120" s="407"/>
      <x:c r="AC120" s="407"/>
      <x:c r="AD120" s="407"/>
      <x:c r="AE120" s="407"/>
      <x:c r="AF120" s="407"/>
      <x:c r="AG120" s="407"/>
    </x:row>
    <x:row r="121">
      <x:c r="A121" s="407"/>
      <x:c r="B121" s="407"/>
      <x:c r="C121" s="407"/>
      <x:c r="D121" s="407"/>
      <x:c r="E121" s="407"/>
      <x:c r="F121" s="407"/>
      <x:c r="G121" s="407"/>
      <x:c r="H121" s="407"/>
      <x:c r="I121" s="407"/>
      <x:c r="J121" s="407"/>
      <x:c r="K121" s="407"/>
      <x:c r="L121" s="407"/>
      <x:c r="M121" s="407"/>
      <x:c r="N121" s="407"/>
      <x:c r="O121" s="407"/>
      <x:c r="P121" s="407"/>
      <x:c r="Q121" s="407"/>
      <x:c r="R121" s="407"/>
      <x:c r="S121" s="407"/>
      <x:c r="T121" s="407"/>
      <x:c r="U121" s="407"/>
      <x:c r="V121" s="407"/>
      <x:c r="W121" s="407"/>
      <x:c r="X121" s="407"/>
      <x:c r="Y121" s="407"/>
      <x:c r="Z121" s="407"/>
      <x:c r="AA121" s="407"/>
      <x:c r="AB121" s="407"/>
      <x:c r="AC121" s="407"/>
      <x:c r="AD121" s="407"/>
      <x:c r="AE121" s="407"/>
      <x:c r="AF121" s="407"/>
      <x:c r="AG121" s="407"/>
    </x:row>
    <x:row r="122">
      <x:c r="A122" s="407"/>
      <x:c r="B122" s="407"/>
      <x:c r="C122" s="407"/>
      <x:c r="D122" s="407"/>
      <x:c r="E122" s="407"/>
      <x:c r="F122" s="407"/>
      <x:c r="G122" s="407"/>
      <x:c r="H122" s="407"/>
      <x:c r="I122" s="407"/>
      <x:c r="J122" s="407"/>
      <x:c r="K122" s="407"/>
      <x:c r="L122" s="407"/>
      <x:c r="M122" s="407"/>
      <x:c r="N122" s="407"/>
      <x:c r="O122" s="407"/>
      <x:c r="P122" s="407"/>
      <x:c r="Q122" s="407"/>
      <x:c r="R122" s="407"/>
      <x:c r="S122" s="407"/>
      <x:c r="T122" s="407"/>
      <x:c r="U122" s="407"/>
      <x:c r="V122" s="407"/>
      <x:c r="W122" s="407"/>
      <x:c r="X122" s="407"/>
      <x:c r="Y122" s="407"/>
      <x:c r="Z122" s="407"/>
      <x:c r="AA122" s="407"/>
      <x:c r="AB122" s="407"/>
      <x:c r="AC122" s="407"/>
      <x:c r="AD122" s="407"/>
      <x:c r="AE122" s="407"/>
      <x:c r="AF122" s="407"/>
      <x:c r="AG122" s="407"/>
    </x:row>
    <x:row r="123">
      <x:c r="A123" s="407"/>
      <x:c r="B123" s="407"/>
      <x:c r="C123" s="407"/>
      <x:c r="D123" s="407"/>
      <x:c r="E123" s="407"/>
      <x:c r="F123" s="407"/>
      <x:c r="G123" s="407"/>
      <x:c r="H123" s="407"/>
      <x:c r="I123" s="407"/>
      <x:c r="J123" s="407"/>
      <x:c r="K123" s="407"/>
      <x:c r="L123" s="407"/>
      <x:c r="M123" s="407"/>
      <x:c r="N123" s="407"/>
      <x:c r="O123" s="407"/>
      <x:c r="P123" s="407"/>
      <x:c r="Q123" s="407"/>
      <x:c r="R123" s="407"/>
      <x:c r="S123" s="407"/>
      <x:c r="T123" s="407"/>
      <x:c r="U123" s="407"/>
      <x:c r="V123" s="407"/>
      <x:c r="W123" s="407"/>
      <x:c r="X123" s="407"/>
      <x:c r="Y123" s="407"/>
      <x:c r="Z123" s="407"/>
      <x:c r="AA123" s="407"/>
      <x:c r="AB123" s="407"/>
      <x:c r="AC123" s="407"/>
      <x:c r="AD123" s="407"/>
      <x:c r="AE123" s="407"/>
      <x:c r="AF123" s="407"/>
      <x:c r="AG123" s="407"/>
    </x:row>
    <x:row r="124">
      <x:c r="A124" s="407"/>
      <x:c r="B124" s="407"/>
      <x:c r="C124" s="407"/>
      <x:c r="D124" s="407"/>
      <x:c r="E124" s="407"/>
      <x:c r="F124" s="407"/>
      <x:c r="G124" s="407"/>
      <x:c r="H124" s="407"/>
      <x:c r="I124" s="407"/>
      <x:c r="J124" s="407"/>
      <x:c r="K124" s="407"/>
      <x:c r="L124" s="407"/>
      <x:c r="M124" s="407"/>
      <x:c r="N124" s="407"/>
      <x:c r="O124" s="407"/>
      <x:c r="P124" s="407"/>
      <x:c r="Q124" s="407"/>
      <x:c r="R124" s="407"/>
      <x:c r="S124" s="407"/>
      <x:c r="T124" s="407"/>
      <x:c r="U124" s="407"/>
      <x:c r="V124" s="407"/>
      <x:c r="W124" s="407"/>
      <x:c r="X124" s="407"/>
      <x:c r="Y124" s="407"/>
      <x:c r="Z124" s="407"/>
      <x:c r="AA124" s="407"/>
      <x:c r="AB124" s="407"/>
      <x:c r="AC124" s="407"/>
      <x:c r="AD124" s="407"/>
      <x:c r="AE124" s="407"/>
      <x:c r="AF124" s="407"/>
      <x:c r="AG124" s="407"/>
    </x:row>
    <x:row r="125">
      <x:c r="A125" s="407"/>
      <x:c r="B125" s="407"/>
      <x:c r="C125" s="407"/>
      <x:c r="D125" s="407"/>
      <x:c r="E125" s="407"/>
      <x:c r="F125" s="407"/>
      <x:c r="G125" s="407"/>
      <x:c r="H125" s="407"/>
      <x:c r="I125" s="407"/>
      <x:c r="J125" s="407"/>
      <x:c r="K125" s="407"/>
      <x:c r="L125" s="407"/>
      <x:c r="M125" s="407"/>
      <x:c r="N125" s="407"/>
      <x:c r="O125" s="407"/>
      <x:c r="P125" s="407"/>
      <x:c r="Q125" s="407"/>
      <x:c r="R125" s="407"/>
      <x:c r="S125" s="407"/>
      <x:c r="T125" s="407"/>
      <x:c r="U125" s="407"/>
      <x:c r="V125" s="407"/>
      <x:c r="W125" s="407"/>
      <x:c r="X125" s="407"/>
      <x:c r="Y125" s="407"/>
      <x:c r="Z125" s="407"/>
      <x:c r="AA125" s="407"/>
      <x:c r="AB125" s="407"/>
      <x:c r="AC125" s="407"/>
      <x:c r="AD125" s="407"/>
      <x:c r="AE125" s="407"/>
      <x:c r="AF125" s="407"/>
      <x:c r="AG125" s="407"/>
    </x:row>
    <x:row r="126">
      <x:c r="A126" s="407"/>
      <x:c r="B126" s="407"/>
      <x:c r="C126" s="407"/>
      <x:c r="D126" s="407"/>
      <x:c r="E126" s="407"/>
      <x:c r="F126" s="407"/>
      <x:c r="G126" s="407"/>
      <x:c r="H126" s="407"/>
      <x:c r="I126" s="407"/>
      <x:c r="J126" s="407"/>
      <x:c r="K126" s="407"/>
      <x:c r="L126" s="407"/>
      <x:c r="M126" s="407"/>
      <x:c r="N126" s="407"/>
      <x:c r="O126" s="407"/>
      <x:c r="P126" s="407"/>
      <x:c r="Q126" s="407"/>
      <x:c r="R126" s="407"/>
      <x:c r="S126" s="407"/>
      <x:c r="T126" s="407"/>
      <x:c r="U126" s="407"/>
      <x:c r="V126" s="407"/>
      <x:c r="W126" s="407"/>
      <x:c r="X126" s="407"/>
      <x:c r="Y126" s="407"/>
      <x:c r="Z126" s="407"/>
      <x:c r="AA126" s="407"/>
      <x:c r="AB126" s="407"/>
      <x:c r="AC126" s="407"/>
      <x:c r="AD126" s="407"/>
      <x:c r="AE126" s="407"/>
      <x:c r="AF126" s="407"/>
      <x:c r="AG126" s="407"/>
    </x:row>
    <x:row r="127">
      <x:c r="A127" s="407"/>
      <x:c r="B127" s="407"/>
      <x:c r="C127" s="407"/>
      <x:c r="D127" s="407"/>
      <x:c r="E127" s="407"/>
      <x:c r="F127" s="407"/>
      <x:c r="G127" s="407"/>
      <x:c r="H127" s="407"/>
      <x:c r="I127" s="407"/>
      <x:c r="J127" s="407"/>
      <x:c r="K127" s="407"/>
      <x:c r="L127" s="407"/>
      <x:c r="M127" s="407"/>
      <x:c r="N127" s="407"/>
      <x:c r="O127" s="407"/>
      <x:c r="P127" s="407"/>
      <x:c r="Q127" s="407"/>
      <x:c r="R127" s="407"/>
      <x:c r="S127" s="407"/>
      <x:c r="T127" s="407"/>
      <x:c r="U127" s="407"/>
      <x:c r="V127" s="407"/>
      <x:c r="W127" s="407"/>
      <x:c r="X127" s="407"/>
      <x:c r="Y127" s="407"/>
      <x:c r="Z127" s="407"/>
      <x:c r="AA127" s="407"/>
      <x:c r="AB127" s="407"/>
      <x:c r="AC127" s="407"/>
      <x:c r="AD127" s="407"/>
      <x:c r="AE127" s="407"/>
      <x:c r="AF127" s="407"/>
      <x:c r="AG127" s="407"/>
    </x:row>
    <x:row r="128">
      <x:c r="A128" s="407"/>
      <x:c r="B128" s="407"/>
      <x:c r="C128" s="407"/>
      <x:c r="D128" s="407"/>
      <x:c r="E128" s="407"/>
      <x:c r="F128" s="407"/>
      <x:c r="G128" s="407"/>
      <x:c r="H128" s="407"/>
      <x:c r="I128" s="407"/>
      <x:c r="J128" s="407"/>
      <x:c r="K128" s="407"/>
      <x:c r="L128" s="407"/>
      <x:c r="M128" s="407"/>
      <x:c r="N128" s="407"/>
      <x:c r="O128" s="407"/>
      <x:c r="P128" s="407"/>
      <x:c r="Q128" s="407"/>
      <x:c r="R128" s="407"/>
      <x:c r="S128" s="407"/>
      <x:c r="T128" s="407"/>
      <x:c r="U128" s="407"/>
      <x:c r="V128" s="407"/>
      <x:c r="W128" s="407"/>
      <x:c r="X128" s="407"/>
      <x:c r="Y128" s="407"/>
      <x:c r="Z128" s="407"/>
      <x:c r="AA128" s="407"/>
      <x:c r="AB128" s="407"/>
      <x:c r="AC128" s="407"/>
      <x:c r="AD128" s="407"/>
      <x:c r="AE128" s="407"/>
      <x:c r="AF128" s="407"/>
      <x:c r="AG128" s="407"/>
    </x:row>
    <x:row r="129">
      <x:c r="A129" s="407"/>
      <x:c r="B129" s="407"/>
      <x:c r="C129" s="407"/>
      <x:c r="D129" s="407"/>
      <x:c r="E129" s="407"/>
      <x:c r="F129" s="407"/>
      <x:c r="G129" s="407"/>
      <x:c r="H129" s="407"/>
      <x:c r="I129" s="407"/>
      <x:c r="J129" s="407"/>
      <x:c r="K129" s="407"/>
      <x:c r="L129" s="407"/>
      <x:c r="M129" s="407"/>
      <x:c r="N129" s="407"/>
      <x:c r="O129" s="407"/>
      <x:c r="P129" s="407"/>
      <x:c r="Q129" s="407"/>
      <x:c r="R129" s="407"/>
      <x:c r="S129" s="407"/>
      <x:c r="T129" s="407"/>
      <x:c r="U129" s="407"/>
      <x:c r="V129" s="407"/>
      <x:c r="W129" s="407"/>
      <x:c r="X129" s="407"/>
      <x:c r="Y129" s="407"/>
      <x:c r="Z129" s="407"/>
      <x:c r="AA129" s="407"/>
      <x:c r="AB129" s="407"/>
      <x:c r="AC129" s="407"/>
      <x:c r="AD129" s="407"/>
      <x:c r="AE129" s="407"/>
      <x:c r="AF129" s="407"/>
      <x:c r="AG129" s="407"/>
    </x:row>
    <x:row r="130">
      <x:c r="A130" s="407"/>
      <x:c r="B130" s="407"/>
      <x:c r="C130" s="407"/>
      <x:c r="D130" s="407"/>
      <x:c r="E130" s="407"/>
      <x:c r="F130" s="407"/>
      <x:c r="G130" s="407"/>
      <x:c r="H130" s="407"/>
      <x:c r="I130" s="407"/>
      <x:c r="J130" s="407"/>
      <x:c r="K130" s="407"/>
      <x:c r="L130" s="407"/>
      <x:c r="M130" s="407"/>
      <x:c r="N130" s="407"/>
      <x:c r="O130" s="407"/>
      <x:c r="P130" s="407"/>
      <x:c r="Q130" s="407"/>
      <x:c r="R130" s="407"/>
      <x:c r="S130" s="407"/>
      <x:c r="T130" s="407"/>
      <x:c r="U130" s="407"/>
      <x:c r="V130" s="407"/>
      <x:c r="W130" s="407"/>
      <x:c r="X130" s="407"/>
      <x:c r="Y130" s="407"/>
      <x:c r="Z130" s="407"/>
      <x:c r="AA130" s="407"/>
      <x:c r="AB130" s="407"/>
      <x:c r="AC130" s="407"/>
      <x:c r="AD130" s="407"/>
      <x:c r="AE130" s="407"/>
      <x:c r="AF130" s="407"/>
      <x:c r="AG130" s="407"/>
    </x:row>
    <x:row r="131">
      <x:c r="A131" s="407"/>
      <x:c r="B131" s="407"/>
      <x:c r="C131" s="407"/>
      <x:c r="D131" s="407"/>
      <x:c r="E131" s="407"/>
      <x:c r="F131" s="407"/>
      <x:c r="G131" s="407"/>
      <x:c r="H131" s="407"/>
      <x:c r="I131" s="407"/>
      <x:c r="J131" s="407"/>
      <x:c r="K131" s="407"/>
      <x:c r="L131" s="407"/>
      <x:c r="M131" s="407"/>
      <x:c r="N131" s="407"/>
      <x:c r="O131" s="407"/>
      <x:c r="P131" s="407"/>
      <x:c r="Q131" s="407"/>
      <x:c r="R131" s="407"/>
      <x:c r="S131" s="407"/>
      <x:c r="T131" s="407"/>
      <x:c r="U131" s="407"/>
      <x:c r="V131" s="407"/>
      <x:c r="W131" s="407"/>
      <x:c r="X131" s="407"/>
      <x:c r="Y131" s="407"/>
      <x:c r="Z131" s="407"/>
      <x:c r="AA131" s="407"/>
      <x:c r="AB131" s="407"/>
      <x:c r="AC131" s="407"/>
      <x:c r="AD131" s="407"/>
      <x:c r="AE131" s="407"/>
      <x:c r="AF131" s="407"/>
      <x:c r="AG131" s="407"/>
    </x:row>
    <x:row r="132">
      <x:c r="A132" s="407"/>
      <x:c r="B132" s="407"/>
      <x:c r="C132" s="407"/>
      <x:c r="D132" s="407"/>
      <x:c r="E132" s="407"/>
      <x:c r="F132" s="407"/>
      <x:c r="G132" s="407"/>
      <x:c r="H132" s="407"/>
      <x:c r="I132" s="407"/>
      <x:c r="J132" s="407"/>
      <x:c r="K132" s="407"/>
      <x:c r="L132" s="407"/>
      <x:c r="M132" s="407"/>
      <x:c r="N132" s="407"/>
      <x:c r="O132" s="407"/>
      <x:c r="P132" s="407"/>
      <x:c r="Q132" s="407"/>
      <x:c r="R132" s="407"/>
      <x:c r="S132" s="407"/>
      <x:c r="T132" s="407"/>
      <x:c r="U132" s="407"/>
      <x:c r="V132" s="407"/>
      <x:c r="W132" s="407"/>
      <x:c r="X132" s="407"/>
      <x:c r="Y132" s="407"/>
      <x:c r="Z132" s="407"/>
      <x:c r="AA132" s="407"/>
      <x:c r="AB132" s="407"/>
      <x:c r="AC132" s="407"/>
      <x:c r="AD132" s="407"/>
      <x:c r="AE132" s="407"/>
      <x:c r="AF132" s="407"/>
      <x:c r="AG132" s="407"/>
    </x:row>
    <x:row r="133">
      <x:c r="A133" s="407"/>
      <x:c r="B133" s="407"/>
      <x:c r="C133" s="407"/>
      <x:c r="D133" s="407"/>
      <x:c r="E133" s="407"/>
      <x:c r="F133" s="407"/>
      <x:c r="G133" s="407"/>
      <x:c r="H133" s="407"/>
      <x:c r="I133" s="407"/>
      <x:c r="J133" s="407"/>
      <x:c r="K133" s="407"/>
      <x:c r="L133" s="407"/>
      <x:c r="M133" s="407"/>
      <x:c r="N133" s="407"/>
      <x:c r="O133" s="407"/>
      <x:c r="P133" s="407"/>
      <x:c r="Q133" s="407"/>
      <x:c r="R133" s="407"/>
      <x:c r="S133" s="407"/>
      <x:c r="T133" s="407"/>
      <x:c r="U133" s="407"/>
      <x:c r="V133" s="407"/>
      <x:c r="W133" s="407"/>
      <x:c r="X133" s="407"/>
      <x:c r="Y133" s="407"/>
      <x:c r="Z133" s="407"/>
      <x:c r="AA133" s="407"/>
      <x:c r="AB133" s="407"/>
      <x:c r="AC133" s="407"/>
      <x:c r="AD133" s="407"/>
      <x:c r="AE133" s="407"/>
      <x:c r="AF133" s="407"/>
      <x:c r="AG133" s="407"/>
    </x:row>
    <x:row r="134">
      <x:c r="A134" s="407"/>
      <x:c r="B134" s="407"/>
      <x:c r="C134" s="407"/>
      <x:c r="D134" s="407"/>
      <x:c r="E134" s="407"/>
      <x:c r="F134" s="407"/>
      <x:c r="G134" s="407"/>
      <x:c r="H134" s="407"/>
      <x:c r="I134" s="407"/>
      <x:c r="J134" s="407"/>
      <x:c r="K134" s="407"/>
      <x:c r="L134" s="407"/>
      <x:c r="M134" s="407"/>
      <x:c r="N134" s="407"/>
      <x:c r="O134" s="407"/>
      <x:c r="P134" s="407"/>
      <x:c r="Q134" s="407"/>
      <x:c r="R134" s="407"/>
      <x:c r="S134" s="407"/>
      <x:c r="T134" s="407"/>
      <x:c r="U134" s="407"/>
      <x:c r="V134" s="407"/>
      <x:c r="W134" s="407"/>
      <x:c r="X134" s="407"/>
      <x:c r="Y134" s="407"/>
      <x:c r="Z134" s="407"/>
      <x:c r="AA134" s="407"/>
      <x:c r="AB134" s="407"/>
      <x:c r="AC134" s="407"/>
      <x:c r="AD134" s="407"/>
      <x:c r="AE134" s="407"/>
      <x:c r="AF134" s="407"/>
      <x:c r="AG134" s="407"/>
    </x:row>
    <x:row r="135">
      <x:c r="A135" s="407"/>
      <x:c r="B135" s="407"/>
      <x:c r="C135" s="407"/>
      <x:c r="D135" s="407"/>
      <x:c r="E135" s="407"/>
      <x:c r="F135" s="407"/>
      <x:c r="G135" s="407"/>
      <x:c r="H135" s="407"/>
      <x:c r="I135" s="407"/>
      <x:c r="J135" s="407"/>
      <x:c r="K135" s="407"/>
      <x:c r="L135" s="407"/>
      <x:c r="M135" s="407"/>
      <x:c r="N135" s="407"/>
      <x:c r="O135" s="407"/>
      <x:c r="P135" s="407"/>
      <x:c r="Q135" s="407"/>
      <x:c r="R135" s="407"/>
      <x:c r="S135" s="407"/>
      <x:c r="T135" s="407"/>
      <x:c r="U135" s="407"/>
      <x:c r="V135" s="407"/>
      <x:c r="W135" s="407"/>
      <x:c r="X135" s="407"/>
      <x:c r="Y135" s="407"/>
      <x:c r="Z135" s="407"/>
      <x:c r="AA135" s="407"/>
      <x:c r="AB135" s="407"/>
      <x:c r="AC135" s="407"/>
      <x:c r="AD135" s="407"/>
      <x:c r="AE135" s="407"/>
      <x:c r="AF135" s="407"/>
      <x:c r="AG135" s="407"/>
    </x:row>
    <x:row r="136">
      <x:c r="A136" s="407"/>
      <x:c r="B136" s="407"/>
      <x:c r="C136" s="407"/>
      <x:c r="D136" s="407"/>
      <x:c r="E136" s="407"/>
      <x:c r="F136" s="407"/>
      <x:c r="G136" s="407"/>
      <x:c r="H136" s="407"/>
      <x:c r="I136" s="407"/>
      <x:c r="J136" s="407"/>
      <x:c r="K136" s="407"/>
      <x:c r="L136" s="407"/>
      <x:c r="M136" s="407"/>
      <x:c r="N136" s="407"/>
      <x:c r="O136" s="407"/>
      <x:c r="P136" s="407"/>
      <x:c r="Q136" s="407"/>
      <x:c r="R136" s="407"/>
      <x:c r="S136" s="407"/>
      <x:c r="T136" s="407"/>
      <x:c r="U136" s="407"/>
      <x:c r="V136" s="407"/>
      <x:c r="W136" s="407"/>
      <x:c r="X136" s="407"/>
      <x:c r="Y136" s="407"/>
      <x:c r="Z136" s="407"/>
      <x:c r="AA136" s="407"/>
      <x:c r="AB136" s="407"/>
      <x:c r="AC136" s="407"/>
      <x:c r="AD136" s="407"/>
      <x:c r="AE136" s="407"/>
      <x:c r="AF136" s="407"/>
      <x:c r="AG136" s="407"/>
    </x:row>
    <x:row r="137">
      <x:c r="A137" s="407"/>
      <x:c r="B137" s="407"/>
      <x:c r="C137" s="407"/>
      <x:c r="D137" s="407"/>
      <x:c r="E137" s="407"/>
      <x:c r="F137" s="407"/>
      <x:c r="G137" s="407"/>
      <x:c r="H137" s="407"/>
      <x:c r="I137" s="407"/>
      <x:c r="J137" s="407"/>
      <x:c r="K137" s="407"/>
      <x:c r="L137" s="407"/>
      <x:c r="M137" s="407"/>
      <x:c r="N137" s="407"/>
      <x:c r="O137" s="407"/>
      <x:c r="P137" s="407"/>
      <x:c r="Q137" s="407"/>
      <x:c r="R137" s="407"/>
      <x:c r="S137" s="407"/>
      <x:c r="T137" s="407"/>
      <x:c r="U137" s="407"/>
      <x:c r="V137" s="407"/>
      <x:c r="W137" s="407"/>
      <x:c r="X137" s="407"/>
      <x:c r="Y137" s="407"/>
      <x:c r="Z137" s="407"/>
      <x:c r="AA137" s="407"/>
      <x:c r="AB137" s="407"/>
      <x:c r="AC137" s="407"/>
      <x:c r="AD137" s="407"/>
      <x:c r="AE137" s="407"/>
      <x:c r="AF137" s="407"/>
      <x:c r="AG137" s="407"/>
    </x:row>
    <x:row r="138">
      <x:c r="A138" s="407"/>
      <x:c r="B138" s="407"/>
      <x:c r="C138" s="407"/>
      <x:c r="D138" s="407"/>
      <x:c r="E138" s="407"/>
      <x:c r="F138" s="407"/>
      <x:c r="G138" s="407"/>
      <x:c r="H138" s="407"/>
      <x:c r="I138" s="407"/>
      <x:c r="J138" s="407"/>
      <x:c r="K138" s="407"/>
      <x:c r="L138" s="407"/>
      <x:c r="M138" s="407"/>
      <x:c r="N138" s="407"/>
      <x:c r="O138" s="407"/>
      <x:c r="P138" s="407"/>
      <x:c r="Q138" s="407"/>
      <x:c r="R138" s="407"/>
      <x:c r="S138" s="407"/>
      <x:c r="T138" s="407"/>
      <x:c r="U138" s="407"/>
      <x:c r="V138" s="407"/>
      <x:c r="W138" s="407"/>
      <x:c r="X138" s="407"/>
      <x:c r="Y138" s="407"/>
      <x:c r="Z138" s="407"/>
      <x:c r="AA138" s="407"/>
      <x:c r="AB138" s="407"/>
      <x:c r="AC138" s="407"/>
      <x:c r="AD138" s="407"/>
      <x:c r="AE138" s="407"/>
      <x:c r="AF138" s="407"/>
      <x:c r="AG138" s="407"/>
    </x:row>
    <x:row r="139">
      <x:c r="A139" s="407"/>
      <x:c r="B139" s="407"/>
      <x:c r="C139" s="407"/>
      <x:c r="D139" s="407"/>
      <x:c r="E139" s="407"/>
      <x:c r="F139" s="407"/>
      <x:c r="G139" s="407"/>
      <x:c r="H139" s="407"/>
      <x:c r="I139" s="407"/>
      <x:c r="J139" s="407"/>
      <x:c r="K139" s="407"/>
      <x:c r="L139" s="407"/>
      <x:c r="M139" s="407"/>
      <x:c r="N139" s="407"/>
      <x:c r="O139" s="407"/>
      <x:c r="P139" s="407"/>
      <x:c r="Q139" s="407"/>
      <x:c r="R139" s="407"/>
      <x:c r="S139" s="407"/>
      <x:c r="T139" s="407"/>
      <x:c r="U139" s="407"/>
      <x:c r="V139" s="407"/>
      <x:c r="W139" s="407"/>
      <x:c r="X139" s="407"/>
      <x:c r="Y139" s="407"/>
      <x:c r="Z139" s="407"/>
      <x:c r="AA139" s="407"/>
      <x:c r="AB139" s="407"/>
      <x:c r="AC139" s="407"/>
      <x:c r="AD139" s="407"/>
      <x:c r="AE139" s="407"/>
      <x:c r="AF139" s="407"/>
      <x:c r="AG139" s="407"/>
    </x:row>
    <x:row r="140">
      <x:c r="A140" s="407"/>
      <x:c r="B140" s="407"/>
      <x:c r="C140" s="407"/>
      <x:c r="D140" s="407"/>
      <x:c r="E140" s="407"/>
      <x:c r="F140" s="407"/>
      <x:c r="G140" s="407"/>
      <x:c r="H140" s="407"/>
      <x:c r="I140" s="407"/>
      <x:c r="J140" s="407"/>
      <x:c r="K140" s="407"/>
      <x:c r="L140" s="407"/>
      <x:c r="M140" s="407"/>
      <x:c r="N140" s="407"/>
      <x:c r="O140" s="407"/>
      <x:c r="P140" s="407"/>
      <x:c r="Q140" s="407"/>
      <x:c r="R140" s="407"/>
      <x:c r="S140" s="407"/>
      <x:c r="T140" s="407"/>
      <x:c r="U140" s="407"/>
      <x:c r="V140" s="407"/>
      <x:c r="W140" s="407"/>
      <x:c r="X140" s="407"/>
      <x:c r="Y140" s="407"/>
      <x:c r="Z140" s="407"/>
      <x:c r="AA140" s="407"/>
      <x:c r="AB140" s="407"/>
      <x:c r="AC140" s="407"/>
      <x:c r="AD140" s="407"/>
      <x:c r="AE140" s="407"/>
      <x:c r="AF140" s="407"/>
      <x:c r="AG140" s="407"/>
    </x:row>
    <x:row r="141">
      <x:c r="A141" s="407"/>
      <x:c r="B141" s="407"/>
      <x:c r="C141" s="407"/>
      <x:c r="D141" s="407"/>
      <x:c r="E141" s="407"/>
      <x:c r="F141" s="407"/>
      <x:c r="G141" s="407"/>
      <x:c r="H141" s="407"/>
      <x:c r="I141" s="407"/>
      <x:c r="J141" s="407"/>
      <x:c r="K141" s="407"/>
      <x:c r="L141" s="407"/>
      <x:c r="M141" s="407"/>
      <x:c r="N141" s="407"/>
      <x:c r="O141" s="407"/>
      <x:c r="P141" s="407"/>
      <x:c r="Q141" s="407"/>
      <x:c r="R141" s="407"/>
      <x:c r="S141" s="407"/>
      <x:c r="T141" s="407"/>
      <x:c r="U141" s="407"/>
      <x:c r="V141" s="407"/>
      <x:c r="W141" s="407"/>
      <x:c r="X141" s="407"/>
      <x:c r="Y141" s="407"/>
      <x:c r="Z141" s="407"/>
      <x:c r="AA141" s="407"/>
      <x:c r="AB141" s="407"/>
      <x:c r="AC141" s="407"/>
      <x:c r="AD141" s="407"/>
      <x:c r="AE141" s="407"/>
      <x:c r="AF141" s="407"/>
      <x:c r="AG141" s="407"/>
    </x:row>
    <x:row r="142">
      <x:c r="A142" s="407"/>
      <x:c r="B142" s="407"/>
      <x:c r="C142" s="407"/>
      <x:c r="D142" s="407"/>
      <x:c r="E142" s="407"/>
      <x:c r="F142" s="407"/>
      <x:c r="G142" s="407"/>
      <x:c r="H142" s="407"/>
      <x:c r="I142" s="407"/>
      <x:c r="J142" s="407"/>
      <x:c r="K142" s="407"/>
      <x:c r="L142" s="407"/>
      <x:c r="M142" s="407"/>
      <x:c r="N142" s="407"/>
      <x:c r="O142" s="407"/>
      <x:c r="P142" s="407"/>
      <x:c r="Q142" s="407"/>
      <x:c r="R142" s="407"/>
      <x:c r="S142" s="407"/>
      <x:c r="T142" s="407"/>
      <x:c r="U142" s="407"/>
      <x:c r="V142" s="407"/>
      <x:c r="W142" s="407"/>
      <x:c r="X142" s="407"/>
      <x:c r="Y142" s="407"/>
      <x:c r="Z142" s="407"/>
      <x:c r="AA142" s="407"/>
      <x:c r="AB142" s="407"/>
      <x:c r="AC142" s="407"/>
      <x:c r="AD142" s="407"/>
      <x:c r="AE142" s="407"/>
      <x:c r="AF142" s="407"/>
      <x:c r="AG142" s="407"/>
    </x:row>
    <x:row r="143">
      <x:c r="A143" s="407"/>
      <x:c r="B143" s="407"/>
      <x:c r="C143" s="407"/>
      <x:c r="D143" s="407"/>
      <x:c r="E143" s="407"/>
      <x:c r="F143" s="407"/>
      <x:c r="G143" s="407"/>
      <x:c r="H143" s="407"/>
      <x:c r="I143" s="407"/>
      <x:c r="J143" s="407"/>
      <x:c r="K143" s="407"/>
      <x:c r="L143" s="407"/>
      <x:c r="M143" s="407"/>
      <x:c r="N143" s="407"/>
      <x:c r="O143" s="407"/>
      <x:c r="P143" s="407"/>
      <x:c r="Q143" s="407"/>
      <x:c r="R143" s="407"/>
      <x:c r="S143" s="407"/>
      <x:c r="T143" s="407"/>
      <x:c r="U143" s="407"/>
      <x:c r="V143" s="407"/>
      <x:c r="W143" s="407"/>
      <x:c r="X143" s="407"/>
      <x:c r="Y143" s="407"/>
      <x:c r="Z143" s="407"/>
      <x:c r="AA143" s="407"/>
      <x:c r="AB143" s="407"/>
      <x:c r="AC143" s="407"/>
      <x:c r="AD143" s="407"/>
      <x:c r="AE143" s="407"/>
      <x:c r="AF143" s="407"/>
      <x:c r="AG143" s="407"/>
    </x:row>
    <x:row r="144">
      <x:c r="A144" s="407"/>
      <x:c r="B144" s="407"/>
      <x:c r="C144" s="407"/>
      <x:c r="D144" s="407"/>
      <x:c r="E144" s="407"/>
      <x:c r="F144" s="407"/>
      <x:c r="G144" s="407"/>
      <x:c r="H144" s="407"/>
      <x:c r="I144" s="407"/>
      <x:c r="J144" s="407"/>
      <x:c r="K144" s="407"/>
      <x:c r="L144" s="407"/>
      <x:c r="M144" s="407"/>
      <x:c r="N144" s="407"/>
      <x:c r="O144" s="407"/>
      <x:c r="P144" s="407"/>
      <x:c r="Q144" s="407"/>
      <x:c r="R144" s="407"/>
      <x:c r="S144" s="407"/>
      <x:c r="T144" s="407"/>
      <x:c r="U144" s="407"/>
      <x:c r="V144" s="407"/>
      <x:c r="W144" s="407"/>
      <x:c r="X144" s="407"/>
      <x:c r="Y144" s="407"/>
      <x:c r="Z144" s="407"/>
      <x:c r="AA144" s="407"/>
      <x:c r="AB144" s="407"/>
      <x:c r="AC144" s="407"/>
      <x:c r="AD144" s="407"/>
      <x:c r="AE144" s="407"/>
      <x:c r="AF144" s="407"/>
      <x:c r="AG144" s="407"/>
    </x:row>
    <x:row r="145">
      <x:c r="A145" s="407"/>
      <x:c r="B145" s="407"/>
      <x:c r="C145" s="407"/>
      <x:c r="D145" s="407"/>
      <x:c r="E145" s="407"/>
      <x:c r="F145" s="407"/>
      <x:c r="G145" s="407"/>
      <x:c r="H145" s="407"/>
      <x:c r="I145" s="407"/>
      <x:c r="J145" s="407"/>
      <x:c r="K145" s="407"/>
      <x:c r="L145" s="407"/>
      <x:c r="M145" s="407"/>
      <x:c r="N145" s="407"/>
      <x:c r="O145" s="407"/>
      <x:c r="P145" s="407"/>
      <x:c r="Q145" s="407"/>
      <x:c r="R145" s="407"/>
      <x:c r="S145" s="407"/>
      <x:c r="T145" s="407"/>
      <x:c r="U145" s="407"/>
      <x:c r="V145" s="407"/>
      <x:c r="W145" s="407"/>
      <x:c r="X145" s="407"/>
      <x:c r="Y145" s="407"/>
      <x:c r="Z145" s="407"/>
      <x:c r="AA145" s="407"/>
      <x:c r="AB145" s="407"/>
      <x:c r="AC145" s="407"/>
      <x:c r="AD145" s="407"/>
      <x:c r="AE145" s="407"/>
      <x:c r="AF145" s="407"/>
      <x:c r="AG145" s="407"/>
    </x:row>
    <x:row r="146">
      <x:c r="A146" s="407"/>
      <x:c r="B146" s="407"/>
      <x:c r="C146" s="407"/>
      <x:c r="D146" s="407"/>
      <x:c r="E146" s="407"/>
      <x:c r="F146" s="407"/>
      <x:c r="G146" s="407"/>
      <x:c r="H146" s="407"/>
      <x:c r="I146" s="407"/>
      <x:c r="J146" s="407"/>
      <x:c r="K146" s="407"/>
      <x:c r="L146" s="407"/>
      <x:c r="M146" s="407"/>
      <x:c r="N146" s="407"/>
      <x:c r="O146" s="407"/>
      <x:c r="P146" s="407"/>
      <x:c r="Q146" s="407"/>
      <x:c r="R146" s="407"/>
      <x:c r="S146" s="407"/>
      <x:c r="T146" s="407"/>
      <x:c r="U146" s="407"/>
      <x:c r="V146" s="407"/>
      <x:c r="W146" s="407"/>
      <x:c r="X146" s="407"/>
      <x:c r="Y146" s="407"/>
      <x:c r="Z146" s="407"/>
      <x:c r="AA146" s="407"/>
      <x:c r="AB146" s="407"/>
      <x:c r="AC146" s="407"/>
      <x:c r="AD146" s="407"/>
      <x:c r="AE146" s="407"/>
      <x:c r="AF146" s="407"/>
      <x:c r="AG146" s="407"/>
    </x:row>
    <x:row r="147">
      <x:c r="A147" s="407"/>
      <x:c r="B147" s="407"/>
      <x:c r="C147" s="407"/>
      <x:c r="D147" s="407"/>
      <x:c r="E147" s="407"/>
      <x:c r="F147" s="407"/>
      <x:c r="G147" s="407"/>
      <x:c r="H147" s="407"/>
      <x:c r="I147" s="407"/>
      <x:c r="J147" s="407"/>
      <x:c r="K147" s="407"/>
      <x:c r="L147" s="407"/>
      <x:c r="M147" s="407"/>
      <x:c r="N147" s="407"/>
      <x:c r="O147" s="407"/>
      <x:c r="P147" s="407"/>
      <x:c r="Q147" s="407"/>
      <x:c r="R147" s="407"/>
      <x:c r="S147" s="407"/>
      <x:c r="T147" s="407"/>
      <x:c r="U147" s="407"/>
      <x:c r="V147" s="407"/>
      <x:c r="W147" s="407"/>
      <x:c r="X147" s="407"/>
      <x:c r="Y147" s="407"/>
      <x:c r="Z147" s="407"/>
      <x:c r="AA147" s="407"/>
      <x:c r="AB147" s="407"/>
      <x:c r="AC147" s="407"/>
      <x:c r="AD147" s="407"/>
      <x:c r="AE147" s="407"/>
      <x:c r="AF147" s="407"/>
      <x:c r="AG147" s="407"/>
    </x:row>
    <x:row r="148">
      <x:c r="A148" s="407"/>
      <x:c r="B148" s="407"/>
      <x:c r="C148" s="407"/>
      <x:c r="D148" s="407"/>
      <x:c r="E148" s="407"/>
      <x:c r="F148" s="407"/>
      <x:c r="G148" s="407"/>
      <x:c r="H148" s="407"/>
      <x:c r="I148" s="407"/>
      <x:c r="J148" s="407"/>
      <x:c r="K148" s="407"/>
      <x:c r="L148" s="407"/>
      <x:c r="M148" s="407"/>
      <x:c r="N148" s="407"/>
      <x:c r="O148" s="407"/>
      <x:c r="P148" s="407"/>
      <x:c r="Q148" s="407"/>
      <x:c r="R148" s="407"/>
      <x:c r="S148" s="407"/>
      <x:c r="T148" s="407"/>
      <x:c r="U148" s="407"/>
      <x:c r="V148" s="407"/>
      <x:c r="W148" s="407"/>
      <x:c r="X148" s="407"/>
      <x:c r="Y148" s="407"/>
      <x:c r="Z148" s="407"/>
      <x:c r="AA148" s="407"/>
      <x:c r="AB148" s="407"/>
      <x:c r="AC148" s="407"/>
      <x:c r="AD148" s="407"/>
      <x:c r="AE148" s="407"/>
      <x:c r="AF148" s="407"/>
      <x:c r="AG148" s="407"/>
    </x:row>
    <x:row r="149">
      <x:c r="A149" s="407"/>
      <x:c r="B149" s="407"/>
      <x:c r="C149" s="407"/>
      <x:c r="D149" s="407"/>
      <x:c r="E149" s="407"/>
      <x:c r="F149" s="407"/>
      <x:c r="G149" s="407"/>
      <x:c r="H149" s="407"/>
      <x:c r="I149" s="407"/>
      <x:c r="J149" s="407"/>
      <x:c r="K149" s="407"/>
      <x:c r="L149" s="407"/>
      <x:c r="M149" s="407"/>
      <x:c r="N149" s="407"/>
      <x:c r="O149" s="407"/>
      <x:c r="P149" s="407"/>
      <x:c r="Q149" s="407"/>
      <x:c r="R149" s="407"/>
      <x:c r="S149" s="407"/>
      <x:c r="T149" s="407"/>
      <x:c r="U149" s="407"/>
      <x:c r="V149" s="407"/>
      <x:c r="W149" s="407"/>
      <x:c r="X149" s="407"/>
      <x:c r="Y149" s="407"/>
      <x:c r="Z149" s="407"/>
      <x:c r="AA149" s="407"/>
      <x:c r="AB149" s="407"/>
      <x:c r="AC149" s="407"/>
      <x:c r="AD149" s="407"/>
      <x:c r="AE149" s="407"/>
      <x:c r="AF149" s="407"/>
      <x:c r="AG149" s="407"/>
    </x:row>
    <x:row r="150">
      <x:c r="A150" s="407"/>
      <x:c r="B150" s="407"/>
      <x:c r="C150" s="407"/>
      <x:c r="D150" s="407"/>
      <x:c r="E150" s="407"/>
      <x:c r="F150" s="407"/>
      <x:c r="G150" s="407"/>
      <x:c r="H150" s="407"/>
      <x:c r="I150" s="407"/>
      <x:c r="J150" s="407"/>
      <x:c r="K150" s="407"/>
      <x:c r="L150" s="407"/>
      <x:c r="M150" s="407"/>
      <x:c r="N150" s="407"/>
      <x:c r="O150" s="407"/>
      <x:c r="P150" s="407"/>
      <x:c r="Q150" s="407"/>
      <x:c r="R150" s="407"/>
      <x:c r="S150" s="407"/>
      <x:c r="T150" s="407"/>
      <x:c r="U150" s="407"/>
      <x:c r="V150" s="407"/>
      <x:c r="W150" s="407"/>
      <x:c r="X150" s="407"/>
      <x:c r="Y150" s="407"/>
      <x:c r="Z150" s="407"/>
      <x:c r="AA150" s="407"/>
      <x:c r="AB150" s="407"/>
      <x:c r="AC150" s="407"/>
      <x:c r="AD150" s="407"/>
      <x:c r="AE150" s="407"/>
      <x:c r="AF150" s="407"/>
      <x:c r="AG150" s="407"/>
    </x:row>
    <x:row r="151">
      <x:c r="A151" s="407"/>
      <x:c r="B151" s="407"/>
      <x:c r="C151" s="407"/>
      <x:c r="D151" s="407"/>
      <x:c r="E151" s="407"/>
      <x:c r="F151" s="407"/>
      <x:c r="G151" s="407"/>
      <x:c r="H151" s="407"/>
      <x:c r="I151" s="407"/>
      <x:c r="J151" s="407"/>
      <x:c r="K151" s="407"/>
      <x:c r="L151" s="407"/>
      <x:c r="M151" s="407"/>
      <x:c r="N151" s="407"/>
      <x:c r="O151" s="407"/>
      <x:c r="P151" s="407"/>
      <x:c r="Q151" s="407"/>
      <x:c r="R151" s="407"/>
      <x:c r="S151" s="407"/>
      <x:c r="T151" s="407"/>
      <x:c r="U151" s="407"/>
      <x:c r="V151" s="407"/>
      <x:c r="W151" s="407"/>
      <x:c r="X151" s="407"/>
      <x:c r="Y151" s="407"/>
      <x:c r="Z151" s="407"/>
      <x:c r="AA151" s="407"/>
      <x:c r="AB151" s="407"/>
      <x:c r="AC151" s="407"/>
      <x:c r="AD151" s="407"/>
      <x:c r="AE151" s="407"/>
      <x:c r="AF151" s="407"/>
      <x:c r="AG151" s="407"/>
    </x:row>
    <x:row r="152">
      <x:c r="A152" s="407"/>
      <x:c r="B152" s="407"/>
      <x:c r="C152" s="407"/>
      <x:c r="D152" s="407"/>
      <x:c r="E152" s="407"/>
      <x:c r="F152" s="407"/>
      <x:c r="G152" s="407"/>
      <x:c r="H152" s="407"/>
      <x:c r="I152" s="407"/>
      <x:c r="J152" s="407"/>
      <x:c r="K152" s="407"/>
      <x:c r="L152" s="407"/>
      <x:c r="M152" s="407"/>
      <x:c r="N152" s="407"/>
      <x:c r="O152" s="407"/>
      <x:c r="P152" s="407"/>
      <x:c r="Q152" s="407"/>
      <x:c r="R152" s="407"/>
      <x:c r="S152" s="407"/>
      <x:c r="T152" s="407"/>
      <x:c r="U152" s="407"/>
      <x:c r="V152" s="407"/>
      <x:c r="W152" s="407"/>
      <x:c r="X152" s="407"/>
      <x:c r="Y152" s="407"/>
      <x:c r="Z152" s="407"/>
      <x:c r="AA152" s="407"/>
      <x:c r="AB152" s="407"/>
      <x:c r="AC152" s="407"/>
      <x:c r="AD152" s="407"/>
      <x:c r="AE152" s="407"/>
      <x:c r="AF152" s="407"/>
      <x:c r="AG152" s="407"/>
    </x:row>
    <x:row r="153">
      <x:c r="A153" s="407"/>
      <x:c r="B153" s="407"/>
      <x:c r="C153" s="407"/>
      <x:c r="D153" s="407"/>
      <x:c r="E153" s="407"/>
      <x:c r="F153" s="407"/>
      <x:c r="G153" s="407"/>
      <x:c r="H153" s="407"/>
      <x:c r="I153" s="407"/>
      <x:c r="J153" s="407"/>
      <x:c r="K153" s="407"/>
      <x:c r="L153" s="407"/>
      <x:c r="M153" s="407"/>
      <x:c r="N153" s="407"/>
      <x:c r="O153" s="407"/>
      <x:c r="P153" s="407"/>
      <x:c r="Q153" s="407"/>
      <x:c r="R153" s="407"/>
      <x:c r="S153" s="407"/>
      <x:c r="T153" s="407"/>
      <x:c r="U153" s="407"/>
      <x:c r="V153" s="407"/>
      <x:c r="W153" s="407"/>
      <x:c r="X153" s="407"/>
      <x:c r="Y153" s="407"/>
      <x:c r="Z153" s="407"/>
      <x:c r="AA153" s="407"/>
      <x:c r="AB153" s="407"/>
      <x:c r="AC153" s="407"/>
      <x:c r="AD153" s="407"/>
      <x:c r="AE153" s="407"/>
      <x:c r="AF153" s="407"/>
      <x:c r="AG153" s="407"/>
    </x:row>
    <x:row r="154">
      <x:c r="A154" s="407"/>
      <x:c r="B154" s="407"/>
      <x:c r="C154" s="407"/>
      <x:c r="D154" s="407"/>
      <x:c r="E154" s="407"/>
      <x:c r="F154" s="407"/>
      <x:c r="G154" s="407"/>
      <x:c r="H154" s="407"/>
      <x:c r="I154" s="407"/>
      <x:c r="J154" s="407"/>
      <x:c r="K154" s="407"/>
      <x:c r="L154" s="407"/>
      <x:c r="M154" s="407"/>
      <x:c r="N154" s="407"/>
      <x:c r="O154" s="407"/>
      <x:c r="P154" s="407"/>
      <x:c r="Q154" s="407"/>
      <x:c r="R154" s="407"/>
      <x:c r="S154" s="407"/>
      <x:c r="T154" s="407"/>
      <x:c r="U154" s="407"/>
      <x:c r="V154" s="407"/>
      <x:c r="W154" s="407"/>
      <x:c r="X154" s="407"/>
      <x:c r="Y154" s="407"/>
      <x:c r="Z154" s="407"/>
      <x:c r="AA154" s="407"/>
      <x:c r="AB154" s="407"/>
      <x:c r="AC154" s="407"/>
      <x:c r="AD154" s="407"/>
      <x:c r="AE154" s="407"/>
      <x:c r="AF154" s="407"/>
      <x:c r="AG154" s="407"/>
    </x:row>
    <x:row r="155">
      <x:c r="A155" s="407"/>
      <x:c r="B155" s="407"/>
      <x:c r="C155" s="407"/>
      <x:c r="D155" s="407"/>
      <x:c r="E155" s="407"/>
      <x:c r="F155" s="407"/>
      <x:c r="G155" s="407"/>
      <x:c r="H155" s="407"/>
      <x:c r="I155" s="407"/>
      <x:c r="J155" s="407"/>
      <x:c r="K155" s="407"/>
      <x:c r="L155" s="407"/>
      <x:c r="M155" s="407"/>
      <x:c r="N155" s="407"/>
      <x:c r="O155" s="407"/>
      <x:c r="P155" s="407"/>
      <x:c r="Q155" s="407"/>
      <x:c r="R155" s="407"/>
      <x:c r="S155" s="407"/>
      <x:c r="T155" s="407"/>
      <x:c r="U155" s="407"/>
      <x:c r="V155" s="407"/>
      <x:c r="W155" s="407"/>
      <x:c r="X155" s="407"/>
      <x:c r="Y155" s="407"/>
      <x:c r="Z155" s="407"/>
      <x:c r="AA155" s="407"/>
      <x:c r="AB155" s="407"/>
      <x:c r="AC155" s="407"/>
      <x:c r="AD155" s="407"/>
      <x:c r="AE155" s="407"/>
      <x:c r="AF155" s="407"/>
      <x:c r="AG155" s="407"/>
    </x:row>
    <x:row r="156">
      <x:c r="A156" s="407"/>
      <x:c r="B156" s="407"/>
      <x:c r="C156" s="407"/>
      <x:c r="D156" s="407"/>
      <x:c r="E156" s="407"/>
      <x:c r="F156" s="407"/>
      <x:c r="G156" s="407"/>
      <x:c r="H156" s="407"/>
      <x:c r="I156" s="407"/>
      <x:c r="J156" s="407"/>
      <x:c r="K156" s="407"/>
      <x:c r="L156" s="407"/>
      <x:c r="M156" s="407"/>
      <x:c r="N156" s="407"/>
      <x:c r="O156" s="407"/>
      <x:c r="P156" s="407"/>
      <x:c r="Q156" s="407"/>
      <x:c r="R156" s="407"/>
      <x:c r="S156" s="407"/>
      <x:c r="T156" s="407"/>
      <x:c r="U156" s="407"/>
      <x:c r="V156" s="407"/>
      <x:c r="W156" s="407"/>
      <x:c r="X156" s="407"/>
      <x:c r="Y156" s="407"/>
      <x:c r="Z156" s="407"/>
      <x:c r="AA156" s="407"/>
      <x:c r="AB156" s="407"/>
      <x:c r="AC156" s="407"/>
      <x:c r="AD156" s="407"/>
      <x:c r="AE156" s="407"/>
      <x:c r="AF156" s="407"/>
      <x:c r="AG156" s="407"/>
    </x:row>
    <x:row r="157">
      <x:c r="A157" s="407"/>
      <x:c r="B157" s="407"/>
      <x:c r="C157" s="407"/>
      <x:c r="D157" s="407"/>
      <x:c r="E157" s="407"/>
      <x:c r="F157" s="407"/>
      <x:c r="G157" s="407"/>
      <x:c r="H157" s="407"/>
      <x:c r="I157" s="407"/>
      <x:c r="J157" s="407"/>
      <x:c r="K157" s="407"/>
      <x:c r="L157" s="407"/>
      <x:c r="M157" s="407"/>
      <x:c r="N157" s="407"/>
      <x:c r="O157" s="407"/>
      <x:c r="P157" s="407"/>
      <x:c r="Q157" s="407"/>
      <x:c r="R157" s="407"/>
      <x:c r="S157" s="407"/>
      <x:c r="T157" s="407"/>
      <x:c r="U157" s="407"/>
      <x:c r="V157" s="407"/>
      <x:c r="W157" s="407"/>
      <x:c r="X157" s="407"/>
      <x:c r="Y157" s="407"/>
      <x:c r="Z157" s="407"/>
      <x:c r="AA157" s="407"/>
      <x:c r="AB157" s="407"/>
      <x:c r="AC157" s="407"/>
      <x:c r="AD157" s="407"/>
      <x:c r="AE157" s="407"/>
      <x:c r="AF157" s="407"/>
      <x:c r="AG157" s="407"/>
    </x:row>
    <x:row r="158">
      <x:c r="A158" s="407"/>
      <x:c r="B158" s="407"/>
      <x:c r="C158" s="407"/>
      <x:c r="D158" s="407"/>
      <x:c r="E158" s="407"/>
      <x:c r="F158" s="407"/>
      <x:c r="G158" s="407"/>
      <x:c r="H158" s="407"/>
      <x:c r="I158" s="407"/>
      <x:c r="J158" s="407"/>
      <x:c r="K158" s="407"/>
      <x:c r="L158" s="407"/>
      <x:c r="M158" s="407"/>
      <x:c r="N158" s="407"/>
      <x:c r="O158" s="407"/>
      <x:c r="P158" s="407"/>
      <x:c r="Q158" s="407"/>
      <x:c r="R158" s="407"/>
      <x:c r="S158" s="407"/>
      <x:c r="T158" s="407"/>
      <x:c r="U158" s="407"/>
      <x:c r="V158" s="407"/>
      <x:c r="W158" s="407"/>
      <x:c r="X158" s="407"/>
      <x:c r="Y158" s="407"/>
      <x:c r="Z158" s="407"/>
      <x:c r="AA158" s="407"/>
      <x:c r="AB158" s="407"/>
      <x:c r="AC158" s="407"/>
      <x:c r="AD158" s="407"/>
      <x:c r="AE158" s="407"/>
      <x:c r="AF158" s="407"/>
      <x:c r="AG158" s="407"/>
    </x:row>
    <x:row r="159">
      <x:c r="A159" s="407"/>
      <x:c r="B159" s="407"/>
      <x:c r="C159" s="407"/>
      <x:c r="D159" s="407"/>
      <x:c r="E159" s="407"/>
      <x:c r="F159" s="407"/>
      <x:c r="G159" s="407"/>
      <x:c r="H159" s="407"/>
      <x:c r="I159" s="407"/>
      <x:c r="J159" s="407"/>
      <x:c r="K159" s="407"/>
      <x:c r="L159" s="407"/>
      <x:c r="M159" s="407"/>
      <x:c r="N159" s="407"/>
      <x:c r="O159" s="407"/>
      <x:c r="P159" s="407"/>
      <x:c r="Q159" s="407"/>
      <x:c r="R159" s="407"/>
      <x:c r="S159" s="407"/>
      <x:c r="T159" s="407"/>
      <x:c r="U159" s="407"/>
      <x:c r="V159" s="407"/>
      <x:c r="W159" s="407"/>
      <x:c r="X159" s="407"/>
      <x:c r="Y159" s="407"/>
      <x:c r="Z159" s="407"/>
      <x:c r="AA159" s="407"/>
      <x:c r="AB159" s="407"/>
      <x:c r="AC159" s="407"/>
      <x:c r="AD159" s="407"/>
      <x:c r="AE159" s="407"/>
      <x:c r="AF159" s="407"/>
      <x:c r="AG159" s="407"/>
    </x:row>
    <x:row r="160">
      <x:c r="A160" s="407"/>
      <x:c r="B160" s="407"/>
      <x:c r="C160" s="407"/>
      <x:c r="D160" s="407"/>
      <x:c r="E160" s="407"/>
      <x:c r="F160" s="407"/>
      <x:c r="G160" s="407"/>
      <x:c r="H160" s="407"/>
      <x:c r="I160" s="407"/>
      <x:c r="J160" s="407"/>
      <x:c r="K160" s="407"/>
      <x:c r="L160" s="407"/>
      <x:c r="M160" s="407"/>
      <x:c r="N160" s="407"/>
      <x:c r="O160" s="407"/>
      <x:c r="P160" s="407"/>
      <x:c r="Q160" s="407"/>
      <x:c r="R160" s="407"/>
      <x:c r="S160" s="407"/>
      <x:c r="T160" s="407"/>
      <x:c r="U160" s="407"/>
      <x:c r="V160" s="407"/>
      <x:c r="W160" s="407"/>
      <x:c r="X160" s="407"/>
      <x:c r="Y160" s="407"/>
      <x:c r="Z160" s="407"/>
      <x:c r="AA160" s="407"/>
      <x:c r="AB160" s="407"/>
      <x:c r="AC160" s="407"/>
      <x:c r="AD160" s="407"/>
      <x:c r="AE160" s="407"/>
      <x:c r="AF160" s="407"/>
      <x:c r="AG160" s="407"/>
    </x:row>
    <x:row r="161">
      <x:c r="A161" s="407"/>
      <x:c r="B161" s="407"/>
      <x:c r="C161" s="407"/>
      <x:c r="D161" s="407"/>
      <x:c r="E161" s="407"/>
      <x:c r="F161" s="407"/>
      <x:c r="G161" s="407"/>
      <x:c r="H161" s="407"/>
      <x:c r="I161" s="407"/>
      <x:c r="J161" s="407"/>
      <x:c r="K161" s="407"/>
      <x:c r="L161" s="407"/>
      <x:c r="M161" s="407"/>
      <x:c r="N161" s="407"/>
      <x:c r="O161" s="407"/>
      <x:c r="P161" s="407"/>
      <x:c r="Q161" s="407"/>
      <x:c r="R161" s="407"/>
      <x:c r="S161" s="407"/>
      <x:c r="T161" s="407"/>
      <x:c r="U161" s="407"/>
      <x:c r="V161" s="407"/>
      <x:c r="W161" s="407"/>
      <x:c r="X161" s="407"/>
      <x:c r="Y161" s="407"/>
      <x:c r="Z161" s="407"/>
      <x:c r="AA161" s="407"/>
      <x:c r="AB161" s="407"/>
      <x:c r="AC161" s="407"/>
      <x:c r="AD161" s="407"/>
      <x:c r="AE161" s="407"/>
      <x:c r="AF161" s="407"/>
      <x:c r="AG161" s="407"/>
    </x:row>
    <x:row r="162">
      <x:c r="A162" s="407"/>
      <x:c r="B162" s="407"/>
      <x:c r="C162" s="407"/>
      <x:c r="D162" s="407"/>
      <x:c r="E162" s="407"/>
      <x:c r="F162" s="407"/>
      <x:c r="G162" s="407"/>
      <x:c r="H162" s="407"/>
      <x:c r="I162" s="407"/>
      <x:c r="J162" s="407"/>
      <x:c r="K162" s="407"/>
      <x:c r="L162" s="407"/>
      <x:c r="M162" s="407"/>
      <x:c r="N162" s="407"/>
      <x:c r="O162" s="407"/>
      <x:c r="P162" s="407"/>
      <x:c r="Q162" s="407"/>
      <x:c r="R162" s="407"/>
      <x:c r="S162" s="407"/>
      <x:c r="T162" s="407"/>
      <x:c r="U162" s="407"/>
      <x:c r="V162" s="407"/>
      <x:c r="W162" s="407"/>
      <x:c r="X162" s="407"/>
      <x:c r="Y162" s="407"/>
      <x:c r="Z162" s="407"/>
      <x:c r="AA162" s="407"/>
      <x:c r="AB162" s="407"/>
      <x:c r="AC162" s="407"/>
      <x:c r="AD162" s="407"/>
      <x:c r="AE162" s="407"/>
      <x:c r="AF162" s="407"/>
      <x:c r="AG162" s="407"/>
    </x:row>
    <x:row r="163">
      <x:c r="A163" s="407"/>
      <x:c r="B163" s="407"/>
      <x:c r="C163" s="407"/>
      <x:c r="D163" s="407"/>
      <x:c r="E163" s="407"/>
      <x:c r="F163" s="407"/>
      <x:c r="G163" s="407"/>
      <x:c r="H163" s="407"/>
      <x:c r="I163" s="407"/>
      <x:c r="J163" s="407"/>
      <x:c r="K163" s="407"/>
      <x:c r="L163" s="407"/>
      <x:c r="M163" s="407"/>
      <x:c r="N163" s="407"/>
      <x:c r="O163" s="407"/>
      <x:c r="P163" s="407"/>
      <x:c r="Q163" s="407"/>
      <x:c r="R163" s="407"/>
      <x:c r="S163" s="407"/>
      <x:c r="T163" s="407"/>
      <x:c r="U163" s="407"/>
      <x:c r="V163" s="407"/>
      <x:c r="W163" s="407"/>
      <x:c r="X163" s="407"/>
      <x:c r="Y163" s="407"/>
      <x:c r="Z163" s="407"/>
      <x:c r="AA163" s="407"/>
      <x:c r="AB163" s="407"/>
      <x:c r="AC163" s="407"/>
      <x:c r="AD163" s="407"/>
      <x:c r="AE163" s="407"/>
      <x:c r="AF163" s="407"/>
      <x:c r="AG163" s="407"/>
    </x:row>
    <x:row r="164">
      <x:c r="A164" s="407"/>
      <x:c r="B164" s="407"/>
      <x:c r="C164" s="407"/>
      <x:c r="D164" s="407"/>
      <x:c r="E164" s="407"/>
      <x:c r="F164" s="407"/>
      <x:c r="G164" s="407"/>
      <x:c r="H164" s="407"/>
      <x:c r="I164" s="407"/>
      <x:c r="J164" s="407"/>
      <x:c r="K164" s="407"/>
      <x:c r="L164" s="407"/>
      <x:c r="M164" s="407"/>
      <x:c r="N164" s="407"/>
      <x:c r="O164" s="407"/>
      <x:c r="P164" s="407"/>
      <x:c r="Q164" s="407"/>
      <x:c r="R164" s="407"/>
      <x:c r="S164" s="407"/>
      <x:c r="T164" s="407"/>
      <x:c r="U164" s="407"/>
      <x:c r="V164" s="407"/>
      <x:c r="W164" s="407"/>
      <x:c r="X164" s="407"/>
      <x:c r="Y164" s="407"/>
      <x:c r="Z164" s="407"/>
      <x:c r="AA164" s="407"/>
      <x:c r="AB164" s="407"/>
      <x:c r="AC164" s="407"/>
      <x:c r="AD164" s="407"/>
      <x:c r="AE164" s="407"/>
      <x:c r="AF164" s="407"/>
      <x:c r="AG164" s="407"/>
    </x:row>
    <x:row r="165">
      <x:c r="A165" s="407"/>
      <x:c r="B165" s="407"/>
      <x:c r="C165" s="407"/>
      <x:c r="D165" s="407"/>
      <x:c r="E165" s="407"/>
      <x:c r="F165" s="407"/>
      <x:c r="G165" s="407"/>
      <x:c r="H165" s="407"/>
      <x:c r="I165" s="407"/>
      <x:c r="J165" s="407"/>
      <x:c r="K165" s="407"/>
      <x:c r="L165" s="407"/>
      <x:c r="M165" s="407"/>
      <x:c r="N165" s="407"/>
      <x:c r="O165" s="407"/>
      <x:c r="P165" s="407"/>
      <x:c r="Q165" s="407"/>
      <x:c r="R165" s="407"/>
      <x:c r="S165" s="407"/>
      <x:c r="T165" s="407"/>
      <x:c r="U165" s="407"/>
      <x:c r="V165" s="407"/>
      <x:c r="W165" s="407"/>
      <x:c r="X165" s="407"/>
      <x:c r="Y165" s="407"/>
      <x:c r="Z165" s="407"/>
      <x:c r="AA165" s="407"/>
      <x:c r="AB165" s="407"/>
      <x:c r="AC165" s="407"/>
      <x:c r="AD165" s="407"/>
      <x:c r="AE165" s="407"/>
      <x:c r="AF165" s="407"/>
      <x:c r="AG165" s="407"/>
    </x:row>
    <x:row r="166">
      <x:c r="A166" s="407"/>
      <x:c r="B166" s="407"/>
      <x:c r="C166" s="407"/>
      <x:c r="D166" s="407"/>
      <x:c r="E166" s="407"/>
      <x:c r="F166" s="407"/>
      <x:c r="G166" s="407"/>
      <x:c r="H166" s="407"/>
      <x:c r="I166" s="407"/>
      <x:c r="J166" s="407"/>
      <x:c r="K166" s="407"/>
      <x:c r="L166" s="407"/>
      <x:c r="M166" s="407"/>
      <x:c r="N166" s="407"/>
      <x:c r="O166" s="407"/>
      <x:c r="P166" s="407"/>
      <x:c r="Q166" s="407"/>
      <x:c r="R166" s="407"/>
      <x:c r="S166" s="407"/>
      <x:c r="T166" s="407"/>
      <x:c r="U166" s="407"/>
      <x:c r="V166" s="407"/>
      <x:c r="W166" s="407"/>
      <x:c r="X166" s="407"/>
      <x:c r="Y166" s="407"/>
      <x:c r="Z166" s="407"/>
      <x:c r="AA166" s="407"/>
      <x:c r="AB166" s="407"/>
      <x:c r="AC166" s="407"/>
      <x:c r="AD166" s="407"/>
      <x:c r="AE166" s="407"/>
      <x:c r="AF166" s="407"/>
      <x:c r="AG166" s="407"/>
    </x:row>
    <x:row r="167">
      <x:c r="A167" s="407"/>
      <x:c r="B167" s="407"/>
      <x:c r="C167" s="407"/>
      <x:c r="D167" s="407"/>
      <x:c r="E167" s="407"/>
      <x:c r="F167" s="407"/>
      <x:c r="G167" s="407"/>
      <x:c r="H167" s="407"/>
      <x:c r="I167" s="407"/>
      <x:c r="J167" s="407"/>
      <x:c r="K167" s="407"/>
      <x:c r="L167" s="407"/>
      <x:c r="M167" s="407"/>
      <x:c r="N167" s="407"/>
      <x:c r="O167" s="407"/>
      <x:c r="P167" s="407"/>
      <x:c r="Q167" s="407"/>
      <x:c r="R167" s="407"/>
      <x:c r="S167" s="407"/>
      <x:c r="T167" s="407"/>
      <x:c r="U167" s="407"/>
      <x:c r="V167" s="407"/>
      <x:c r="W167" s="407"/>
      <x:c r="X167" s="407"/>
      <x:c r="Y167" s="407"/>
      <x:c r="Z167" s="407"/>
      <x:c r="AA167" s="407"/>
      <x:c r="AB167" s="407"/>
      <x:c r="AC167" s="407"/>
      <x:c r="AD167" s="407"/>
      <x:c r="AE167" s="407"/>
      <x:c r="AF167" s="407"/>
      <x:c r="AG167" s="407"/>
    </x:row>
    <x:row r="168">
      <x:c r="A168" s="407"/>
      <x:c r="B168" s="407"/>
      <x:c r="C168" s="407"/>
      <x:c r="D168" s="407"/>
      <x:c r="E168" s="407"/>
      <x:c r="F168" s="407"/>
      <x:c r="G168" s="407"/>
      <x:c r="H168" s="407"/>
      <x:c r="I168" s="407"/>
      <x:c r="J168" s="407"/>
      <x:c r="K168" s="407"/>
      <x:c r="L168" s="407"/>
      <x:c r="M168" s="407"/>
      <x:c r="N168" s="407"/>
      <x:c r="O168" s="407"/>
      <x:c r="P168" s="407"/>
      <x:c r="Q168" s="407"/>
      <x:c r="R168" s="407"/>
      <x:c r="S168" s="407"/>
      <x:c r="T168" s="407"/>
      <x:c r="U168" s="407"/>
      <x:c r="V168" s="407"/>
      <x:c r="W168" s="407"/>
      <x:c r="X168" s="407"/>
      <x:c r="Y168" s="407"/>
      <x:c r="Z168" s="407"/>
      <x:c r="AA168" s="407"/>
      <x:c r="AB168" s="407"/>
      <x:c r="AC168" s="407"/>
      <x:c r="AD168" s="407"/>
      <x:c r="AE168" s="407"/>
      <x:c r="AF168" s="407"/>
      <x:c r="AG168" s="407"/>
    </x:row>
    <x:row r="169">
      <x:c r="A169" s="407"/>
      <x:c r="B169" s="407"/>
      <x:c r="C169" s="407"/>
      <x:c r="D169" s="407"/>
      <x:c r="E169" s="407"/>
      <x:c r="F169" s="407"/>
      <x:c r="G169" s="407"/>
      <x:c r="H169" s="407"/>
      <x:c r="I169" s="407"/>
      <x:c r="J169" s="407"/>
      <x:c r="K169" s="407"/>
      <x:c r="L169" s="407"/>
      <x:c r="M169" s="407"/>
      <x:c r="N169" s="407"/>
      <x:c r="O169" s="407"/>
      <x:c r="P169" s="407"/>
      <x:c r="Q169" s="407"/>
      <x:c r="R169" s="407"/>
      <x:c r="S169" s="407"/>
      <x:c r="T169" s="407"/>
      <x:c r="U169" s="407"/>
      <x:c r="V169" s="407"/>
      <x:c r="W169" s="407"/>
      <x:c r="X169" s="407"/>
      <x:c r="Y169" s="407"/>
      <x:c r="Z169" s="407"/>
      <x:c r="AA169" s="407"/>
      <x:c r="AB169" s="407"/>
      <x:c r="AC169" s="407"/>
      <x:c r="AD169" s="407"/>
      <x:c r="AE169" s="407"/>
      <x:c r="AF169" s="407"/>
      <x:c r="AG169" s="407"/>
    </x:row>
    <x:row r="170">
      <x:c r="A170" s="407"/>
      <x:c r="B170" s="407"/>
      <x:c r="C170" s="407"/>
      <x:c r="D170" s="407"/>
      <x:c r="E170" s="407"/>
      <x:c r="F170" s="407"/>
      <x:c r="G170" s="407"/>
      <x:c r="H170" s="407"/>
      <x:c r="I170" s="407"/>
      <x:c r="J170" s="407"/>
      <x:c r="K170" s="407"/>
      <x:c r="L170" s="407"/>
      <x:c r="M170" s="407"/>
      <x:c r="N170" s="407"/>
      <x:c r="O170" s="407"/>
      <x:c r="P170" s="407"/>
      <x:c r="Q170" s="407"/>
      <x:c r="R170" s="407"/>
      <x:c r="S170" s="407"/>
      <x:c r="T170" s="407"/>
      <x:c r="U170" s="407"/>
      <x:c r="V170" s="407"/>
      <x:c r="W170" s="407"/>
      <x:c r="X170" s="407"/>
      <x:c r="Y170" s="407"/>
      <x:c r="Z170" s="407"/>
      <x:c r="AA170" s="407"/>
      <x:c r="AB170" s="407"/>
      <x:c r="AC170" s="407"/>
      <x:c r="AD170" s="407"/>
      <x:c r="AE170" s="407"/>
      <x:c r="AF170" s="407"/>
      <x:c r="AG170" s="407"/>
    </x:row>
    <x:row r="171">
      <x:c r="A171" s="407"/>
      <x:c r="B171" s="407"/>
      <x:c r="C171" s="407"/>
      <x:c r="D171" s="407"/>
      <x:c r="E171" s="407"/>
      <x:c r="F171" s="407"/>
      <x:c r="G171" s="407"/>
      <x:c r="H171" s="407"/>
      <x:c r="I171" s="407"/>
      <x:c r="J171" s="407"/>
      <x:c r="K171" s="407"/>
      <x:c r="L171" s="407"/>
      <x:c r="M171" s="407"/>
      <x:c r="N171" s="407"/>
      <x:c r="O171" s="407"/>
      <x:c r="P171" s="407"/>
      <x:c r="Q171" s="407"/>
      <x:c r="R171" s="407"/>
      <x:c r="S171" s="407"/>
      <x:c r="T171" s="407"/>
      <x:c r="U171" s="407"/>
      <x:c r="V171" s="407"/>
      <x:c r="W171" s="407"/>
      <x:c r="X171" s="407"/>
      <x:c r="Y171" s="407"/>
      <x:c r="Z171" s="407"/>
      <x:c r="AA171" s="407"/>
      <x:c r="AB171" s="407"/>
      <x:c r="AC171" s="407"/>
      <x:c r="AD171" s="407"/>
      <x:c r="AE171" s="407"/>
      <x:c r="AF171" s="407"/>
      <x:c r="AG171" s="407"/>
    </x:row>
    <x:row r="172">
      <x:c r="A172" s="407"/>
      <x:c r="B172" s="407"/>
      <x:c r="C172" s="407"/>
      <x:c r="D172" s="407"/>
      <x:c r="E172" s="407"/>
      <x:c r="F172" s="407"/>
      <x:c r="G172" s="407"/>
      <x:c r="H172" s="407"/>
      <x:c r="I172" s="407"/>
      <x:c r="J172" s="407"/>
      <x:c r="K172" s="407"/>
      <x:c r="L172" s="407"/>
      <x:c r="M172" s="407"/>
      <x:c r="N172" s="407"/>
      <x:c r="O172" s="407"/>
      <x:c r="P172" s="407"/>
      <x:c r="Q172" s="407"/>
      <x:c r="R172" s="407"/>
      <x:c r="S172" s="407"/>
      <x:c r="T172" s="407"/>
      <x:c r="U172" s="407"/>
      <x:c r="V172" s="407"/>
      <x:c r="W172" s="407"/>
      <x:c r="X172" s="407"/>
      <x:c r="Y172" s="407"/>
      <x:c r="Z172" s="407"/>
      <x:c r="AA172" s="407"/>
      <x:c r="AB172" s="407"/>
      <x:c r="AC172" s="407"/>
      <x:c r="AD172" s="407"/>
      <x:c r="AE172" s="407"/>
      <x:c r="AF172" s="407"/>
      <x:c r="AG172" s="407"/>
    </x:row>
    <x:row r="173">
      <x:c r="A173" s="407"/>
      <x:c r="B173" s="407"/>
      <x:c r="C173" s="407"/>
      <x:c r="D173" s="407"/>
      <x:c r="E173" s="407"/>
      <x:c r="F173" s="407"/>
      <x:c r="G173" s="407"/>
      <x:c r="H173" s="407"/>
      <x:c r="I173" s="407"/>
      <x:c r="J173" s="407"/>
      <x:c r="K173" s="407"/>
      <x:c r="L173" s="407"/>
      <x:c r="M173" s="407"/>
      <x:c r="N173" s="407"/>
      <x:c r="O173" s="407"/>
      <x:c r="P173" s="407"/>
      <x:c r="Q173" s="407"/>
      <x:c r="R173" s="407"/>
      <x:c r="S173" s="407"/>
      <x:c r="T173" s="407"/>
      <x:c r="U173" s="407"/>
      <x:c r="V173" s="407"/>
      <x:c r="W173" s="407"/>
      <x:c r="X173" s="407"/>
      <x:c r="Y173" s="407"/>
      <x:c r="Z173" s="407"/>
      <x:c r="AA173" s="407"/>
      <x:c r="AB173" s="407"/>
      <x:c r="AC173" s="407"/>
      <x:c r="AD173" s="407"/>
      <x:c r="AE173" s="407"/>
      <x:c r="AF173" s="407"/>
      <x:c r="AG173" s="407"/>
    </x:row>
    <x:row r="174">
      <x:c r="A174" s="407"/>
      <x:c r="B174" s="407"/>
      <x:c r="C174" s="407"/>
      <x:c r="D174" s="407"/>
      <x:c r="E174" s="407"/>
      <x:c r="F174" s="407"/>
      <x:c r="G174" s="407"/>
      <x:c r="H174" s="407"/>
      <x:c r="I174" s="407"/>
      <x:c r="J174" s="407"/>
      <x:c r="K174" s="407"/>
      <x:c r="L174" s="407"/>
      <x:c r="M174" s="407"/>
      <x:c r="N174" s="407"/>
      <x:c r="O174" s="407"/>
      <x:c r="P174" s="407"/>
      <x:c r="Q174" s="407"/>
      <x:c r="R174" s="407"/>
      <x:c r="S174" s="407"/>
      <x:c r="T174" s="407"/>
      <x:c r="U174" s="407"/>
      <x:c r="V174" s="407"/>
      <x:c r="W174" s="407"/>
      <x:c r="X174" s="407"/>
      <x:c r="Y174" s="407"/>
      <x:c r="Z174" s="407"/>
      <x:c r="AA174" s="407"/>
      <x:c r="AB174" s="407"/>
      <x:c r="AC174" s="407"/>
      <x:c r="AD174" s="407"/>
      <x:c r="AE174" s="407"/>
      <x:c r="AF174" s="407"/>
      <x:c r="AG174" s="407"/>
    </x:row>
    <x:row r="175">
      <x:c r="A175" s="407"/>
      <x:c r="B175" s="407"/>
      <x:c r="C175" s="407"/>
      <x:c r="D175" s="407"/>
      <x:c r="E175" s="407"/>
      <x:c r="F175" s="407"/>
      <x:c r="G175" s="407"/>
      <x:c r="H175" s="407"/>
      <x:c r="I175" s="407"/>
      <x:c r="J175" s="407"/>
      <x:c r="K175" s="407"/>
      <x:c r="L175" s="407"/>
      <x:c r="M175" s="407"/>
      <x:c r="N175" s="407"/>
      <x:c r="O175" s="407"/>
      <x:c r="P175" s="407"/>
      <x:c r="Q175" s="407"/>
      <x:c r="R175" s="407"/>
      <x:c r="S175" s="407"/>
      <x:c r="T175" s="407"/>
      <x:c r="U175" s="407"/>
      <x:c r="V175" s="407"/>
      <x:c r="W175" s="407"/>
      <x:c r="X175" s="407"/>
      <x:c r="Y175" s="407"/>
      <x:c r="Z175" s="407"/>
      <x:c r="AA175" s="407"/>
      <x:c r="AB175" s="407"/>
      <x:c r="AC175" s="407"/>
      <x:c r="AD175" s="407"/>
      <x:c r="AE175" s="407"/>
      <x:c r="AF175" s="407"/>
      <x:c r="AG175" s="407"/>
    </x:row>
    <x:row r="176">
      <x:c r="A176" s="407"/>
      <x:c r="B176" s="407"/>
      <x:c r="C176" s="407"/>
      <x:c r="D176" s="407"/>
      <x:c r="E176" s="407"/>
      <x:c r="F176" s="407"/>
      <x:c r="G176" s="407"/>
      <x:c r="H176" s="407"/>
      <x:c r="I176" s="407"/>
      <x:c r="J176" s="407"/>
      <x:c r="K176" s="407"/>
      <x:c r="L176" s="407"/>
      <x:c r="M176" s="407"/>
      <x:c r="N176" s="407"/>
      <x:c r="O176" s="407"/>
      <x:c r="P176" s="407"/>
      <x:c r="Q176" s="407"/>
      <x:c r="R176" s="407"/>
      <x:c r="S176" s="407"/>
      <x:c r="T176" s="407"/>
      <x:c r="U176" s="407"/>
      <x:c r="V176" s="407"/>
      <x:c r="W176" s="407"/>
      <x:c r="X176" s="407"/>
      <x:c r="Y176" s="407"/>
      <x:c r="Z176" s="407"/>
      <x:c r="AA176" s="407"/>
      <x:c r="AB176" s="407"/>
      <x:c r="AC176" s="407"/>
      <x:c r="AD176" s="407"/>
      <x:c r="AE176" s="407"/>
      <x:c r="AF176" s="407"/>
      <x:c r="AG176" s="407"/>
    </x:row>
    <x:row r="177">
      <x:c r="A177" s="407"/>
      <x:c r="B177" s="407"/>
      <x:c r="C177" s="407"/>
      <x:c r="D177" s="407"/>
      <x:c r="E177" s="407"/>
      <x:c r="F177" s="407"/>
      <x:c r="G177" s="407"/>
      <x:c r="H177" s="407"/>
      <x:c r="I177" s="407"/>
      <x:c r="J177" s="407"/>
      <x:c r="K177" s="407"/>
      <x:c r="L177" s="407"/>
      <x:c r="M177" s="407"/>
      <x:c r="N177" s="407"/>
      <x:c r="O177" s="407"/>
      <x:c r="P177" s="407"/>
      <x:c r="Q177" s="407"/>
      <x:c r="R177" s="407"/>
      <x:c r="S177" s="407"/>
      <x:c r="T177" s="407"/>
      <x:c r="U177" s="407"/>
      <x:c r="V177" s="407"/>
      <x:c r="W177" s="407"/>
      <x:c r="X177" s="407"/>
      <x:c r="Y177" s="407"/>
      <x:c r="Z177" s="407"/>
      <x:c r="AA177" s="407"/>
      <x:c r="AB177" s="407"/>
      <x:c r="AC177" s="407"/>
      <x:c r="AD177" s="407"/>
      <x:c r="AE177" s="407"/>
      <x:c r="AF177" s="407"/>
      <x:c r="AG177" s="407"/>
    </x:row>
    <x:row r="178">
      <x:c r="A178" s="407"/>
      <x:c r="B178" s="407"/>
      <x:c r="C178" s="407"/>
      <x:c r="D178" s="407"/>
      <x:c r="E178" s="407"/>
      <x:c r="F178" s="407"/>
      <x:c r="G178" s="407"/>
      <x:c r="H178" s="407"/>
      <x:c r="I178" s="407"/>
      <x:c r="J178" s="407"/>
      <x:c r="K178" s="407"/>
      <x:c r="L178" s="407"/>
      <x:c r="M178" s="407"/>
      <x:c r="N178" s="407"/>
      <x:c r="O178" s="407"/>
      <x:c r="P178" s="407"/>
      <x:c r="Q178" s="407"/>
      <x:c r="R178" s="407"/>
      <x:c r="S178" s="407"/>
      <x:c r="T178" s="407"/>
      <x:c r="U178" s="407"/>
      <x:c r="V178" s="407"/>
      <x:c r="W178" s="407"/>
      <x:c r="X178" s="407"/>
      <x:c r="Y178" s="407"/>
      <x:c r="Z178" s="407"/>
      <x:c r="AA178" s="407"/>
      <x:c r="AB178" s="407"/>
      <x:c r="AC178" s="407"/>
      <x:c r="AD178" s="407"/>
      <x:c r="AE178" s="407"/>
      <x:c r="AF178" s="407"/>
      <x:c r="AG178" s="407"/>
    </x:row>
    <x:row r="179">
      <x:c r="A179" s="407"/>
      <x:c r="B179" s="407"/>
      <x:c r="C179" s="407"/>
      <x:c r="D179" s="407"/>
      <x:c r="E179" s="407"/>
      <x:c r="F179" s="407"/>
      <x:c r="G179" s="407"/>
      <x:c r="H179" s="407"/>
      <x:c r="I179" s="407"/>
      <x:c r="J179" s="407"/>
      <x:c r="K179" s="407"/>
      <x:c r="L179" s="407"/>
      <x:c r="M179" s="407"/>
      <x:c r="N179" s="407"/>
      <x:c r="O179" s="407"/>
      <x:c r="P179" s="407"/>
      <x:c r="Q179" s="407"/>
      <x:c r="R179" s="407"/>
      <x:c r="S179" s="407"/>
      <x:c r="T179" s="407"/>
      <x:c r="U179" s="407"/>
      <x:c r="V179" s="407"/>
      <x:c r="W179" s="407"/>
      <x:c r="X179" s="407"/>
      <x:c r="Y179" s="407"/>
      <x:c r="Z179" s="407"/>
      <x:c r="AA179" s="407"/>
      <x:c r="AB179" s="407"/>
      <x:c r="AC179" s="407"/>
      <x:c r="AD179" s="407"/>
      <x:c r="AE179" s="407"/>
      <x:c r="AF179" s="407"/>
      <x:c r="AG179" s="407"/>
    </x:row>
    <x:row r="180">
      <x:c r="A180" s="407"/>
      <x:c r="B180" s="407"/>
      <x:c r="C180" s="407"/>
      <x:c r="D180" s="407"/>
      <x:c r="E180" s="407"/>
      <x:c r="F180" s="407"/>
      <x:c r="G180" s="407"/>
      <x:c r="H180" s="407"/>
      <x:c r="I180" s="407"/>
      <x:c r="J180" s="407"/>
      <x:c r="K180" s="407"/>
      <x:c r="L180" s="407"/>
      <x:c r="M180" s="407"/>
      <x:c r="N180" s="407"/>
      <x:c r="O180" s="407"/>
      <x:c r="P180" s="407"/>
      <x:c r="Q180" s="407"/>
      <x:c r="R180" s="407"/>
      <x:c r="S180" s="407"/>
      <x:c r="T180" s="407"/>
      <x:c r="U180" s="407"/>
      <x:c r="V180" s="407"/>
      <x:c r="W180" s="407"/>
      <x:c r="X180" s="407"/>
      <x:c r="Y180" s="407"/>
      <x:c r="Z180" s="407"/>
      <x:c r="AA180" s="407"/>
      <x:c r="AB180" s="407"/>
      <x:c r="AC180" s="407"/>
      <x:c r="AD180" s="407"/>
      <x:c r="AE180" s="407"/>
      <x:c r="AF180" s="407"/>
      <x:c r="AG180" s="407"/>
    </x:row>
  </x:sheetData>
  <x:mergeCells>
    <x:mergeCell ref="A1:N2"/>
    <x:mergeCell ref="A3:N3"/>
    <x:mergeCell ref="I25:N29"/>
    <x:mergeCell ref="A40:N47"/>
    <x:mergeCell ref="A49:N53"/>
  </x:mergeCells>
  <x:pageMargins left="0.7" right="0.7" top="0.75" bottom="0.75" header="0.3" footer="0.3"/>
  <x:tableParts count="5">
    <x:tablePart xmlns:r="http://schemas.openxmlformats.org/officeDocument/2006/relationships" r:id="R9c903e6c6ab54f85"/>
    <x:tablePart xmlns:r="http://schemas.openxmlformats.org/officeDocument/2006/relationships" r:id="Rbf0c544a495b4b77"/>
    <x:tablePart xmlns:r="http://schemas.openxmlformats.org/officeDocument/2006/relationships" r:id="R48ef9445b9f34e79"/>
    <x:tablePart xmlns:r="http://schemas.openxmlformats.org/officeDocument/2006/relationships" r:id="R96764a90558143a0"/>
    <x:tablePart xmlns:r="http://schemas.openxmlformats.org/officeDocument/2006/relationships" r:id="Rffd2be1e294946b0"/>
  </x:tableParts>
</x:worksheet>
</file>
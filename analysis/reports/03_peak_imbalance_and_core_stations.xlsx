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drawings/charts/chart10.xml" ContentType="application/vnd.openxmlformats-officedocument.drawingml.chart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drawings/charts/chart1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drawings/charts/chart1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d780f4ad6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結論總覽" sheetId="1" r:id="Rfd5dca351352474a"/>
    <x:sheet xmlns:r="http://schemas.openxmlformats.org/officeDocument/2006/relationships" name="定義與範圍" sheetId="2" r:id="R1c232ee5e7694418"/>
    <x:sheet xmlns:r="http://schemas.openxmlformats.org/officeDocument/2006/relationships" name="整體貢獻" sheetId="3" r:id="R8110367601844212"/>
    <x:sheet xmlns:r="http://schemas.openxmlformats.org/officeDocument/2006/relationships" name="四群比較" sheetId="4" r:id="Rab60c6caed064893"/>
    <x:sheet xmlns:r="http://schemas.openxmlformats.org/officeDocument/2006/relationships" name="核心價值" sheetId="5" r:id="R68a57def5dd7429d"/>
    <x:sheet xmlns:r="http://schemas.openxmlformats.org/officeDocument/2006/relationships" name="五月延續" sheetId="6" r:id="Re3ce407b9bb9486e"/>
    <x:sheet xmlns:r="http://schemas.openxmlformats.org/officeDocument/2006/relationships" name="每小時趨勢" sheetId="7" r:id="R9ae234f46a184247"/>
    <x:sheet xmlns:r="http://schemas.openxmlformats.org/officeDocument/2006/relationships" name="星期時段熱圖" sheetId="8" r:id="R87f1e3212ba74ae7"/>
    <x:sheet xmlns:r="http://schemas.openxmlformats.org/officeDocument/2006/relationships" name="事件頻率與持續" sheetId="9" r:id="R51d2a0cf4c5942fd"/>
    <x:sheet xmlns:r="http://schemas.openxmlformats.org/officeDocument/2006/relationships" name="無車與滿柱" sheetId="10" r:id="R3b151844d48542cc"/>
    <x:sheet xmlns:r="http://schemas.openxmlformats.org/officeDocument/2006/relationships" name="失衡率分布" sheetId="11" r:id="R740ef62d3bdf4bcc"/>
    <x:sheet xmlns:r="http://schemas.openxmlformats.org/officeDocument/2006/relationships" name="高價值核心站" sheetId="12" r:id="R97402363b6294ce0"/>
    <x:sheet xmlns:r="http://schemas.openxmlformats.org/officeDocument/2006/relationships" name="高失衡前25%" sheetId="13" r:id="R9ced0e33c9d84512"/>
    <x:sheet xmlns:r="http://schemas.openxmlformats.org/officeDocument/2006/relationships" name="資料疑點" sheetId="14" r:id="Rf0e4029bc3d24a4f"/>
    <x:sheet xmlns:r="http://schemas.openxmlformats.org/officeDocument/2006/relationships" name="行政區分布" sheetId="15" r:id="R8f887520057c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0%"/>
    <x:numFmt numFmtId="203" formatCode="0.00x"/>
    <x:numFmt numFmtId="204" formatCode="0.00"/>
    <x:numFmt numFmtId="205" formatCode="0.0"/>
  </x:numFmts>
  <x:fonts count="11">
    <x:font>
      <x:sz val="11"/>
      <x:name val="Carlito"/>
    </x:font>
    <x:font>
      <x:b/>
      <x:sz val="18"/>
      <x:color rgb="FFFFFFFF"/>
      <x:name val="Microsoft JhengHei"/>
    </x:font>
    <x:font>
      <x:sz val="10"/>
      <x:color rgb="FF5B6573"/>
      <x:name val="Microsoft JhengHei"/>
    </x:font>
    <x:font>
      <x:b/>
      <x:sz val="10"/>
      <x:color rgb="FF16324F"/>
      <x:name val="Microsoft JhengHei"/>
    </x:font>
    <x:font>
      <x:b/>
      <x:sz val="17"/>
      <x:color rgb="FF16324F"/>
      <x:name val="Microsoft JhengHei"/>
    </x:font>
    <x:font>
      <x:b/>
      <x:sz val="11"/>
      <x:color rgb="FFFFFFFF"/>
      <x:name val="Microsoft JhengHei"/>
    </x:font>
    <x:font>
      <x:b/>
      <x:sz val="10"/>
      <x:color rgb="FFFFFFFF"/>
      <x:name val="Microsoft JhengHei"/>
    </x:font>
    <x:font>
      <x:sz val="9"/>
      <x:color rgb="FF1F2937"/>
      <x:name val="Microsoft JhengHei"/>
    </x:font>
    <x:font>
      <x:sz val="10"/>
      <x:color rgb="FF1F2937"/>
      <x:name val="Microsoft JhengHei"/>
    </x:font>
    <x:font>
      <x:sz val="8"/>
      <x:color rgb="FF1F2937"/>
      <x:name val="Microsoft JhengHei"/>
    </x:font>
    <x:font>
      <x:sz val="11"/>
      <x:name val="Microsoft Jheng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3F7FA"/>
      </x:patternFill>
    </x:fill>
    <x:fill>
      <x:patternFill patternType="solid">
        <x:fgColor rgb="FFDDF3EF"/>
      </x:patternFill>
    </x:fill>
    <x:fill>
      <x:patternFill patternType="solid">
        <x:fgColor rgb="FFFBE3DE"/>
      </x:patternFill>
    </x:fill>
    <x:fill>
      <x:patternFill patternType="solid">
        <x:fgColor rgb="FFEEE8F6"/>
      </x:patternFill>
    </x:fill>
    <x:fill>
      <x:patternFill patternType="solid">
        <x:fgColor rgb="FF2A9D8F"/>
      </x:patternFill>
    </x:fill>
    <x:fill>
      <x:patternFill patternType="solid">
        <x:fgColor rgb="FFF4A261"/>
      </x:patternFill>
    </x:fill>
    <x:fill>
      <x:patternFill patternType="solid">
        <x:fgColor rgb="FFFCE9D6"/>
      </x:patternFill>
    </x:fill>
    <x:fill>
      <x:patternFill patternType="solid">
        <x:fgColor rgb="FF7B61A8"/>
      </x:patternFill>
    </x:fill>
  </x:fills>
  <x:borders count="13">
    <x:border/>
    <x:border>
      <x:left style="thin">
        <x:color rgb="FFCAD5DF"/>
      </x:left>
      <x:top style="thin">
        <x:color rgb="FFCAD5DF"/>
      </x:top>
      <x:bottom style="thin">
        <x:color rgb="FFCAD5DF"/>
      </x:bottom>
    </x:border>
    <x:border>
      <x:top style="thin">
        <x:color rgb="FFCAD5DF"/>
      </x:top>
      <x:bottom style="thin">
        <x:color rgb="FFCAD5DF"/>
      </x:bottom>
    </x:border>
    <x:border>
      <x:right style="thin">
        <x:color rgb="FFCAD5DF"/>
      </x:right>
      <x:top style="thin">
        <x:color rgb="FFCAD5DF"/>
      </x:top>
      <x:bottom style="thin">
        <x:color rgb="FFCAD5DF"/>
      </x:bottom>
    </x:border>
    <x:border>
      <x:left style="thin">
        <x:color rgb="FFCAD5DF"/>
      </x:left>
      <x:top style="thin">
        <x:color rgb="FFCAD5DF"/>
      </x:top>
    </x:border>
    <x:border>
      <x:top style="thin">
        <x:color rgb="FFCAD5DF"/>
      </x:top>
    </x:border>
    <x:border>
      <x:right style="thin">
        <x:color rgb="FFCAD5DF"/>
      </x:right>
      <x:top style="thin">
        <x:color rgb="FFCAD5DF"/>
      </x:top>
    </x:border>
    <x:border>
      <x:left style="thin">
        <x:color rgb="FFCAD5DF"/>
      </x:left>
      <x:bottom style="thin">
        <x:color rgb="FFCAD5DF"/>
      </x:bottom>
    </x:border>
    <x:border>
      <x:bottom style="thin">
        <x:color rgb="FFCAD5DF"/>
      </x:bottom>
    </x:border>
    <x:border>
      <x:right style="thin">
        <x:color rgb="FFCAD5DF"/>
      </x:right>
      <x:bottom style="thin">
        <x:color rgb="FFCAD5DF"/>
      </x:bottom>
    </x:border>
    <x:border>
      <x:left style="thin">
        <x:color rgb="FFCAD5DF"/>
      </x:left>
      <x:right style="thin">
        <x:color rgb="FFCAD5DF"/>
      </x:right>
      <x:top style="thin">
        <x:color rgb="FFCAD5DF"/>
      </x:top>
      <x:bottom style="thin">
        <x:color rgb="FFCAD5DF"/>
      </x:bottom>
    </x:border>
    <x:border>
      <x:left style="thin">
        <x:color rgb="FFCAD5DF"/>
      </x:left>
    </x:border>
    <x:border>
      <x:right style="thin">
        <x:color rgb="FFCAD5DF"/>
      </x:right>
    </x:border>
  </x:borders>
  <x:cellStyleXfs count="1">
    <x:xf numFmtId="0" fontId="0" fillId="0" borderId="0"/>
  </x:cellStyleXfs>
  <x:cellXfs count="2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horizontal="center"/>
    </x:xf>
    <x:xf numFmtId="0" fontId="4" fillId="4" borderId="9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0" fontId="4" fillId="4" borderId="7" xfId="0" applyNumberFormat="1" applyFont="1" applyFill="1" applyBorder="1" applyAlignment="1">
      <x:alignment horizontal="center" vertical="center"/>
    </x:xf>
    <x:xf numFmtId="200" fontId="4" fillId="4" borderId="8" xfId="0" applyNumberFormat="1" applyFont="1" applyFill="1" applyBorder="1" applyAlignment="1">
      <x:alignment horizontal="center" vertical="center"/>
    </x:xf>
    <x:xf numFmtId="200" fontId="4" fillId="4" borderId="9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0" fontId="4" fillId="5" borderId="8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7" xfId="0" applyNumberFormat="1" applyFont="1" applyFill="1" applyBorder="1" applyAlignment="1">
      <x:alignment horizontal="center"/>
    </x:xf>
    <x:xf numFmtId="0" fontId="4" fillId="6" borderId="8" xfId="0" applyNumberFormat="1" applyFont="1" applyFill="1" applyBorder="1" applyAlignment="1">
      <x:alignment horizontal="center"/>
    </x:xf>
    <x:xf numFmtId="0" fontId="4" fillId="6" borderId="9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0" fontId="4" fillId="6" borderId="7" xfId="0" applyNumberFormat="1" applyFont="1" applyFill="1" applyBorder="1" applyAlignment="1">
      <x:alignment horizontal="center" vertical="center"/>
    </x:xf>
    <x:xf numFmtId="0" fontId="4" fillId="6" borderId="8" xfId="0" applyNumberFormat="1" applyFont="1" applyFill="1" applyBorder="1" applyAlignment="1">
      <x:alignment horizontal="center" vertical="center"/>
    </x:xf>
    <x:xf numFmtId="0" fontId="4" fillId="6" borderId="9" xfId="0" applyNumberFormat="1" applyFont="1" applyFill="1" applyBorder="1" applyAlignment="1">
      <x:alignment horizontal="center" vertical="center"/>
    </x:xf>
    <x:xf numFmtId="200" fontId="4" fillId="6" borderId="4" xfId="0" applyNumberFormat="1" applyFont="1" applyFill="1" applyBorder="1" applyAlignment="1">
      <x:alignment horizontal="center" vertical="center"/>
    </x:xf>
    <x:xf numFmtId="200" fontId="4" fillId="6" borderId="5" xfId="0" applyNumberFormat="1" applyFont="1" applyFill="1" applyBorder="1" applyAlignment="1">
      <x:alignment horizontal="center" vertical="center"/>
    </x:xf>
    <x:xf numFmtId="200" fontId="4" fillId="6" borderId="6" xfId="0" applyNumberFormat="1" applyFont="1" applyFill="1" applyBorder="1" applyAlignment="1">
      <x:alignment horizontal="center" vertical="center"/>
    </x:xf>
    <x:xf numFmtId="200" fontId="4" fillId="6" borderId="7" xfId="0" applyNumberFormat="1" applyFont="1" applyFill="1" applyBorder="1" applyAlignment="1">
      <x:alignment horizontal="center" vertical="center"/>
    </x:xf>
    <x:xf numFmtId="200" fontId="4" fillId="6" borderId="8" xfId="0" applyNumberFormat="1" applyFont="1" applyFill="1" applyBorder="1" applyAlignment="1">
      <x:alignment horizontal="center" vertical="center"/>
    </x:xf>
    <x:xf numFmtId="200" fontId="4" fillId="6" borderId="9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1" fontId="4" fillId="5" borderId="7" xfId="0" applyNumberFormat="1" applyFont="1" applyFill="1" applyBorder="1" applyAlignment="1">
      <x:alignment horizontal="center" vertical="center"/>
    </x:xf>
    <x:xf numFmtId="201" fontId="4" fillId="5" borderId="8" xfId="0" applyNumberFormat="1" applyFont="1" applyFill="1" applyBorder="1" applyAlignment="1">
      <x:alignment horizontal="center" vertical="center"/>
    </x:xf>
    <x:xf numFmtId="201" fontId="4" fillId="5" borderId="9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1" fontId="4" fillId="6" borderId="6" xfId="0" applyNumberFormat="1" applyFont="1" applyFill="1" applyBorder="1" applyAlignment="1">
      <x:alignment horizontal="center" vertical="center"/>
    </x:xf>
    <x:xf numFmtId="201" fontId="4" fillId="6" borderId="7" xfId="0" applyNumberFormat="1" applyFont="1" applyFill="1" applyBorder="1" applyAlignment="1">
      <x:alignment horizontal="center" vertical="center"/>
    </x:xf>
    <x:xf numFmtId="201" fontId="4" fillId="6" borderId="8" xfId="0" applyNumberFormat="1" applyFont="1" applyFill="1" applyBorder="1" applyAlignment="1">
      <x:alignment horizontal="center" vertical="center"/>
    </x:xf>
    <x:xf numFmtId="201" fontId="4" fillId="6" borderId="9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horizont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3" borderId="1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0" xfId="0" applyNumberFormat="1" applyFont="1" applyFill="1" applyBorder="1"/>
    <x:xf numFmtId="0" fontId="6" fillId="8" borderId="10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horizontal="center" wrapText="1"/>
    </x:xf>
    <x:xf numFmtId="0" fontId="6" fillId="8" borderId="10" xfId="0" applyNumberFormat="1" applyFont="1" applyFill="1" applyBorder="1" applyAlignment="1">
      <x:alignment horizontal="center" vertical="center" wrapText="1"/>
    </x:xf>
    <x:xf numFmtId="0" fontId="7" fillId="0" borderId="10" xfId="0" applyNumberFormat="1" applyFont="1" applyFill="1" applyBorder="1" applyAlignment="1">
      <x:alignment wrapText="0"/>
    </x:xf>
    <x:xf numFmtId="0" fontId="7" fillId="0" borderId="10" xfId="0" applyNumberFormat="1" applyFont="1" applyFill="1" applyBorder="1" applyAlignment="1">
      <x:alignment vertical="center" wrapText="0"/>
    </x:xf>
    <x:xf numFmtId="0" fontId="7" fillId="3" borderId="10" xfId="0" applyNumberFormat="1" applyFont="1" applyFill="1" applyBorder="1" applyAlignment="1">
      <x:alignment vertical="center" wrapText="0"/>
    </x:xf>
    <x:xf numFmtId="201" fontId="7" fillId="3" borderId="10" xfId="0" applyNumberFormat="1" applyFont="1" applyFill="1" applyBorder="1" applyAlignment="1">
      <x:alignment vertical="center" wrapText="0"/>
    </x:xf>
    <x:xf numFmtId="201" fontId="7" fillId="0" borderId="10" xfId="0" applyNumberFormat="1" applyFont="1" applyFill="1" applyBorder="1" applyAlignment="1">
      <x:alignment vertical="center" wrapText="0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4" xfId="0" applyNumberFormat="1" applyFont="1" applyFill="1" applyBorder="1"/>
    <x:xf numFmtId="0" fontId="8" fillId="9" borderId="5" xfId="0" applyNumberFormat="1" applyFont="1" applyFill="1" applyBorder="1"/>
    <x:xf numFmtId="0" fontId="8" fillId="9" borderId="6" xfId="0" applyNumberFormat="1" applyFont="1" applyFill="1" applyBorder="1"/>
    <x:xf numFmtId="0" fontId="8" fillId="9" borderId="11" xfId="0" applyNumberFormat="1" applyFont="1" applyFill="1" applyBorder="1"/>
    <x:xf numFmtId="0" fontId="8" fillId="9" borderId="12" xfId="0" applyNumberFormat="1" applyFont="1" applyFill="1" applyBorder="1"/>
    <x:xf numFmtId="0" fontId="8" fillId="9" borderId="7" xfId="0" applyNumberFormat="1" applyFont="1" applyFill="1" applyBorder="1"/>
    <x:xf numFmtId="0" fontId="8" fillId="9" borderId="8" xfId="0" applyNumberFormat="1" applyFont="1" applyFill="1" applyBorder="1"/>
    <x:xf numFmtId="0" fontId="8" fillId="9" borderId="9" xfId="0" applyNumberFormat="1" applyFont="1" applyFill="1" applyBorder="1"/>
    <x:xf numFmtId="0" fontId="8" fillId="9" borderId="4" xfId="0" applyNumberFormat="1" applyFont="1" applyFill="1" applyBorder="1" applyAlignment="1">
      <x:alignment wrapText="1"/>
    </x:xf>
    <x:xf numFmtId="0" fontId="8" fillId="9" borderId="5" xfId="0" applyNumberFormat="1" applyFont="1" applyFill="1" applyBorder="1" applyAlignment="1">
      <x:alignment wrapText="1"/>
    </x:xf>
    <x:xf numFmtId="0" fontId="8" fillId="9" borderId="6" xfId="0" applyNumberFormat="1" applyFont="1" applyFill="1" applyBorder="1" applyAlignment="1">
      <x:alignment wrapText="1"/>
    </x:xf>
    <x:xf numFmtId="0" fontId="8" fillId="9" borderId="11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8" fillId="9" borderId="12" xfId="0" applyNumberFormat="1" applyFont="1" applyFill="1" applyBorder="1" applyAlignment="1">
      <x:alignment wrapText="1"/>
    </x:xf>
    <x:xf numFmtId="0" fontId="8" fillId="9" borderId="7" xfId="0" applyNumberFormat="1" applyFont="1" applyFill="1" applyBorder="1" applyAlignment="1">
      <x:alignment wrapText="1"/>
    </x:xf>
    <x:xf numFmtId="0" fontId="8" fillId="9" borderId="8" xfId="0" applyNumberFormat="1" applyFont="1" applyFill="1" applyBorder="1" applyAlignment="1">
      <x:alignment wrapText="1"/>
    </x:xf>
    <x:xf numFmtId="0" fontId="8" fillId="9" borderId="9" xfId="0" applyNumberFormat="1" applyFont="1" applyFill="1" applyBorder="1" applyAlignment="1">
      <x:alignment wrapText="1"/>
    </x:xf>
    <x:xf numFmtId="0" fontId="8" fillId="9" borderId="4" xfId="0" applyNumberFormat="1" applyFont="1" applyFill="1" applyBorder="1" applyAlignment="1">
      <x:alignment vertical="center" wrapText="1"/>
    </x:xf>
    <x:xf numFmtId="0" fontId="8" fillId="9" borderId="5" xfId="0" applyNumberFormat="1" applyFont="1" applyFill="1" applyBorder="1" applyAlignment="1">
      <x:alignment vertical="center" wrapText="1"/>
    </x:xf>
    <x:xf numFmtId="0" fontId="8" fillId="9" borderId="6" xfId="0" applyNumberFormat="1" applyFont="1" applyFill="1" applyBorder="1" applyAlignment="1">
      <x:alignment vertical="center" wrapText="1"/>
    </x:xf>
    <x:xf numFmtId="0" fontId="8" fillId="9" borderId="11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12" xfId="0" applyNumberFormat="1" applyFont="1" applyFill="1" applyBorder="1" applyAlignment="1">
      <x:alignment vertical="center" wrapText="1"/>
    </x:xf>
    <x:xf numFmtId="0" fontId="8" fillId="9" borderId="7" xfId="0" applyNumberFormat="1" applyFont="1" applyFill="1" applyBorder="1" applyAlignment="1">
      <x:alignment vertical="center" wrapText="1"/>
    </x:xf>
    <x:xf numFmtId="0" fontId="8" fillId="9" borderId="8" xfId="0" applyNumberFormat="1" applyFont="1" applyFill="1" applyBorder="1" applyAlignment="1">
      <x:alignment vertical="center" wrapText="1"/>
    </x:xf>
    <x:xf numFmtId="0" fontId="8" fillId="9" borderId="9" xfId="0" applyNumberFormat="1" applyFont="1" applyFill="1" applyBorder="1" applyAlignment="1">
      <x:alignment vertical="center" wrapText="1"/>
    </x:xf>
    <x:xf numFmtId="202" fontId="7" fillId="0" borderId="1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4" xfId="0" applyNumberFormat="1" applyFont="1" applyFill="1" applyBorder="1" applyAlignment="1">
      <x:alignment wrapText="1"/>
    </x:xf>
    <x:xf numFmtId="0" fontId="8" fillId="5" borderId="5" xfId="0" applyNumberFormat="1" applyFont="1" applyFill="1" applyBorder="1" applyAlignment="1">
      <x:alignment wrapText="1"/>
    </x:xf>
    <x:xf numFmtId="0" fontId="8" fillId="5" borderId="6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wrapText="1"/>
    </x:xf>
    <x:xf numFmtId="0" fontId="8" fillId="5" borderId="7" xfId="0" applyNumberFormat="1" applyFont="1" applyFill="1" applyBorder="1" applyAlignment="1">
      <x:alignment wrapText="1"/>
    </x:xf>
    <x:xf numFmtId="0" fontId="8" fillId="5" borderId="8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wrapText="1"/>
    </x:xf>
    <x:xf numFmtId="0" fontId="8" fillId="5" borderId="4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vertical="center" wrapText="1"/>
    </x:xf>
    <x:xf numFmtId="0" fontId="8" fillId="5" borderId="6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2" xfId="0" applyNumberFormat="1" applyFont="1" applyFill="1" applyBorder="1" applyAlignment="1">
      <x:alignment vertical="center" wrapText="1"/>
    </x:xf>
    <x:xf numFmtId="0" fontId="8" fillId="5" borderId="7" xfId="0" applyNumberFormat="1" applyFont="1" applyFill="1" applyBorder="1" applyAlignment="1">
      <x:alignment vertical="center" wrapText="1"/>
    </x:xf>
    <x:xf numFmtId="0" fontId="8" fillId="5" borderId="8" xfId="0" applyNumberFormat="1" applyFont="1" applyFill="1" applyBorder="1" applyAlignment="1">
      <x:alignment vertical="center" wrapText="1"/>
    </x:xf>
    <x:xf numFmtId="0" fontId="8" fillId="5" borderId="9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11" xfId="0" applyNumberFormat="1" applyFont="1" applyFill="1" applyBorder="1"/>
    <x:xf numFmtId="0" fontId="8" fillId="4" borderId="12" xfId="0" applyNumberFormat="1" applyFont="1" applyFill="1" applyBorder="1"/>
    <x:xf numFmtId="0" fontId="8" fillId="4" borderId="7" xfId="0" applyNumberFormat="1" applyFont="1" applyFill="1" applyBorder="1"/>
    <x:xf numFmtId="0" fontId="8" fillId="4" borderId="8" xfId="0" applyNumberFormat="1" applyFont="1" applyFill="1" applyBorder="1"/>
    <x:xf numFmtId="0" fontId="8" fillId="4" borderId="9" xfId="0" applyNumberFormat="1" applyFont="1" applyFill="1" applyBorder="1"/>
    <x:xf numFmtId="0" fontId="8" fillId="4" borderId="4" xfId="0" applyNumberFormat="1" applyFont="1" applyFill="1" applyBorder="1" applyAlignment="1">
      <x:alignment wrapText="1"/>
    </x:xf>
    <x:xf numFmtId="0" fontId="8" fillId="4" borderId="5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wrapText="1"/>
    </x:xf>
    <x:xf numFmtId="0" fontId="8" fillId="4" borderId="11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12" xfId="0" applyNumberFormat="1" applyFont="1" applyFill="1" applyBorder="1" applyAlignment="1">
      <x:alignment wrapText="1"/>
    </x:xf>
    <x:xf numFmtId="0" fontId="8" fillId="4" borderId="7" xfId="0" applyNumberFormat="1" applyFont="1" applyFill="1" applyBorder="1" applyAlignment="1">
      <x:alignment wrapText="1"/>
    </x:xf>
    <x:xf numFmtId="0" fontId="8" fillId="4" borderId="8" xfId="0" applyNumberFormat="1" applyFont="1" applyFill="1" applyBorder="1" applyAlignment="1">
      <x:alignment wrapText="1"/>
    </x:xf>
    <x:xf numFmtId="0" fontId="8" fillId="4" borderId="9" xfId="0" applyNumberFormat="1" applyFont="1" applyFill="1" applyBorder="1" applyAlignment="1">
      <x:alignment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8" fillId="4" borderId="6" xfId="0" applyNumberFormat="1" applyFont="1" applyFill="1" applyBorder="1" applyAlignment="1">
      <x:alignment vertical="center" wrapText="1"/>
    </x:xf>
    <x:xf numFmtId="0" fontId="8" fillId="4" borderId="1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12" xfId="0" applyNumberFormat="1" applyFont="1" applyFill="1" applyBorder="1" applyAlignment="1">
      <x:alignment vertical="center" wrapText="1"/>
    </x:xf>
    <x:xf numFmtId="0" fontId="8" fillId="4" borderId="7" xfId="0" applyNumberFormat="1" applyFont="1" applyFill="1" applyBorder="1" applyAlignment="1">
      <x:alignment vertical="center" wrapText="1"/>
    </x:xf>
    <x:xf numFmtId="0" fontId="8" fillId="4" borderId="8" xfId="0" applyNumberFormat="1" applyFont="1" applyFill="1" applyBorder="1" applyAlignment="1">
      <x:alignment vertical="center" wrapText="1"/>
    </x:xf>
    <x:xf numFmtId="0" fontId="8" fillId="4" borderId="9" xfId="0" applyNumberFormat="1" applyFont="1" applyFill="1" applyBorder="1" applyAlignment="1">
      <x:alignment vertical="center" wrapText="1"/>
    </x:xf>
    <x:xf numFmtId="203" fontId="7" fillId="3" borderId="10" xfId="0" applyNumberFormat="1" applyFont="1" applyFill="1" applyBorder="1" applyAlignment="1">
      <x:alignment vertical="center" wrapText="0"/>
    </x:xf>
    <x:xf numFmtId="203" fontId="7" fillId="0" borderId="10" xfId="0" applyNumberFormat="1" applyFont="1" applyFill="1" applyBorder="1" applyAlignment="1">
      <x:alignment vertical="center" wrapText="0"/>
    </x:xf>
    <x:xf numFmtId="204" fontId="7" fillId="3" borderId="10" xfId="0" applyNumberFormat="1" applyFont="1" applyFill="1" applyBorder="1" applyAlignment="1">
      <x:alignment vertical="center" wrapText="0"/>
    </x:xf>
    <x:xf numFmtId="204" fontId="7" fillId="0" borderId="10" xfId="0" applyNumberFormat="1" applyFont="1" applyFill="1" applyBorder="1" applyAlignment="1">
      <x:alignment vertical="center" wrapText="0"/>
    </x:xf>
    <x:xf numFmtId="201" fontId="7" fillId="3" borderId="10" xfId="0" applyNumberFormat="1" applyFont="1" applyFill="1" applyBorder="1" applyAlignment="1">
      <x:alignment vertical="center" wrapText="1"/>
    </x:xf>
    <x:xf numFmtId="201" fontId="7" fillId="0" borderId="1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/>
    <x:xf numFmtId="0" fontId="6" fillId="10" borderId="10" xfId="0" applyNumberFormat="1" applyFont="1" applyFill="1" applyBorder="1"/>
    <x:xf numFmtId="0" fontId="6" fillId="10" borderId="10" xfId="0" applyNumberFormat="1" applyFont="1" applyFill="1" applyBorder="1" applyAlignment="1">
      <x:alignment wrapText="1"/>
    </x:xf>
    <x:xf numFmtId="0" fontId="6" fillId="10" borderId="10" xfId="0" applyNumberFormat="1" applyFont="1" applyFill="1" applyBorder="1" applyAlignment="1">
      <x:alignment horizontal="center" wrapText="1"/>
    </x:xf>
    <x:xf numFmtId="0" fontId="6" fillId="10" borderId="10" xfId="0" applyNumberFormat="1" applyFont="1" applyFill="1" applyBorder="1" applyAlignment="1">
      <x:alignment horizontal="center" vertical="center" wrapText="1"/>
    </x:xf>
    <x:xf numFmtId="205" fontId="7" fillId="3" borderId="10" xfId="0" applyNumberFormat="1" applyFont="1" applyFill="1" applyBorder="1" applyAlignment="1">
      <x:alignment vertical="center" wrapText="0"/>
    </x:xf>
    <x:xf numFmtId="205" fontId="7" fillId="0" borderId="10" xfId="0" applyNumberFormat="1" applyFont="1" applyFill="1" applyBorder="1" applyAlignment="1">
      <x:alignment vertical="center" wrapText="0"/>
    </x:xf>
    <x:xf numFmtId="204" fontId="7" fillId="3" borderId="10" xfId="0" applyNumberFormat="1" applyFont="1" applyFill="1" applyBorder="1" applyAlignment="1">
      <x:alignment vertical="center" wrapText="1"/>
    </x:xf>
    <x:xf numFmtId="204" fontId="7" fillId="0" borderId="1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0" xfId="0" applyNumberFormat="1" applyFont="1" applyFill="1" applyBorder="1"/>
    <x:xf numFmtId="0" fontId="9" fillId="0" borderId="10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vertical="center" wrapText="1"/>
    </x:xf>
    <x:xf numFmtId="0" fontId="9" fillId="3" borderId="10" xfId="0" applyNumberFormat="1" applyFont="1" applyFill="1" applyBorder="1" applyAlignment="1">
      <x:alignment vertical="center" wrapText="1"/>
    </x:xf>
    <x:xf numFmtId="201" fontId="9" fillId="3" borderId="10" xfId="0" applyNumberFormat="1" applyFont="1" applyFill="1" applyBorder="1" applyAlignment="1">
      <x:alignment vertical="center" wrapText="1"/>
    </x:xf>
    <x:xf numFmtId="201" fontId="9" fillId="0" borderId="10" xfId="0" applyNumberFormat="1" applyFont="1" applyFill="1" applyBorder="1" applyAlignment="1">
      <x:alignment vertical="center" wrapText="1"/>
    </x:xf>
    <x:xf numFmtId="204" fontId="9" fillId="3" borderId="10" xfId="0" applyNumberFormat="1" applyFont="1" applyFill="1" applyBorder="1" applyAlignment="1">
      <x:alignment vertical="center" wrapText="1"/>
    </x:xf>
    <x:xf numFmtId="204" fontId="9" fillId="0" borderId="1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E76F51"/>
      </x:font>
      <x:fill>
        <x:patternFill patternType="solid">
          <x:bgColor rgb="FFFBE3DE"/>
        </x:patternFill>
      </x:fill>
    </x:dxf>
    <x:dxf>
      <x:font>
        <x:b/>
        <x:color rgb="FF7B61A8"/>
      </x:font>
      <x:fill>
        <x:patternFill patternType="solid">
          <x:bgColor rgb="FFEEE8F6"/>
        </x:patternFill>
      </x:fill>
    </x:dxf>
    <x:dxf>
      <x:font>
        <x:b/>
        <x:color rgb="FFE76F51"/>
      </x:font>
      <x:fill>
        <x:patternFill patternType="solid">
          <x:bgColor rgb="FFFBE3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905ae65cd457d" /><Relationship Type="http://schemas.openxmlformats.org/officeDocument/2006/relationships/theme" Target="/xl/theme/theme1.xml" Id="R901edb3a89384990" /><Relationship Type="http://schemas.openxmlformats.org/officeDocument/2006/relationships/sharedStrings" Target="/xl/sharedStrings.xml" Id="R06edf2d5b00348e8" /><Relationship Type="http://schemas.openxmlformats.org/officeDocument/2006/relationships/worksheet" Target="/xl/worksheets/sheet1.xml" Id="Rfd5dca351352474a" /><Relationship Type="http://schemas.openxmlformats.org/officeDocument/2006/relationships/worksheet" Target="/xl/worksheets/sheet2.xml" Id="R1c232ee5e7694418" /><Relationship Type="http://schemas.openxmlformats.org/officeDocument/2006/relationships/worksheet" Target="/xl/worksheets/sheet3.xml" Id="R8110367601844212" /><Relationship Type="http://schemas.openxmlformats.org/officeDocument/2006/relationships/worksheet" Target="/xl/worksheets/sheet4.xml" Id="Rab60c6caed064893" /><Relationship Type="http://schemas.openxmlformats.org/officeDocument/2006/relationships/worksheet" Target="/xl/worksheets/sheet5.xml" Id="R68a57def5dd7429d" /><Relationship Type="http://schemas.openxmlformats.org/officeDocument/2006/relationships/worksheet" Target="/xl/worksheets/sheet6.xml" Id="Re3ce407b9bb9486e" /><Relationship Type="http://schemas.openxmlformats.org/officeDocument/2006/relationships/worksheet" Target="/xl/worksheets/sheet7.xml" Id="R9ae234f46a184247" /><Relationship Type="http://schemas.openxmlformats.org/officeDocument/2006/relationships/worksheet" Target="/xl/worksheets/sheet8.xml" Id="R87f1e3212ba74ae7" /><Relationship Type="http://schemas.openxmlformats.org/officeDocument/2006/relationships/worksheet" Target="/xl/worksheets/sheet9.xml" Id="R51d2a0cf4c5942fd" /><Relationship Type="http://schemas.openxmlformats.org/officeDocument/2006/relationships/worksheet" Target="/xl/worksheets/sheet10.xml" Id="R3b151844d48542cc" /><Relationship Type="http://schemas.openxmlformats.org/officeDocument/2006/relationships/worksheet" Target="/xl/worksheets/sheet11.xml" Id="R740ef62d3bdf4bcc" /><Relationship Type="http://schemas.openxmlformats.org/officeDocument/2006/relationships/worksheet" Target="/xl/worksheets/sheet12.xml" Id="R97402363b6294ce0" /><Relationship Type="http://schemas.openxmlformats.org/officeDocument/2006/relationships/worksheet" Target="/xl/worksheets/sheet13.xml" Id="R9ced0e33c9d84512" /><Relationship Type="http://schemas.openxmlformats.org/officeDocument/2006/relationships/worksheet" Target="/xl/worksheets/sheet14.xml" Id="Rf0e4029bc3d24a4f" /><Relationship Type="http://schemas.openxmlformats.org/officeDocument/2006/relationships/worksheet" Target="/xl/worksheets/sheet15.xml" Id="R8f887520057c42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fd71dae8c2a4cf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ac1103eb3304d5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910fdc9057446e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ec250039e5c435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09e4605d2ca0464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3bd770739f98423b" /><Relationship Type="http://schemas.openxmlformats.org/officeDocument/2006/relationships/chart" Target="/xl/drawings/charts/chart7.xml" Id="Ra25ffa34b5984f93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62064f1c8cae4d19" /><Relationship Type="http://schemas.openxmlformats.org/officeDocument/2006/relationships/chart" Target="/xl/drawings/charts/chart9.xml" Id="Rf8fa7c41b4754cde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ab6d8a474e6c41cc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9a951582a76e474c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90c3946968c74a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四群占比：活動與尖峰失衡落在不同站群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站點占比</c:v>
          </c:tx>
          <c:cat>
            <c:strRef>
              <c:f>'結論總覽'!$A$19:$A$22</c:f>
              <c:strCache>
                <c:ptCount val="0"/>
              </c:strCache>
            </c:strRef>
          </c:cat>
          <c:val>
            <c:numRef>
              <c:f>'結論總覽'!$B$19:$B$22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活動占比</c:v>
          </c:tx>
          <c:cat>
            <c:strRef>
              <c:f>'結論總覽'!$A$19:$A$22</c:f>
              <c:strCache>
                <c:ptCount val="0"/>
              </c:strCache>
            </c:strRef>
          </c:cat>
          <c:val>
            <c:numRef>
              <c:f>'結論總覽'!$C$19:$C$22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尖峰失衡占比</c:v>
          </c:tx>
          <c:cat>
            <c:strRef>
              <c:f>'結論總覽'!$A$19:$A$22</c:f>
              <c:strCache>
                <c:ptCount val="0"/>
              </c:strCache>
            </c:strRef>
          </c:cat>
          <c:val>
            <c:numRef>
              <c:f>'結論總覽'!$D$19:$D$22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同樣的站點比例，集中的是活動還是失衡？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站點占比</c:v>
          </c:tx>
          <c:cat>
            <c:strRef>
              <c:f>'整體貢獻'!$A$13:$A$15</c:f>
              <c:strCache>
                <c:ptCount val="0"/>
              </c:strCache>
            </c:strRef>
          </c:cat>
          <c:val>
            <c:numRef>
              <c:f>'整體貢獻'!$B$13:$B$15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活動占比</c:v>
          </c:tx>
          <c:cat>
            <c:strRef>
              <c:f>'整體貢獻'!$A$13:$A$15</c:f>
              <c:strCache>
                <c:ptCount val="0"/>
              </c:strCache>
            </c:strRef>
          </c:cat>
          <c:val>
            <c:numRef>
              <c:f>'整體貢獻'!$C$13:$C$15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尖峰失衡占比</c:v>
          </c:tx>
          <c:cat>
            <c:strRef>
              <c:f>'整體貢獻'!$A$13:$A$15</c:f>
              <c:strCache>
                <c:ptCount val="0"/>
              </c:strCache>
            </c:strRef>
          </c:cat>
          <c:val>
            <c:numRef>
              <c:f>'整體貢獻'!$D$13:$D$15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失衡分鐘占比</c:v>
          </c:tx>
          <c:cat>
            <c:strRef>
              <c:f>'整體貢獻'!$A$13:$A$15</c:f>
              <c:strCache>
                <c:ptCount val="0"/>
              </c:strCache>
            </c:strRef>
          </c:cat>
          <c:val>
            <c:numRef>
              <c:f>'整體貢獻'!$E$13:$E$15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四群在整體系統中的負擔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站點占比</c:v>
          </c:tx>
          <c:cat>
            <c:strRef>
              <c:f>'四群比較'!$A$13:$A$16</c:f>
              <c:strCache>
                <c:ptCount val="0"/>
              </c:strCache>
            </c:strRef>
          </c:cat>
          <c:val>
            <c:numRef>
              <c:f>'四群比較'!$B$13:$B$16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活動占比</c:v>
          </c:tx>
          <c:cat>
            <c:strRef>
              <c:f>'四群比較'!$A$13:$A$16</c:f>
              <c:strCache>
                <c:ptCount val="0"/>
              </c:strCache>
            </c:strRef>
          </c:cat>
          <c:val>
            <c:numRef>
              <c:f>'四群比較'!$C$13:$C$16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尖峰失衡占比</c:v>
          </c:tx>
          <c:cat>
            <c:strRef>
              <c:f>'四群比較'!$A$13:$A$16</c:f>
              <c:strCache>
                <c:ptCount val="0"/>
              </c:strCache>
            </c:strRef>
          </c:cat>
          <c:val>
            <c:numRef>
              <c:f>'四群比較'!$D$13:$D$16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失衡分鐘占比</c:v>
          </c:tx>
          <c:cat>
            <c:strRef>
              <c:f>'四群比較'!$A$13:$A$16</c:f>
              <c:strCache>
                <c:ptCount val="0"/>
              </c:strCache>
            </c:strRef>
          </c:cat>
          <c:val>
            <c:numRef>
              <c:f>'四群比較'!$E$13:$E$16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核心站在三個母群中的占比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核心占母群站數</c:v>
          </c:tx>
          <c:cat>
            <c:strRef>
              <c:f>'核心價值'!$A$5:$A$7</c:f>
              <c:strCache>
                <c:ptCount val="0"/>
              </c:strCache>
            </c:strRef>
          </c:cat>
          <c:val>
            <c:numRef>
              <c:f>'核心價值'!$B$5:$B$7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核心占母群活動</c:v>
          </c:tx>
          <c:cat>
            <c:strRef>
              <c:f>'核心價值'!$A$5:$A$7</c:f>
              <c:strCache>
                <c:ptCount val="0"/>
              </c:strCache>
            </c:strRef>
          </c:cat>
          <c:val>
            <c:numRef>
              <c:f>'核心價值'!$C$5:$C$7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核心占母群尖峰失衡</c:v>
          </c:tx>
          <c:cat>
            <c:strRef>
              <c:f>'核心價值'!$A$5:$A$7</c:f>
              <c:strCache>
                <c:ptCount val="0"/>
              </c:strCache>
            </c:strRef>
          </c:cat>
          <c:val>
            <c:numRef>
              <c:f>'核心價值'!$D$5:$D$7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核心占母群持續事件</c:v>
          </c:tx>
          <c:cat>
            <c:strRef>
              <c:f>'核心價值'!$A$5:$A$7</c:f>
              <c:strCache>
                <c:ptCount val="0"/>
              </c:strCache>
            </c:strRef>
          </c:cat>
          <c:val>
            <c:numRef>
              <c:f>'核心價值'!$E$5:$E$7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跨月名單延續性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留存率</c:v>
          </c:tx>
          <c:cat>
            <c:strRef>
              <c:f>'五月延續'!$A$11:$A$12</c:f>
              <c:strCache>
                <c:ptCount val="0"/>
              </c:strCache>
            </c:strRef>
          </c:cat>
          <c:val>
            <c:numRef>
              <c:f>'五月延續'!$B$11:$B$12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Jaccard</c:v>
          </c:tx>
          <c:cat>
            <c:strRef>
              <c:f>'五月延續'!$A$11:$A$12</c:f>
              <c:strCache>
                <c:ptCount val="0"/>
              </c:strCache>
            </c:strRef>
          </c:cat>
          <c:val>
            <c:numRef>
              <c:f>'五月延續'!$C$11:$C$12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失衡率：高失衡站與核心站明顯偏高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全部站點</c:v>
          </c:tx>
          <c:marker>
            <c:symbol val="none"/>
          </c:marker>
          <c:cat>
            <c:strRef>
              <c:f>'每小時趨勢'!$A$5:$A$28</c:f>
              <c:strCache>
                <c:ptCount val="0"/>
              </c:strCache>
            </c:strRef>
          </c:cat>
          <c:val>
            <c:numRef>
              <c:f>'每小時趨勢'!$B$5:$B$28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高活動前25%</c:v>
          </c:tx>
          <c:marker>
            <c:symbol val="none"/>
          </c:marker>
          <c:cat>
            <c:strRef>
              <c:f>'每小時趨勢'!$A$5:$A$28</c:f>
              <c:strCache>
                <c:ptCount val="0"/>
              </c:strCache>
            </c:strRef>
          </c:cat>
          <c:val>
            <c:numRef>
              <c:f>'每小時趨勢'!$C$5:$C$28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高失衡前25%</c:v>
          </c:tx>
          <c:marker>
            <c:symbol val="none"/>
          </c:marker>
          <c:cat>
            <c:strRef>
              <c:f>'每小時趨勢'!$A$5:$A$28</c:f>
              <c:strCache>
                <c:ptCount val="0"/>
              </c:strCache>
            </c:strRef>
          </c:cat>
          <c:val>
            <c:numRef>
              <c:f>'每小時趨勢'!$D$5:$D$28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核心站</c:v>
          </c:tx>
          <c:marker>
            <c:symbol val="none"/>
          </c:marker>
          <c:cat>
            <c:strRef>
              <c:f>'每小時趨勢'!$A$5:$A$28</c:f>
              <c:strCache>
                <c:ptCount val="0"/>
              </c:strCache>
            </c:strRef>
          </c:cat>
          <c:val>
            <c:numRef>
              <c:f>'每小時趨勢'!$E$5:$E$28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每快照車數變動：高活動站明顯偏高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全部站點</c:v>
          </c:tx>
          <c:marker>
            <c:symbol val="none"/>
          </c:marker>
          <c:cat>
            <c:strRef>
              <c:f>'每小時趨勢'!$G$5:$G$28</c:f>
              <c:strCache>
                <c:ptCount val="0"/>
              </c:strCache>
            </c:strRef>
          </c:cat>
          <c:val>
            <c:numRef>
              <c:f>'每小時趨勢'!$H$5:$H$28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高活動前25%</c:v>
          </c:tx>
          <c:marker>
            <c:symbol val="none"/>
          </c:marker>
          <c:cat>
            <c:strRef>
              <c:f>'每小時趨勢'!$G$5:$G$28</c:f>
              <c:strCache>
                <c:ptCount val="0"/>
              </c:strCache>
            </c:strRef>
          </c:cat>
          <c:val>
            <c:numRef>
              <c:f>'每小時趨勢'!$I$5:$I$28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高失衡前25%</c:v>
          </c:tx>
          <c:marker>
            <c:symbol val="none"/>
          </c:marker>
          <c:cat>
            <c:strRef>
              <c:f>'每小時趨勢'!$G$5:$G$28</c:f>
              <c:strCache>
                <c:ptCount val="0"/>
              </c:strCache>
            </c:strRef>
          </c:cat>
          <c:val>
            <c:numRef>
              <c:f>'每小時趨勢'!$J$5:$J$28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核心站</c:v>
          </c:tx>
          <c:marker>
            <c:symbol val="none"/>
          </c:marker>
          <c:cat>
            <c:strRef>
              <c:f>'每小時趨勢'!$G$5:$G$28</c:f>
              <c:strCache>
                <c:ptCount val="0"/>
              </c:strCache>
            </c:strRef>
          </c:cat>
          <c:val>
            <c:numRef>
              <c:f>'每小時趨勢'!$K$5:$K$28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每百站失衡事件開始次數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全部站點/百站</c:v>
          </c:tx>
          <c:marker>
            <c:symbol val="none"/>
          </c:marker>
          <c:cat>
            <c:strRef>
              <c:f>'事件頻率與持續'!$A$5:$A$28</c:f>
              <c:strCache>
                <c:ptCount val="0"/>
              </c:strCache>
            </c:strRef>
          </c:cat>
          <c:val>
            <c:numRef>
              <c:f>'事件頻率與持續'!$B$5:$B$28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高活動前25%/百站</c:v>
          </c:tx>
          <c:marker>
            <c:symbol val="none"/>
          </c:marker>
          <c:cat>
            <c:strRef>
              <c:f>'事件頻率與持續'!$A$5:$A$28</c:f>
              <c:strCache>
                <c:ptCount val="0"/>
              </c:strCache>
            </c:strRef>
          </c:cat>
          <c:val>
            <c:numRef>
              <c:f>'事件頻率與持續'!$C$5:$C$28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高失衡前25%/百站</c:v>
          </c:tx>
          <c:marker>
            <c:symbol val="none"/>
          </c:marker>
          <c:cat>
            <c:strRef>
              <c:f>'事件頻率與持續'!$A$5:$A$28</c:f>
              <c:strCache>
                <c:ptCount val="0"/>
              </c:strCache>
            </c:strRef>
          </c:cat>
          <c:val>
            <c:numRef>
              <c:f>'事件頻率與持續'!$D$5:$D$28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核心站/百站</c:v>
          </c:tx>
          <c:marker>
            <c:symbol val="none"/>
          </c:marker>
          <c:cat>
            <c:strRef>
              <c:f>'事件頻率與持續'!$A$5:$A$28</c:f>
              <c:strCache>
                <c:ptCount val="0"/>
              </c:strCache>
            </c:strRef>
          </c:cat>
          <c:val>
            <c:numRef>
              <c:f>'事件頻率與持續'!$E$5:$E$28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無車事件持續時間分布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高活動</c:v>
          </c:tx>
          <c:cat>
            <c:strRef>
              <c:f>'事件頻率與持續'!$A$33:$A$37</c:f>
              <c:strCache>
                <c:ptCount val="0"/>
              </c:strCache>
            </c:strRef>
          </c:cat>
          <c:val>
            <c:numRef>
              <c:f>'事件頻率與持續'!$B$33:$B$37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高失衡</c:v>
          </c:tx>
          <c:cat>
            <c:strRef>
              <c:f>'事件頻率與持續'!$A$33:$A$37</c:f>
              <c:strCache>
                <c:ptCount val="0"/>
              </c:strCache>
            </c:strRef>
          </c:cat>
          <c:val>
            <c:numRef>
              <c:f>'事件頻率與持續'!$C$33:$C$37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核心</c:v>
          </c:tx>
          <c:cat>
            <c:strRef>
              <c:f>'事件頻率與持續'!$A$33:$A$37</c:f>
              <c:strCache>
                <c:ptCount val="0"/>
              </c:strCache>
            </c:strRef>
          </c:cat>
          <c:val>
            <c:numRef>
              <c:f>'事件頻率與持續'!$D$33:$D$37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三種站群涵蓋的尖峰無車／滿柱負擔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尖峰無車占全站</c:v>
          </c:tx>
          <c:cat>
            <c:strRef>
              <c:f>'無車與滿柱'!$A$5:$A$7</c:f>
              <c:strCache>
                <c:ptCount val="0"/>
              </c:strCache>
            </c:strRef>
          </c:cat>
          <c:val>
            <c:numRef>
              <c:f>'無車與滿柱'!$B$5:$B$7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尖峰滿柱占全站</c:v>
          </c:tx>
          <c:cat>
            <c:strRef>
              <c:f>'無車與滿柱'!$A$5:$A$7</c:f>
              <c:strCache>
                <c:ptCount val="0"/>
              </c:strCache>
            </c:strRef>
          </c:cat>
          <c:val>
            <c:numRef>
              <c:f>'無車與滿柱'!$C$5:$C$7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合計尖峰失衡占全站</c:v>
          </c:tx>
          <c:cat>
            <c:strRef>
              <c:f>'無車與滿柱'!$A$5:$A$7</c:f>
              <c:strCache>
                <c:ptCount val="0"/>
              </c:strCache>
            </c:strRef>
          </c:cat>
          <c:val>
            <c:numRef>
              <c:f>'無車與滿柱'!$D$5:$D$7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各群組內的失衡率分布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全部站點</c:v>
          </c:tx>
          <c:cat>
            <c:strRef>
              <c:f>'失衡率分布'!$H$5:$H$11</c:f>
              <c:strCache>
                <c:ptCount val="0"/>
              </c:strCache>
            </c:strRef>
          </c:cat>
          <c:val>
            <c:numRef>
              <c:f>'失衡率分布'!$I$5:$I$11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高活動前25%</c:v>
          </c:tx>
          <c:cat>
            <c:strRef>
              <c:f>'失衡率分布'!$H$5:$H$11</c:f>
              <c:strCache>
                <c:ptCount val="0"/>
              </c:strCache>
            </c:strRef>
          </c:cat>
          <c:val>
            <c:numRef>
              <c:f>'失衡率分布'!$J$5:$J$11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高失衡前25%</c:v>
          </c:tx>
          <c:cat>
            <c:strRef>
              <c:f>'失衡率分布'!$H$5:$H$11</c:f>
              <c:strCache>
                <c:ptCount val="0"/>
              </c:strCache>
            </c:strRef>
          </c:cat>
          <c:val>
            <c:numRef>
              <c:f>'失衡率分布'!$K$5:$K$11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核心站</c:v>
          </c:tx>
          <c:cat>
            <c:strRef>
              <c:f>'失衡率分布'!$H$5:$H$11</c:f>
              <c:strCache>
                <c:ptCount val="0"/>
              </c:strCache>
            </c:strRef>
          </c:cat>
          <c:val>
            <c:numRef>
              <c:f>'失衡率分布'!$L$5:$L$11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核心站較集中的行政區（前12）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高失衡站</c:v>
          </c:tx>
          <c:cat>
            <c:strRef>
              <c:f>'行政區分布'!$J$5:$J$16</c:f>
              <c:strCache>
                <c:ptCount val="0"/>
              </c:strCache>
            </c:strRef>
          </c:cat>
          <c:val>
            <c:numRef>
              <c:f>'行政區分布'!$K$5:$K$16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核心站</c:v>
          </c:tx>
          <c:cat>
            <c:strRef>
              <c:f>'行政區分布'!$J$5:$J$16</c:f>
              <c:strCache>
                <c:ptCount val="0"/>
              </c:strCache>
            </c:strRef>
          </c:cat>
          <c:val>
            <c:numRef>
              <c:f>'行政區分布'!$L$5:$L$16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17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d71dae8c2a4cf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c1103eb3304d5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10fdc9057446e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c250039e5c435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e4605d2ca0464c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20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d770739f98423b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20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5ffa34b5984f9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20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064f1c8cae4d19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fa7c41b4754cde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6d8a474e6c41cc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951582a76e474c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9</xdr:col>
      <xdr:colOff>0</xdr:colOff>
      <xdr:row>17</xdr:row>
      <xdr:rowOff>0</xdr:rowOff>
    </xdr:from>
    <xdr:to>
      <xdr:col>18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c3946968c74ae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6fa42cdac0b46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c31a5b8c2b24e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08cd481708b4a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d35c808943c44b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1f398d1e08b943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6e837d1b3d5940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637cf3dad0fc427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8.xml" Id="R5ba377ad156745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9.xml" Id="R4b091cfa535f40f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0.xml" Id="R31962ce5ba9342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9" hidden="0" customWidth="1"/>
    <x:col min="3" max="3" width="55" hidden="0" customWidth="1"/>
    <x:col min="4" max="4" width="52" hidden="0" customWidth="1"/>
  </x:cols>
  <x:sheetData>
    <x:row r="1" ht="34" customHeight="1">
      <x:c r="A1" s="3" t="str">
        <x:v>YouBike 尖峰失衡前25%與高價值核心站分析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8" customHeight="1">
      <x:c r="A2" s="7" t="str">
        <x:v>先用資料確認問題集中在哪裡：比較全部站點、高活動站、高失衡站與兩者交集。此報告只討論資料觀察與痛點，不涉及模型。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  <x:c r="N3" s="289"/>
      <x:c r="O3" s="289"/>
      <x:c r="P3" s="289"/>
      <x:c r="Q3" s="289"/>
      <x:c r="R3" s="289"/>
      <x:c r="S3" s="289"/>
    </x:row>
    <x:row r="4">
      <x:c r="A4" s="16" t="str">
        <x:v>符合條件站點</x:v>
      </x:c>
      <x:c r="B4" s="17"/>
      <x:c r="C4" s="18"/>
      <x:c r="D4" s="289"/>
      <x:c r="E4" s="52" t="str">
        <x:v>尖峰失衡前25%</x:v>
      </x:c>
      <x:c r="F4" s="53"/>
      <x:c r="G4" s="54"/>
      <x:c r="H4" s="289"/>
      <x:c r="I4" s="88" t="str">
        <x:v>高價值核心站</x:v>
      </x:c>
      <x:c r="J4" s="89"/>
      <x:c r="K4" s="90"/>
      <x:c r="L4" s="289"/>
      <x:c r="M4" s="52" t="str">
        <x:v>高失衡站涵蓋尖峰失衡</x:v>
      </x:c>
      <x:c r="N4" s="53"/>
      <x:c r="O4" s="54"/>
      <x:c r="P4" s="289"/>
      <x:c r="Q4" s="88" t="str">
        <x:v>核心站涵蓋尖峰失衡</x:v>
      </x:c>
      <x:c r="R4" s="89"/>
      <x:c r="S4" s="90"/>
    </x:row>
    <x:row r="5">
      <x:c r="A5" s="38" t="n">
        <x:v>1490</x:v>
      </x:c>
      <x:c r="B5" s="39"/>
      <x:c r="C5" s="40"/>
      <x:c r="D5" s="289"/>
      <x:c r="E5" s="74" t="n">
        <x:v>373</x:v>
      </x:c>
      <x:c r="F5" s="75"/>
      <x:c r="G5" s="76"/>
      <x:c r="H5" s="289"/>
      <x:c r="I5" s="110" t="n">
        <x:v>88</x:v>
      </x:c>
      <x:c r="J5" s="111"/>
      <x:c r="K5" s="112"/>
      <x:c r="L5" s="289"/>
      <x:c r="M5" s="116" t="n">
        <x:v>0.5433191232829523</x:v>
      </x:c>
      <x:c r="N5" s="117"/>
      <x:c r="O5" s="118"/>
      <x:c r="P5" s="289"/>
      <x:c r="Q5" s="122" t="n">
        <x:v>0.10991258665977695</x:v>
      </x:c>
      <x:c r="R5" s="123"/>
      <x:c r="S5" s="124"/>
    </x:row>
    <x:row r="6">
      <x:c r="A6" s="41"/>
      <x:c r="B6" s="42"/>
      <x:c r="C6" s="43"/>
      <x:c r="D6" s="289"/>
      <x:c r="E6" s="77"/>
      <x:c r="F6" s="78"/>
      <x:c r="G6" s="79"/>
      <x:c r="H6" s="289"/>
      <x:c r="I6" s="113"/>
      <x:c r="J6" s="114"/>
      <x:c r="K6" s="115"/>
      <x:c r="L6" s="289"/>
      <x:c r="M6" s="119"/>
      <x:c r="N6" s="120"/>
      <x:c r="O6" s="121"/>
      <x:c r="P6" s="289"/>
      <x:c r="Q6" s="125"/>
      <x:c r="R6" s="126"/>
      <x:c r="S6" s="127"/>
    </x:row>
    <x:row r="7">
      <x:c r="A7" s="289"/>
      <x:c r="B7" s="289"/>
      <x:c r="C7" s="289"/>
      <x:c r="D7" s="289"/>
      <x:c r="E7" s="289"/>
      <x:c r="F7" s="289"/>
      <x:c r="G7" s="289"/>
      <x:c r="H7" s="289"/>
      <x:c r="I7" s="289"/>
      <x:c r="J7" s="289"/>
      <x:c r="K7" s="289"/>
      <x:c r="L7" s="289"/>
      <x:c r="M7" s="289"/>
      <x:c r="N7" s="289"/>
      <x:c r="O7" s="289"/>
      <x:c r="P7" s="289"/>
      <x:c r="Q7" s="289"/>
      <x:c r="R7" s="289"/>
      <x:c r="S7" s="289"/>
    </x:row>
    <x:row r="8" ht="25" customHeight="1">
      <x:c r="A8" s="129" t="str">
        <x:v>資料告訴我們的痛點</x:v>
      </x:c>
      <x:c r="B8" s="129"/>
      <x:c r="C8" s="129"/>
      <x:c r="D8" s="129"/>
      <x:c r="E8" s="129"/>
      <x:c r="F8" s="129"/>
      <x:c r="G8" s="129"/>
      <x:c r="H8" s="129"/>
      <x:c r="I8" s="129"/>
      <x:c r="J8" s="129"/>
      <x:c r="K8" s="129"/>
      <x:c r="L8" s="129"/>
      <x:c r="M8" s="129"/>
      <x:c r="N8" s="129"/>
      <x:c r="O8" s="129"/>
      <x:c r="P8" s="129"/>
      <x:c r="Q8" s="129"/>
      <x:c r="R8" s="129"/>
      <x:c r="S8" s="129"/>
    </x:row>
    <x:row r="9" ht="30" customHeight="1">
      <x:c r="A9" s="135" t="str">
        <x:v>序號</x:v>
      </x:c>
      <x:c r="B9" s="135" t="str">
        <x:v>發現</x:v>
      </x:c>
      <x:c r="C9" s="135" t="str">
        <x:v>數據證據</x:v>
      </x:c>
      <x:c r="D9" s="135" t="str">
        <x:v>痛點含意</x:v>
      </x:c>
      <x:c r="E9" s="289"/>
      <x:c r="F9" s="289"/>
      <x:c r="G9" s="289"/>
      <x:c r="H9" s="289"/>
      <x:c r="I9" s="289"/>
      <x:c r="J9" s="289"/>
      <x:c r="K9" s="289"/>
      <x:c r="L9" s="289"/>
      <x:c r="M9" s="289"/>
      <x:c r="N9" s="289"/>
      <x:c r="O9" s="289"/>
      <x:c r="P9" s="289"/>
      <x:c r="Q9" s="289"/>
      <x:c r="R9" s="289"/>
      <x:c r="S9" s="289"/>
    </x:row>
    <x:row r="10" ht="62" customHeight="1">
      <x:c r="A10" s="140" t="str">
        <x:v>1</x:v>
      </x:c>
      <x:c r="B10" s="140" t="str">
        <x:v>尖峰失衡確實集中</x:v>
      </x:c>
      <x:c r="C10" s="140" t="str">
        <x:v>25%的高失衡站涵蓋五月54.3%的尖峰失衡快照與52.3%的失衡分鐘。</x:v>
      </x:c>
      <x:c r="D10" s="140" t="str">
        <x:v>若痛點是降低整體失衡，這批站比高活動站更直接。</x:v>
      </x:c>
      <x:c r="E10" s="289"/>
      <x:c r="F10" s="289"/>
      <x:c r="G10" s="289"/>
      <x:c r="H10" s="289"/>
      <x:c r="I10" s="289"/>
      <x:c r="J10" s="289"/>
      <x:c r="K10" s="289"/>
      <x:c r="L10" s="289"/>
      <x:c r="M10" s="289"/>
      <x:c r="N10" s="289"/>
      <x:c r="O10" s="289"/>
      <x:c r="P10" s="289"/>
      <x:c r="Q10" s="289"/>
      <x:c r="R10" s="289"/>
      <x:c r="S10" s="289"/>
    </x:row>
    <x:row r="11" ht="62" customHeight="1">
      <x:c r="A11" s="139" t="str">
        <x:v>2</x:v>
      </x:c>
      <x:c r="B11" s="139" t="str">
        <x:v>高活動與高失衡是兩種不同問題</x:v>
      </x:c>
      <x:c r="C11" s="139" t="str">
        <x:v>兩份373站名單只重疊88站；高活動站涵蓋45.1%活動，但只涵蓋23.4%尖峰失衡。</x:v>
      </x:c>
      <x:c r="D11" s="139" t="str">
        <x:v>熱門程度不能代替風險，風險也不能代替使用價值。</x:v>
      </x:c>
      <x:c r="E11" s="289"/>
      <x:c r="F11" s="289"/>
      <x:c r="G11" s="289"/>
      <x:c r="H11" s="289"/>
      <x:c r="I11" s="289"/>
      <x:c r="J11" s="289"/>
      <x:c r="K11" s="289"/>
      <x:c r="L11" s="289"/>
      <x:c r="M11" s="289"/>
      <x:c r="N11" s="289"/>
      <x:c r="O11" s="289"/>
      <x:c r="P11" s="289"/>
      <x:c r="Q11" s="289"/>
      <x:c r="R11" s="289"/>
      <x:c r="S11" s="289"/>
    </x:row>
    <x:row r="12" ht="62" customHeight="1">
      <x:c r="A12" s="140" t="str">
        <x:v>3</x:v>
      </x:c>
      <x:c r="B12" s="140" t="str">
        <x:v>最大失衡負擔來自『僅高失衡』</x:v>
      </x:c>
      <x:c r="C12" s="140" t="str">
        <x:v>285站占19.1%站點，卻涵蓋43.3%尖峰失衡與41.6%失衡分鐘；活動量只占15.7%。</x:v>
      </x:c>
      <x:c r="D12" s="140" t="str">
        <x:v>這是降低全系統失衡最不能忽略的一群，但需先排除停用或資料異常。</x:v>
      </x:c>
      <x:c r="E12" s="289"/>
      <x:c r="F12" s="289"/>
      <x:c r="G12" s="289"/>
      <x:c r="H12" s="289"/>
      <x:c r="I12" s="289"/>
      <x:c r="J12" s="289"/>
      <x:c r="K12" s="289"/>
      <x:c r="L12" s="289"/>
      <x:c r="M12" s="289"/>
      <x:c r="N12" s="289"/>
      <x:c r="O12" s="289"/>
      <x:c r="P12" s="289"/>
      <x:c r="Q12" s="289"/>
      <x:c r="R12" s="289"/>
      <x:c r="S12" s="289"/>
    </x:row>
    <x:row r="13" ht="62" customHeight="1">
      <x:c r="A13" s="139" t="str">
        <x:v>4</x:v>
      </x:c>
      <x:c r="B13" s="139" t="str">
        <x:v>88個核心站是高價值案例，不是全部痛點</x:v>
      </x:c>
      <x:c r="C13" s="139" t="str">
        <x:v>核心站只占5.9%，涵蓋9.1%活動與11.0%尖峰失衡；在高活動名單內，約24%的站承擔約47%的尖峰失衡。</x:v>
      </x:c>
      <x:c r="D13" s="139" t="str">
        <x:v>適合作為『影響可能較高且確實常失衡』的第一優先案例。</x:v>
      </x:c>
      <x:c r="E13" s="289"/>
      <x:c r="F13" s="289"/>
      <x:c r="G13" s="289"/>
      <x:c r="H13" s="289"/>
      <x:c r="I13" s="289"/>
      <x:c r="J13" s="289"/>
      <x:c r="K13" s="289"/>
      <x:c r="L13" s="289"/>
      <x:c r="M13" s="289"/>
      <x:c r="N13" s="289"/>
      <x:c r="O13" s="289"/>
      <x:c r="P13" s="289"/>
      <x:c r="Q13" s="289"/>
      <x:c r="R13" s="289"/>
      <x:c r="S13" s="289"/>
    </x:row>
    <x:row r="14" ht="62" customHeight="1">
      <x:c r="A14" s="140" t="str">
        <x:v>5</x:v>
      </x:c>
      <x:c r="B14" s="140" t="str">
        <x:v>失衡名單跨月有延續性，核心身分較動態</x:v>
      </x:c>
      <x:c r="C14" s="140" t="str">
        <x:v>高失衡前25%有80.7%延續到五月；核心站延續率62.5%。</x:v>
      </x:c>
      <x:c r="D14" s="140" t="str">
        <x:v>痛點多數會重複出現，但高活動與高風險的交集仍會隨月份變動。</x:v>
      </x:c>
      <x:c r="E14" s="289"/>
      <x:c r="F14" s="289"/>
      <x:c r="G14" s="289"/>
      <x:c r="H14" s="289"/>
      <x:c r="I14" s="289"/>
      <x:c r="J14" s="289"/>
      <x:c r="K14" s="289"/>
      <x:c r="L14" s="289"/>
      <x:c r="M14" s="289"/>
      <x:c r="N14" s="289"/>
      <x:c r="O14" s="289"/>
      <x:c r="P14" s="289"/>
      <x:c r="Q14" s="289"/>
      <x:c r="R14" s="289"/>
      <x:c r="S14" s="289"/>
    </x:row>
    <x:row r="15" ht="62" customHeight="1">
      <x:c r="A15" s="139" t="str">
        <x:v>6</x:v>
      </x:c>
      <x:c r="B15" s="139" t="str">
        <x:v>原始失衡率需要資料狀態複核</x:v>
      </x:c>
      <x:c r="C15" s="139" t="str">
        <x:v>高失衡前25%中有11站被標記需注意，其中10站五月完全沒有車輛變動。</x:v>
      </x:c>
      <x:c r="D15" s="139" t="str">
        <x:v>長期零活動可能是停用或資料狀態，不能直接解釋成真實使用者痛點。</x:v>
      </x:c>
      <x:c r="E15" s="289"/>
      <x:c r="F15" s="289"/>
      <x:c r="G15" s="289"/>
      <x:c r="H15" s="289"/>
      <x:c r="I15" s="289"/>
      <x:c r="J15" s="289"/>
      <x:c r="K15" s="289"/>
      <x:c r="L15" s="289"/>
      <x:c r="M15" s="289"/>
      <x:c r="N15" s="289"/>
      <x:c r="O15" s="289"/>
      <x:c r="P15" s="289"/>
      <x:c r="Q15" s="289"/>
      <x:c r="R15" s="289"/>
      <x:c r="S15" s="289"/>
    </x:row>
    <x:row r="16">
      <x:c r="A16" s="289"/>
      <x:c r="B16" s="289"/>
      <x:c r="C16" s="289"/>
      <x:c r="D16" s="289"/>
      <x:c r="E16" s="289"/>
      <x:c r="F16" s="289"/>
      <x:c r="G16" s="289"/>
      <x:c r="H16" s="289"/>
      <x:c r="I16" s="289"/>
      <x:c r="J16" s="289"/>
      <x:c r="K16" s="289"/>
      <x:c r="L16" s="289"/>
      <x:c r="M16" s="289"/>
      <x:c r="N16" s="289"/>
      <x:c r="O16" s="289"/>
      <x:c r="P16" s="289"/>
      <x:c r="Q16" s="289"/>
      <x:c r="R16" s="289"/>
      <x:c r="S16" s="289"/>
    </x:row>
    <x:row r="17">
      <x:c r="A17" s="289"/>
      <x:c r="B17" s="289"/>
      <x:c r="C17" s="289"/>
      <x:c r="D17" s="289"/>
      <x:c r="E17" s="289"/>
      <x:c r="F17" s="289"/>
      <x:c r="G17" s="289"/>
      <x:c r="H17" s="289"/>
      <x:c r="I17" s="289"/>
      <x:c r="J17" s="289"/>
      <x:c r="K17" s="289"/>
      <x:c r="L17" s="289"/>
      <x:c r="M17" s="289"/>
      <x:c r="N17" s="289"/>
      <x:c r="O17" s="289"/>
      <x:c r="P17" s="289"/>
      <x:c r="Q17" s="289"/>
      <x:c r="R17" s="289"/>
      <x:c r="S17" s="289"/>
    </x:row>
    <x:row r="18" ht="28" customHeight="1">
      <x:c r="A18" s="146" t="str">
        <x:v>四群</x:v>
      </x:c>
      <x:c r="B18" s="146" t="str">
        <x:v>站點占比</x:v>
      </x:c>
      <x:c r="C18" s="146" t="str">
        <x:v>活動占比</x:v>
      </x:c>
      <x:c r="D18" s="146" t="str">
        <x:v>尖峰失衡占比</x:v>
      </x:c>
      <x:c r="E18" s="289"/>
      <x:c r="F18" s="289"/>
      <x:c r="G18" s="289"/>
      <x:c r="H18" s="289"/>
      <x:c r="I18" s="289"/>
      <x:c r="J18" s="289"/>
      <x:c r="K18" s="289"/>
      <x:c r="L18" s="289"/>
      <x:c r="M18" s="289"/>
      <x:c r="N18" s="289"/>
      <x:c r="O18" s="289"/>
      <x:c r="P18" s="171" t="str">
        <x:v>目前最適合的痛點定義
整體痛點：尖峰失衡前25%，因為它集中超過一半的失衡負擔。
高價值痛點：高活動與高失衡交集的88站，代表使用活動與服務失敗同時偏高。
資料疑點：長期零活動、車數幾乎不變或疑似停用的站，應先另外標記，不與一般失衡案例混在一起。</x:v>
      </x:c>
      <x:c r="Q18" s="172"/>
      <x:c r="R18" s="172"/>
      <x:c r="S18" s="173"/>
    </x:row>
    <x:row r="19">
      <x:c r="A19" s="149" t="str">
        <x:v>高活動＋高失衡</x:v>
      </x:c>
      <x:c r="B19" s="150" t="n">
        <x:v>0.05906040268456376</x:v>
      </x:c>
      <x:c r="C19" s="150" t="n">
        <x:v>0.09124306777555315</x:v>
      </x:c>
      <x:c r="D19" s="150" t="n">
        <x:v>0.10991258665977695</x:v>
      </x:c>
      <x:c r="E19" s="289"/>
      <x:c r="F19" s="289"/>
      <x:c r="G19" s="289"/>
      <x:c r="H19" s="289"/>
      <x:c r="I19" s="289"/>
      <x:c r="J19" s="289"/>
      <x:c r="K19" s="289"/>
      <x:c r="L19" s="289"/>
      <x:c r="M19" s="289"/>
      <x:c r="N19" s="289"/>
      <x:c r="O19" s="289"/>
      <x:c r="P19" s="174"/>
      <x:c r="Q19" s="175"/>
      <x:c r="R19" s="175"/>
      <x:c r="S19" s="176"/>
    </x:row>
    <x:row r="20">
      <x:c r="A20" s="148" t="str">
        <x:v>僅高失衡</x:v>
      </x:c>
      <x:c r="B20" s="151" t="n">
        <x:v>0.1912751677852349</x:v>
      </x:c>
      <x:c r="C20" s="151" t="n">
        <x:v>0.15663924088319697</x:v>
      </x:c>
      <x:c r="D20" s="151" t="n">
        <x:v>0.4334065366231753</x:v>
      </x:c>
      <x:c r="E20" s="289"/>
      <x:c r="F20" s="289"/>
      <x:c r="G20" s="289"/>
      <x:c r="H20" s="289"/>
      <x:c r="I20" s="289"/>
      <x:c r="J20" s="289"/>
      <x:c r="K20" s="289"/>
      <x:c r="L20" s="289"/>
      <x:c r="M20" s="289"/>
      <x:c r="N20" s="289"/>
      <x:c r="O20" s="289"/>
      <x:c r="P20" s="174"/>
      <x:c r="Q20" s="175"/>
      <x:c r="R20" s="175"/>
      <x:c r="S20" s="176"/>
    </x:row>
    <x:row r="21">
      <x:c r="A21" s="149" t="str">
        <x:v>僅高活動</x:v>
      </x:c>
      <x:c r="B21" s="150" t="n">
        <x:v>0.1912751677852349</x:v>
      </x:c>
      <x:c r="C21" s="150" t="n">
        <x:v>0.3600243676967973</x:v>
      </x:c>
      <x:c r="D21" s="150" t="n">
        <x:v>0.12431641045515222</x:v>
      </x:c>
      <x:c r="E21" s="289"/>
      <x:c r="F21" s="289"/>
      <x:c r="G21" s="289"/>
      <x:c r="H21" s="289"/>
      <x:c r="I21" s="289"/>
      <x:c r="J21" s="289"/>
      <x:c r="K21" s="289"/>
      <x:c r="L21" s="289"/>
      <x:c r="M21" s="289"/>
      <x:c r="N21" s="289"/>
      <x:c r="O21" s="289"/>
      <x:c r="P21" s="174"/>
      <x:c r="Q21" s="175"/>
      <x:c r="R21" s="175"/>
      <x:c r="S21" s="176"/>
    </x:row>
    <x:row r="22">
      <x:c r="A22" s="148" t="str">
        <x:v>兩者皆非</x:v>
      </x:c>
      <x:c r="B22" s="151" t="n">
        <x:v>0.5583892617449664</x:v>
      </x:c>
      <x:c r="C22" s="151" t="n">
        <x:v>0.39209332364445254</x:v>
      </x:c>
      <x:c r="D22" s="151" t="n">
        <x:v>0.33236446626189553</x:v>
      </x:c>
      <x:c r="E22" s="289"/>
      <x:c r="F22" s="289"/>
      <x:c r="G22" s="289"/>
      <x:c r="H22" s="289"/>
      <x:c r="I22" s="289"/>
      <x:c r="J22" s="289"/>
      <x:c r="K22" s="289"/>
      <x:c r="L22" s="289"/>
      <x:c r="M22" s="289"/>
      <x:c r="N22" s="289"/>
      <x:c r="O22" s="289"/>
      <x:c r="P22" s="174"/>
      <x:c r="Q22" s="175"/>
      <x:c r="R22" s="175"/>
      <x:c r="S22" s="176"/>
    </x:row>
    <x:row r="23">
      <x:c r="A23" s="289"/>
      <x:c r="B23" s="289"/>
      <x:c r="C23" s="289"/>
      <x:c r="D23" s="289"/>
      <x:c r="E23" s="289"/>
      <x:c r="F23" s="289"/>
      <x:c r="G23" s="289"/>
      <x:c r="H23" s="289"/>
      <x:c r="I23" s="289"/>
      <x:c r="J23" s="289"/>
      <x:c r="K23" s="289"/>
      <x:c r="L23" s="289"/>
      <x:c r="M23" s="289"/>
      <x:c r="N23" s="289"/>
      <x:c r="O23" s="289"/>
      <x:c r="P23" s="174"/>
      <x:c r="Q23" s="175"/>
      <x:c r="R23" s="175"/>
      <x:c r="S23" s="176"/>
    </x:row>
    <x:row r="24">
      <x:c r="A24" s="289"/>
      <x:c r="B24" s="289"/>
      <x:c r="C24" s="289"/>
      <x:c r="D24" s="289"/>
      <x:c r="E24" s="289"/>
      <x:c r="F24" s="289"/>
      <x:c r="G24" s="289"/>
      <x:c r="H24" s="289"/>
      <x:c r="I24" s="289"/>
      <x:c r="J24" s="289"/>
      <x:c r="K24" s="289"/>
      <x:c r="L24" s="289"/>
      <x:c r="M24" s="289"/>
      <x:c r="N24" s="289"/>
      <x:c r="O24" s="289"/>
      <x:c r="P24" s="174"/>
      <x:c r="Q24" s="175"/>
      <x:c r="R24" s="175"/>
      <x:c r="S24" s="176"/>
    </x:row>
    <x:row r="25">
      <x:c r="A25" s="289"/>
      <x:c r="B25" s="289"/>
      <x:c r="C25" s="289"/>
      <x:c r="D25" s="289"/>
      <x:c r="E25" s="289"/>
      <x:c r="F25" s="289"/>
      <x:c r="G25" s="289"/>
      <x:c r="H25" s="289"/>
      <x:c r="I25" s="289"/>
      <x:c r="J25" s="289"/>
      <x:c r="K25" s="289"/>
      <x:c r="L25" s="289"/>
      <x:c r="M25" s="289"/>
      <x:c r="N25" s="289"/>
      <x:c r="O25" s="289"/>
      <x:c r="P25" s="174"/>
      <x:c r="Q25" s="175"/>
      <x:c r="R25" s="175"/>
      <x:c r="S25" s="176"/>
    </x:row>
    <x:row r="26">
      <x:c r="A26" s="289"/>
      <x:c r="B26" s="289"/>
      <x:c r="C26" s="289"/>
      <x:c r="D26" s="289"/>
      <x:c r="E26" s="289"/>
      <x:c r="F26" s="289"/>
      <x:c r="G26" s="289"/>
      <x:c r="H26" s="289"/>
      <x:c r="I26" s="289"/>
      <x:c r="J26" s="289"/>
      <x:c r="K26" s="289"/>
      <x:c r="L26" s="289"/>
      <x:c r="M26" s="289"/>
      <x:c r="N26" s="289"/>
      <x:c r="O26" s="289"/>
      <x:c r="P26" s="174"/>
      <x:c r="Q26" s="175"/>
      <x:c r="R26" s="175"/>
      <x:c r="S26" s="176"/>
    </x:row>
    <x:row r="27">
      <x:c r="A27" s="289"/>
      <x:c r="B27" s="289"/>
      <x:c r="C27" s="289"/>
      <x:c r="D27" s="289"/>
      <x:c r="E27" s="289"/>
      <x:c r="F27" s="289"/>
      <x:c r="G27" s="289"/>
      <x:c r="H27" s="289"/>
      <x:c r="I27" s="289"/>
      <x:c r="J27" s="289"/>
      <x:c r="K27" s="289"/>
      <x:c r="L27" s="289"/>
      <x:c r="M27" s="289"/>
      <x:c r="N27" s="289"/>
      <x:c r="O27" s="289"/>
      <x:c r="P27" s="174"/>
      <x:c r="Q27" s="175"/>
      <x:c r="R27" s="175"/>
      <x:c r="S27" s="176"/>
    </x:row>
    <x:row r="28">
      <x:c r="A28" s="289"/>
      <x:c r="B28" s="289"/>
      <x:c r="C28" s="289"/>
      <x:c r="D28" s="289"/>
      <x:c r="E28" s="289"/>
      <x:c r="F28" s="289"/>
      <x:c r="G28" s="289"/>
      <x:c r="H28" s="289"/>
      <x:c r="I28" s="289"/>
      <x:c r="J28" s="289"/>
      <x:c r="K28" s="289"/>
      <x:c r="L28" s="289"/>
      <x:c r="M28" s="289"/>
      <x:c r="N28" s="289"/>
      <x:c r="O28" s="289"/>
      <x:c r="P28" s="174"/>
      <x:c r="Q28" s="175"/>
      <x:c r="R28" s="175"/>
      <x:c r="S28" s="176"/>
    </x:row>
    <x:row r="29">
      <x:c r="A29" s="289"/>
      <x:c r="B29" s="289"/>
      <x:c r="C29" s="289"/>
      <x:c r="D29" s="289"/>
      <x:c r="E29" s="289"/>
      <x:c r="F29" s="289"/>
      <x:c r="G29" s="289"/>
      <x:c r="H29" s="289"/>
      <x:c r="I29" s="289"/>
      <x:c r="J29" s="289"/>
      <x:c r="K29" s="289"/>
      <x:c r="L29" s="289"/>
      <x:c r="M29" s="289"/>
      <x:c r="N29" s="289"/>
      <x:c r="O29" s="289"/>
      <x:c r="P29" s="174"/>
      <x:c r="Q29" s="175"/>
      <x:c r="R29" s="175"/>
      <x:c r="S29" s="176"/>
    </x:row>
    <x:row r="30">
      <x:c r="A30" s="289"/>
      <x:c r="B30" s="289"/>
      <x:c r="C30" s="289"/>
      <x:c r="D30" s="289"/>
      <x:c r="E30" s="289"/>
      <x:c r="F30" s="289"/>
      <x:c r="G30" s="289"/>
      <x:c r="H30" s="289"/>
      <x:c r="I30" s="289"/>
      <x:c r="J30" s="289"/>
      <x:c r="K30" s="289"/>
      <x:c r="L30" s="289"/>
      <x:c r="M30" s="289"/>
      <x:c r="N30" s="289"/>
      <x:c r="O30" s="289"/>
      <x:c r="P30" s="174"/>
      <x:c r="Q30" s="175"/>
      <x:c r="R30" s="175"/>
      <x:c r="S30" s="176"/>
    </x:row>
    <x:row r="31">
      <x:c r="A31" s="289"/>
      <x:c r="B31" s="289"/>
      <x:c r="C31" s="289"/>
      <x:c r="D31" s="289"/>
      <x:c r="E31" s="289"/>
      <x:c r="F31" s="289"/>
      <x:c r="G31" s="289"/>
      <x:c r="H31" s="289"/>
      <x:c r="I31" s="289"/>
      <x:c r="J31" s="289"/>
      <x:c r="K31" s="289"/>
      <x:c r="L31" s="289"/>
      <x:c r="M31" s="289"/>
      <x:c r="N31" s="289"/>
      <x:c r="O31" s="289"/>
      <x:c r="P31" s="177"/>
      <x:c r="Q31" s="178"/>
      <x:c r="R31" s="178"/>
      <x:c r="S31" s="179"/>
    </x:row>
  </x:sheetData>
  <x:mergeCells>
    <x:mergeCell ref="A1:S1"/>
    <x:mergeCell ref="A2:S2"/>
    <x:mergeCell ref="A4:C4"/>
    <x:mergeCell ref="A5:C6"/>
    <x:mergeCell ref="E4:G4"/>
    <x:mergeCell ref="E5:G6"/>
    <x:mergeCell ref="I4:K4"/>
    <x:mergeCell ref="I5:K6"/>
    <x:mergeCell ref="M4:O4"/>
    <x:mergeCell ref="M5:O6"/>
    <x:mergeCell ref="Q4:S4"/>
    <x:mergeCell ref="Q5:S6"/>
    <x:mergeCell ref="A8:S8"/>
    <x:mergeCell ref="P18:S31"/>
  </x:mergeCells>
  <x:pageMargins left="0.7" right="0.7" top="0.75" bottom="0.75" header="0.3" footer="0.3"/>
  <x:drawing xmlns:r="http://schemas.openxmlformats.org/officeDocument/2006/relationships" r:id="Ra6fa42cdac0b46f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7" hidden="0" customWidth="1"/>
    <x:col min="3" max="3" width="57" hidden="0" customWidth="1"/>
  </x:cols>
  <x:sheetData>
    <x:row r="1" ht="34" customHeight="1">
      <x:c r="A1" s="3" t="str">
        <x:v>分析範圍與群組定義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8" customHeight="1">
      <x:c r="A2" s="7" t="str">
        <x:v>所有名單只用2026年1–4月建立，五月用來觀察是否延續；六月仍未使用。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  <x:c r="N3" s="289"/>
    </x:row>
    <x:row r="4" ht="28" customHeight="1">
      <x:c r="A4" s="135" t="str">
        <x:v>設定</x:v>
      </x:c>
      <x:c r="B4" s="135" t="str">
        <x:v>值</x:v>
      </x:c>
      <x:c r="C4" s="135" t="str">
        <x:v>說明</x:v>
      </x:c>
      <x:c r="D4" s="289"/>
      <x:c r="E4" s="199" t="str">
        <x:v>為何使用失衡率而不是失衡快照數？
失衡率可以控制每站可判定營運快照數不同的問題。但它仍可能把長期沒車或疑似停用站排很前，因此本報告同時檢查活動量、事件次數、持續時間與資料疑點。</x:v>
      </x:c>
      <x:c r="F4" s="200"/>
      <x:c r="G4" s="200"/>
      <x:c r="H4" s="200"/>
      <x:c r="I4" s="200"/>
      <x:c r="J4" s="200"/>
      <x:c r="K4" s="200"/>
      <x:c r="L4" s="200"/>
      <x:c r="M4" s="200"/>
      <x:c r="N4" s="201"/>
    </x:row>
    <x:row r="5" ht="42" customHeight="1">
      <x:c r="A5" s="140" t="str">
        <x:v>符合條件站點數</x:v>
      </x:c>
      <x:c r="B5" s="140" t="n">
        <x:v>1490</x:v>
      </x:c>
      <x:c r="C5" s="140" t="str">
        <x:v>基準期至少60個有效日，且觀測覆蓋率至少75%</x:v>
      </x:c>
      <x:c r="D5" s="289"/>
      <x:c r="E5" s="202"/>
      <x:c r="F5" s="203"/>
      <x:c r="G5" s="203"/>
      <x:c r="H5" s="203"/>
      <x:c r="I5" s="203"/>
      <x:c r="J5" s="203"/>
      <x:c r="K5" s="203"/>
      <x:c r="L5" s="203"/>
      <x:c r="M5" s="203"/>
      <x:c r="N5" s="204"/>
    </x:row>
    <x:row r="6" ht="42" customHeight="1">
      <x:c r="A6" s="139" t="str">
        <x:v>前25%比例</x:v>
      </x:c>
      <x:c r="B6" s="180" t="n">
        <x:v>0.25</x:v>
      </x:c>
      <x:c r="C6" s="139" t="str">
        <x:v>固定取符合條件站點的前四分之一</x:v>
      </x:c>
      <x:c r="D6" s="289"/>
      <x:c r="E6" s="202"/>
      <x:c r="F6" s="203"/>
      <x:c r="G6" s="203"/>
      <x:c r="H6" s="203"/>
      <x:c r="I6" s="203"/>
      <x:c r="J6" s="203"/>
      <x:c r="K6" s="203"/>
      <x:c r="L6" s="203"/>
      <x:c r="M6" s="203"/>
      <x:c r="N6" s="204"/>
    </x:row>
    <x:row r="7" ht="42" customHeight="1">
      <x:c r="A7" s="140" t="str">
        <x:v>每份前25%站數</x:v>
      </x:c>
      <x:c r="B7" s="140" t="n">
        <x:v>373</x:v>
      </x:c>
      <x:c r="C7" s="140" t="str">
        <x:v>固定前373名，避免同分造成站數改變</x:v>
      </x:c>
      <x:c r="D7" s="289"/>
      <x:c r="E7" s="202"/>
      <x:c r="F7" s="203"/>
      <x:c r="G7" s="203"/>
      <x:c r="H7" s="203"/>
      <x:c r="I7" s="203"/>
      <x:c r="J7" s="203"/>
      <x:c r="K7" s="203"/>
      <x:c r="L7" s="203"/>
      <x:c r="M7" s="203"/>
      <x:c r="N7" s="204"/>
    </x:row>
    <x:row r="8" ht="42" customHeight="1">
      <x:c r="A8" s="139" t="str">
        <x:v>基準期</x:v>
      </x:c>
      <x:c r="B8" s="139" t="str">
        <x:v>2026-01 至 2026-04</x:v>
      </x:c>
      <x:c r="C8" s="139" t="str">
        <x:v>建立活動與失衡排名</x:v>
      </x:c>
      <x:c r="D8" s="289"/>
      <x:c r="E8" s="202"/>
      <x:c r="F8" s="203"/>
      <x:c r="G8" s="203"/>
      <x:c r="H8" s="203"/>
      <x:c r="I8" s="203"/>
      <x:c r="J8" s="203"/>
      <x:c r="K8" s="203"/>
      <x:c r="L8" s="203"/>
      <x:c r="M8" s="203"/>
      <x:c r="N8" s="204"/>
    </x:row>
    <x:row r="9" ht="42" customHeight="1">
      <x:c r="A9" s="140" t="str">
        <x:v>後續觀察月份</x:v>
      </x:c>
      <x:c r="B9" s="140" t="str">
        <x:v>2026-05</x:v>
      </x:c>
      <x:c r="C9" s="140" t="str">
        <x:v>檢查問題是否延續</x:v>
      </x:c>
      <x:c r="D9" s="289"/>
      <x:c r="E9" s="205"/>
      <x:c r="F9" s="206"/>
      <x:c r="G9" s="206"/>
      <x:c r="H9" s="206"/>
      <x:c r="I9" s="206"/>
      <x:c r="J9" s="206"/>
      <x:c r="K9" s="206"/>
      <x:c r="L9" s="206"/>
      <x:c r="M9" s="206"/>
      <x:c r="N9" s="207"/>
    </x:row>
    <x:row r="10" ht="42" customHeight="1">
      <x:c r="A10" s="139" t="str">
        <x:v>保留月份</x:v>
      </x:c>
      <x:c r="B10" s="139" t="str">
        <x:v>2026-06（仍未使用）</x:v>
      </x:c>
      <x:c r="C10" s="139" t="str">
        <x:v>本次仍未使用</x:v>
      </x:c>
      <x:c r="D10" s="289"/>
      <x:c r="E10" s="289"/>
      <x:c r="F10" s="289"/>
      <x:c r="G10" s="289"/>
      <x:c r="H10" s="289"/>
      <x:c r="I10" s="289"/>
      <x:c r="J10" s="289"/>
      <x:c r="K10" s="289"/>
      <x:c r="L10" s="289"/>
      <x:c r="M10" s="289"/>
      <x:c r="N10" s="289"/>
    </x:row>
    <x:row r="11" ht="42" customHeight="1">
      <x:c r="A11" s="140" t="str">
        <x:v>初始尖峰</x:v>
      </x:c>
      <x:c r="B11" s="140" t="str">
        <x:v>07–09時、16–19時</x:v>
      </x:c>
      <x:c r="C11" s="140" t="str">
        <x:v>沿用前次探索定義，最後仍可依熱圖修正</x:v>
      </x:c>
      <x:c r="D11" s="289"/>
      <x:c r="E11" s="226" t="str">
        <x:v>這裡的『重要』有兩個意思
高活動：觀測到的車輛流動集中，代表系統使用或營運活動較高。
高失衡：服務失敗較頻繁，代表改善機會較大。
高價值核心只是兩者交集，不等於所有痛點都集中在核心站。</x:v>
      </x:c>
      <x:c r="F11" s="227"/>
      <x:c r="G11" s="227"/>
      <x:c r="H11" s="227"/>
      <x:c r="I11" s="227"/>
      <x:c r="J11" s="227"/>
      <x:c r="K11" s="227"/>
      <x:c r="L11" s="227"/>
      <x:c r="M11" s="227"/>
      <x:c r="N11" s="228"/>
    </x:row>
    <x:row r="12" ht="42" customHeight="1">
      <x:c r="A12" s="139" t="str">
        <x:v>真正失衡</x:v>
      </x:c>
      <x:c r="B12" s="139" t="str">
        <x:v>無車或滿柱，且狀態可判定為營運中</x:v>
      </x:c>
      <x:c r="C12" s="139" t="str">
        <x:v>車與空位同時為0不計入兩種失衡</x:v>
      </x:c>
      <x:c r="D12" s="289"/>
      <x:c r="E12" s="229"/>
      <x:c r="F12" s="230"/>
      <x:c r="G12" s="230"/>
      <x:c r="H12" s="230"/>
      <x:c r="I12" s="230"/>
      <x:c r="J12" s="230"/>
      <x:c r="K12" s="230"/>
      <x:c r="L12" s="230"/>
      <x:c r="M12" s="230"/>
      <x:c r="N12" s="231"/>
    </x:row>
    <x:row r="13" ht="42" customHeight="1">
      <x:c r="A13" s="140" t="str">
        <x:v>高失衡前25%</x:v>
      </x:c>
      <x:c r="B13" s="140" t="str">
        <x:v>基準期尖峰失衡率最高373站</x:v>
      </x:c>
      <x:c r="C13" s="140" t="str">
        <x:v>基準期07–09時與16–19時，真正無車或滿柱快照占可判定營運快照的比例；無車與滿柱合併計算。</x:v>
      </x:c>
      <x:c r="D13" s="289"/>
      <x:c r="E13" s="229"/>
      <x:c r="F13" s="230"/>
      <x:c r="G13" s="230"/>
      <x:c r="H13" s="230"/>
      <x:c r="I13" s="230"/>
      <x:c r="J13" s="230"/>
      <x:c r="K13" s="230"/>
      <x:c r="L13" s="230"/>
      <x:c r="M13" s="230"/>
      <x:c r="N13" s="231"/>
    </x:row>
    <x:row r="14" ht="42" customHeight="1">
      <x:c r="A14" s="139" t="str">
        <x:v>高活動前25%</x:v>
      </x:c>
      <x:c r="B14" s="139" t="str">
        <x:v>基準期總變動量最高373站</x:v>
      </x:c>
      <x:c r="C14" s="139" t="str">
        <x:v>包含所有觀測變動，反映現有營運下的站點活動</x:v>
      </x:c>
      <x:c r="D14" s="289"/>
      <x:c r="E14" s="229"/>
      <x:c r="F14" s="230"/>
      <x:c r="G14" s="230"/>
      <x:c r="H14" s="230"/>
      <x:c r="I14" s="230"/>
      <x:c r="J14" s="230"/>
      <x:c r="K14" s="230"/>
      <x:c r="L14" s="230"/>
      <x:c r="M14" s="230"/>
      <x:c r="N14" s="231"/>
    </x:row>
    <x:row r="15" ht="42" customHeight="1">
      <x:c r="A15" s="140" t="str">
        <x:v>高價值核心</x:v>
      </x:c>
      <x:c r="B15" s="140" t="str">
        <x:v>高活動前25% ∩ 高失衡前25%</x:v>
      </x:c>
      <x:c r="C15" s="140" t="str">
        <x:v>88站；同時具有較高活動與較高失衡</x:v>
      </x:c>
      <x:c r="D15" s="289"/>
      <x:c r="E15" s="229"/>
      <x:c r="F15" s="230"/>
      <x:c r="G15" s="230"/>
      <x:c r="H15" s="230"/>
      <x:c r="I15" s="230"/>
      <x:c r="J15" s="230"/>
      <x:c r="K15" s="230"/>
      <x:c r="L15" s="230"/>
      <x:c r="M15" s="230"/>
      <x:c r="N15" s="231"/>
    </x:row>
    <x:row r="16" ht="42" customHeight="1">
      <x:c r="A16" s="139" t="str">
        <x:v>高價值核心站數</x:v>
      </x:c>
      <x:c r="B16" s="139" t="n">
        <x:v>88</x:v>
      </x:c>
      <x:c r="C16" s="139" t="str">
        <x:v>供其他工作表公式引用</x:v>
      </x:c>
      <x:c r="D16" s="289"/>
      <x:c r="E16" s="232"/>
      <x:c r="F16" s="233"/>
      <x:c r="G16" s="233"/>
      <x:c r="H16" s="233"/>
      <x:c r="I16" s="233"/>
      <x:c r="J16" s="233"/>
      <x:c r="K16" s="233"/>
      <x:c r="L16" s="233"/>
      <x:c r="M16" s="233"/>
      <x:c r="N16" s="234"/>
    </x:row>
  </x:sheetData>
  <x:mergeCells>
    <x:mergeCell ref="A1:N1"/>
    <x:mergeCell ref="A2:N2"/>
    <x:mergeCell ref="E4:N9"/>
    <x:mergeCell ref="E11:N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4" customHeight="1">
      <x:c r="A1" s="3" t="str">
        <x:v>五月：各群組占整體活動與失衡的比例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8" customHeight="1">
      <x:c r="A2" s="7" t="str">
        <x:v>占比以全部符合條件站為100%。濃度倍數＝指標占比÷站點占比；大於1代表該指標在這批站較集中。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  <x:c r="N3" s="289"/>
      <x:c r="O3" s="289"/>
      <x:c r="P3" s="289"/>
      <x:c r="Q3" s="289"/>
      <x:c r="R3" s="289"/>
      <x:c r="S3" s="289"/>
      <x:c r="T3" s="289"/>
    </x:row>
    <x:row r="4" ht="42" customHeight="1">
      <x:c r="A4" s="135" t="str">
        <x:v>群組</x:v>
      </x:c>
      <x:c r="B4" s="135" t="str">
        <x:v>站數</x:v>
      </x:c>
      <x:c r="C4" s="135" t="str">
        <x:v>站點占比</x:v>
      </x:c>
      <x:c r="D4" s="135" t="str">
        <x:v>活動占比</x:v>
      </x:c>
      <x:c r="E4" s="135" t="str">
        <x:v>活動濃度</x:v>
      </x:c>
      <x:c r="F4" s="135" t="str">
        <x:v>尖峰失衡占比</x:v>
      </x:c>
      <x:c r="G4" s="135" t="str">
        <x:v>失衡濃度</x:v>
      </x:c>
      <x:c r="H4" s="135" t="str">
        <x:v>持續事件占比</x:v>
      </x:c>
      <x:c r="I4" s="135" t="str">
        <x:v>失衡分鐘占比</x:v>
      </x:c>
      <x:c r="J4" s="135" t="str">
        <x:v>尖峰無車占比</x:v>
      </x:c>
      <x:c r="K4" s="135" t="str">
        <x:v>尖峰滿柱占比</x:v>
      </x:c>
      <x:c r="L4" s="289"/>
      <x:c r="M4" s="289"/>
      <x:c r="N4" s="289"/>
      <x:c r="O4" s="289"/>
      <x:c r="P4" s="289"/>
      <x:c r="Q4" s="289"/>
      <x:c r="R4" s="289"/>
      <x:c r="S4" s="289"/>
      <x:c r="T4" s="289"/>
    </x:row>
    <x:row r="5">
      <x:c r="A5" s="149" t="str">
        <x:v>全部符合條件站</x:v>
      </x:c>
      <x:c r="B5" s="149" t="n">
        <x:v>1490</x:v>
      </x:c>
      <x:c r="C5" s="150" t="n">
        <x:v>1</x:v>
      </x:c>
      <x:c r="D5" s="150" t="n">
        <x:v>1</x:v>
      </x:c>
      <x:c r="E5" s="235" t="n">
        <x:f>IFERROR(D5/C5,0)</x:f>
        <x:v>1</x:v>
      </x:c>
      <x:c r="F5" s="150" t="n">
        <x:v>1</x:v>
      </x:c>
      <x:c r="G5" s="235" t="n">
        <x:f>IFERROR(F5/C5,0)</x:f>
        <x:v>1</x:v>
      </x:c>
      <x:c r="H5" s="150" t="n">
        <x:v>1</x:v>
      </x:c>
      <x:c r="I5" s="150" t="n">
        <x:v>1</x:v>
      </x:c>
      <x:c r="J5" s="150" t="n">
        <x:v>1</x:v>
      </x:c>
      <x:c r="K5" s="150" t="n">
        <x:v>1</x:v>
      </x:c>
      <x:c r="L5" s="289"/>
      <x:c r="M5" s="289"/>
      <x:c r="N5" s="289"/>
      <x:c r="O5" s="289"/>
      <x:c r="P5" s="289"/>
      <x:c r="Q5" s="289"/>
      <x:c r="R5" s="289"/>
      <x:c r="S5" s="289"/>
      <x:c r="T5" s="289"/>
    </x:row>
    <x:row r="6">
      <x:c r="A6" s="148" t="str">
        <x:v>總變動前25%</x:v>
      </x:c>
      <x:c r="B6" s="148" t="n">
        <x:v>373</x:v>
      </x:c>
      <x:c r="C6" s="151" t="n">
        <x:v>0.25033557046979865</x:v>
      </x:c>
      <x:c r="D6" s="151" t="n">
        <x:v>0.45126743547235043</x:v>
      </x:c>
      <x:c r="E6" s="236" t="n">
        <x:f>IFERROR(D6/C6,0)</x:f>
        <x:v>1.8026500773560379</x:v>
      </x:c>
      <x:c r="F6" s="151" t="n">
        <x:v>0.23422899711492917</x:v>
      </x:c>
      <x:c r="G6" s="236" t="n">
        <x:f>IFERROR(F6/C6,0)</x:f>
        <x:v>0.9356600689041407</x:v>
      </x:c>
      <x:c r="H6" s="151" t="n">
        <x:v>0.30454831272269967</x:v>
      </x:c>
      <x:c r="I6" s="151" t="n">
        <x:v>0.28298448113989066</x:v>
      </x:c>
      <x:c r="J6" s="151" t="n">
        <x:v>0.23609869263671734</x:v>
      </x:c>
      <x:c r="K6" s="151" t="n">
        <x:v>0.21895360315893386</x:v>
      </x:c>
      <x:c r="L6" s="289"/>
      <x:c r="M6" s="289"/>
      <x:c r="N6" s="289"/>
      <x:c r="O6" s="289"/>
      <x:c r="P6" s="289"/>
      <x:c r="Q6" s="289"/>
      <x:c r="R6" s="289"/>
      <x:c r="S6" s="289"/>
      <x:c r="T6" s="289"/>
    </x:row>
    <x:row r="7">
      <x:c r="A7" s="149" t="str">
        <x:v>尖峰失衡率前25%</x:v>
      </x:c>
      <x:c r="B7" s="149" t="n">
        <x:v>373</x:v>
      </x:c>
      <x:c r="C7" s="150" t="n">
        <x:v>0.25033557046979865</x:v>
      </x:c>
      <x:c r="D7" s="150" t="n">
        <x:v>0.24788230865875013</x:v>
      </x:c>
      <x:c r="E7" s="235" t="n">
        <x:f>IFERROR(D7/C7,0)</x:f>
        <x:v>0.9902001069746319</x:v>
      </x:c>
      <x:c r="F7" s="150" t="n">
        <x:v>0.5433191232829523</x:v>
      </x:c>
      <x:c r="G7" s="235" t="n">
        <x:f>IFERROR(F7/C7,0)</x:f>
        <x:v>2.1703632538648763</x:v>
      </x:c>
      <x:c r="H7" s="150" t="n">
        <x:v>0.45948438482498427</x:v>
      </x:c>
      <x:c r="I7" s="150" t="n">
        <x:v>0.523309848598411</x:v>
      </x:c>
      <x:c r="J7" s="150" t="n">
        <x:v>0.5419395374688867</x:v>
      </x:c>
      <x:c r="K7" s="150" t="n">
        <x:v>0.5545903257650543</x:v>
      </x:c>
      <x:c r="L7" s="289"/>
      <x:c r="M7" s="289"/>
      <x:c r="N7" s="289"/>
      <x:c r="O7" s="289"/>
      <x:c r="P7" s="289"/>
      <x:c r="Q7" s="289"/>
      <x:c r="R7" s="289"/>
      <x:c r="S7" s="289"/>
      <x:c r="T7" s="289"/>
    </x:row>
    <x:row r="8">
      <x:c r="A8" s="148" t="str">
        <x:v>高價值核心站</x:v>
      </x:c>
      <x:c r="B8" s="148" t="n">
        <x:v>88</x:v>
      </x:c>
      <x:c r="C8" s="151" t="n">
        <x:v>0.05906040268456376</x:v>
      </x:c>
      <x:c r="D8" s="151" t="n">
        <x:v>0.09124306777555315</x:v>
      </x:c>
      <x:c r="E8" s="236" t="n">
        <x:f>IFERROR(D8/C8,0)</x:f>
        <x:v>1.5449110339269794</x:v>
      </x:c>
      <x:c r="F8" s="151" t="n">
        <x:v>0.10991258665977695</x:v>
      </x:c>
      <x:c r="G8" s="236" t="n">
        <x:f>IFERROR(F8/C8,0)</x:f>
        <x:v>1.861019933216678</x:v>
      </x:c>
      <x:c r="H8" s="151" t="n">
        <x:v>0.11125550199119681</x:v>
      </x:c>
      <x:c r="I8" s="151" t="n">
        <x:v>0.10725922886965578</x:v>
      </x:c>
      <x:c r="J8" s="151" t="n">
        <x:v>0.10913221043474058</x:v>
      </x:c>
      <x:c r="K8" s="151" t="n">
        <x:v>0.11628825271470879</x:v>
      </x:c>
      <x:c r="L8" s="289"/>
      <x:c r="M8" s="289"/>
      <x:c r="N8" s="289"/>
      <x:c r="O8" s="289"/>
      <x:c r="P8" s="289"/>
      <x:c r="Q8" s="289"/>
      <x:c r="R8" s="289"/>
      <x:c r="S8" s="289"/>
      <x:c r="T8" s="289"/>
    </x:row>
    <x:row r="9">
      <x:c r="A9" s="289"/>
      <x:c r="B9" s="289"/>
      <x:c r="C9" s="289"/>
      <x:c r="D9" s="289"/>
      <x:c r="E9" s="289"/>
      <x:c r="F9" s="289"/>
      <x:c r="G9" s="289"/>
      <x:c r="H9" s="289"/>
      <x:c r="I9" s="289"/>
      <x:c r="J9" s="289"/>
      <x:c r="K9" s="289"/>
      <x:c r="L9" s="289"/>
      <x:c r="M9" s="289"/>
      <x:c r="N9" s="289"/>
      <x:c r="O9" s="289"/>
      <x:c r="P9" s="289"/>
      <x:c r="Q9" s="289"/>
      <x:c r="R9" s="289"/>
      <x:c r="S9" s="289"/>
      <x:c r="T9" s="289"/>
    </x:row>
    <x:row r="10">
      <x:c r="A10" s="289"/>
      <x:c r="B10" s="289"/>
      <x:c r="C10" s="289"/>
      <x:c r="D10" s="289"/>
      <x:c r="E10" s="289"/>
      <x:c r="F10" s="289"/>
      <x:c r="G10" s="289"/>
      <x:c r="H10" s="289"/>
      <x:c r="I10" s="289"/>
      <x:c r="J10" s="289"/>
      <x:c r="K10" s="289"/>
      <x:c r="L10" s="289"/>
      <x:c r="M10" s="289"/>
      <x:c r="N10" s="289"/>
      <x:c r="O10" s="289"/>
      <x:c r="P10" s="289"/>
      <x:c r="Q10" s="289"/>
      <x:c r="R10" s="289"/>
      <x:c r="S10" s="289"/>
      <x:c r="T10" s="289"/>
    </x:row>
    <x:row r="11">
      <x:c r="A11" s="289"/>
      <x:c r="B11" s="289"/>
      <x:c r="C11" s="289"/>
      <x:c r="D11" s="289"/>
      <x:c r="E11" s="289"/>
      <x:c r="F11" s="289"/>
      <x:c r="G11" s="289"/>
      <x:c r="H11" s="289"/>
      <x:c r="I11" s="289"/>
      <x:c r="J11" s="289"/>
      <x:c r="K11" s="289"/>
      <x:c r="L11" s="289"/>
      <x:c r="M11" s="289"/>
      <x:c r="N11" s="289"/>
      <x:c r="O11" s="289"/>
      <x:c r="P11" s="289"/>
      <x:c r="Q11" s="289"/>
      <x:c r="R11" s="289"/>
      <x:c r="S11" s="289"/>
      <x:c r="T11" s="289"/>
    </x:row>
    <x:row r="12" ht="28" customHeight="1">
      <x:c r="A12" s="146" t="str">
        <x:v>群組</x:v>
      </x:c>
      <x:c r="B12" s="146" t="str">
        <x:v>站點占比</x:v>
      </x:c>
      <x:c r="C12" s="146" t="str">
        <x:v>活動占比</x:v>
      </x:c>
      <x:c r="D12" s="146" t="str">
        <x:v>尖峰失衡占比</x:v>
      </x:c>
      <x:c r="E12" s="146" t="str">
        <x:v>失衡分鐘占比</x:v>
      </x:c>
      <x:c r="F12" s="289"/>
      <x:c r="G12" s="289"/>
      <x:c r="H12" s="289"/>
      <x:c r="I12" s="289"/>
      <x:c r="J12" s="289"/>
      <x:c r="K12" s="289"/>
      <x:c r="L12" s="289"/>
      <x:c r="M12" s="289"/>
      <x:c r="N12" s="289"/>
      <x:c r="O12" s="289"/>
      <x:c r="P12" s="289"/>
      <x:c r="Q12" s="289"/>
      <x:c r="R12" s="289"/>
      <x:c r="S12" s="289"/>
      <x:c r="T12" s="289"/>
    </x:row>
    <x:row r="13">
      <x:c r="A13" s="149" t="str">
        <x:v>高活動前25%</x:v>
      </x:c>
      <x:c r="B13" s="150" t="n">
        <x:f>C6</x:f>
        <x:v>0.25033557046979865</x:v>
      </x:c>
      <x:c r="C13" s="150" t="n">
        <x:f>D6</x:f>
        <x:v>0.45126743547235043</x:v>
      </x:c>
      <x:c r="D13" s="150" t="n">
        <x:f>F6</x:f>
        <x:v>0.23422899711492917</x:v>
      </x:c>
      <x:c r="E13" s="150" t="n">
        <x:f>I6</x:f>
        <x:v>0.28298448113989066</x:v>
      </x:c>
      <x:c r="F13" s="289"/>
      <x:c r="G13" s="289"/>
      <x:c r="H13" s="289"/>
      <x:c r="I13" s="289"/>
      <x:c r="J13" s="289"/>
      <x:c r="K13" s="289"/>
      <x:c r="L13" s="289"/>
      <x:c r="M13" s="289"/>
      <x:c r="N13" s="289"/>
      <x:c r="O13" s="289"/>
      <x:c r="P13" s="289"/>
      <x:c r="Q13" s="289"/>
      <x:c r="R13" s="289"/>
      <x:c r="S13" s="289"/>
      <x:c r="T13" s="289"/>
    </x:row>
    <x:row r="14">
      <x:c r="A14" s="148" t="str">
        <x:v>高失衡前25%</x:v>
      </x:c>
      <x:c r="B14" s="151" t="n">
        <x:f>C7</x:f>
        <x:v>0.25033557046979865</x:v>
      </x:c>
      <x:c r="C14" s="151" t="n">
        <x:f>D7</x:f>
        <x:v>0.24788230865875013</x:v>
      </x:c>
      <x:c r="D14" s="151" t="n">
        <x:f>F7</x:f>
        <x:v>0.5433191232829523</x:v>
      </x:c>
      <x:c r="E14" s="151" t="n">
        <x:f>I7</x:f>
        <x:v>0.523309848598411</x:v>
      </x:c>
      <x:c r="F14" s="289"/>
      <x:c r="G14" s="289"/>
      <x:c r="H14" s="289"/>
      <x:c r="I14" s="289"/>
      <x:c r="J14" s="289"/>
      <x:c r="K14" s="289"/>
      <x:c r="L14" s="289"/>
      <x:c r="M14" s="289"/>
      <x:c r="N14" s="289"/>
      <x:c r="O14" s="289"/>
      <x:c r="P14" s="289"/>
      <x:c r="Q14" s="289"/>
      <x:c r="R14" s="289"/>
      <x:c r="S14" s="289"/>
      <x:c r="T14" s="289"/>
    </x:row>
    <x:row r="15">
      <x:c r="A15" s="149" t="str">
        <x:v>核心站</x:v>
      </x:c>
      <x:c r="B15" s="150" t="n">
        <x:f>C8</x:f>
        <x:v>0.05906040268456376</x:v>
      </x:c>
      <x:c r="C15" s="150" t="n">
        <x:f>D8</x:f>
        <x:v>0.09124306777555315</x:v>
      </x:c>
      <x:c r="D15" s="150" t="n">
        <x:f>F8</x:f>
        <x:v>0.10991258665977695</x:v>
      </x:c>
      <x:c r="E15" s="150" t="n">
        <x:f>I8</x:f>
        <x:v>0.10725922886965578</x:v>
      </x:c>
      <x:c r="F15" s="289"/>
      <x:c r="G15" s="289"/>
      <x:c r="H15" s="289"/>
      <x:c r="I15" s="289"/>
      <x:c r="J15" s="289"/>
      <x:c r="K15" s="289"/>
      <x:c r="L15" s="289"/>
      <x:c r="M15" s="289"/>
      <x:c r="N15" s="289"/>
      <x:c r="O15" s="289"/>
      <x:c r="P15" s="289"/>
      <x:c r="Q15" s="289"/>
      <x:c r="R15" s="289"/>
      <x:c r="S15" s="289"/>
      <x:c r="T15" s="289"/>
    </x:row>
    <x:row r="16">
      <x:c r="A16" s="289"/>
      <x:c r="B16" s="289"/>
      <x:c r="C16" s="289"/>
      <x:c r="D16" s="289"/>
      <x:c r="E16" s="289"/>
      <x:c r="F16" s="289"/>
      <x:c r="G16" s="289"/>
      <x:c r="H16" s="289"/>
      <x:c r="I16" s="289"/>
      <x:c r="J16" s="289"/>
      <x:c r="K16" s="289"/>
      <x:c r="L16" s="289"/>
      <x:c r="M16" s="289"/>
      <x:c r="N16" s="289"/>
      <x:c r="O16" s="289"/>
      <x:c r="P16" s="289"/>
      <x:c r="Q16" s="289"/>
      <x:c r="R16" s="289"/>
      <x:c r="S16" s="289"/>
      <x:c r="T16" s="289"/>
    </x:row>
    <x:row r="17">
      <x:c r="A17" s="289"/>
      <x:c r="B17" s="289"/>
      <x:c r="C17" s="289"/>
      <x:c r="D17" s="289"/>
      <x:c r="E17" s="289"/>
      <x:c r="F17" s="289"/>
      <x:c r="G17" s="289"/>
      <x:c r="H17" s="289"/>
      <x:c r="I17" s="289"/>
      <x:c r="J17" s="289"/>
      <x:c r="K17" s="289"/>
      <x:c r="L17" s="289"/>
      <x:c r="M17" s="289"/>
      <x:c r="N17" s="289"/>
      <x:c r="O17" s="289"/>
      <x:c r="P17" s="289"/>
      <x:c r="Q17" s="289"/>
      <x:c r="R17" s="289"/>
      <x:c r="S17" s="289"/>
      <x:c r="T17" s="289"/>
    </x:row>
    <x:row r="18">
      <x:c r="A18" s="289"/>
      <x:c r="B18" s="289"/>
      <x:c r="C18" s="289"/>
      <x:c r="D18" s="289"/>
      <x:c r="E18" s="289"/>
      <x:c r="F18" s="289"/>
      <x:c r="G18" s="289"/>
      <x:c r="H18" s="289"/>
      <x:c r="I18" s="289"/>
      <x:c r="J18" s="289"/>
      <x:c r="K18" s="289"/>
      <x:c r="L18" s="289"/>
      <x:c r="M18" s="289"/>
      <x:c r="N18" s="289"/>
      <x:c r="O18" s="289"/>
      <x:c r="P18" s="289"/>
      <x:c r="Q18" s="289"/>
      <x:c r="R18" s="289"/>
      <x:c r="S18" s="289"/>
      <x:c r="T18" s="289"/>
    </x:row>
    <x:row r="19">
      <x:c r="A19" s="226" t="str">
        <x:v>關鍵比較
高活動前25%：活動濃度約1.80倍，但尖峰失衡濃度約0.94倍。
高失衡前25%：活動濃度約0.99倍，但尖峰失衡濃度約2.17倍。
核心站：只占5.9%，活動與失衡都約為站點占比的1.5–1.9倍。</x:v>
      </x:c>
      <x:c r="B19" s="227"/>
      <x:c r="C19" s="227"/>
      <x:c r="D19" s="227"/>
      <x:c r="E19" s="228"/>
      <x:c r="F19" s="289"/>
      <x:c r="G19" s="289"/>
      <x:c r="H19" s="289"/>
      <x:c r="I19" s="289"/>
      <x:c r="J19" s="289"/>
      <x:c r="K19" s="289"/>
      <x:c r="L19" s="289"/>
      <x:c r="M19" s="289"/>
      <x:c r="N19" s="289"/>
      <x:c r="O19" s="289"/>
      <x:c r="P19" s="289"/>
      <x:c r="Q19" s="289"/>
      <x:c r="R19" s="289"/>
      <x:c r="S19" s="289"/>
      <x:c r="T19" s="289"/>
    </x:row>
    <x:row r="20">
      <x:c r="A20" s="229"/>
      <x:c r="B20" s="230"/>
      <x:c r="C20" s="230"/>
      <x:c r="D20" s="230"/>
      <x:c r="E20" s="231"/>
      <x:c r="F20" s="289"/>
      <x:c r="G20" s="289"/>
      <x:c r="H20" s="289"/>
      <x:c r="I20" s="289"/>
      <x:c r="J20" s="289"/>
      <x:c r="K20" s="289"/>
      <x:c r="L20" s="289"/>
      <x:c r="M20" s="289"/>
      <x:c r="N20" s="289"/>
      <x:c r="O20" s="289"/>
      <x:c r="P20" s="289"/>
      <x:c r="Q20" s="289"/>
      <x:c r="R20" s="289"/>
      <x:c r="S20" s="289"/>
      <x:c r="T20" s="289"/>
    </x:row>
    <x:row r="21">
      <x:c r="A21" s="229"/>
      <x:c r="B21" s="230"/>
      <x:c r="C21" s="230"/>
      <x:c r="D21" s="230"/>
      <x:c r="E21" s="231"/>
      <x:c r="F21" s="289"/>
      <x:c r="G21" s="289"/>
      <x:c r="H21" s="289"/>
      <x:c r="I21" s="289"/>
      <x:c r="J21" s="289"/>
      <x:c r="K21" s="289"/>
      <x:c r="L21" s="289"/>
      <x:c r="M21" s="289"/>
      <x:c r="N21" s="289"/>
      <x:c r="O21" s="289"/>
      <x:c r="P21" s="289"/>
      <x:c r="Q21" s="289"/>
      <x:c r="R21" s="289"/>
      <x:c r="S21" s="289"/>
      <x:c r="T21" s="289"/>
    </x:row>
    <x:row r="22">
      <x:c r="A22" s="229"/>
      <x:c r="B22" s="230"/>
      <x:c r="C22" s="230"/>
      <x:c r="D22" s="230"/>
      <x:c r="E22" s="231"/>
      <x:c r="F22" s="289"/>
      <x:c r="G22" s="289"/>
      <x:c r="H22" s="289"/>
      <x:c r="I22" s="289"/>
      <x:c r="J22" s="289"/>
      <x:c r="K22" s="289"/>
      <x:c r="L22" s="289"/>
      <x:c r="M22" s="289"/>
      <x:c r="N22" s="289"/>
      <x:c r="O22" s="289"/>
      <x:c r="P22" s="289"/>
      <x:c r="Q22" s="289"/>
      <x:c r="R22" s="289"/>
      <x:c r="S22" s="289"/>
      <x:c r="T22" s="289"/>
    </x:row>
    <x:row r="23">
      <x:c r="A23" s="229"/>
      <x:c r="B23" s="230"/>
      <x:c r="C23" s="230"/>
      <x:c r="D23" s="230"/>
      <x:c r="E23" s="231"/>
      <x:c r="F23" s="289"/>
      <x:c r="G23" s="289"/>
      <x:c r="H23" s="289"/>
      <x:c r="I23" s="289"/>
      <x:c r="J23" s="289"/>
      <x:c r="K23" s="289"/>
      <x:c r="L23" s="289"/>
      <x:c r="M23" s="289"/>
      <x:c r="N23" s="289"/>
      <x:c r="O23" s="289"/>
      <x:c r="P23" s="289"/>
      <x:c r="Q23" s="289"/>
      <x:c r="R23" s="289"/>
      <x:c r="S23" s="289"/>
      <x:c r="T23" s="289"/>
    </x:row>
    <x:row r="24">
      <x:c r="A24" s="229"/>
      <x:c r="B24" s="230"/>
      <x:c r="C24" s="230"/>
      <x:c r="D24" s="230"/>
      <x:c r="E24" s="231"/>
      <x:c r="F24" s="289"/>
      <x:c r="G24" s="289"/>
      <x:c r="H24" s="289"/>
      <x:c r="I24" s="289"/>
      <x:c r="J24" s="289"/>
      <x:c r="K24" s="289"/>
      <x:c r="L24" s="289"/>
      <x:c r="M24" s="289"/>
      <x:c r="N24" s="289"/>
      <x:c r="O24" s="289"/>
      <x:c r="P24" s="289"/>
      <x:c r="Q24" s="289"/>
      <x:c r="R24" s="289"/>
      <x:c r="S24" s="289"/>
      <x:c r="T24" s="289"/>
    </x:row>
    <x:row r="25">
      <x:c r="A25" s="229"/>
      <x:c r="B25" s="230"/>
      <x:c r="C25" s="230"/>
      <x:c r="D25" s="230"/>
      <x:c r="E25" s="231"/>
      <x:c r="F25" s="289"/>
      <x:c r="G25" s="289"/>
      <x:c r="H25" s="289"/>
      <x:c r="I25" s="289"/>
      <x:c r="J25" s="289"/>
      <x:c r="K25" s="289"/>
      <x:c r="L25" s="289"/>
      <x:c r="M25" s="289"/>
      <x:c r="N25" s="289"/>
      <x:c r="O25" s="289"/>
      <x:c r="P25" s="289"/>
      <x:c r="Q25" s="289"/>
      <x:c r="R25" s="289"/>
      <x:c r="S25" s="289"/>
      <x:c r="T25" s="289"/>
    </x:row>
    <x:row r="26">
      <x:c r="A26" s="229"/>
      <x:c r="B26" s="230"/>
      <x:c r="C26" s="230"/>
      <x:c r="D26" s="230"/>
      <x:c r="E26" s="231"/>
      <x:c r="F26" s="289"/>
      <x:c r="G26" s="289"/>
      <x:c r="H26" s="289"/>
      <x:c r="I26" s="289"/>
      <x:c r="J26" s="289"/>
      <x:c r="K26" s="289"/>
      <x:c r="L26" s="289"/>
      <x:c r="M26" s="289"/>
      <x:c r="N26" s="289"/>
      <x:c r="O26" s="289"/>
      <x:c r="P26" s="289"/>
      <x:c r="Q26" s="289"/>
      <x:c r="R26" s="289"/>
      <x:c r="S26" s="289"/>
      <x:c r="T26" s="289"/>
    </x:row>
    <x:row r="27">
      <x:c r="A27" s="232"/>
      <x:c r="B27" s="233"/>
      <x:c r="C27" s="233"/>
      <x:c r="D27" s="233"/>
      <x:c r="E27" s="234"/>
      <x:c r="F27" s="289"/>
      <x:c r="G27" s="289"/>
      <x:c r="H27" s="289"/>
      <x:c r="I27" s="289"/>
      <x:c r="J27" s="289"/>
      <x:c r="K27" s="289"/>
      <x:c r="L27" s="289"/>
      <x:c r="M27" s="289"/>
      <x:c r="N27" s="289"/>
      <x:c r="O27" s="289"/>
      <x:c r="P27" s="289"/>
      <x:c r="Q27" s="289"/>
      <x:c r="R27" s="289"/>
      <x:c r="S27" s="289"/>
      <x:c r="T27" s="289"/>
    </x:row>
  </x:sheetData>
  <x:mergeCells>
    <x:mergeCell ref="A1:T1"/>
    <x:mergeCell ref="A2:T2"/>
    <x:mergeCell ref="A19:E27"/>
  </x:mergeCells>
  <x:pageMargins left="0.7" right="0.7" top="0.75" bottom="0.75" header="0.3" footer="0.3"/>
  <x:drawing xmlns:r="http://schemas.openxmlformats.org/officeDocument/2006/relationships" r:id="R7c31a5b8c2b24e84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5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3" t="str">
        <x:v>高活動 × 高失衡四群比較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8" customHeight="1">
      <x:c r="A2" s="7" t="str">
        <x:v>四群互不重疊，因此活動占比、尖峰失衡占比與失衡分鐘占比各自加總為100%。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  <x:c r="N3" s="289"/>
      <x:c r="O3" s="289"/>
      <x:c r="P3" s="289"/>
      <x:c r="Q3" s="289"/>
      <x:c r="R3" s="289"/>
      <x:c r="S3" s="289"/>
      <x:c r="T3" s="289"/>
    </x:row>
    <x:row r="4" ht="42" customHeight="1">
      <x:c r="A4" s="135" t="str">
        <x:v>四群</x:v>
      </x:c>
      <x:c r="B4" s="135" t="str">
        <x:v>站數</x:v>
      </x:c>
      <x:c r="C4" s="135" t="str">
        <x:v>站點占比</x:v>
      </x:c>
      <x:c r="D4" s="135" t="str">
        <x:v>五月容量中位</x:v>
      </x:c>
      <x:c r="E4" s="135" t="str">
        <x:v>五月平均活動/日</x:v>
      </x:c>
      <x:c r="F4" s="135" t="str">
        <x:v>活動占比</x:v>
      </x:c>
      <x:c r="G4" s="135" t="str">
        <x:v>五月尖峰失衡率</x:v>
      </x:c>
      <x:c r="H4" s="135" t="str">
        <x:v>尖峰失衡占比</x:v>
      </x:c>
      <x:c r="I4" s="135" t="str">
        <x:v>持續事件占比</x:v>
      </x:c>
      <x:c r="J4" s="135" t="str">
        <x:v>失衡分鐘占比</x:v>
      </x:c>
      <x:c r="K4" s="289"/>
      <x:c r="L4" s="289"/>
      <x:c r="M4" s="289"/>
      <x:c r="N4" s="289"/>
      <x:c r="O4" s="289"/>
      <x:c r="P4" s="289"/>
      <x:c r="Q4" s="289"/>
      <x:c r="R4" s="289"/>
      <x:c r="S4" s="289"/>
      <x:c r="T4" s="289"/>
    </x:row>
    <x:row r="5">
      <x:c r="A5" s="149" t="str">
        <x:v>高活動＋高失衡</x:v>
      </x:c>
      <x:c r="B5" s="149" t="n">
        <x:v>88</x:v>
      </x:c>
      <x:c r="C5" s="150" t="n">
        <x:v>0.05906040268456376</x:v>
      </x:c>
      <x:c r="D5" s="149" t="n">
        <x:v>34</x:v>
      </x:c>
      <x:c r="E5" s="237" t="n">
        <x:v>124.13709677419357</x:v>
      </x:c>
      <x:c r="F5" s="150" t="n">
        <x:v>0.09124306777555315</x:v>
      </x:c>
      <x:c r="G5" s="150" t="n">
        <x:v>0.13366673648931712</x:v>
      </x:c>
      <x:c r="H5" s="150" t="n">
        <x:v>0.10991258665977695</x:v>
      </x:c>
      <x:c r="I5" s="150" t="n">
        <x:v>0.11125550199119681</x:v>
      </x:c>
      <x:c r="J5" s="150" t="n">
        <x:v>0.10725922886965578</x:v>
      </x:c>
      <x:c r="K5" s="289"/>
      <x:c r="L5" s="289"/>
      <x:c r="M5" s="289"/>
      <x:c r="N5" s="289"/>
      <x:c r="O5" s="289"/>
      <x:c r="P5" s="289"/>
      <x:c r="Q5" s="289"/>
      <x:c r="R5" s="289"/>
      <x:c r="S5" s="289"/>
      <x:c r="T5" s="289"/>
    </x:row>
    <x:row r="6">
      <x:c r="A6" s="148" t="str">
        <x:v>僅高失衡</x:v>
      </x:c>
      <x:c r="B6" s="148" t="n">
        <x:v>285</x:v>
      </x:c>
      <x:c r="C6" s="151" t="n">
        <x:v>0.1912751677852349</x:v>
      </x:c>
      <x:c r="D6" s="148" t="n">
        <x:v>15</x:v>
      </x:c>
      <x:c r="E6" s="238" t="n">
        <x:v>65.8021505376344</x:v>
      </x:c>
      <x:c r="F6" s="151" t="n">
        <x:v>0.15663924088319697</x:v>
      </x:c>
      <x:c r="G6" s="151" t="n">
        <x:v>0.16274557361144798</x:v>
      </x:c>
      <x:c r="H6" s="151" t="n">
        <x:v>0.4334065366231753</x:v>
      </x:c>
      <x:c r="I6" s="151" t="n">
        <x:v>0.34822888283378745</x:v>
      </x:c>
      <x:c r="J6" s="151" t="n">
        <x:v>0.41605061972875523</x:v>
      </x:c>
      <x:c r="K6" s="289"/>
      <x:c r="L6" s="289"/>
      <x:c r="M6" s="289"/>
      <x:c r="N6" s="289"/>
      <x:c r="O6" s="289"/>
      <x:c r="P6" s="289"/>
      <x:c r="Q6" s="289"/>
      <x:c r="R6" s="289"/>
      <x:c r="S6" s="289"/>
      <x:c r="T6" s="289"/>
    </x:row>
    <x:row r="7">
      <x:c r="A7" s="149" t="str">
        <x:v>僅高活動</x:v>
      </x:c>
      <x:c r="B7" s="149" t="n">
        <x:v>285</x:v>
      </x:c>
      <x:c r="C7" s="150" t="n">
        <x:v>0.1912751677852349</x:v>
      </x:c>
      <x:c r="D7" s="149" t="n">
        <x:v>48</x:v>
      </x:c>
      <x:c r="E7" s="237" t="n">
        <x:v>151.31585477340997</x:v>
      </x:c>
      <x:c r="F7" s="150" t="n">
        <x:v>0.3600243676967973</x:v>
      </x:c>
      <x:c r="G7" s="150" t="n">
        <x:v>0.046711053223418626</x:v>
      </x:c>
      <x:c r="H7" s="150" t="n">
        <x:v>0.12431641045515222</x:v>
      </x:c>
      <x:c r="I7" s="150" t="n">
        <x:v>0.19329281073150284</x:v>
      </x:c>
      <x:c r="J7" s="150" t="n">
        <x:v>0.17572525227023486</x:v>
      </x:c>
      <x:c r="K7" s="289"/>
      <x:c r="L7" s="289"/>
      <x:c r="M7" s="289"/>
      <x:c r="N7" s="289"/>
      <x:c r="O7" s="289"/>
      <x:c r="P7" s="289"/>
      <x:c r="Q7" s="289"/>
      <x:c r="R7" s="289"/>
      <x:c r="S7" s="289"/>
      <x:c r="T7" s="289"/>
    </x:row>
    <x:row r="8">
      <x:c r="A8" s="148" t="str">
        <x:v>兩者皆非</x:v>
      </x:c>
      <x:c r="B8" s="148" t="n">
        <x:v>832</x:v>
      </x:c>
      <x:c r="C8" s="151" t="n">
        <x:v>0.5583892617449664</x:v>
      </x:c>
      <x:c r="D8" s="148" t="n">
        <x:v>22</x:v>
      </x:c>
      <x:c r="E8" s="238" t="n">
        <x:v>56.42226271712158</x:v>
      </x:c>
      <x:c r="F8" s="151" t="n">
        <x:v>0.39209332364445254</x:v>
      </x:c>
      <x:c r="G8" s="151" t="n">
        <x:v>0.04286079196814802</x:v>
      </x:c>
      <x:c r="H8" s="151" t="n">
        <x:v>0.33236446626189553</x:v>
      </x:c>
      <x:c r="I8" s="151" t="n">
        <x:v>0.3472228044435129</x:v>
      </x:c>
      <x:c r="J8" s="151" t="n">
        <x:v>0.3009648991313541</x:v>
      </x:c>
      <x:c r="K8" s="289"/>
      <x:c r="L8" s="289"/>
      <x:c r="M8" s="289"/>
      <x:c r="N8" s="289"/>
      <x:c r="O8" s="289"/>
      <x:c r="P8" s="289"/>
      <x:c r="Q8" s="289"/>
      <x:c r="R8" s="289"/>
      <x:c r="S8" s="289"/>
      <x:c r="T8" s="289"/>
    </x:row>
    <x:row r="9">
      <x:c r="A9" s="289"/>
      <x:c r="B9" s="289"/>
      <x:c r="C9" s="289"/>
      <x:c r="D9" s="289"/>
      <x:c r="E9" s="289"/>
      <x:c r="F9" s="289"/>
      <x:c r="G9" s="289"/>
      <x:c r="H9" s="289"/>
      <x:c r="I9" s="289"/>
      <x:c r="J9" s="289"/>
      <x:c r="K9" s="289"/>
      <x:c r="L9" s="289"/>
      <x:c r="M9" s="289"/>
      <x:c r="N9" s="289"/>
      <x:c r="O9" s="289"/>
      <x:c r="P9" s="289"/>
      <x:c r="Q9" s="289"/>
      <x:c r="R9" s="289"/>
      <x:c r="S9" s="289"/>
      <x:c r="T9" s="289"/>
    </x:row>
    <x:row r="10">
      <x:c r="A10" s="289"/>
      <x:c r="B10" s="289"/>
      <x:c r="C10" s="289"/>
      <x:c r="D10" s="289"/>
      <x:c r="E10" s="289"/>
      <x:c r="F10" s="289"/>
      <x:c r="G10" s="289"/>
      <x:c r="H10" s="289"/>
      <x:c r="I10" s="289"/>
      <x:c r="J10" s="289"/>
      <x:c r="K10" s="289"/>
      <x:c r="L10" s="289"/>
      <x:c r="M10" s="289"/>
      <x:c r="N10" s="289"/>
      <x:c r="O10" s="289"/>
      <x:c r="P10" s="289"/>
      <x:c r="Q10" s="289"/>
      <x:c r="R10" s="289"/>
      <x:c r="S10" s="289"/>
      <x:c r="T10" s="289"/>
    </x:row>
    <x:row r="11">
      <x:c r="A11" s="289"/>
      <x:c r="B11" s="289"/>
      <x:c r="C11" s="289"/>
      <x:c r="D11" s="289"/>
      <x:c r="E11" s="289"/>
      <x:c r="F11" s="289"/>
      <x:c r="G11" s="289"/>
      <x:c r="H11" s="289"/>
      <x:c r="I11" s="289"/>
      <x:c r="J11" s="289"/>
      <x:c r="K11" s="289"/>
      <x:c r="L11" s="289"/>
      <x:c r="M11" s="289"/>
      <x:c r="N11" s="289"/>
      <x:c r="O11" s="289"/>
      <x:c r="P11" s="289"/>
      <x:c r="Q11" s="289"/>
      <x:c r="R11" s="289"/>
      <x:c r="S11" s="289"/>
      <x:c r="T11" s="289"/>
    </x:row>
    <x:row r="12" ht="28" customHeight="1">
      <x:c r="A12" s="146" t="str">
        <x:v>四群</x:v>
      </x:c>
      <x:c r="B12" s="146" t="str">
        <x:v>站點占比</x:v>
      </x:c>
      <x:c r="C12" s="146" t="str">
        <x:v>活動占比</x:v>
      </x:c>
      <x:c r="D12" s="146" t="str">
        <x:v>尖峰失衡占比</x:v>
      </x:c>
      <x:c r="E12" s="146" t="str">
        <x:v>失衡分鐘占比</x:v>
      </x:c>
      <x:c r="F12" s="289"/>
      <x:c r="G12" s="289"/>
      <x:c r="H12" s="289"/>
      <x:c r="I12" s="289"/>
      <x:c r="J12" s="289"/>
      <x:c r="K12" s="289"/>
      <x:c r="L12" s="289"/>
      <x:c r="M12" s="289"/>
      <x:c r="N12" s="289"/>
      <x:c r="O12" s="289"/>
      <x:c r="P12" s="289"/>
      <x:c r="Q12" s="289"/>
      <x:c r="R12" s="289"/>
      <x:c r="S12" s="289"/>
      <x:c r="T12" s="289"/>
    </x:row>
    <x:row r="13">
      <x:c r="A13" s="149" t="str">
        <x:v>高活動＋高失衡</x:v>
      </x:c>
      <x:c r="B13" s="150" t="n">
        <x:v>0.05906040268456376</x:v>
      </x:c>
      <x:c r="C13" s="150" t="n">
        <x:v>0.09124306777555315</x:v>
      </x:c>
      <x:c r="D13" s="150" t="n">
        <x:v>0.10991258665977695</x:v>
      </x:c>
      <x:c r="E13" s="150" t="n">
        <x:v>0.10725922886965578</x:v>
      </x:c>
      <x:c r="F13" s="289"/>
      <x:c r="G13" s="289"/>
      <x:c r="H13" s="289"/>
      <x:c r="I13" s="289"/>
      <x:c r="J13" s="289"/>
      <x:c r="K13" s="289"/>
      <x:c r="L13" s="289"/>
      <x:c r="M13" s="289"/>
      <x:c r="N13" s="289"/>
      <x:c r="O13" s="289"/>
      <x:c r="P13" s="289"/>
      <x:c r="Q13" s="289"/>
      <x:c r="R13" s="289"/>
      <x:c r="S13" s="289"/>
      <x:c r="T13" s="289"/>
    </x:row>
    <x:row r="14">
      <x:c r="A14" s="148" t="str">
        <x:v>僅高失衡</x:v>
      </x:c>
      <x:c r="B14" s="151" t="n">
        <x:v>0.1912751677852349</x:v>
      </x:c>
      <x:c r="C14" s="151" t="n">
        <x:v>0.15663924088319697</x:v>
      </x:c>
      <x:c r="D14" s="151" t="n">
        <x:v>0.4334065366231753</x:v>
      </x:c>
      <x:c r="E14" s="151" t="n">
        <x:v>0.41605061972875523</x:v>
      </x:c>
      <x:c r="F14" s="289"/>
      <x:c r="G14" s="289"/>
      <x:c r="H14" s="289"/>
      <x:c r="I14" s="289"/>
      <x:c r="J14" s="289"/>
      <x:c r="K14" s="289"/>
      <x:c r="L14" s="289"/>
      <x:c r="M14" s="289"/>
      <x:c r="N14" s="289"/>
      <x:c r="O14" s="289"/>
      <x:c r="P14" s="289"/>
      <x:c r="Q14" s="289"/>
      <x:c r="R14" s="289"/>
      <x:c r="S14" s="289"/>
      <x:c r="T14" s="289"/>
    </x:row>
    <x:row r="15">
      <x:c r="A15" s="149" t="str">
        <x:v>僅高活動</x:v>
      </x:c>
      <x:c r="B15" s="150" t="n">
        <x:v>0.1912751677852349</x:v>
      </x:c>
      <x:c r="C15" s="150" t="n">
        <x:v>0.3600243676967973</x:v>
      </x:c>
      <x:c r="D15" s="150" t="n">
        <x:v>0.12431641045515222</x:v>
      </x:c>
      <x:c r="E15" s="150" t="n">
        <x:v>0.17572525227023486</x:v>
      </x:c>
      <x:c r="F15" s="289"/>
      <x:c r="G15" s="289"/>
      <x:c r="H15" s="289"/>
      <x:c r="I15" s="289"/>
      <x:c r="J15" s="289"/>
      <x:c r="K15" s="289"/>
      <x:c r="L15" s="289"/>
      <x:c r="M15" s="289"/>
      <x:c r="N15" s="289"/>
      <x:c r="O15" s="289"/>
      <x:c r="P15" s="289"/>
      <x:c r="Q15" s="289"/>
      <x:c r="R15" s="289"/>
      <x:c r="S15" s="289"/>
      <x:c r="T15" s="289"/>
    </x:row>
    <x:row r="16">
      <x:c r="A16" s="148" t="str">
        <x:v>兩者皆非</x:v>
      </x:c>
      <x:c r="B16" s="151" t="n">
        <x:v>0.5583892617449664</x:v>
      </x:c>
      <x:c r="C16" s="151" t="n">
        <x:v>0.39209332364445254</x:v>
      </x:c>
      <x:c r="D16" s="151" t="n">
        <x:v>0.33236446626189553</x:v>
      </x:c>
      <x:c r="E16" s="151" t="n">
        <x:v>0.3009648991313541</x:v>
      </x:c>
      <x:c r="F16" s="289"/>
      <x:c r="G16" s="289"/>
      <x:c r="H16" s="289"/>
      <x:c r="I16" s="289"/>
      <x:c r="J16" s="289"/>
      <x:c r="K16" s="289"/>
      <x:c r="L16" s="289"/>
      <x:c r="M16" s="289"/>
      <x:c r="N16" s="289"/>
      <x:c r="O16" s="289"/>
      <x:c r="P16" s="289"/>
      <x:c r="Q16" s="289"/>
      <x:c r="R16" s="289"/>
      <x:c r="S16" s="289"/>
      <x:c r="T16" s="289"/>
    </x:row>
    <x:row r="17">
      <x:c r="A17" s="289"/>
      <x:c r="B17" s="289"/>
      <x:c r="C17" s="289"/>
      <x:c r="D17" s="289"/>
      <x:c r="E17" s="289"/>
      <x:c r="F17" s="289"/>
      <x:c r="G17" s="289"/>
      <x:c r="H17" s="289"/>
      <x:c r="I17" s="289"/>
      <x:c r="J17" s="289"/>
      <x:c r="K17" s="289"/>
      <x:c r="L17" s="289"/>
      <x:c r="M17" s="289"/>
      <x:c r="N17" s="289"/>
      <x:c r="O17" s="289"/>
      <x:c r="P17" s="289"/>
      <x:c r="Q17" s="289"/>
      <x:c r="R17" s="289"/>
      <x:c r="S17" s="289"/>
      <x:c r="T17" s="289"/>
    </x:row>
    <x:row r="18">
      <x:c r="A18" s="289"/>
      <x:c r="B18" s="289"/>
      <x:c r="C18" s="289"/>
      <x:c r="D18" s="289"/>
      <x:c r="E18" s="289"/>
      <x:c r="F18" s="289"/>
      <x:c r="G18" s="289"/>
      <x:c r="H18" s="289"/>
      <x:c r="I18" s="289"/>
      <x:c r="J18" s="289"/>
      <x:c r="K18" s="289"/>
      <x:c r="L18" s="289"/>
      <x:c r="M18" s="289"/>
      <x:c r="N18" s="289"/>
      <x:c r="O18" s="289"/>
      <x:c r="P18" s="289"/>
      <x:c r="Q18" s="289"/>
      <x:c r="R18" s="289"/>
      <x:c r="S18" s="289"/>
      <x:c r="T18" s="289"/>
    </x:row>
    <x:row r="19">
      <x:c r="A19" s="289"/>
      <x:c r="B19" s="289"/>
      <x:c r="C19" s="289"/>
      <x:c r="D19" s="289"/>
      <x:c r="E19" s="289"/>
      <x:c r="F19" s="289"/>
      <x:c r="G19" s="289"/>
      <x:c r="H19" s="289"/>
      <x:c r="I19" s="289"/>
      <x:c r="J19" s="289"/>
      <x:c r="K19" s="289"/>
      <x:c r="L19" s="289"/>
      <x:c r="M19" s="289"/>
      <x:c r="N19" s="289"/>
      <x:c r="O19" s="289"/>
      <x:c r="P19" s="289"/>
      <x:c r="Q19" s="289"/>
      <x:c r="R19" s="289"/>
      <x:c r="S19" s="289"/>
      <x:c r="T19" s="289"/>
    </x:row>
    <x:row r="20" ht="25" customHeight="1">
      <x:c r="A20" s="129" t="str">
        <x:v>四群痛點定位</x:v>
      </x:c>
      <x:c r="B20" s="129"/>
      <x:c r="C20" s="129"/>
      <x:c r="D20" s="129"/>
      <x:c r="E20" s="129"/>
      <x:c r="F20" s="289"/>
      <x:c r="G20" s="289"/>
      <x:c r="H20" s="289"/>
      <x:c r="I20" s="289"/>
      <x:c r="J20" s="289"/>
      <x:c r="K20" s="289"/>
      <x:c r="L20" s="289"/>
      <x:c r="M20" s="289"/>
      <x:c r="N20" s="289"/>
      <x:c r="O20" s="289"/>
      <x:c r="P20" s="289"/>
      <x:c r="Q20" s="289"/>
      <x:c r="R20" s="289"/>
      <x:c r="S20" s="289"/>
      <x:c r="T20" s="289"/>
    </x:row>
    <x:row r="21" ht="28" customHeight="1">
      <x:c r="A21" s="135" t="str">
        <x:v>四群</x:v>
      </x:c>
      <x:c r="B21" s="135" t="str">
        <x:v>資料特徵</x:v>
      </x:c>
      <x:c r="C21" s="135" t="str">
        <x:v>目前適合的解讀</x:v>
      </x:c>
      <x:c r="D21" s="289"/>
      <x:c r="E21" s="289"/>
      <x:c r="F21" s="289"/>
      <x:c r="G21" s="289"/>
      <x:c r="H21" s="289"/>
      <x:c r="I21" s="289"/>
      <x:c r="J21" s="289"/>
      <x:c r="K21" s="289"/>
      <x:c r="L21" s="289"/>
      <x:c r="M21" s="289"/>
      <x:c r="N21" s="289"/>
      <x:c r="O21" s="289"/>
      <x:c r="P21" s="289"/>
      <x:c r="Q21" s="289"/>
      <x:c r="R21" s="289"/>
      <x:c r="S21" s="289"/>
      <x:c r="T21" s="289"/>
    </x:row>
    <x:row r="22" ht="52" customHeight="1">
      <x:c r="A22" s="140" t="str">
        <x:v>高活動＋高失衡</x:v>
      </x:c>
      <x:c r="B22" s="140" t="str">
        <x:v>88站；9.1%活動、11.0%尖峰失衡</x:v>
      </x:c>
      <x:c r="C22" s="140" t="str">
        <x:v>使用活動與服務失敗同時偏高的高價值核心案例</x:v>
      </x:c>
      <x:c r="D22" s="289"/>
      <x:c r="E22" s="289"/>
      <x:c r="F22" s="289"/>
      <x:c r="G22" s="289"/>
      <x:c r="H22" s="289"/>
      <x:c r="I22" s="289"/>
      <x:c r="J22" s="289"/>
      <x:c r="K22" s="289"/>
      <x:c r="L22" s="289"/>
      <x:c r="M22" s="289"/>
      <x:c r="N22" s="289"/>
      <x:c r="O22" s="289"/>
      <x:c r="P22" s="289"/>
      <x:c r="Q22" s="289"/>
      <x:c r="R22" s="289"/>
      <x:c r="S22" s="289"/>
      <x:c r="T22" s="289"/>
    </x:row>
    <x:row r="23" ht="52" customHeight="1">
      <x:c r="A23" s="139" t="str">
        <x:v>僅高失衡</x:v>
      </x:c>
      <x:c r="B23" s="139" t="str">
        <x:v>285站；15.7%活動、43.3%尖峰失衡</x:v>
      </x:c>
      <x:c r="C23" s="139" t="str">
        <x:v>整體失衡負擔最大；先分辨真實供需問題與停用／資料狀態</x:v>
      </x:c>
      <x:c r="D23" s="289"/>
      <x:c r="E23" s="289"/>
      <x:c r="F23" s="289"/>
      <x:c r="G23" s="289"/>
      <x:c r="H23" s="289"/>
      <x:c r="I23" s="289"/>
      <x:c r="J23" s="289"/>
      <x:c r="K23" s="289"/>
      <x:c r="L23" s="289"/>
      <x:c r="M23" s="289"/>
      <x:c r="N23" s="289"/>
      <x:c r="O23" s="289"/>
      <x:c r="P23" s="289"/>
      <x:c r="Q23" s="289"/>
      <x:c r="R23" s="289"/>
      <x:c r="S23" s="289"/>
      <x:c r="T23" s="289"/>
    </x:row>
    <x:row r="24" ht="52" customHeight="1">
      <x:c r="A24" s="140" t="str">
        <x:v>僅高活動</x:v>
      </x:c>
      <x:c r="B24" s="140" t="str">
        <x:v>285站；36.0%活動、12.4%尖峰失衡</x:v>
      </x:c>
      <x:c r="C24" s="140" t="str">
        <x:v>重要但目前相對穩定，可能容量或既有營運較有效</x:v>
      </x:c>
      <x:c r="D24" s="289"/>
      <x:c r="E24" s="289"/>
      <x:c r="F24" s="289"/>
      <x:c r="G24" s="289"/>
      <x:c r="H24" s="289"/>
      <x:c r="I24" s="289"/>
      <x:c r="J24" s="289"/>
      <x:c r="K24" s="289"/>
      <x:c r="L24" s="289"/>
      <x:c r="M24" s="289"/>
      <x:c r="N24" s="289"/>
      <x:c r="O24" s="289"/>
      <x:c r="P24" s="289"/>
      <x:c r="Q24" s="289"/>
      <x:c r="R24" s="289"/>
      <x:c r="S24" s="289"/>
      <x:c r="T24" s="289"/>
    </x:row>
    <x:row r="25" ht="52" customHeight="1">
      <x:c r="A25" s="139" t="str">
        <x:v>兩者皆非</x:v>
      </x:c>
      <x:c r="B25" s="139" t="str">
        <x:v>832站；39.2%活動、33.2%尖峰失衡</x:v>
      </x:c>
      <x:c r="C25" s="139" t="str">
        <x:v>單站不突出，但數量多，合計仍占三分之一失衡</x:v>
      </x:c>
      <x:c r="D25" s="289"/>
      <x:c r="E25" s="289"/>
      <x:c r="F25" s="289"/>
      <x:c r="G25" s="289"/>
      <x:c r="H25" s="289"/>
      <x:c r="I25" s="289"/>
      <x:c r="J25" s="289"/>
      <x:c r="K25" s="289"/>
      <x:c r="L25" s="289"/>
      <x:c r="M25" s="289"/>
      <x:c r="N25" s="289"/>
      <x:c r="O25" s="289"/>
      <x:c r="P25" s="289"/>
      <x:c r="Q25" s="289"/>
      <x:c r="R25" s="289"/>
      <x:c r="S25" s="289"/>
      <x:c r="T25" s="289"/>
    </x:row>
  </x:sheetData>
  <x:mergeCells>
    <x:mergeCell ref="A1:T1"/>
    <x:mergeCell ref="A2:T2"/>
    <x:mergeCell ref="A20:E20"/>
  </x:mergeCells>
  <x:pageMargins left="0.7" right="0.7" top="0.75" bottom="0.75" header="0.3" footer="0.3"/>
  <x:drawing xmlns:r="http://schemas.openxmlformats.org/officeDocument/2006/relationships" r:id="R108cd481708b4abb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4" customHeight="1">
      <x:c r="A1" s="3" t="str">
        <x:v>88個高價值核心站：在不同母群中的份量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核心站是高活動與高失衡交集。這頁特別區分『相對全部站點』、『相對高失衡站』與『相對高活動站』。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  <x:c r="N3" s="289"/>
      <x:c r="O3" s="289"/>
      <x:c r="P3" s="289"/>
      <x:c r="Q3" s="289"/>
      <x:c r="R3" s="289"/>
    </x:row>
    <x:row r="4" ht="28" customHeight="1">
      <x:c r="A4" s="135" t="str">
        <x:v>比較母群</x:v>
      </x:c>
      <x:c r="B4" s="135" t="str">
        <x:v>核心占母群站數</x:v>
      </x:c>
      <x:c r="C4" s="135" t="str">
        <x:v>核心占母群活動</x:v>
      </x:c>
      <x:c r="D4" s="135" t="str">
        <x:v>核心占母群尖峰失衡</x:v>
      </x:c>
      <x:c r="E4" s="135" t="str">
        <x:v>核心占母群持續事件</x:v>
      </x:c>
      <x:c r="F4" s="135" t="str">
        <x:v>解讀</x:v>
      </x:c>
      <x:c r="G4" s="289"/>
      <x:c r="H4" s="289"/>
      <x:c r="I4" s="289"/>
      <x:c r="J4" s="289"/>
      <x:c r="K4" s="289"/>
      <x:c r="L4" s="289"/>
      <x:c r="M4" s="289"/>
      <x:c r="N4" s="289"/>
      <x:c r="O4" s="289"/>
      <x:c r="P4" s="289"/>
      <x:c r="Q4" s="289"/>
      <x:c r="R4" s="289"/>
    </x:row>
    <x:row r="5" ht="58" customHeight="1">
      <x:c r="A5" s="140" t="str">
        <x:v>全部站點</x:v>
      </x:c>
      <x:c r="B5" s="239" t="n">
        <x:v>0.05906040268456376</x:v>
      </x:c>
      <x:c r="C5" s="239" t="n">
        <x:v>0.09124306777555315</x:v>
      </x:c>
      <x:c r="D5" s="239" t="n">
        <x:v>0.10991258665977695</x:v>
      </x:c>
      <x:c r="E5" s="239" t="n">
        <x:v>0.11125550199119681</x:v>
      </x:c>
      <x:c r="F5" s="140" t="str">
        <x:v>核心規模小，但活動與失衡占比都高於站數占比</x:v>
      </x:c>
      <x:c r="G5" s="289"/>
      <x:c r="H5" s="289"/>
      <x:c r="I5" s="289"/>
      <x:c r="J5" s="289"/>
      <x:c r="K5" s="289"/>
      <x:c r="L5" s="289"/>
      <x:c r="M5" s="289"/>
      <x:c r="N5" s="289"/>
      <x:c r="O5" s="289"/>
      <x:c r="P5" s="289"/>
      <x:c r="Q5" s="289"/>
      <x:c r="R5" s="289"/>
    </x:row>
    <x:row r="6" ht="58" customHeight="1">
      <x:c r="A6" s="139" t="str">
        <x:v>高失衡前25%</x:v>
      </x:c>
      <x:c r="B6" s="240" t="n">
        <x:v>0.2359249329758713</x:v>
      </x:c>
      <x:c r="C6" s="240" t="n">
        <x:v>0.36809027747584805</x:v>
      </x:c>
      <x:c r="D6" s="240" t="n">
        <x:v>0.2022983950861898</x:v>
      </x:c>
      <x:c r="E6" s="240" t="n">
        <x:v>0.2421311924094517</x:v>
      </x:c>
      <x:c r="F6" s="139" t="str">
        <x:v>核心只占高失衡站約四分之一；多數失衡負擔仍在僅高失衡站</x:v>
      </x:c>
      <x:c r="G6" s="289"/>
      <x:c r="H6" s="289"/>
      <x:c r="I6" s="289"/>
      <x:c r="J6" s="289"/>
      <x:c r="K6" s="289"/>
      <x:c r="L6" s="289"/>
      <x:c r="M6" s="289"/>
      <x:c r="N6" s="289"/>
      <x:c r="O6" s="289"/>
      <x:c r="P6" s="289"/>
      <x:c r="Q6" s="289"/>
      <x:c r="R6" s="289"/>
    </x:row>
    <x:row r="7" ht="58" customHeight="1">
      <x:c r="A7" s="140" t="str">
        <x:v>高活動前25%</x:v>
      </x:c>
      <x:c r="B7" s="239" t="n">
        <x:v>0.2359249329758713</x:v>
      </x:c>
      <x:c r="C7" s="239" t="n">
        <x:v>0.2021928918492584</x:v>
      </x:c>
      <x:c r="D7" s="239" t="n">
        <x:v>0.4692526886662377</x:v>
      </x:c>
      <x:c r="E7" s="239" t="n">
        <x:v>0.3653131452167928</x:v>
      </x:c>
      <x:c r="F7" s="140" t="str">
        <x:v>核心占高活動站約四分之一，卻承擔其近一半尖峰失衡</x:v>
      </x:c>
      <x:c r="G7" s="289"/>
      <x:c r="H7" s="289"/>
      <x:c r="I7" s="289"/>
      <x:c r="J7" s="289"/>
      <x:c r="K7" s="289"/>
      <x:c r="L7" s="289"/>
      <x:c r="M7" s="289"/>
      <x:c r="N7" s="289"/>
      <x:c r="O7" s="289"/>
      <x:c r="P7" s="289"/>
      <x:c r="Q7" s="289"/>
      <x:c r="R7" s="289"/>
    </x:row>
    <x:row r="8">
      <x:c r="A8" s="289"/>
      <x:c r="B8" s="289"/>
      <x:c r="C8" s="289"/>
      <x:c r="D8" s="289"/>
      <x:c r="E8" s="289"/>
      <x:c r="F8" s="289"/>
      <x:c r="G8" s="289"/>
      <x:c r="H8" s="289"/>
      <x:c r="I8" s="289"/>
      <x:c r="J8" s="289"/>
      <x:c r="K8" s="289"/>
      <x:c r="L8" s="289"/>
      <x:c r="M8" s="289"/>
      <x:c r="N8" s="289"/>
      <x:c r="O8" s="289"/>
      <x:c r="P8" s="289"/>
      <x:c r="Q8" s="289"/>
      <x:c r="R8" s="289"/>
    </x:row>
    <x:row r="9">
      <x:c r="A9" s="289"/>
      <x:c r="B9" s="289"/>
      <x:c r="C9" s="289"/>
      <x:c r="D9" s="289"/>
      <x:c r="E9" s="289"/>
      <x:c r="F9" s="289"/>
      <x:c r="G9" s="289"/>
      <x:c r="H9" s="289"/>
      <x:c r="I9" s="289"/>
      <x:c r="J9" s="289"/>
      <x:c r="K9" s="289"/>
      <x:c r="L9" s="289"/>
      <x:c r="M9" s="289"/>
      <x:c r="N9" s="289"/>
      <x:c r="O9" s="289"/>
      <x:c r="P9" s="289"/>
      <x:c r="Q9" s="289"/>
      <x:c r="R9" s="289"/>
    </x:row>
    <x:row r="10">
      <x:c r="A10" s="289"/>
      <x:c r="B10" s="289"/>
      <x:c r="C10" s="289"/>
      <x:c r="D10" s="289"/>
      <x:c r="E10" s="289"/>
      <x:c r="F10" s="289"/>
      <x:c r="G10" s="289"/>
      <x:c r="H10" s="289"/>
      <x:c r="I10" s="289"/>
      <x:c r="J10" s="289"/>
      <x:c r="K10" s="289"/>
      <x:c r="L10" s="289"/>
      <x:c r="M10" s="289"/>
      <x:c r="N10" s="289"/>
      <x:c r="O10" s="289"/>
      <x:c r="P10" s="289"/>
      <x:c r="Q10" s="289"/>
      <x:c r="R10" s="289"/>
    </x:row>
    <x:row r="11" ht="25" customHeight="1">
      <x:c r="A11" s="129" t="str">
        <x:v>五月尖峰失衡快照較多的核心站案例</x:v>
      </x:c>
      <x:c r="B11" s="129"/>
      <x:c r="C11" s="129"/>
      <x:c r="D11" s="129"/>
      <x:c r="E11" s="129"/>
      <x:c r="F11" s="129"/>
      <x:c r="G11" s="289"/>
      <x:c r="H11" s="289"/>
      <x:c r="I11" s="289"/>
      <x:c r="J11" s="289"/>
      <x:c r="K11" s="289"/>
      <x:c r="L11" s="289"/>
      <x:c r="M11" s="289"/>
      <x:c r="N11" s="289"/>
      <x:c r="O11" s="289"/>
      <x:c r="P11" s="289"/>
      <x:c r="Q11" s="289"/>
      <x:c r="R11" s="289"/>
    </x:row>
    <x:row r="12" ht="28" customHeight="1">
      <x:c r="A12" s="135" t="str">
        <x:v>站點</x:v>
      </x:c>
      <x:c r="B12" s="135" t="str">
        <x:v>行政區</x:v>
      </x:c>
      <x:c r="C12" s="135" t="str">
        <x:v>總變動排名</x:v>
      </x:c>
      <x:c r="D12" s="135" t="str">
        <x:v>失衡排名</x:v>
      </x:c>
      <x:c r="E12" s="135" t="str">
        <x:v>五月尖峰失衡快照</x:v>
      </x:c>
      <x:c r="F12" s="135" t="str">
        <x:v>資料注意</x:v>
      </x:c>
      <x:c r="G12" s="289"/>
      <x:c r="H12" s="289"/>
      <x:c r="I12" s="289"/>
      <x:c r="J12" s="289"/>
      <x:c r="K12" s="289"/>
      <x:c r="L12" s="289"/>
      <x:c r="M12" s="289"/>
      <x:c r="N12" s="289"/>
      <x:c r="O12" s="289"/>
      <x:c r="P12" s="289"/>
      <x:c r="Q12" s="289"/>
      <x:c r="R12" s="289"/>
    </x:row>
    <x:row r="13" ht="28" customHeight="1">
      <x:c r="A13" s="140" t="str">
        <x:v>興華公園</x:v>
      </x:c>
      <x:c r="B13" s="140" t="str">
        <x:v>三重區</x:v>
      </x:c>
      <x:c r="C13" s="140" t="n">
        <x:v>168</x:v>
      </x:c>
      <x:c r="D13" s="140" t="n">
        <x:v>21</x:v>
      </x:c>
      <x:c r="E13" s="140" t="n">
        <x:v>434</x:v>
      </x:c>
      <x:c r="F13" s="140" t="str">
        <x:v>五月零活動，先查停用／資料狀態</x:v>
      </x:c>
      <x:c r="G13" s="289"/>
      <x:c r="H13" s="289"/>
      <x:c r="I13" s="289"/>
      <x:c r="J13" s="289"/>
      <x:c r="K13" s="289"/>
      <x:c r="L13" s="289"/>
      <x:c r="M13" s="289"/>
      <x:c r="N13" s="289"/>
      <x:c r="O13" s="289"/>
      <x:c r="P13" s="289"/>
      <x:c r="Q13" s="289"/>
      <x:c r="R13" s="289"/>
    </x:row>
    <x:row r="14" ht="28" customHeight="1">
      <x:c r="A14" s="139" t="str">
        <x:v>捷運三和國中站(2號出口)</x:v>
      </x:c>
      <x:c r="B14" s="139" t="str">
        <x:v>三重區</x:v>
      </x:c>
      <x:c r="C14" s="139" t="n">
        <x:v>100</x:v>
      </x:c>
      <x:c r="D14" s="139" t="n">
        <x:v>27</x:v>
      </x:c>
      <x:c r="E14" s="139" t="n">
        <x:v>113</x:v>
      </x:c>
      <x:c r="F14" s="139" t="str"/>
      <x:c r="G14" s="289"/>
      <x:c r="H14" s="289"/>
      <x:c r="I14" s="289"/>
      <x:c r="J14" s="289"/>
      <x:c r="K14" s="289"/>
      <x:c r="L14" s="289"/>
      <x:c r="M14" s="289"/>
      <x:c r="N14" s="289"/>
      <x:c r="O14" s="289"/>
      <x:c r="P14" s="289"/>
      <x:c r="Q14" s="289"/>
      <x:c r="R14" s="289"/>
    </x:row>
    <x:row r="15" ht="28" customHeight="1">
      <x:c r="A15" s="140" t="str">
        <x:v>覺明寺(豐年街53巷)</x:v>
      </x:c>
      <x:c r="B15" s="140" t="str">
        <x:v>新莊區</x:v>
      </x:c>
      <x:c r="C15" s="140" t="n">
        <x:v>364</x:v>
      </x:c>
      <x:c r="D15" s="140" t="n">
        <x:v>31</x:v>
      </x:c>
      <x:c r="E15" s="140" t="n">
        <x:v>102</x:v>
      </x:c>
      <x:c r="F15" s="140" t="str"/>
      <x:c r="G15" s="289"/>
      <x:c r="H15" s="289"/>
      <x:c r="I15" s="289"/>
      <x:c r="J15" s="289"/>
      <x:c r="K15" s="289"/>
      <x:c r="L15" s="289"/>
      <x:c r="M15" s="289"/>
      <x:c r="N15" s="289"/>
      <x:c r="O15" s="289"/>
      <x:c r="P15" s="289"/>
      <x:c r="Q15" s="289"/>
      <x:c r="R15" s="289"/>
    </x:row>
    <x:row r="16" ht="28" customHeight="1">
      <x:c r="A16" s="139" t="str">
        <x:v>捷運江子翠站(6號出口)</x:v>
      </x:c>
      <x:c r="B16" s="139" t="str">
        <x:v>板橋區</x:v>
      </x:c>
      <x:c r="C16" s="139" t="n">
        <x:v>355</x:v>
      </x:c>
      <x:c r="D16" s="139" t="n">
        <x:v>33</x:v>
      </x:c>
      <x:c r="E16" s="139" t="n">
        <x:v>100</x:v>
      </x:c>
      <x:c r="F16" s="139" t="str"/>
      <x:c r="G16" s="289"/>
      <x:c r="H16" s="289"/>
      <x:c r="I16" s="289"/>
      <x:c r="J16" s="289"/>
      <x:c r="K16" s="289"/>
      <x:c r="L16" s="289"/>
      <x:c r="M16" s="289"/>
      <x:c r="N16" s="289"/>
      <x:c r="O16" s="289"/>
      <x:c r="P16" s="289"/>
      <x:c r="Q16" s="289"/>
      <x:c r="R16" s="289"/>
    </x:row>
    <x:row r="17" ht="28" customHeight="1">
      <x:c r="A17" s="140" t="str">
        <x:v>文德新海路口</x:v>
      </x:c>
      <x:c r="B17" s="140" t="str">
        <x:v>板橋區</x:v>
      </x:c>
      <x:c r="C17" s="140" t="n">
        <x:v>145</x:v>
      </x:c>
      <x:c r="D17" s="140" t="n">
        <x:v>30</x:v>
      </x:c>
      <x:c r="E17" s="140" t="n">
        <x:v>97</x:v>
      </x:c>
      <x:c r="F17" s="140" t="str"/>
      <x:c r="G17" s="289"/>
      <x:c r="H17" s="289"/>
      <x:c r="I17" s="289"/>
      <x:c r="J17" s="289"/>
      <x:c r="K17" s="289"/>
      <x:c r="L17" s="289"/>
      <x:c r="M17" s="289"/>
      <x:c r="N17" s="289"/>
      <x:c r="O17" s="289"/>
      <x:c r="P17" s="289"/>
      <x:c r="Q17" s="289"/>
      <x:c r="R17" s="289"/>
    </x:row>
    <x:row r="18" ht="28" customHeight="1">
      <x:c r="A18" s="139" t="str">
        <x:v>捷運江子翠站(2號出口)</x:v>
      </x:c>
      <x:c r="B18" s="139" t="str">
        <x:v>板橋區</x:v>
      </x:c>
      <x:c r="C18" s="139" t="n">
        <x:v>228</x:v>
      </x:c>
      <x:c r="D18" s="139" t="n">
        <x:v>28</x:v>
      </x:c>
      <x:c r="E18" s="139" t="n">
        <x:v>92</x:v>
      </x:c>
      <x:c r="F18" s="139" t="str"/>
      <x:c r="G18" s="289"/>
      <x:c r="H18" s="289"/>
      <x:c r="I18" s="289"/>
      <x:c r="J18" s="289"/>
      <x:c r="K18" s="289"/>
      <x:c r="L18" s="289"/>
      <x:c r="M18" s="289"/>
      <x:c r="N18" s="289"/>
      <x:c r="O18" s="289"/>
      <x:c r="P18" s="289"/>
      <x:c r="Q18" s="289"/>
      <x:c r="R18" s="289"/>
    </x:row>
    <x:row r="19" ht="28" customHeight="1">
      <x:c r="A19" s="140" t="str">
        <x:v>捷運淡水站(中正鼻頭街口)</x:v>
      </x:c>
      <x:c r="B19" s="140" t="str">
        <x:v>淡水區</x:v>
      </x:c>
      <x:c r="C19" s="140" t="n">
        <x:v>349</x:v>
      </x:c>
      <x:c r="D19" s="140" t="n">
        <x:v>48</x:v>
      </x:c>
      <x:c r="E19" s="140" t="n">
        <x:v>89</x:v>
      </x:c>
      <x:c r="F19" s="140" t="str"/>
      <x:c r="G19" s="289"/>
      <x:c r="H19" s="289"/>
      <x:c r="I19" s="289"/>
      <x:c r="J19" s="289"/>
      <x:c r="K19" s="289"/>
      <x:c r="L19" s="289"/>
      <x:c r="M19" s="289"/>
      <x:c r="N19" s="289"/>
      <x:c r="O19" s="289"/>
      <x:c r="P19" s="289"/>
      <x:c r="Q19" s="289"/>
      <x:c r="R19" s="289"/>
    </x:row>
    <x:row r="20" ht="28" customHeight="1">
      <x:c r="A20" s="139" t="str">
        <x:v>捷運新埔站(3號出口)</x:v>
      </x:c>
      <x:c r="B20" s="139" t="str">
        <x:v>板橋區</x:v>
      </x:c>
      <x:c r="C20" s="139" t="n">
        <x:v>303</x:v>
      </x:c>
      <x:c r="D20" s="139" t="n">
        <x:v>39</x:v>
      </x:c>
      <x:c r="E20" s="139" t="n">
        <x:v>86</x:v>
      </x:c>
      <x:c r="F20" s="139" t="str"/>
      <x:c r="G20" s="289"/>
      <x:c r="H20" s="171" t="str">
        <x:v>核心站不是『最常失衡的全部站』，而是兼具活動與失衡的高價值案例。若只處理核心站，五月仍會漏掉約89%的尖峰失衡；因此核心適合定義高價值痛點，不適合取代高失衡前25%的整體問題範圍。</x:v>
      </x:c>
      <x:c r="I20" s="172"/>
      <x:c r="J20" s="172"/>
      <x:c r="K20" s="172"/>
      <x:c r="L20" s="172"/>
      <x:c r="M20" s="172"/>
      <x:c r="N20" s="172"/>
      <x:c r="O20" s="172"/>
      <x:c r="P20" s="172"/>
      <x:c r="Q20" s="172"/>
      <x:c r="R20" s="173"/>
    </x:row>
    <x:row r="21" ht="28" customHeight="1">
      <x:c r="A21" s="140" t="str">
        <x:v>捷運頂溪站(2號出口)</x:v>
      </x:c>
      <x:c r="B21" s="140" t="str">
        <x:v>永和區</x:v>
      </x:c>
      <x:c r="C21" s="140" t="n">
        <x:v>117</x:v>
      </x:c>
      <x:c r="D21" s="140" t="n">
        <x:v>23</x:v>
      </x:c>
      <x:c r="E21" s="140" t="n">
        <x:v>83</x:v>
      </x:c>
      <x:c r="F21" s="140" t="str"/>
      <x:c r="G21" s="289"/>
      <x:c r="H21" s="174"/>
      <x:c r="I21" s="175"/>
      <x:c r="J21" s="175"/>
      <x:c r="K21" s="175"/>
      <x:c r="L21" s="175"/>
      <x:c r="M21" s="175"/>
      <x:c r="N21" s="175"/>
      <x:c r="O21" s="175"/>
      <x:c r="P21" s="175"/>
      <x:c r="Q21" s="175"/>
      <x:c r="R21" s="176"/>
    </x:row>
    <x:row r="22" ht="28" customHeight="1">
      <x:c r="A22" s="139" t="str">
        <x:v>飛駝二村</x:v>
      </x:c>
      <x:c r="B22" s="139" t="str">
        <x:v>中和區</x:v>
      </x:c>
      <x:c r="C22" s="139" t="n">
        <x:v>337</x:v>
      </x:c>
      <x:c r="D22" s="139" t="n">
        <x:v>45</x:v>
      </x:c>
      <x:c r="E22" s="139" t="n">
        <x:v>83</x:v>
      </x:c>
      <x:c r="F22" s="139" t="str"/>
      <x:c r="G22" s="289"/>
      <x:c r="H22" s="174"/>
      <x:c r="I22" s="175"/>
      <x:c r="J22" s="175"/>
      <x:c r="K22" s="175"/>
      <x:c r="L22" s="175"/>
      <x:c r="M22" s="175"/>
      <x:c r="N22" s="175"/>
      <x:c r="O22" s="175"/>
      <x:c r="P22" s="175"/>
      <x:c r="Q22" s="175"/>
      <x:c r="R22" s="176"/>
    </x:row>
    <x:row r="23" ht="28" customHeight="1">
      <x:c r="A23" s="140" t="str">
        <x:v>輕軌淡江大學站</x:v>
      </x:c>
      <x:c r="B23" s="140" t="str">
        <x:v>淡水區</x:v>
      </x:c>
      <x:c r="C23" s="140" t="n">
        <x:v>249</x:v>
      </x:c>
      <x:c r="D23" s="140" t="n">
        <x:v>289</x:v>
      </x:c>
      <x:c r="E23" s="140" t="n">
        <x:v>81</x:v>
      </x:c>
      <x:c r="F23" s="140" t="str"/>
      <x:c r="G23" s="289"/>
      <x:c r="H23" s="174"/>
      <x:c r="I23" s="175"/>
      <x:c r="J23" s="175"/>
      <x:c r="K23" s="175"/>
      <x:c r="L23" s="175"/>
      <x:c r="M23" s="175"/>
      <x:c r="N23" s="175"/>
      <x:c r="O23" s="175"/>
      <x:c r="P23" s="175"/>
      <x:c r="Q23" s="175"/>
      <x:c r="R23" s="176"/>
    </x:row>
    <x:row r="24" ht="28" customHeight="1">
      <x:c r="A24" s="139" t="str">
        <x:v>中正路145巷口</x:v>
      </x:c>
      <x:c r="B24" s="139" t="str">
        <x:v>板橋區</x:v>
      </x:c>
      <x:c r="C24" s="139" t="n">
        <x:v>239</x:v>
      </x:c>
      <x:c r="D24" s="139" t="n">
        <x:v>99</x:v>
      </x:c>
      <x:c r="E24" s="139" t="n">
        <x:v>78</x:v>
      </x:c>
      <x:c r="F24" s="139" t="str"/>
      <x:c r="G24" s="289"/>
      <x:c r="H24" s="174"/>
      <x:c r="I24" s="175"/>
      <x:c r="J24" s="175"/>
      <x:c r="K24" s="175"/>
      <x:c r="L24" s="175"/>
      <x:c r="M24" s="175"/>
      <x:c r="N24" s="175"/>
      <x:c r="O24" s="175"/>
      <x:c r="P24" s="175"/>
      <x:c r="Q24" s="175"/>
      <x:c r="R24" s="176"/>
    </x:row>
    <x:row r="25" ht="28" customHeight="1">
      <x:c r="A25" s="140" t="str">
        <x:v>新莊田徑場</x:v>
      </x:c>
      <x:c r="B25" s="140" t="str">
        <x:v>新莊區</x:v>
      </x:c>
      <x:c r="C25" s="140" t="n">
        <x:v>143</x:v>
      </x:c>
      <x:c r="D25" s="140" t="n">
        <x:v>185</x:v>
      </x:c>
      <x:c r="E25" s="140" t="n">
        <x:v>78</x:v>
      </x:c>
      <x:c r="F25" s="140" t="str"/>
      <x:c r="G25" s="289"/>
      <x:c r="H25" s="174"/>
      <x:c r="I25" s="175"/>
      <x:c r="J25" s="175"/>
      <x:c r="K25" s="175"/>
      <x:c r="L25" s="175"/>
      <x:c r="M25" s="175"/>
      <x:c r="N25" s="175"/>
      <x:c r="O25" s="175"/>
      <x:c r="P25" s="175"/>
      <x:c r="Q25" s="175"/>
      <x:c r="R25" s="176"/>
    </x:row>
    <x:row r="26" ht="28" customHeight="1">
      <x:c r="A26" s="139" t="str">
        <x:v>中山北新春街口</x:v>
      </x:c>
      <x:c r="B26" s="139" t="str">
        <x:v>淡水區</x:v>
      </x:c>
      <x:c r="C26" s="139" t="n">
        <x:v>189</x:v>
      </x:c>
      <x:c r="D26" s="139" t="n">
        <x:v>313</x:v>
      </x:c>
      <x:c r="E26" s="139" t="n">
        <x:v>77</x:v>
      </x:c>
      <x:c r="F26" s="139" t="str"/>
      <x:c r="G26" s="289"/>
      <x:c r="H26" s="174"/>
      <x:c r="I26" s="175"/>
      <x:c r="J26" s="175"/>
      <x:c r="K26" s="175"/>
      <x:c r="L26" s="175"/>
      <x:c r="M26" s="175"/>
      <x:c r="N26" s="175"/>
      <x:c r="O26" s="175"/>
      <x:c r="P26" s="175"/>
      <x:c r="Q26" s="175"/>
      <x:c r="R26" s="176"/>
    </x:row>
    <x:row r="27" ht="28" customHeight="1">
      <x:c r="A27" s="140" t="str">
        <x:v>埤墘公園</x:v>
      </x:c>
      <x:c r="B27" s="140" t="str">
        <x:v>板橋區</x:v>
      </x:c>
      <x:c r="C27" s="140" t="n">
        <x:v>222</x:v>
      </x:c>
      <x:c r="D27" s="140" t="n">
        <x:v>192</x:v>
      </x:c>
      <x:c r="E27" s="140" t="n">
        <x:v>76</x:v>
      </x:c>
      <x:c r="F27" s="140" t="str"/>
      <x:c r="G27" s="289"/>
      <x:c r="H27" s="174"/>
      <x:c r="I27" s="175"/>
      <x:c r="J27" s="175"/>
      <x:c r="K27" s="175"/>
      <x:c r="L27" s="175"/>
      <x:c r="M27" s="175"/>
      <x:c r="N27" s="175"/>
      <x:c r="O27" s="175"/>
      <x:c r="P27" s="175"/>
      <x:c r="Q27" s="175"/>
      <x:c r="R27" s="176"/>
    </x:row>
    <x:row r="28">
      <x:c r="A28" s="289"/>
      <x:c r="B28" s="289"/>
      <x:c r="C28" s="289"/>
      <x:c r="D28" s="289"/>
      <x:c r="E28" s="289"/>
      <x:c r="F28" s="289"/>
      <x:c r="G28" s="289"/>
      <x:c r="H28" s="177"/>
      <x:c r="I28" s="178"/>
      <x:c r="J28" s="178"/>
      <x:c r="K28" s="178"/>
      <x:c r="L28" s="178"/>
      <x:c r="M28" s="178"/>
      <x:c r="N28" s="178"/>
      <x:c r="O28" s="178"/>
      <x:c r="P28" s="178"/>
      <x:c r="Q28" s="178"/>
      <x:c r="R28" s="179"/>
    </x:row>
  </x:sheetData>
  <x:mergeCells>
    <x:mergeCell ref="A1:R1"/>
    <x:mergeCell ref="A2:R2"/>
    <x:mergeCell ref="A11:F11"/>
    <x:mergeCell ref="H20:R28"/>
  </x:mergeCells>
  <x:pageMargins left="0.7" right="0.7" top="0.75" bottom="0.75" header="0.3" footer="0.3"/>
  <x:drawing xmlns:r="http://schemas.openxmlformats.org/officeDocument/2006/relationships" r:id="Rd35c808943c44bcb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4" customHeight="1">
      <x:c r="A1" s="3" t="str">
        <x:v>問題是否延續到五月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基準期名單與五月重新計算的名單比較；留存率越高，表示問題站較具重複性。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  <x:c r="N3" s="289"/>
      <x:c r="O3" s="289"/>
      <x:c r="P3" s="289"/>
      <x:c r="Q3" s="289"/>
      <x:c r="R3" s="289"/>
    </x:row>
    <x:row r="4" ht="28" customHeight="1">
      <x:c r="A4" s="135" t="str">
        <x:v>群組</x:v>
      </x:c>
      <x:c r="B4" s="135" t="str">
        <x:v>基準期站數</x:v>
      </x:c>
      <x:c r="C4" s="135" t="str">
        <x:v>五月站數</x:v>
      </x:c>
      <x:c r="D4" s="135" t="str">
        <x:v>共同站數</x:v>
      </x:c>
      <x:c r="E4" s="135" t="str">
        <x:v>基準名單留存率</x:v>
      </x:c>
      <x:c r="F4" s="135" t="str">
        <x:v>Jaccard</x:v>
      </x:c>
      <x:c r="G4" s="135" t="str">
        <x:v>全站順位相關</x:v>
      </x:c>
      <x:c r="H4" s="289"/>
      <x:c r="I4" s="289"/>
      <x:c r="J4" s="289"/>
      <x:c r="K4" s="289"/>
      <x:c r="L4" s="289"/>
      <x:c r="M4" s="289"/>
      <x:c r="N4" s="199" t="str">
        <x:v>高失衡站
301／373站在五月仍是失衡率前25%，留存80.7%；全站風險順位相關約0.85。這表示問題多數不是只出現一次。</x:v>
      </x:c>
      <x:c r="O4" s="200"/>
      <x:c r="P4" s="200"/>
      <x:c r="Q4" s="200"/>
      <x:c r="R4" s="201"/>
    </x:row>
    <x:row r="5">
      <x:c r="A5" s="149" t="str">
        <x:v>尖峰失衡率前25%</x:v>
      </x:c>
      <x:c r="B5" s="149" t="n">
        <x:v>373</x:v>
      </x:c>
      <x:c r="C5" s="149" t="n">
        <x:v>373</x:v>
      </x:c>
      <x:c r="D5" s="149" t="n">
        <x:v>301</x:v>
      </x:c>
      <x:c r="E5" s="150" t="n">
        <x:v>0.806970509383378</x:v>
      </x:c>
      <x:c r="F5" s="150" t="n">
        <x:v>0.6764044943820224</x:v>
      </x:c>
      <x:c r="G5" s="237" t="n">
        <x:v>0.8532772667846836</x:v>
      </x:c>
      <x:c r="H5" s="289"/>
      <x:c r="I5" s="289"/>
      <x:c r="J5" s="289"/>
      <x:c r="K5" s="289"/>
      <x:c r="L5" s="289"/>
      <x:c r="M5" s="289"/>
      <x:c r="N5" s="202"/>
      <x:c r="O5" s="203"/>
      <x:c r="P5" s="203"/>
      <x:c r="Q5" s="203"/>
      <x:c r="R5" s="204"/>
    </x:row>
    <x:row r="6">
      <x:c r="A6" s="148" t="str">
        <x:v>高價值核心站</x:v>
      </x:c>
      <x:c r="B6" s="148" t="n">
        <x:v>88</x:v>
      </x:c>
      <x:c r="C6" s="148" t="n">
        <x:v>74</x:v>
      </x:c>
      <x:c r="D6" s="148" t="n">
        <x:v>55</x:v>
      </x:c>
      <x:c r="E6" s="151" t="n">
        <x:v>0.625</x:v>
      </x:c>
      <x:c r="F6" s="151" t="n">
        <x:v>0.514018691588785</x:v>
      </x:c>
      <x:c r="G6" s="238" t="str"/>
      <x:c r="H6" s="289"/>
      <x:c r="I6" s="289"/>
      <x:c r="J6" s="289"/>
      <x:c r="K6" s="289"/>
      <x:c r="L6" s="289"/>
      <x:c r="M6" s="289"/>
      <x:c r="N6" s="202"/>
      <x:c r="O6" s="203"/>
      <x:c r="P6" s="203"/>
      <x:c r="Q6" s="203"/>
      <x:c r="R6" s="204"/>
    </x:row>
    <x:row r="7">
      <x:c r="A7" s="289"/>
      <x:c r="B7" s="289"/>
      <x:c r="C7" s="289"/>
      <x:c r="D7" s="289"/>
      <x:c r="E7" s="289"/>
      <x:c r="F7" s="289"/>
      <x:c r="G7" s="289"/>
      <x:c r="H7" s="289"/>
      <x:c r="I7" s="289"/>
      <x:c r="J7" s="289"/>
      <x:c r="K7" s="289"/>
      <x:c r="L7" s="289"/>
      <x:c r="M7" s="289"/>
      <x:c r="N7" s="202"/>
      <x:c r="O7" s="203"/>
      <x:c r="P7" s="203"/>
      <x:c r="Q7" s="203"/>
      <x:c r="R7" s="204"/>
    </x:row>
    <x:row r="8">
      <x:c r="A8" s="289"/>
      <x:c r="B8" s="289"/>
      <x:c r="C8" s="289"/>
      <x:c r="D8" s="289"/>
      <x:c r="E8" s="289"/>
      <x:c r="F8" s="289"/>
      <x:c r="G8" s="289"/>
      <x:c r="H8" s="289"/>
      <x:c r="I8" s="289"/>
      <x:c r="J8" s="289"/>
      <x:c r="K8" s="289"/>
      <x:c r="L8" s="289"/>
      <x:c r="M8" s="289"/>
      <x:c r="N8" s="202"/>
      <x:c r="O8" s="203"/>
      <x:c r="P8" s="203"/>
      <x:c r="Q8" s="203"/>
      <x:c r="R8" s="204"/>
    </x:row>
    <x:row r="9">
      <x:c r="A9" s="289"/>
      <x:c r="B9" s="289"/>
      <x:c r="C9" s="289"/>
      <x:c r="D9" s="289"/>
      <x:c r="E9" s="289"/>
      <x:c r="F9" s="289"/>
      <x:c r="G9" s="289"/>
      <x:c r="H9" s="289"/>
      <x:c r="I9" s="289"/>
      <x:c r="J9" s="289"/>
      <x:c r="K9" s="289"/>
      <x:c r="L9" s="289"/>
      <x:c r="M9" s="289"/>
      <x:c r="N9" s="202"/>
      <x:c r="O9" s="203"/>
      <x:c r="P9" s="203"/>
      <x:c r="Q9" s="203"/>
      <x:c r="R9" s="204"/>
    </x:row>
    <x:row r="10" ht="28" customHeight="1">
      <x:c r="A10" s="146" t="str">
        <x:v>群組</x:v>
      </x:c>
      <x:c r="B10" s="146" t="str">
        <x:v>留存率</x:v>
      </x:c>
      <x:c r="C10" s="146" t="str">
        <x:v>Jaccard</x:v>
      </x:c>
      <x:c r="D10" s="289"/>
      <x:c r="E10" s="289"/>
      <x:c r="F10" s="289"/>
      <x:c r="G10" s="289"/>
      <x:c r="H10" s="289"/>
      <x:c r="I10" s="289"/>
      <x:c r="J10" s="289"/>
      <x:c r="K10" s="289"/>
      <x:c r="L10" s="289"/>
      <x:c r="M10" s="289"/>
      <x:c r="N10" s="202"/>
      <x:c r="O10" s="203"/>
      <x:c r="P10" s="203"/>
      <x:c r="Q10" s="203"/>
      <x:c r="R10" s="204"/>
    </x:row>
    <x:row r="11">
      <x:c r="A11" s="149" t="str">
        <x:v>尖峰失衡率前25%</x:v>
      </x:c>
      <x:c r="B11" s="150" t="n">
        <x:v>0.806970509383378</x:v>
      </x:c>
      <x:c r="C11" s="150" t="n">
        <x:v>0.6764044943820224</x:v>
      </x:c>
      <x:c r="D11" s="289"/>
      <x:c r="E11" s="289"/>
      <x:c r="F11" s="289"/>
      <x:c r="G11" s="289"/>
      <x:c r="H11" s="289"/>
      <x:c r="I11" s="289"/>
      <x:c r="J11" s="289"/>
      <x:c r="K11" s="289"/>
      <x:c r="L11" s="289"/>
      <x:c r="M11" s="289"/>
      <x:c r="N11" s="202"/>
      <x:c r="O11" s="203"/>
      <x:c r="P11" s="203"/>
      <x:c r="Q11" s="203"/>
      <x:c r="R11" s="204"/>
    </x:row>
    <x:row r="12">
      <x:c r="A12" s="148" t="str">
        <x:v>高價值核心站</x:v>
      </x:c>
      <x:c r="B12" s="151" t="n">
        <x:v>0.625</x:v>
      </x:c>
      <x:c r="C12" s="151" t="n">
        <x:v>0.514018691588785</x:v>
      </x:c>
      <x:c r="D12" s="289"/>
      <x:c r="E12" s="289"/>
      <x:c r="F12" s="289"/>
      <x:c r="G12" s="289"/>
      <x:c r="H12" s="289"/>
      <x:c r="I12" s="289"/>
      <x:c r="J12" s="289"/>
      <x:c r="K12" s="289"/>
      <x:c r="L12" s="289"/>
      <x:c r="M12" s="289"/>
      <x:c r="N12" s="202"/>
      <x:c r="O12" s="203"/>
      <x:c r="P12" s="203"/>
      <x:c r="Q12" s="203"/>
      <x:c r="R12" s="204"/>
    </x:row>
    <x:row r="13">
      <x:c r="A13" s="289"/>
      <x:c r="B13" s="289"/>
      <x:c r="C13" s="289"/>
      <x:c r="D13" s="289"/>
      <x:c r="E13" s="289"/>
      <x:c r="F13" s="289"/>
      <x:c r="G13" s="289"/>
      <x:c r="H13" s="289"/>
      <x:c r="I13" s="289"/>
      <x:c r="J13" s="289"/>
      <x:c r="K13" s="289"/>
      <x:c r="L13" s="289"/>
      <x:c r="M13" s="289"/>
      <x:c r="N13" s="205"/>
      <x:c r="O13" s="206"/>
      <x:c r="P13" s="206"/>
      <x:c r="Q13" s="206"/>
      <x:c r="R13" s="207"/>
    </x:row>
    <x:row r="14">
      <x:c r="A14" s="289"/>
      <x:c r="B14" s="289"/>
      <x:c r="C14" s="289"/>
      <x:c r="D14" s="289"/>
      <x:c r="E14" s="289"/>
      <x:c r="F14" s="289"/>
      <x:c r="G14" s="289"/>
      <x:c r="H14" s="289"/>
      <x:c r="I14" s="289"/>
      <x:c r="J14" s="289"/>
      <x:c r="K14" s="289"/>
      <x:c r="L14" s="289"/>
      <x:c r="M14" s="289"/>
      <x:c r="N14" s="289"/>
      <x:c r="O14" s="289"/>
      <x:c r="P14" s="289"/>
      <x:c r="Q14" s="289"/>
      <x:c r="R14" s="289"/>
    </x:row>
    <x:row r="15">
      <x:c r="A15" s="289"/>
      <x:c r="B15" s="289"/>
      <x:c r="C15" s="289"/>
      <x:c r="D15" s="289"/>
      <x:c r="E15" s="289"/>
      <x:c r="F15" s="289"/>
      <x:c r="G15" s="289"/>
      <x:c r="H15" s="289"/>
      <x:c r="I15" s="289"/>
      <x:c r="J15" s="289"/>
      <x:c r="K15" s="289"/>
      <x:c r="L15" s="289"/>
      <x:c r="M15" s="289"/>
      <x:c r="N15" s="259" t="str">
        <x:v>高價值核心
基準期88站中有55站五月仍是核心，留存62.5%；五月核心共有74站。交集比單純失衡名單更動態，因為它同時要求活動與風險都進入前25%。</x:v>
      </x:c>
      <x:c r="O15" s="260"/>
      <x:c r="P15" s="260"/>
      <x:c r="Q15" s="260"/>
      <x:c r="R15" s="261"/>
    </x:row>
    <x:row r="16">
      <x:c r="A16" s="289"/>
      <x:c r="B16" s="289"/>
      <x:c r="C16" s="289"/>
      <x:c r="D16" s="289"/>
      <x:c r="E16" s="289"/>
      <x:c r="F16" s="289"/>
      <x:c r="G16" s="289"/>
      <x:c r="H16" s="289"/>
      <x:c r="I16" s="289"/>
      <x:c r="J16" s="289"/>
      <x:c r="K16" s="289"/>
      <x:c r="L16" s="289"/>
      <x:c r="M16" s="289"/>
      <x:c r="N16" s="262"/>
      <x:c r="O16" s="263"/>
      <x:c r="P16" s="263"/>
      <x:c r="Q16" s="263"/>
      <x:c r="R16" s="264"/>
    </x:row>
    <x:row r="17">
      <x:c r="A17" s="289"/>
      <x:c r="B17" s="289"/>
      <x:c r="C17" s="289"/>
      <x:c r="D17" s="289"/>
      <x:c r="E17" s="289"/>
      <x:c r="F17" s="289"/>
      <x:c r="G17" s="289"/>
      <x:c r="H17" s="289"/>
      <x:c r="I17" s="289"/>
      <x:c r="J17" s="289"/>
      <x:c r="K17" s="289"/>
      <x:c r="L17" s="289"/>
      <x:c r="M17" s="289"/>
      <x:c r="N17" s="262"/>
      <x:c r="O17" s="263"/>
      <x:c r="P17" s="263"/>
      <x:c r="Q17" s="263"/>
      <x:c r="R17" s="264"/>
    </x:row>
    <x:row r="18">
      <x:c r="A18" s="289"/>
      <x:c r="B18" s="289"/>
      <x:c r="C18" s="289"/>
      <x:c r="D18" s="289"/>
      <x:c r="E18" s="289"/>
      <x:c r="F18" s="289"/>
      <x:c r="G18" s="289"/>
      <x:c r="H18" s="289"/>
      <x:c r="I18" s="289"/>
      <x:c r="J18" s="289"/>
      <x:c r="K18" s="289"/>
      <x:c r="L18" s="289"/>
      <x:c r="M18" s="289"/>
      <x:c r="N18" s="262"/>
      <x:c r="O18" s="263"/>
      <x:c r="P18" s="263"/>
      <x:c r="Q18" s="263"/>
      <x:c r="R18" s="264"/>
    </x:row>
    <x:row r="19">
      <x:c r="A19" s="289"/>
      <x:c r="B19" s="289"/>
      <x:c r="C19" s="289"/>
      <x:c r="D19" s="289"/>
      <x:c r="E19" s="289"/>
      <x:c r="F19" s="289"/>
      <x:c r="G19" s="289"/>
      <x:c r="H19" s="289"/>
      <x:c r="I19" s="289"/>
      <x:c r="J19" s="289"/>
      <x:c r="K19" s="289"/>
      <x:c r="L19" s="289"/>
      <x:c r="M19" s="289"/>
      <x:c r="N19" s="262"/>
      <x:c r="O19" s="263"/>
      <x:c r="P19" s="263"/>
      <x:c r="Q19" s="263"/>
      <x:c r="R19" s="264"/>
    </x:row>
    <x:row r="20">
      <x:c r="A20" s="289"/>
      <x:c r="B20" s="289"/>
      <x:c r="C20" s="289"/>
      <x:c r="D20" s="289"/>
      <x:c r="E20" s="289"/>
      <x:c r="F20" s="289"/>
      <x:c r="G20" s="289"/>
      <x:c r="H20" s="289"/>
      <x:c r="I20" s="289"/>
      <x:c r="J20" s="289"/>
      <x:c r="K20" s="289"/>
      <x:c r="L20" s="289"/>
      <x:c r="M20" s="289"/>
      <x:c r="N20" s="262"/>
      <x:c r="O20" s="263"/>
      <x:c r="P20" s="263"/>
      <x:c r="Q20" s="263"/>
      <x:c r="R20" s="264"/>
    </x:row>
    <x:row r="21">
      <x:c r="A21" s="289"/>
      <x:c r="B21" s="289"/>
      <x:c r="C21" s="289"/>
      <x:c r="D21" s="289"/>
      <x:c r="E21" s="289"/>
      <x:c r="F21" s="289"/>
      <x:c r="G21" s="289"/>
      <x:c r="H21" s="289"/>
      <x:c r="I21" s="289"/>
      <x:c r="J21" s="289"/>
      <x:c r="K21" s="289"/>
      <x:c r="L21" s="289"/>
      <x:c r="M21" s="289"/>
      <x:c r="N21" s="262"/>
      <x:c r="O21" s="263"/>
      <x:c r="P21" s="263"/>
      <x:c r="Q21" s="263"/>
      <x:c r="R21" s="264"/>
    </x:row>
    <x:row r="22">
      <x:c r="A22" s="289"/>
      <x:c r="B22" s="289"/>
      <x:c r="C22" s="289"/>
      <x:c r="D22" s="289"/>
      <x:c r="E22" s="289"/>
      <x:c r="F22" s="289"/>
      <x:c r="G22" s="289"/>
      <x:c r="H22" s="289"/>
      <x:c r="I22" s="289"/>
      <x:c r="J22" s="289"/>
      <x:c r="K22" s="289"/>
      <x:c r="L22" s="289"/>
      <x:c r="M22" s="289"/>
      <x:c r="N22" s="262"/>
      <x:c r="O22" s="263"/>
      <x:c r="P22" s="263"/>
      <x:c r="Q22" s="263"/>
      <x:c r="R22" s="264"/>
    </x:row>
    <x:row r="23">
      <x:c r="A23" s="289"/>
      <x:c r="B23" s="289"/>
      <x:c r="C23" s="289"/>
      <x:c r="D23" s="289"/>
      <x:c r="E23" s="289"/>
      <x:c r="F23" s="289"/>
      <x:c r="G23" s="289"/>
      <x:c r="H23" s="289"/>
      <x:c r="I23" s="289"/>
      <x:c r="J23" s="289"/>
      <x:c r="K23" s="289"/>
      <x:c r="L23" s="289"/>
      <x:c r="M23" s="289"/>
      <x:c r="N23" s="262"/>
      <x:c r="O23" s="263"/>
      <x:c r="P23" s="263"/>
      <x:c r="Q23" s="263"/>
      <x:c r="R23" s="264"/>
    </x:row>
    <x:row r="24">
      <x:c r="A24" s="289"/>
      <x:c r="B24" s="289"/>
      <x:c r="C24" s="289"/>
      <x:c r="D24" s="289"/>
      <x:c r="E24" s="289"/>
      <x:c r="F24" s="289"/>
      <x:c r="G24" s="289"/>
      <x:c r="H24" s="289"/>
      <x:c r="I24" s="289"/>
      <x:c r="J24" s="289"/>
      <x:c r="K24" s="289"/>
      <x:c r="L24" s="289"/>
      <x:c r="M24" s="289"/>
      <x:c r="N24" s="262"/>
      <x:c r="O24" s="263"/>
      <x:c r="P24" s="263"/>
      <x:c r="Q24" s="263"/>
      <x:c r="R24" s="264"/>
    </x:row>
    <x:row r="25">
      <x:c r="A25" s="289"/>
      <x:c r="B25" s="289"/>
      <x:c r="C25" s="289"/>
      <x:c r="D25" s="289"/>
      <x:c r="E25" s="289"/>
      <x:c r="F25" s="289"/>
      <x:c r="G25" s="289"/>
      <x:c r="H25" s="289"/>
      <x:c r="I25" s="289"/>
      <x:c r="J25" s="289"/>
      <x:c r="K25" s="289"/>
      <x:c r="L25" s="289"/>
      <x:c r="M25" s="289"/>
      <x:c r="N25" s="265"/>
      <x:c r="O25" s="266"/>
      <x:c r="P25" s="266"/>
      <x:c r="Q25" s="266"/>
      <x:c r="R25" s="267"/>
    </x:row>
  </x:sheetData>
  <x:mergeCells>
    <x:mergeCell ref="A1:R1"/>
    <x:mergeCell ref="A2:R2"/>
    <x:mergeCell ref="N4:R13"/>
    <x:mergeCell ref="N15:R25"/>
  </x:mergeCells>
  <x:pageMargins left="0.7" right="0.7" top="0.75" bottom="0.75" header="0.3" footer="0.3"/>
  <x:drawing xmlns:r="http://schemas.openxmlformats.org/officeDocument/2006/relationships" r:id="R1f398d1e08b943ec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4" customHeight="1">
      <x:c r="A1" s="3" t="str">
        <x:v>五月：不同站群的每小時失衡與活動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8" customHeight="1">
      <x:c r="A2" s="7" t="str">
        <x:v>群組沿用1–4月定義，不按五月結果重新挑站；因此曲線能看出原本問題是否延續。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  <x:c r="N3" s="289"/>
      <x:c r="O3" s="289"/>
      <x:c r="P3" s="289"/>
      <x:c r="Q3" s="289"/>
      <x:c r="R3" s="289"/>
      <x:c r="S3" s="289"/>
      <x:c r="T3" s="289"/>
    </x:row>
    <x:row r="4" ht="28" customHeight="1">
      <x:c r="A4" s="135" t="str">
        <x:v>小時</x:v>
      </x:c>
      <x:c r="B4" s="135" t="str">
        <x:v>全部站點</x:v>
      </x:c>
      <x:c r="C4" s="135" t="str">
        <x:v>高活動前25%</x:v>
      </x:c>
      <x:c r="D4" s="135" t="str">
        <x:v>高失衡前25%</x:v>
      </x:c>
      <x:c r="E4" s="135" t="str">
        <x:v>核心站</x:v>
      </x:c>
      <x:c r="F4" s="289"/>
      <x:c r="G4" s="146" t="str">
        <x:v>小時</x:v>
      </x:c>
      <x:c r="H4" s="146" t="str">
        <x:v>全部站點</x:v>
      </x:c>
      <x:c r="I4" s="146" t="str">
        <x:v>高活動前25%</x:v>
      </x:c>
      <x:c r="J4" s="146" t="str">
        <x:v>高失衡前25%</x:v>
      </x:c>
      <x:c r="K4" s="146" t="str">
        <x:v>核心站</x:v>
      </x:c>
      <x:c r="L4" s="289"/>
      <x:c r="M4" s="289"/>
      <x:c r="N4" s="289"/>
      <x:c r="O4" s="289"/>
      <x:c r="P4" s="289"/>
      <x:c r="Q4" s="289"/>
      <x:c r="R4" s="289"/>
      <x:c r="S4" s="289"/>
      <x:c r="T4" s="289"/>
    </x:row>
    <x:row r="5">
      <x:c r="A5" s="149" t="n">
        <x:v>0</x:v>
      </x:c>
      <x:c r="B5" s="150" t="n">
        <x:v>0.06450284029313559</x:v>
      </x:c>
      <x:c r="C5" s="150" t="n">
        <x:v>0.11447607510599636</x:v>
      </x:c>
      <x:c r="D5" s="150" t="n">
        <x:v>0.10486033036409237</x:v>
      </x:c>
      <x:c r="E5" s="150" t="n">
        <x:v>0.10392228739002933</x:v>
      </x:c>
      <x:c r="F5" s="289"/>
      <x:c r="G5" s="149" t="n">
        <x:v>0</x:v>
      </x:c>
      <x:c r="H5" s="237" t="n">
        <x:v>1.1208100255843199</x:v>
      </x:c>
      <x:c r="I5" s="237" t="n">
        <x:v>2.035086960283811</x:v>
      </x:c>
      <x:c r="J5" s="237" t="n">
        <x:v>1.259491481449451</x:v>
      </x:c>
      <x:c r="K5" s="237" t="n">
        <x:v>2.0188782991202348</x:v>
      </x:c>
      <x:c r="L5" s="289"/>
      <x:c r="M5" s="289"/>
      <x:c r="N5" s="289"/>
      <x:c r="O5" s="289"/>
      <x:c r="P5" s="289"/>
      <x:c r="Q5" s="289"/>
      <x:c r="R5" s="289"/>
      <x:c r="S5" s="289"/>
      <x:c r="T5" s="289"/>
    </x:row>
    <x:row r="6">
      <x:c r="A6" s="148" t="n">
        <x:v>1</x:v>
      </x:c>
      <x:c r="B6" s="151" t="n">
        <x:v>0.03897272451324747</x:v>
      </x:c>
      <x:c r="C6" s="151" t="n">
        <x:v>0.06411698537682789</x:v>
      </x:c>
      <x:c r="D6" s="151" t="n">
        <x:v>0.07065640404739254</x:v>
      </x:c>
      <x:c r="E6" s="151" t="n">
        <x:v>0.0625</x:v>
      </x:c>
      <x:c r="F6" s="289"/>
      <x:c r="G6" s="148" t="n">
        <x:v>1</x:v>
      </x:c>
      <x:c r="H6" s="238" t="n">
        <x:v>0.7752482546290274</x:v>
      </x:c>
      <x:c r="I6" s="238" t="n">
        <x:v>1.4210435234057281</x:v>
      </x:c>
      <x:c r="J6" s="238" t="n">
        <x:v>0.8828158782322927</x:v>
      </x:c>
      <x:c r="K6" s="238" t="n">
        <x:v>1.3913123167155426</x:v>
      </x:c>
      <x:c r="L6" s="289"/>
      <x:c r="M6" s="289"/>
      <x:c r="N6" s="289"/>
      <x:c r="O6" s="289"/>
      <x:c r="P6" s="289"/>
      <x:c r="Q6" s="289"/>
      <x:c r="R6" s="289"/>
      <x:c r="S6" s="289"/>
      <x:c r="T6" s="289"/>
    </x:row>
    <x:row r="7">
      <x:c r="A7" s="149" t="n">
        <x:v>2</x:v>
      </x:c>
      <x:c r="B7" s="150" t="n">
        <x:v>0.021681626989289278</x:v>
      </x:c>
      <x:c r="C7" s="150" t="n">
        <x:v>0.022626979319892705</x:v>
      </x:c>
      <x:c r="D7" s="150" t="n">
        <x:v>0.05167344114849087</x:v>
      </x:c>
      <x:c r="E7" s="150" t="n">
        <x:v>0.03262463343108504</x:v>
      </x:c>
      <x:c r="F7" s="289"/>
      <x:c r="G7" s="149" t="n">
        <x:v>2</x:v>
      </x:c>
      <x:c r="H7" s="237" t="n">
        <x:v>0.3387212176401717</x:v>
      </x:c>
      <x:c r="I7" s="237" t="n">
        <x:v>0.5762741195812062</x:v>
      </x:c>
      <x:c r="J7" s="237" t="n">
        <x:v>0.38259967136556255</x:v>
      </x:c>
      <x:c r="K7" s="237" t="n">
        <x:v>0.5619501466275659</x:v>
      </x:c>
      <x:c r="L7" s="289"/>
      <x:c r="M7" s="289"/>
      <x:c r="N7" s="289"/>
      <x:c r="O7" s="289"/>
      <x:c r="P7" s="289"/>
      <x:c r="Q7" s="289"/>
      <x:c r="R7" s="289"/>
      <x:c r="S7" s="289"/>
      <x:c r="T7" s="289"/>
    </x:row>
    <x:row r="8">
      <x:c r="A8" s="148" t="n">
        <x:v>3</x:v>
      </x:c>
      <x:c r="B8" s="151" t="n">
        <x:v>0.020716794588265905</x:v>
      </x:c>
      <x:c r="C8" s="151" t="n">
        <x:v>0.02154538375010816</x:v>
      </x:c>
      <x:c r="D8" s="151" t="n">
        <x:v>0.05111130329499265</x:v>
      </x:c>
      <x:c r="E8" s="151" t="n">
        <x:v>0.030791788856304986</x:v>
      </x:c>
      <x:c r="F8" s="289"/>
      <x:c r="G8" s="148" t="n">
        <x:v>3</x:v>
      </x:c>
      <x:c r="H8" s="238" t="n">
        <x:v>0.24400503013746153</x:v>
      </x:c>
      <x:c r="I8" s="238" t="n">
        <x:v>0.4523232672838972</x:v>
      </x:c>
      <x:c r="J8" s="238" t="n">
        <x:v>0.23527631237568106</x:v>
      </x:c>
      <x:c r="K8" s="238" t="n">
        <x:v>0.37408357771260997</x:v>
      </x:c>
      <x:c r="L8" s="289"/>
      <x:c r="M8" s="289"/>
      <x:c r="N8" s="289"/>
      <x:c r="O8" s="289"/>
      <x:c r="P8" s="289"/>
      <x:c r="Q8" s="289"/>
      <x:c r="R8" s="289"/>
      <x:c r="S8" s="289"/>
      <x:c r="T8" s="289"/>
    </x:row>
    <x:row r="9">
      <x:c r="A9" s="149" t="n">
        <x:v>4</x:v>
      </x:c>
      <x:c r="B9" s="150" t="n">
        <x:v>0.018440223754390528</x:v>
      </x:c>
      <x:c r="C9" s="150" t="n">
        <x:v>0.01925240114216492</x:v>
      </x:c>
      <x:c r="D9" s="150" t="n">
        <x:v>0.04765199342731125</x:v>
      </x:c>
      <x:c r="E9" s="150" t="n">
        <x:v>0.02785923753665689</x:v>
      </x:c>
      <x:c r="F9" s="289"/>
      <x:c r="G9" s="149" t="n">
        <x:v>4</x:v>
      </x:c>
      <x:c r="H9" s="237" t="n">
        <x:v>0.267724730063744</x:v>
      </x:c>
      <x:c r="I9" s="237" t="n">
        <x:v>0.46075971272821664</x:v>
      </x:c>
      <x:c r="J9" s="237" t="n">
        <x:v>0.25979417106287295</x:v>
      </x:c>
      <x:c r="K9" s="237" t="n">
        <x:v>0.4318181818181818</x:v>
      </x:c>
      <x:c r="L9" s="289"/>
      <x:c r="M9" s="289"/>
      <x:c r="N9" s="289"/>
      <x:c r="O9" s="289"/>
      <x:c r="P9" s="289"/>
      <x:c r="Q9" s="289"/>
      <x:c r="R9" s="289"/>
      <x:c r="S9" s="289"/>
      <x:c r="T9" s="289"/>
    </x:row>
    <x:row r="10">
      <x:c r="A10" s="148" t="n">
        <x:v>5</x:v>
      </x:c>
      <x:c r="B10" s="151" t="n">
        <x:v>0.01726941589696891</x:v>
      </x:c>
      <x:c r="C10" s="151" t="n">
        <x:v>0.015748031496062992</x:v>
      </x:c>
      <x:c r="D10" s="151" t="n">
        <x:v>0.04626826948023869</x:v>
      </x:c>
      <x:c r="E10" s="151" t="n">
        <x:v>0.02346041055718475</x:v>
      </x:c>
      <x:c r="F10" s="289"/>
      <x:c r="G10" s="148" t="n">
        <x:v>5</x:v>
      </x:c>
      <x:c r="H10" s="238" t="n">
        <x:v>0.48600450977841375</x:v>
      </x:c>
      <x:c r="I10" s="238" t="n">
        <x:v>0.8452453058752272</x:v>
      </x:c>
      <x:c r="J10" s="238" t="n">
        <x:v>0.5041511718412177</x:v>
      </x:c>
      <x:c r="K10" s="238" t="n">
        <x:v>0.8051686217008798</x:v>
      </x:c>
      <x:c r="L10" s="289"/>
      <x:c r="M10" s="289"/>
      <x:c r="N10" s="289"/>
      <x:c r="O10" s="289"/>
      <x:c r="P10" s="289"/>
      <x:c r="Q10" s="289"/>
      <x:c r="R10" s="289"/>
      <x:c r="S10" s="289"/>
      <x:c r="T10" s="289"/>
    </x:row>
    <x:row r="11">
      <x:c r="A11" s="149" t="n">
        <x:v>6</x:v>
      </x:c>
      <x:c r="B11" s="150" t="n">
        <x:v>0.020326525302458695</x:v>
      </x:c>
      <x:c r="C11" s="150" t="n">
        <x:v>0.015315393268149173</x:v>
      </x:c>
      <x:c r="D11" s="150" t="n">
        <x:v>0.058073164403701465</x:v>
      </x:c>
      <x:c r="E11" s="150" t="n">
        <x:v>0.03647360703812317</x:v>
      </x:c>
      <x:c r="F11" s="289"/>
      <x:c r="G11" s="149" t="n">
        <x:v>6</x:v>
      </x:c>
      <x:c r="H11" s="237" t="n">
        <x:v>1.2821213303846322</x:v>
      </x:c>
      <x:c r="I11" s="237" t="n">
        <x:v>2.5977329756857315</x:v>
      </x:c>
      <x:c r="J11" s="237" t="n">
        <x:v>1.3771512583239645</x:v>
      </x:c>
      <x:c r="K11" s="237" t="n">
        <x:v>2.374633431085044</x:v>
      </x:c>
      <x:c r="L11" s="289"/>
      <x:c r="M11" s="289"/>
      <x:c r="N11" s="289"/>
      <x:c r="O11" s="289"/>
      <x:c r="P11" s="289"/>
      <x:c r="Q11" s="289"/>
      <x:c r="R11" s="289"/>
      <x:c r="S11" s="289"/>
      <x:c r="T11" s="289"/>
    </x:row>
    <x:row r="12">
      <x:c r="A12" s="148" t="n">
        <x:v>7</x:v>
      </x:c>
      <x:c r="B12" s="151" t="n">
        <x:v>0.05285923356279473</x:v>
      </x:c>
      <x:c r="C12" s="151" t="n">
        <x:v>0.04685269305645685</x:v>
      </x:c>
      <x:c r="D12" s="151" t="n">
        <x:v>0.1349130848395745</x:v>
      </x:c>
      <x:c r="E12" s="151" t="n">
        <x:v>0.11693548387096774</x:v>
      </x:c>
      <x:c r="F12" s="289"/>
      <x:c r="G12" s="148" t="n">
        <x:v>7</x:v>
      </x:c>
      <x:c r="H12" s="238" t="n">
        <x:v>2.5950783240284028</x:v>
      </x:c>
      <x:c r="I12" s="238" t="n">
        <x:v>5.330045425048669</x:v>
      </x:c>
      <x:c r="J12" s="238" t="n">
        <x:v>2.6891377670154806</x:v>
      </x:c>
      <x:c r="K12" s="238" t="n">
        <x:v>5.102822580645161</x:v>
      </x:c>
      <x:c r="L12" s="289"/>
      <x:c r="M12" s="289"/>
      <x:c r="N12" s="289"/>
      <x:c r="O12" s="289"/>
      <x:c r="P12" s="289"/>
      <x:c r="Q12" s="289"/>
      <x:c r="R12" s="289"/>
      <x:c r="S12" s="289"/>
      <x:c r="T12" s="289"/>
    </x:row>
    <x:row r="13">
      <x:c r="A13" s="149" t="n">
        <x:v>8</x:v>
      </x:c>
      <x:c r="B13" s="150" t="n">
        <x:v>0.08296294690284674</x:v>
      </x:c>
      <x:c r="C13" s="150" t="n">
        <x:v>0.08755840110745804</x:v>
      </x:c>
      <x:c r="D13" s="150" t="n">
        <x:v>0.19220790452304765</x:v>
      </x:c>
      <x:c r="E13" s="150" t="n">
        <x:v>0.18621700879765396</x:v>
      </x:c>
      <x:c r="F13" s="289"/>
      <x:c r="G13" s="149" t="n">
        <x:v>8</x:v>
      </x:c>
      <x:c r="H13" s="237" t="n">
        <x:v>2.682436094790018</x:v>
      </x:c>
      <x:c r="I13" s="237" t="n">
        <x:v>5.053729018861395</x:v>
      </x:c>
      <x:c r="J13" s="237" t="n">
        <x:v>2.5215774452996627</x:v>
      </x:c>
      <x:c r="K13" s="237" t="n">
        <x:v>3.904692082111437</x:v>
      </x:c>
      <x:c r="L13" s="289"/>
      <x:c r="M13" s="289"/>
      <x:c r="N13" s="289"/>
      <x:c r="O13" s="289"/>
      <x:c r="P13" s="289"/>
      <x:c r="Q13" s="289"/>
      <x:c r="R13" s="289"/>
      <x:c r="S13" s="289"/>
      <x:c r="T13" s="289"/>
    </x:row>
    <x:row r="14">
      <x:c r="A14" s="148" t="n">
        <x:v>9</x:v>
      </x:c>
      <x:c r="B14" s="151" t="n">
        <x:v>0.08078399063374021</x:v>
      </x:c>
      <x:c r="C14" s="151" t="n">
        <x:v>0.08998096556497664</x:v>
      </x:c>
      <x:c r="D14" s="151" t="n">
        <x:v>0.18234887140015568</x:v>
      </x:c>
      <x:c r="E14" s="151" t="n">
        <x:v>0.17357038123167157</x:v>
      </x:c>
      <x:c r="F14" s="289"/>
      <x:c r="G14" s="148" t="n">
        <x:v>9</x:v>
      </x:c>
      <x:c r="H14" s="238" t="n">
        <x:v>2.0889794679444096</x:v>
      </x:c>
      <x:c r="I14" s="238" t="n">
        <x:v>3.872555805502682</x:v>
      </x:c>
      <x:c r="J14" s="238" t="n">
        <x:v>1.9674392458704488</x:v>
      </x:c>
      <x:c r="K14" s="238" t="n">
        <x:v>3.0093475073313782</x:v>
      </x:c>
      <x:c r="L14" s="289"/>
      <x:c r="M14" s="289"/>
      <x:c r="N14" s="289"/>
      <x:c r="O14" s="289"/>
      <x:c r="P14" s="289"/>
      <x:c r="Q14" s="289"/>
      <x:c r="R14" s="289"/>
      <x:c r="S14" s="289"/>
      <x:c r="T14" s="289"/>
    </x:row>
    <x:row r="15">
      <x:c r="A15" s="149" t="n">
        <x:v>10</x:v>
      </x:c>
      <x:c r="B15" s="150" t="n">
        <x:v>0.0703770353186046</x:v>
      </x:c>
      <x:c r="C15" s="150" t="n">
        <x:v>0.07267693372555806</x:v>
      </x:c>
      <x:c r="D15" s="150" t="n">
        <x:v>0.15774452996627172</x:v>
      </x:c>
      <x:c r="E15" s="150" t="n">
        <x:v>0.14112903225806453</x:v>
      </x:c>
      <x:c r="F15" s="289"/>
      <x:c r="G15" s="149" t="n">
        <x:v>10</x:v>
      </x:c>
      <x:c r="H15" s="237" t="n">
        <x:v>1.7957635019404636</x:v>
      </x:c>
      <x:c r="I15" s="237" t="n">
        <x:v>3.2660927496106593</x:v>
      </x:c>
      <x:c r="J15" s="237" t="n">
        <x:v>1.7692640318256507</x:v>
      </x:c>
      <x:c r="K15" s="237" t="n">
        <x:v>2.7309384164222874</x:v>
      </x:c>
      <x:c r="L15" s="289"/>
      <x:c r="M15" s="289"/>
      <x:c r="N15" s="289"/>
      <x:c r="O15" s="289"/>
      <x:c r="P15" s="289"/>
      <x:c r="Q15" s="289"/>
      <x:c r="R15" s="289"/>
      <x:c r="S15" s="289"/>
      <x:c r="T15" s="289"/>
    </x:row>
    <x:row r="16">
      <x:c r="A16" s="148" t="n">
        <x:v>11</x:v>
      </x:c>
      <x:c r="B16" s="151" t="n">
        <x:v>0.05792121067580166</x:v>
      </x:c>
      <x:c r="C16" s="151" t="n">
        <x:v>0.0629434158158851</x:v>
      </x:c>
      <x:c r="D16" s="151" t="n">
        <x:v>0.1301997751448586</x:v>
      </x:c>
      <x:c r="E16" s="151" t="n">
        <x:v>0.1282991202346041</x:v>
      </x:c>
      <x:c r="F16" s="289"/>
      <x:c r="G16" s="148" t="n">
        <x:v>11</x:v>
      </x:c>
      <x:c r="H16" s="238" t="n">
        <x:v>1.6798885588535004</x:v>
      </x:c>
      <x:c r="I16" s="238" t="n">
        <x:v>3.0313635577089464</x:v>
      </x:c>
      <x:c r="J16" s="238" t="n">
        <x:v>1.6543717028452825</x:v>
      </x:c>
      <x:c r="K16" s="238" t="n">
        <x:v>2.499816715542522</x:v>
      </x:c>
      <x:c r="L16" s="289"/>
      <x:c r="M16" s="289"/>
      <x:c r="N16" s="289"/>
      <x:c r="O16" s="289"/>
      <x:c r="P16" s="289"/>
      <x:c r="Q16" s="289"/>
      <x:c r="R16" s="289"/>
      <x:c r="S16" s="289"/>
      <x:c r="T16" s="289"/>
    </x:row>
    <x:row r="17">
      <x:c r="A17" s="149" t="n">
        <x:v>12</x:v>
      </x:c>
      <x:c r="B17" s="150" t="n">
        <x:v>0.0616401973006667</x:v>
      </x:c>
      <x:c r="C17" s="150" t="n">
        <x:v>0.06221068570192516</x:v>
      </x:c>
      <x:c r="D17" s="150" t="n">
        <x:v>0.13621032603995503</x:v>
      </x:c>
      <x:c r="E17" s="150" t="n">
        <x:v>0.12664956011730205</x:v>
      </x:c>
      <x:c r="F17" s="289"/>
      <x:c r="G17" s="149" t="n">
        <x:v>12</x:v>
      </x:c>
      <x:c r="H17" s="237" t="n">
        <x:v>1.634299962057564</x:v>
      </x:c>
      <x:c r="I17" s="237" t="n">
        <x:v>2.8586632057105774</x:v>
      </x:c>
      <x:c r="J17" s="237" t="n">
        <x:v>1.6007091585228748</x:v>
      </x:c>
      <x:c r="K17" s="237" t="n">
        <x:v>2.379398826979472</x:v>
      </x:c>
      <x:c r="L17" s="289"/>
      <x:c r="M17" s="289"/>
      <x:c r="N17" s="289"/>
      <x:c r="O17" s="289"/>
      <x:c r="P17" s="289"/>
      <x:c r="Q17" s="289"/>
      <x:c r="R17" s="289"/>
      <x:c r="S17" s="289"/>
      <x:c r="T17" s="289"/>
    </x:row>
    <x:row r="18">
      <x:c r="A18" s="148" t="n">
        <x:v>13</x:v>
      </x:c>
      <x:c r="B18" s="151" t="n">
        <x:v>0.06318026104678895</x:v>
      </x:c>
      <x:c r="C18" s="151" t="n">
        <x:v>0.06303538980704335</x:v>
      </x:c>
      <x:c r="D18" s="151" t="n">
        <x:v>0.13556170543976476</x:v>
      </x:c>
      <x:c r="E18" s="151" t="n">
        <x:v>0.11895161290322581</x:v>
      </x:c>
      <x:c r="F18" s="289"/>
      <x:c r="G18" s="148" t="n">
        <x:v>13</x:v>
      </x:c>
      <x:c r="H18" s="238" t="n">
        <x:v>1.6279974849312693</x:v>
      </x:c>
      <x:c r="I18" s="238" t="n">
        <x:v>2.780652418447694</x:v>
      </x:c>
      <x:c r="J18" s="238" t="n">
        <x:v>1.606157571564473</x:v>
      </x:c>
      <x:c r="K18" s="238" t="n">
        <x:v>2.2969208211143695</x:v>
      </x:c>
      <x:c r="L18" s="289"/>
      <x:c r="M18" s="289"/>
      <x:c r="N18" s="289"/>
      <x:c r="O18" s="289"/>
      <x:c r="P18" s="289"/>
      <x:c r="Q18" s="289"/>
      <x:c r="R18" s="289"/>
      <x:c r="S18" s="289"/>
      <x:c r="T18" s="289"/>
    </x:row>
    <x:row r="19">
      <x:c r="A19" s="149" t="n">
        <x:v>14</x:v>
      </x:c>
      <x:c r="B19" s="150" t="n">
        <x:v>0.06060014743506353</x:v>
      </x:c>
      <x:c r="C19" s="150" t="n">
        <x:v>0.05650255256554469</x:v>
      </x:c>
      <x:c r="D19" s="150" t="n">
        <x:v>0.12877280982444003</x:v>
      </x:c>
      <x:c r="E19" s="150" t="n">
        <x:v>0.10978739002932551</x:v>
      </x:c>
      <x:c r="F19" s="289"/>
      <x:c r="G19" s="149" t="n">
        <x:v>14</x:v>
      </x:c>
      <x:c r="H19" s="237" t="n">
        <x:v>1.6011447899050344</x:v>
      </x:c>
      <x:c r="I19" s="237" t="n">
        <x:v>2.7513195465951372</x:v>
      </x:c>
      <x:c r="J19" s="237" t="n">
        <x:v>1.5368416500908069</x:v>
      </x:c>
      <x:c r="K19" s="237" t="n">
        <x:v>2.2593475073313782</x:v>
      </x:c>
      <x:c r="L19" s="289"/>
      <x:c r="M19" s="289"/>
      <x:c r="N19" s="289"/>
      <x:c r="O19" s="289"/>
      <x:c r="P19" s="289"/>
      <x:c r="Q19" s="289"/>
      <x:c r="R19" s="289"/>
      <x:c r="S19" s="289"/>
      <x:c r="T19" s="289"/>
    </x:row>
    <x:row r="20">
      <x:c r="A20" s="148" t="n">
        <x:v>15</x:v>
      </x:c>
      <x:c r="B20" s="151" t="n">
        <x:v>0.05701183816833615</x:v>
      </x:c>
      <x:c r="C20" s="151" t="n">
        <x:v>0.050056242969628795</x:v>
      </x:c>
      <x:c r="D20" s="151" t="n">
        <x:v>0.11791922511458965</x:v>
      </x:c>
      <x:c r="E20" s="151" t="n">
        <x:v>0.09420821114369501</x:v>
      </x:c>
      <x:c r="F20" s="289"/>
      <x:c r="G20" s="148" t="n">
        <x:v>15</x:v>
      </x:c>
      <x:c r="H20" s="238" t="n">
        <x:v>1.648107193963835</x:v>
      </x:c>
      <x:c r="I20" s="238" t="n">
        <x:v>2.7715237518387124</x:v>
      </x:c>
      <x:c r="J20" s="238" t="n">
        <x:v>1.6000172965493384</x:v>
      </x:c>
      <x:c r="K20" s="238" t="n">
        <x:v>2.3898460410557183</x:v>
      </x:c>
      <x:c r="L20" s="289"/>
      <x:c r="M20" s="289"/>
      <x:c r="N20" s="289"/>
      <x:c r="O20" s="289"/>
      <x:c r="P20" s="289"/>
      <x:c r="Q20" s="289"/>
      <x:c r="R20" s="289"/>
      <x:c r="S20" s="289"/>
      <x:c r="T20" s="289"/>
    </x:row>
    <x:row r="21">
      <x:c r="A21" s="149" t="n">
        <x:v>16</x:v>
      </x:c>
      <x:c r="B21" s="150" t="n">
        <x:v>0.06520654884527811</x:v>
      </x:c>
      <x:c r="C21" s="150" t="n">
        <x:v>0.0538634593752704</x:v>
      </x:c>
      <x:c r="D21" s="150" t="n">
        <x:v>0.1356481881864568</x:v>
      </x:c>
      <x:c r="E21" s="150" t="n">
        <x:v>0.10557184750733138</x:v>
      </x:c>
      <x:c r="F21" s="289"/>
      <x:c r="G21" s="149" t="n">
        <x:v>16</x:v>
      </x:c>
      <x:c r="H21" s="237" t="n">
        <x:v>2.3692833134554916</x:v>
      </x:c>
      <x:c r="I21" s="237" t="n">
        <x:v>4.259453145279917</x:v>
      </x:c>
      <x:c r="J21" s="237" t="n">
        <x:v>2.4038311856784573</x:v>
      </x:c>
      <x:c r="K21" s="237" t="n">
        <x:v>3.6715542521994133</x:v>
      </x:c>
      <x:c r="L21" s="289"/>
      <x:c r="M21" s="289"/>
      <x:c r="N21" s="289"/>
      <x:c r="O21" s="289"/>
      <x:c r="P21" s="289"/>
      <x:c r="Q21" s="289"/>
      <x:c r="R21" s="289"/>
      <x:c r="S21" s="289"/>
      <x:c r="T21" s="289"/>
    </x:row>
    <x:row r="22">
      <x:c r="A22" s="148" t="n">
        <x:v>17</x:v>
      </x:c>
      <x:c r="B22" s="151" t="n">
        <x:v>0.07905408335863295</x:v>
      </x:c>
      <x:c r="C22" s="151" t="n">
        <x:v>0.061218309249805314</x:v>
      </x:c>
      <x:c r="D22" s="151" t="n">
        <x:v>0.16224163279425755</x:v>
      </x:c>
      <x:c r="E22" s="151" t="n">
        <x:v>0.12646627565982405</x:v>
      </x:c>
      <x:c r="F22" s="289"/>
      <x:c r="G22" s="148" t="n">
        <x:v>17</x:v>
      </x:c>
      <x:c r="H22" s="238" t="n">
        <x:v>2.7115084356160817</x:v>
      </x:c>
      <x:c r="I22" s="238" t="n">
        <x:v>4.908410487150644</x:v>
      </x:c>
      <x:c r="J22" s="238" t="n">
        <x:v>2.5097725503762</x:v>
      </x:c>
      <x:c r="K22" s="238" t="n">
        <x:v>3.87958211143695</x:v>
      </x:c>
      <x:c r="L22" s="289"/>
      <x:c r="M22" s="289"/>
      <x:c r="N22" s="289"/>
      <x:c r="O22" s="289"/>
      <x:c r="P22" s="289"/>
      <x:c r="Q22" s="289"/>
      <x:c r="R22" s="289"/>
      <x:c r="S22" s="289"/>
      <x:c r="T22" s="289"/>
    </x:row>
    <x:row r="23">
      <x:c r="A23" s="149" t="n">
        <x:v>18</x:v>
      </x:c>
      <x:c r="B23" s="150" t="n">
        <x:v>0.0745435225744893</x:v>
      </x:c>
      <x:c r="C23" s="150" t="n">
        <x:v>0.05914164575581898</x:v>
      </x:c>
      <x:c r="D23" s="150" t="n">
        <x:v>0.1497881172706045</x:v>
      </x:c>
      <x:c r="E23" s="150" t="n">
        <x:v>0.11345307917888563</x:v>
      </x:c>
      <x:c r="F23" s="289"/>
      <x:c r="G23" s="149" t="n">
        <x:v>18</x:v>
      </x:c>
      <x:c r="H23" s="237" t="n">
        <x:v>2.960998828989027</x:v>
      </x:c>
      <x:c r="I23" s="237" t="n">
        <x:v>5.503331314354936</x:v>
      </x:c>
      <x:c r="J23" s="237" t="n">
        <x:v>2.6871054224682176</x:v>
      </x:c>
      <x:c r="K23" s="237" t="n">
        <x:v>4.207661290322581</x:v>
      </x:c>
      <x:c r="L23" s="289"/>
      <x:c r="M23" s="289"/>
      <x:c r="N23" s="289"/>
      <x:c r="O23" s="289"/>
      <x:c r="P23" s="289"/>
      <x:c r="Q23" s="289"/>
      <x:c r="R23" s="289"/>
      <x:c r="S23" s="289"/>
      <x:c r="T23" s="289"/>
    </x:row>
    <x:row r="24">
      <x:c r="A24" s="148" t="n">
        <x:v>19</x:v>
      </x:c>
      <x:c r="B24" s="151" t="n">
        <x:v>0.06814042239472658</x:v>
      </x:c>
      <x:c r="C24" s="151" t="n">
        <x:v>0.07203426494765078</x:v>
      </x:c>
      <x:c r="D24" s="151" t="n">
        <x:v>0.13404825737265416</x:v>
      </x:c>
      <x:c r="E24" s="151" t="n">
        <x:v>0.11345307917888563</x:v>
      </x:c>
      <x:c r="F24" s="289"/>
      <x:c r="G24" s="148" t="n">
        <x:v>19</x:v>
      </x:c>
      <x:c r="H24" s="238" t="n">
        <x:v>2.7086820764126807</x:v>
      </x:c>
      <x:c r="I24" s="238" t="n">
        <x:v>4.813057021718439</x:v>
      </x:c>
      <x:c r="J24" s="238" t="n">
        <x:v>2.556819164576667</x:v>
      </x:c>
      <x:c r="K24" s="238" t="n">
        <x:v>3.908541055718475</x:v>
      </x:c>
      <x:c r="L24" s="289"/>
      <x:c r="M24" s="289"/>
      <x:c r="N24" s="289"/>
      <x:c r="O24" s="289"/>
      <x:c r="P24" s="289"/>
      <x:c r="Q24" s="289"/>
      <x:c r="R24" s="289"/>
      <x:c r="S24" s="289"/>
      <x:c r="T24" s="289"/>
    </x:row>
    <x:row r="25">
      <x:c r="A25" s="149" t="n">
        <x:v>20</x:v>
      </x:c>
      <x:c r="B25" s="150" t="n">
        <x:v>0.06413494790932646</x:v>
      </x:c>
      <x:c r="C25" s="150" t="n">
        <x:v>0.0774888590836326</x:v>
      </x:c>
      <x:c r="D25" s="150" t="n">
        <x:v>0.12587563781025685</x:v>
      </x:c>
      <x:c r="E25" s="150" t="n">
        <x:v>0.1158357771260997</x:v>
      </x:c>
      <x:c r="F25" s="289"/>
      <x:c r="G25" s="149" t="n">
        <x:v>20</x:v>
      </x:c>
      <x:c r="H25" s="237" t="n">
        <x:v>2.2393460750409244</x:v>
      </x:c>
      <x:c r="I25" s="237" t="n">
        <x:v>3.746506295158569</x:v>
      </x:c>
      <x:c r="J25" s="237" t="n">
        <x:v>2.1948456282971547</x:v>
      </x:c>
      <x:c r="K25" s="237" t="n">
        <x:v>3.2899560117302054</x:v>
      </x:c>
      <x:c r="L25" s="289"/>
      <x:c r="M25" s="289"/>
      <x:c r="N25" s="289"/>
      <x:c r="O25" s="289"/>
      <x:c r="P25" s="289"/>
      <x:c r="Q25" s="289"/>
      <x:c r="R25" s="289"/>
      <x:c r="S25" s="289"/>
      <x:c r="T25" s="289"/>
    </x:row>
    <x:row r="26">
      <x:c r="A26" s="148" t="n">
        <x:v>21</x:v>
      </x:c>
      <x:c r="B26" s="151" t="n">
        <x:v>0.06814535362733619</x:v>
      </x:c>
      <x:c r="C26" s="151" t="n">
        <x:v>0.10136713680020766</x:v>
      </x:c>
      <x:c r="D26" s="151" t="n">
        <x:v>0.12678370665052321</x:v>
      </x:c>
      <x:c r="E26" s="151" t="n">
        <x:v>0.12774926686217009</x:v>
      </x:c>
      <x:c r="F26" s="289"/>
      <x:c r="G26" s="148" t="n">
        <x:v>21</x:v>
      </x:c>
      <x:c r="H26" s="238" t="n">
        <x:v>2.099095876154547</x:v>
      </x:c>
      <x:c r="I26" s="238" t="n">
        <x:v>3.490828069568227</x:v>
      </x:c>
      <x:c r="J26" s="238" t="n">
        <x:v>2.0750670241286864</x:v>
      </x:c>
      <x:c r="K26" s="238" t="n">
        <x:v>3.008431085043988</x:v>
      </x:c>
      <x:c r="L26" s="289"/>
      <x:c r="M26" s="289"/>
      <x:c r="N26" s="289"/>
      <x:c r="O26" s="289"/>
      <x:c r="P26" s="289"/>
      <x:c r="Q26" s="289"/>
      <x:c r="R26" s="289"/>
      <x:c r="S26" s="289"/>
      <x:c r="T26" s="289"/>
    </x:row>
    <x:row r="27">
      <x:c r="A27" s="149" t="n">
        <x:v>22</x:v>
      </x:c>
      <x:c r="B27" s="150" t="n">
        <x:v>0.08585924287758553</x:v>
      </x:c>
      <x:c r="C27" s="150" t="n">
        <x:v>0.13645409708401834</x:v>
      </x:c>
      <x:c r="D27" s="150" t="n">
        <x:v>0.1522096341779815</x:v>
      </x:c>
      <x:c r="E27" s="150" t="n">
        <x:v>0.15707478005865103</x:v>
      </x:c>
      <x:c r="F27" s="289"/>
      <x:c r="G27" s="149" t="n">
        <x:v>22</x:v>
      </x:c>
      <x:c r="H27" s="237" t="n">
        <x:v>1.7498590694245697</x:v>
      </x:c>
      <x:c r="I27" s="237" t="n">
        <x:v>2.9312537855844942</x:v>
      </x:c>
      <x:c r="J27" s="237" t="n">
        <x:v>1.7915333390988497</x:v>
      </x:c>
      <x:c r="K27" s="237" t="n">
        <x:v>2.6995967741935485</x:v>
      </x:c>
      <x:c r="L27" s="289"/>
      <x:c r="M27" s="289"/>
      <x:c r="N27" s="289"/>
      <x:c r="O27" s="289"/>
      <x:c r="P27" s="289"/>
      <x:c r="Q27" s="289"/>
      <x:c r="R27" s="289"/>
      <x:c r="S27" s="289"/>
      <x:c r="T27" s="289"/>
    </x:row>
    <x:row r="28">
      <x:c r="A28" s="148" t="n">
        <x:v>23</x:v>
      </x:c>
      <x:c r="B28" s="151" t="n">
        <x:v>0.07976670569359524</x:v>
      </x:c>
      <x:c r="C28" s="151" t="n">
        <x:v>0.12529203080384183</x:v>
      </x:c>
      <x:c r="D28" s="151" t="n">
        <x:v>0.1353887399463807</x:v>
      </x:c>
      <x:c r="E28" s="151" t="n">
        <x:v>0.1187683284457478</x:v>
      </x:c>
      <x:c r="F28" s="289"/>
      <x:c r="G28" s="148" t="n">
        <x:v>23</x:v>
      </x:c>
      <x:c r="H28" s="238" t="n">
        <x:v>1.5296387840943584</x:v>
      </x:c>
      <x:c r="I28" s="238" t="n">
        <x:v>2.702344899195293</x:v>
      </x:c>
      <x:c r="J28" s="238" t="n">
        <x:v>1.7166392804635475</x:v>
      </x:c>
      <x:c r="K28" s="238" t="n">
        <x:v>2.8722507331378297</x:v>
      </x:c>
      <x:c r="L28" s="289"/>
      <x:c r="M28" s="289"/>
      <x:c r="N28" s="289"/>
      <x:c r="O28" s="289"/>
      <x:c r="P28" s="289"/>
      <x:c r="Q28" s="289"/>
      <x:c r="R28" s="289"/>
      <x:c r="S28" s="289"/>
      <x:c r="T28" s="289"/>
    </x:row>
    <x:row r="29">
      <x:c r="A29" s="289"/>
      <x:c r="B29" s="289"/>
      <x:c r="C29" s="289"/>
      <x:c r="D29" s="289"/>
      <x:c r="E29" s="289"/>
      <x:c r="F29" s="289"/>
      <x:c r="G29" s="289"/>
      <x:c r="H29" s="289"/>
      <x:c r="I29" s="289"/>
      <x:c r="J29" s="289"/>
      <x:c r="K29" s="289"/>
      <x:c r="L29" s="289"/>
      <x:c r="M29" s="289"/>
      <x:c r="N29" s="289"/>
      <x:c r="O29" s="289"/>
      <x:c r="P29" s="289"/>
      <x:c r="Q29" s="289"/>
      <x:c r="R29" s="289"/>
      <x:c r="S29" s="289"/>
      <x:c r="T29" s="289"/>
    </x:row>
    <x:row r="30">
      <x:c r="A30" s="289"/>
      <x:c r="B30" s="289"/>
      <x:c r="C30" s="289"/>
      <x:c r="D30" s="289"/>
      <x:c r="E30" s="289"/>
      <x:c r="F30" s="289"/>
      <x:c r="G30" s="289"/>
      <x:c r="H30" s="289"/>
      <x:c r="I30" s="289"/>
      <x:c r="J30" s="289"/>
      <x:c r="K30" s="289"/>
      <x:c r="L30" s="289"/>
      <x:c r="M30" s="289"/>
      <x:c r="N30" s="289"/>
      <x:c r="O30" s="289"/>
      <x:c r="P30" s="289"/>
      <x:c r="Q30" s="289"/>
      <x:c r="R30" s="289"/>
      <x:c r="S30" s="289"/>
      <x:c r="T30" s="289"/>
    </x:row>
    <x:row r="31">
      <x:c r="A31" s="226" t="str">
        <x:v>這張圖直接顯示兩種痛點的差異：高失衡站的紅燈風險高，但活動量接近全站平均；高活動站活動曲線高，但失衡率未同步升高。核心站同時位於兩者之間，代表活動與風險都不能省略。</x:v>
      </x:c>
      <x:c r="B31" s="227"/>
      <x:c r="C31" s="227"/>
      <x:c r="D31" s="227"/>
      <x:c r="E31" s="227"/>
      <x:c r="F31" s="227"/>
      <x:c r="G31" s="227"/>
      <x:c r="H31" s="227"/>
      <x:c r="I31" s="227"/>
      <x:c r="J31" s="227"/>
      <x:c r="K31" s="228"/>
      <x:c r="L31" s="289"/>
      <x:c r="M31" s="289"/>
      <x:c r="N31" s="289"/>
      <x:c r="O31" s="289"/>
      <x:c r="P31" s="289"/>
      <x:c r="Q31" s="289"/>
      <x:c r="R31" s="289"/>
      <x:c r="S31" s="289"/>
      <x:c r="T31" s="289"/>
    </x:row>
    <x:row r="32">
      <x:c r="A32" s="229"/>
      <x:c r="B32" s="230"/>
      <x:c r="C32" s="230"/>
      <x:c r="D32" s="230"/>
      <x:c r="E32" s="230"/>
      <x:c r="F32" s="230"/>
      <x:c r="G32" s="230"/>
      <x:c r="H32" s="230"/>
      <x:c r="I32" s="230"/>
      <x:c r="J32" s="230"/>
      <x:c r="K32" s="231"/>
      <x:c r="L32" s="289"/>
      <x:c r="M32" s="289"/>
      <x:c r="N32" s="289"/>
      <x:c r="O32" s="289"/>
      <x:c r="P32" s="289"/>
      <x:c r="Q32" s="289"/>
      <x:c r="R32" s="289"/>
      <x:c r="S32" s="289"/>
      <x:c r="T32" s="289"/>
    </x:row>
    <x:row r="33">
      <x:c r="A33" s="229"/>
      <x:c r="B33" s="230"/>
      <x:c r="C33" s="230"/>
      <x:c r="D33" s="230"/>
      <x:c r="E33" s="230"/>
      <x:c r="F33" s="230"/>
      <x:c r="G33" s="230"/>
      <x:c r="H33" s="230"/>
      <x:c r="I33" s="230"/>
      <x:c r="J33" s="230"/>
      <x:c r="K33" s="231"/>
      <x:c r="L33" s="289"/>
      <x:c r="M33" s="289"/>
      <x:c r="N33" s="289"/>
      <x:c r="O33" s="289"/>
      <x:c r="P33" s="289"/>
      <x:c r="Q33" s="289"/>
      <x:c r="R33" s="289"/>
      <x:c r="S33" s="289"/>
      <x:c r="T33" s="289"/>
    </x:row>
    <x:row r="34">
      <x:c r="A34" s="229"/>
      <x:c r="B34" s="230"/>
      <x:c r="C34" s="230"/>
      <x:c r="D34" s="230"/>
      <x:c r="E34" s="230"/>
      <x:c r="F34" s="230"/>
      <x:c r="G34" s="230"/>
      <x:c r="H34" s="230"/>
      <x:c r="I34" s="230"/>
      <x:c r="J34" s="230"/>
      <x:c r="K34" s="231"/>
      <x:c r="L34" s="289"/>
      <x:c r="M34" s="289"/>
      <x:c r="N34" s="289"/>
      <x:c r="O34" s="289"/>
      <x:c r="P34" s="289"/>
      <x:c r="Q34" s="289"/>
      <x:c r="R34" s="289"/>
      <x:c r="S34" s="289"/>
      <x:c r="T34" s="289"/>
    </x:row>
    <x:row r="35">
      <x:c r="A35" s="229"/>
      <x:c r="B35" s="230"/>
      <x:c r="C35" s="230"/>
      <x:c r="D35" s="230"/>
      <x:c r="E35" s="230"/>
      <x:c r="F35" s="230"/>
      <x:c r="G35" s="230"/>
      <x:c r="H35" s="230"/>
      <x:c r="I35" s="230"/>
      <x:c r="J35" s="230"/>
      <x:c r="K35" s="231"/>
      <x:c r="L35" s="289"/>
      <x:c r="M35" s="289"/>
      <x:c r="N35" s="289"/>
      <x:c r="O35" s="289"/>
      <x:c r="P35" s="289"/>
      <x:c r="Q35" s="289"/>
      <x:c r="R35" s="289"/>
      <x:c r="S35" s="289"/>
      <x:c r="T35" s="289"/>
    </x:row>
    <x:row r="36">
      <x:c r="A36" s="229"/>
      <x:c r="B36" s="230"/>
      <x:c r="C36" s="230"/>
      <x:c r="D36" s="230"/>
      <x:c r="E36" s="230"/>
      <x:c r="F36" s="230"/>
      <x:c r="G36" s="230"/>
      <x:c r="H36" s="230"/>
      <x:c r="I36" s="230"/>
      <x:c r="J36" s="230"/>
      <x:c r="K36" s="231"/>
      <x:c r="L36" s="289"/>
      <x:c r="M36" s="289"/>
      <x:c r="N36" s="289"/>
      <x:c r="O36" s="289"/>
      <x:c r="P36" s="289"/>
      <x:c r="Q36" s="289"/>
      <x:c r="R36" s="289"/>
      <x:c r="S36" s="289"/>
      <x:c r="T36" s="289"/>
    </x:row>
    <x:row r="37">
      <x:c r="A37" s="229"/>
      <x:c r="B37" s="230"/>
      <x:c r="C37" s="230"/>
      <x:c r="D37" s="230"/>
      <x:c r="E37" s="230"/>
      <x:c r="F37" s="230"/>
      <x:c r="G37" s="230"/>
      <x:c r="H37" s="230"/>
      <x:c r="I37" s="230"/>
      <x:c r="J37" s="230"/>
      <x:c r="K37" s="231"/>
      <x:c r="L37" s="289"/>
      <x:c r="M37" s="289"/>
      <x:c r="N37" s="289"/>
      <x:c r="O37" s="289"/>
      <x:c r="P37" s="289"/>
      <x:c r="Q37" s="289"/>
      <x:c r="R37" s="289"/>
      <x:c r="S37" s="289"/>
      <x:c r="T37" s="289"/>
    </x:row>
    <x:row r="38">
      <x:c r="A38" s="232"/>
      <x:c r="B38" s="233"/>
      <x:c r="C38" s="233"/>
      <x:c r="D38" s="233"/>
      <x:c r="E38" s="233"/>
      <x:c r="F38" s="233"/>
      <x:c r="G38" s="233"/>
      <x:c r="H38" s="233"/>
      <x:c r="I38" s="233"/>
      <x:c r="J38" s="233"/>
      <x:c r="K38" s="234"/>
      <x:c r="L38" s="289"/>
      <x:c r="M38" s="289"/>
      <x:c r="N38" s="289"/>
      <x:c r="O38" s="289"/>
      <x:c r="P38" s="289"/>
      <x:c r="Q38" s="289"/>
      <x:c r="R38" s="289"/>
      <x:c r="S38" s="289"/>
      <x:c r="T38" s="289"/>
    </x:row>
  </x:sheetData>
  <x:mergeCells>
    <x:mergeCell ref="A1:T1"/>
    <x:mergeCell ref="A2:T2"/>
    <x:mergeCell ref="A31:K38"/>
  </x:mergeCells>
  <x:pageMargins left="0.7" right="0.7" top="0.75" bottom="0.75" header="0.3" footer="0.3"/>
  <x:drawing xmlns:r="http://schemas.openxmlformats.org/officeDocument/2006/relationships" r:id="R6e837d1b3d59403b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.400000095367432" hidden="0" customWidth="1"/>
    <x:col min="3" max="3" width="5.400000095367432" hidden="0" customWidth="1"/>
    <x:col min="4" max="4" width="5.400000095367432" hidden="0" customWidth="1"/>
    <x:col min="5" max="5" width="5.400000095367432" hidden="0" customWidth="1"/>
    <x:col min="6" max="6" width="5.400000095367432" hidden="0" customWidth="1"/>
    <x:col min="7" max="7" width="5.400000095367432" hidden="0" customWidth="1"/>
    <x:col min="8" max="8" width="5.400000095367432" hidden="0" customWidth="1"/>
    <x:col min="9" max="9" width="5.400000095367432" hidden="0" customWidth="1"/>
    <x:col min="10" max="10" width="5.400000095367432" hidden="0" customWidth="1"/>
    <x:col min="11" max="11" width="5.400000095367432" hidden="0" customWidth="1"/>
    <x:col min="12" max="12" width="5.400000095367432" hidden="0" customWidth="1"/>
    <x:col min="13" max="13" width="5.400000095367432" hidden="0" customWidth="1"/>
    <x:col min="14" max="14" width="5.400000095367432" hidden="0" customWidth="1"/>
    <x:col min="15" max="15" width="5.400000095367432" hidden="0" customWidth="1"/>
    <x:col min="16" max="16" width="5.400000095367432" hidden="0" customWidth="1"/>
    <x:col min="17" max="17" width="5.400000095367432" hidden="0" customWidth="1"/>
    <x:col min="18" max="18" width="5.400000095367432" hidden="0" customWidth="1"/>
    <x:col min="19" max="19" width="5.400000095367432" hidden="0" customWidth="1"/>
    <x:col min="20" max="20" width="5.400000095367432" hidden="0" customWidth="1"/>
    <x:col min="21" max="21" width="5.400000095367432" hidden="0" customWidth="1"/>
    <x:col min="22" max="22" width="5.400000095367432" hidden="0" customWidth="1"/>
    <x:col min="23" max="23" width="5.400000095367432" hidden="0" customWidth="1"/>
    <x:col min="24" max="24" width="5.400000095367432" hidden="0" customWidth="1"/>
    <x:col min="25" max="25" width="5.400000095367432" hidden="0" customWidth="1"/>
  </x:cols>
  <x:sheetData>
    <x:row r="1" ht="34" customHeight="1">
      <x:c r="A1" s="3" t="str">
        <x:v>五月：高失衡站與核心站的星期 × 小時失衡率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38" customHeight="1">
      <x:c r="A2" s="7" t="str">
        <x:v>顏色越紅代表無車或滿柱快照比例越高；可以檢查問題是否只存在於原先定義的上下班尖峰。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  <x:c r="N3" s="289"/>
      <x:c r="O3" s="289"/>
      <x:c r="P3" s="289"/>
      <x:c r="Q3" s="289"/>
      <x:c r="R3" s="289"/>
      <x:c r="S3" s="289"/>
      <x:c r="T3" s="289"/>
      <x:c r="U3" s="289"/>
      <x:c r="V3" s="289"/>
      <x:c r="W3" s="289"/>
      <x:c r="X3" s="289"/>
      <x:c r="Y3" s="289"/>
    </x:row>
    <x:row r="4" ht="25" customHeight="1">
      <x:c r="A4" s="129" t="str">
        <x:v>尖峰失衡率前25%站</x:v>
      </x:c>
      <x:c r="B4" s="129"/>
      <x:c r="C4" s="129"/>
      <x:c r="D4" s="129"/>
      <x:c r="E4" s="129"/>
      <x:c r="F4" s="129"/>
      <x:c r="G4" s="129"/>
      <x:c r="H4" s="129"/>
      <x:c r="I4" s="129"/>
      <x:c r="J4" s="129"/>
      <x:c r="K4" s="129"/>
      <x:c r="L4" s="129"/>
      <x:c r="M4" s="129"/>
      <x:c r="N4" s="129"/>
      <x:c r="O4" s="129"/>
      <x:c r="P4" s="129"/>
      <x:c r="Q4" s="129"/>
      <x:c r="R4" s="129"/>
      <x:c r="S4" s="129"/>
      <x:c r="T4" s="129"/>
      <x:c r="U4" s="129"/>
      <x:c r="V4" s="129"/>
      <x:c r="W4" s="129"/>
      <x:c r="X4" s="129"/>
      <x:c r="Y4" s="129"/>
    </x:row>
    <x:row r="5" ht="28" customHeight="1">
      <x:c r="A5" s="135" t="str">
        <x:v>星期</x:v>
      </x:c>
      <x:c r="B5" s="135" t="n">
        <x:v>0</x:v>
      </x:c>
      <x:c r="C5" s="135" t="n">
        <x:v>1</x:v>
      </x:c>
      <x:c r="D5" s="135" t="n">
        <x:v>2</x:v>
      </x:c>
      <x:c r="E5" s="135" t="n">
        <x:v>3</x:v>
      </x:c>
      <x:c r="F5" s="135" t="n">
        <x:v>4</x:v>
      </x:c>
      <x:c r="G5" s="135" t="n">
        <x:v>5</x:v>
      </x:c>
      <x:c r="H5" s="135" t="n">
        <x:v>6</x:v>
      </x:c>
      <x:c r="I5" s="135" t="n">
        <x:v>7</x:v>
      </x:c>
      <x:c r="J5" s="135" t="n">
        <x:v>8</x:v>
      </x:c>
      <x:c r="K5" s="135" t="n">
        <x:v>9</x:v>
      </x:c>
      <x:c r="L5" s="135" t="n">
        <x:v>10</x:v>
      </x:c>
      <x:c r="M5" s="135" t="n">
        <x:v>11</x:v>
      </x:c>
      <x:c r="N5" s="135" t="n">
        <x:v>12</x:v>
      </x:c>
      <x:c r="O5" s="135" t="n">
        <x:v>13</x:v>
      </x:c>
      <x:c r="P5" s="135" t="n">
        <x:v>14</x:v>
      </x:c>
      <x:c r="Q5" s="135" t="n">
        <x:v>15</x:v>
      </x:c>
      <x:c r="R5" s="135" t="n">
        <x:v>16</x:v>
      </x:c>
      <x:c r="S5" s="135" t="n">
        <x:v>17</x:v>
      </x:c>
      <x:c r="T5" s="135" t="n">
        <x:v>18</x:v>
      </x:c>
      <x:c r="U5" s="135" t="n">
        <x:v>19</x:v>
      </x:c>
      <x:c r="V5" s="135" t="n">
        <x:v>20</x:v>
      </x:c>
      <x:c r="W5" s="135" t="n">
        <x:v>21</x:v>
      </x:c>
      <x:c r="X5" s="135" t="n">
        <x:v>22</x:v>
      </x:c>
      <x:c r="Y5" s="135" t="n">
        <x:v>23</x:v>
      </x:c>
    </x:row>
    <x:row r="6">
      <x:c r="A6" s="149" t="str">
        <x:v>二</x:v>
      </x:c>
      <x:c r="B6" s="150" t="n">
        <x:v>0.10757372654155496</x:v>
      </x:c>
      <x:c r="C6" s="150" t="n">
        <x:v>0.08176943699731903</x:v>
      </x:c>
      <x:c r="D6" s="150" t="n">
        <x:v>0.06166219839142091</x:v>
      </x:c>
      <x:c r="E6" s="150" t="n">
        <x:v>0.058310991957104555</x:v>
      </x:c>
      <x:c r="F6" s="150" t="n">
        <x:v>0.051943699731903485</x:v>
      </x:c>
      <x:c r="G6" s="150" t="n">
        <x:v>0.05060321715817694</x:v>
      </x:c>
      <x:c r="H6" s="150" t="n">
        <x:v>0.06199731903485255</x:v>
      </x:c>
      <x:c r="I6" s="150" t="n">
        <x:v>0.16722520107238606</x:v>
      </x:c>
      <x:c r="J6" s="150" t="n">
        <x:v>0.23994638069705093</x:v>
      </x:c>
      <x:c r="K6" s="150" t="n">
        <x:v>0.23156836461126004</x:v>
      </x:c>
      <x:c r="L6" s="150" t="n">
        <x:v>0.1826407506702413</x:v>
      </x:c>
      <x:c r="M6" s="150" t="n">
        <x:v>0.1400804289544236</x:v>
      </x:c>
      <x:c r="N6" s="150" t="n">
        <x:v>0.13672922252010725</x:v>
      </x:c>
      <x:c r="O6" s="150" t="n">
        <x:v>0.1270107238605898</x:v>
      </x:c>
      <x:c r="P6" s="150" t="n">
        <x:v>0.1270107238605898</x:v>
      </x:c>
      <x:c r="Q6" s="150" t="n">
        <x:v>0.12064343163538874</x:v>
      </x:c>
      <x:c r="R6" s="150" t="n">
        <x:v>0.1390750670241287</x:v>
      </x:c>
      <x:c r="S6" s="150" t="n">
        <x:v>0.17459785522788204</x:v>
      </x:c>
      <x:c r="T6" s="150" t="n">
        <x:v>0.1618632707774799</x:v>
      </x:c>
      <x:c r="U6" s="150" t="n">
        <x:v>0.13505361930294907</x:v>
      </x:c>
      <x:c r="V6" s="150" t="n">
        <x:v>0.13036193029490617</x:v>
      </x:c>
      <x:c r="W6" s="150" t="n">
        <x:v>0.13471849865951743</x:v>
      </x:c>
      <x:c r="X6" s="150" t="n">
        <x:v>0.15750670241286863</x:v>
      </x:c>
      <x:c r="Y6" s="150" t="n">
        <x:v>0.13103217158176944</x:v>
      </x:c>
    </x:row>
    <x:row r="7">
      <x:c r="A7" s="148" t="str">
        <x:v>三</x:v>
      </x:c>
      <x:c r="B7" s="151" t="n">
        <x:v>0.09148793565683647</x:v>
      </x:c>
      <x:c r="C7" s="151" t="n">
        <x:v>0.05529490616621984</x:v>
      </x:c>
      <x:c r="D7" s="151" t="n">
        <x:v>0.04222520107238606</x:v>
      </x:c>
      <x:c r="E7" s="151" t="n">
        <x:v>0.04222520107238606</x:v>
      </x:c>
      <x:c r="F7" s="151" t="n">
        <x:v>0.04121983914209115</x:v>
      </x:c>
      <x:c r="G7" s="151" t="n">
        <x:v>0.03920911528150134</x:v>
      </x:c>
      <x:c r="H7" s="151" t="n">
        <x:v>0.061327077747989275</x:v>
      </x:c>
      <x:c r="I7" s="151" t="n">
        <x:v>0.15046916890080428</x:v>
      </x:c>
      <x:c r="J7" s="151" t="n">
        <x:v>0.20978552278820375</x:v>
      </x:c>
      <x:c r="K7" s="151" t="n">
        <x:v>0.20006702412868632</x:v>
      </x:c>
      <x:c r="L7" s="151" t="n">
        <x:v>0.1685656836461126</x:v>
      </x:c>
      <x:c r="M7" s="151" t="n">
        <x:v>0.12432975871313673</x:v>
      </x:c>
      <x:c r="N7" s="151" t="n">
        <x:v>0.11628686327077747</x:v>
      </x:c>
      <x:c r="O7" s="151" t="n">
        <x:v>0.11762734584450402</x:v>
      </x:c>
      <x:c r="P7" s="151" t="n">
        <x:v>0.1089142091152815</x:v>
      </x:c>
      <x:c r="Q7" s="151" t="n">
        <x:v>0.10254691689008043</x:v>
      </x:c>
      <x:c r="R7" s="151" t="n">
        <x:v>0.12634048257372654</x:v>
      </x:c>
      <x:c r="S7" s="151" t="n">
        <x:v>0.15683646112600536</x:v>
      </x:c>
      <x:c r="T7" s="151" t="n">
        <x:v>0.15985254691689008</x:v>
      </x:c>
      <x:c r="U7" s="151" t="n">
        <x:v>0.13471849865951743</x:v>
      </x:c>
      <x:c r="V7" s="151" t="n">
        <x:v>0.13270777479892762</x:v>
      </x:c>
      <x:c r="W7" s="151" t="n">
        <x:v>0.12131367292225201</x:v>
      </x:c>
      <x:c r="X7" s="151" t="n">
        <x:v>0.14946380697050937</x:v>
      </x:c>
      <x:c r="Y7" s="151" t="n">
        <x:v>0.12064343163538874</x:v>
      </x:c>
    </x:row>
    <x:row r="8">
      <x:c r="A8" s="149" t="str">
        <x:v>四</x:v>
      </x:c>
      <x:c r="B8" s="150" t="n">
        <x:v>0.08545576407506703</x:v>
      </x:c>
      <x:c r="C8" s="150" t="n">
        <x:v>0.05697050938337802</x:v>
      </x:c>
      <x:c r="D8" s="150" t="n">
        <x:v>0.041890080428954424</x:v>
      </x:c>
      <x:c r="E8" s="150" t="n">
        <x:v>0.042560321715817695</x:v>
      </x:c>
      <x:c r="F8" s="150" t="n">
        <x:v>0.03987935656836461</x:v>
      </x:c>
      <x:c r="G8" s="150" t="n">
        <x:v>0.041890080428954424</x:v>
      </x:c>
      <x:c r="H8" s="150" t="n">
        <x:v>0.0596514745308311</x:v>
      </x:c>
      <x:c r="I8" s="150" t="n">
        <x:v>0.17627345844504022</x:v>
      </x:c>
      <x:c r="J8" s="150" t="n">
        <x:v>0.27781501340482573</x:v>
      </x:c>
      <x:c r="K8" s="150" t="n">
        <x:v>0.24865951742627346</x:v>
      </x:c>
      <x:c r="L8" s="150" t="n">
        <x:v>0.19738605898123324</x:v>
      </x:c>
      <x:c r="M8" s="150" t="n">
        <x:v>0.14711796246648792</x:v>
      </x:c>
      <x:c r="N8" s="150" t="n">
        <x:v>0.14242627345844505</x:v>
      </x:c>
      <x:c r="O8" s="150" t="n">
        <x:v>0.1306970509383378</x:v>
      </x:c>
      <x:c r="P8" s="150" t="n">
        <x:v>0.1203083109919571</x:v>
      </x:c>
      <x:c r="Q8" s="150" t="n">
        <x:v>0.10991957104557641</x:v>
      </x:c>
      <x:c r="R8" s="150" t="n">
        <x:v>0.13572386058981234</x:v>
      </x:c>
      <x:c r="S8" s="150" t="n">
        <x:v>0.15851206434316353</x:v>
      </x:c>
      <x:c r="T8" s="150" t="n">
        <x:v>0.1487935656836461</x:v>
      </x:c>
      <x:c r="U8" s="150" t="n">
        <x:v>0.12902144772117963</x:v>
      </x:c>
      <x:c r="V8" s="150" t="n">
        <x:v>0.11595174262734584</x:v>
      </x:c>
      <x:c r="W8" s="150" t="n">
        <x:v>0.12198391420911528</x:v>
      </x:c>
      <x:c r="X8" s="150" t="n">
        <x:v>0.15080428954423591</x:v>
      </x:c>
      <x:c r="Y8" s="150" t="n">
        <x:v>0.1239946380697051</x:v>
      </x:c>
    </x:row>
    <x:row r="9">
      <x:c r="A9" s="148" t="str">
        <x:v>五</x:v>
      </x:c>
      <x:c r="B9" s="151" t="n">
        <x:v>0.08579088471849866</x:v>
      </x:c>
      <x:c r="C9" s="151" t="n">
        <x:v>0.060656836461126004</x:v>
      </x:c>
      <x:c r="D9" s="151" t="n">
        <x:v>0.03920911528150134</x:v>
      </x:c>
      <x:c r="E9" s="151" t="n">
        <x:v>0.03987935656836461</x:v>
      </x:c>
      <x:c r="F9" s="151" t="n">
        <x:v>0.04155495978552279</x:v>
      </x:c>
      <x:c r="G9" s="151" t="n">
        <x:v>0.040214477211796246</x:v>
      </x:c>
      <x:c r="H9" s="151" t="n">
        <x:v>0.054959785522788206</x:v>
      </x:c>
      <x:c r="I9" s="151" t="n">
        <x:v>0.17761394101876676</x:v>
      </x:c>
      <x:c r="J9" s="151" t="n">
        <x:v>0.28183646112600536</x:v>
      </x:c>
      <x:c r="K9" s="151" t="n">
        <x:v>0.2540214477211796</x:v>
      </x:c>
      <x:c r="L9" s="151" t="n">
        <x:v>0.18096514745308312</x:v>
      </x:c>
      <x:c r="M9" s="151" t="n">
        <x:v>0.14242627345844505</x:v>
      </x:c>
      <x:c r="N9" s="151" t="n">
        <x:v>0.12667560321715818</x:v>
      </x:c>
      <x:c r="O9" s="151" t="n">
        <x:v>0.12466487935656836</x:v>
      </x:c>
      <x:c r="P9" s="151" t="n">
        <x:v>0.11829758713136729</x:v>
      </x:c>
      <x:c r="Q9" s="151" t="n">
        <x:v>0.11092493297587132</x:v>
      </x:c>
      <x:c r="R9" s="151" t="n">
        <x:v>0.13739946380697052</x:v>
      </x:c>
      <x:c r="S9" s="151" t="n">
        <x:v>0.17593833780160859</x:v>
      </x:c>
      <x:c r="T9" s="151" t="n">
        <x:v>0.17292225201072386</x:v>
      </x:c>
      <x:c r="U9" s="151" t="n">
        <x:v>0.16085790884718498</x:v>
      </x:c>
      <x:c r="V9" s="151" t="n">
        <x:v>0.14041554959785524</x:v>
      </x:c>
      <x:c r="W9" s="151" t="n">
        <x:v>0.14510723860589814</x:v>
      </x:c>
      <x:c r="X9" s="151" t="n">
        <x:v>0.1779490616621984</x:v>
      </x:c>
      <x:c r="Y9" s="151" t="n">
        <x:v>0.14845844504021447</x:v>
      </x:c>
    </x:row>
    <x:row r="10">
      <x:c r="A10" s="149" t="str">
        <x:v>六</x:v>
      </x:c>
      <x:c r="B10" s="150" t="n">
        <x:v>0.09571045576407507</x:v>
      </x:c>
      <x:c r="C10" s="150" t="n">
        <x:v>0.056836461126005364</x:v>
      </x:c>
      <x:c r="D10" s="150" t="n">
        <x:v>0.03806970509383378</x:v>
      </x:c>
      <x:c r="E10" s="150" t="n">
        <x:v>0.037265415549597856</x:v>
      </x:c>
      <x:c r="F10" s="150" t="n">
        <x:v>0.03753351206434316</x:v>
      </x:c>
      <x:c r="G10" s="150" t="n">
        <x:v>0.039142091152815014</x:v>
      </x:c>
      <x:c r="H10" s="150" t="n">
        <x:v>0.05361930294906166</x:v>
      </x:c>
      <x:c r="I10" s="150" t="n">
        <x:v>0.13485254691689008</x:v>
      </x:c>
      <x:c r="J10" s="150" t="n">
        <x:v>0.19571045576407506</x:v>
      </x:c>
      <x:c r="K10" s="150" t="n">
        <x:v>0.18123324396782842</x:v>
      </x:c>
      <x:c r="L10" s="150" t="n">
        <x:v>0.1512064343163539</x:v>
      </x:c>
      <x:c r="M10" s="150" t="n">
        <x:v>0.11796246648793565</x:v>
      </x:c>
      <x:c r="N10" s="150" t="n">
        <x:v>0.1294906166219839</x:v>
      </x:c>
      <x:c r="O10" s="150" t="n">
        <x:v>0.13002680965147453</x:v>
      </x:c>
      <x:c r="P10" s="150" t="n">
        <x:v>0.1195710455764075</x:v>
      </x:c>
      <x:c r="Q10" s="150" t="n">
        <x:v>0.11849865951742627</x:v>
      </x:c>
      <x:c r="R10" s="150" t="n">
        <x:v>0.14101876675603217</x:v>
      </x:c>
      <x:c r="S10" s="150" t="n">
        <x:v>0.1734584450402145</x:v>
      </x:c>
      <x:c r="T10" s="150" t="n">
        <x:v>0.16193029490616623</x:v>
      </x:c>
      <x:c r="U10" s="150" t="n">
        <x:v>0.1415549597855228</x:v>
      </x:c>
      <x:c r="V10" s="150" t="n">
        <x:v>0.13780160857908846</x:v>
      </x:c>
      <x:c r="W10" s="150" t="n">
        <x:v>0.1423592493297587</x:v>
      </x:c>
      <x:c r="X10" s="150" t="n">
        <x:v>0.16970509383378016</x:v>
      </x:c>
      <x:c r="Y10" s="150" t="n">
        <x:v>0.16193029490616623</x:v>
      </x:c>
    </x:row>
    <x:row r="11">
      <x:c r="A11" s="148" t="str">
        <x:v>日</x:v>
      </x:c>
      <x:c r="B11" s="151" t="n">
        <x:v>0.13029490616621983</x:v>
      </x:c>
      <x:c r="C11" s="151" t="n">
        <x:v>0.08418230563002681</x:v>
      </x:c>
      <x:c r="D11" s="151" t="n">
        <x:v>0.06032171581769437</x:v>
      </x:c>
      <x:c r="E11" s="151" t="n">
        <x:v>0.05710455764075067</x:v>
      </x:c>
      <x:c r="F11" s="151" t="n">
        <x:v>0.050670241286863274</x:v>
      </x:c>
      <x:c r="G11" s="151" t="n">
        <x:v>0.05013404825737265</x:v>
      </x:c>
      <x:c r="H11" s="151" t="n">
        <x:v>0.05442359249329759</x:v>
      </x:c>
      <x:c r="I11" s="151" t="n">
        <x:v>0.09168900804289544</x:v>
      </x:c>
      <x:c r="J11" s="151" t="n">
        <x:v>0.10884718498659518</x:v>
      </x:c>
      <x:c r="K11" s="151" t="n">
        <x:v>0.1126005361930295</x:v>
      </x:c>
      <x:c r="L11" s="151" t="n">
        <x:v>0.13109919571045575</x:v>
      </x:c>
      <x:c r="M11" s="151" t="n">
        <x:v>0.1353887399463807</x:v>
      </x:c>
      <x:c r="N11" s="151" t="n">
        <x:v>0.16300268096514745</x:v>
      </x:c>
      <x:c r="O11" s="151" t="n">
        <x:v>0.1544235924932976</x:v>
      </x:c>
      <x:c r="P11" s="151" t="n">
        <x:v>0.15067024128686327</x:v>
      </x:c>
      <x:c r="Q11" s="151" t="n">
        <x:v>0.13619302949061662</x:v>
      </x:c>
      <x:c r="R11" s="151" t="n">
        <x:v>0.13404825737265416</x:v>
      </x:c>
      <x:c r="S11" s="151" t="n">
        <x:v>0.15040214477211797</x:v>
      </x:c>
      <x:c r="T11" s="151" t="n">
        <x:v>0.12922252010723861</x:v>
      </x:c>
      <x:c r="U11" s="151" t="n">
        <x:v>0.12788203753351207</x:v>
      </x:c>
      <x:c r="V11" s="151" t="n">
        <x:v>0.11501340482573727</x:v>
      </x:c>
      <x:c r="W11" s="151" t="n">
        <x:v>0.1126005361930295</x:v>
      </x:c>
      <x:c r="X11" s="151" t="n">
        <x:v>0.1319034852546917</x:v>
      </x:c>
      <x:c r="Y11" s="151" t="n">
        <x:v>0.13672922252010725</x:v>
      </x:c>
    </x:row>
    <x:row r="12">
      <x:c r="A12" s="149" t="str"/>
      <x:c r="B12" s="150" t="n">
        <x:v>0.12788203753351207</x:v>
      </x:c>
      <x:c r="C12" s="150" t="n">
        <x:v>0.0932975871313673</x:v>
      </x:c>
      <x:c r="D12" s="150" t="n">
        <x:v>0.07399463806970509</x:v>
      </x:c>
      <x:c r="E12" s="150" t="n">
        <x:v>0.07613941018766757</x:v>
      </x:c>
      <x:c r="F12" s="150" t="n">
        <x:v>0.06756032171581769</x:v>
      </x:c>
      <x:c r="G12" s="150" t="n">
        <x:v>0.060053619302949064</x:v>
      </x:c>
      <x:c r="H12" s="150" t="n">
        <x:v>0.06166219839142091</x:v>
      </x:c>
      <x:c r="I12" s="150" t="n">
        <x:v>0.07265415549597855</x:v>
      </x:c>
      <x:c r="J12" s="150" t="n">
        <x:v>0.07962466487935657</x:v>
      </x:c>
      <x:c r="K12" s="150" t="n">
        <x:v>0.08927613941018767</x:v>
      </x:c>
      <x:c r="L12" s="150" t="n">
        <x:v>0.11206434316353887</x:v>
      </x:c>
      <x:c r="M12" s="150" t="n">
        <x:v>0.11072386058981233</x:v>
      </x:c>
      <x:c r="N12" s="150" t="n">
        <x:v>0.13431635388739946</x:v>
      </x:c>
      <x:c r="O12" s="150" t="n">
        <x:v>0.15603217158176944</x:v>
      </x:c>
      <x:c r="P12" s="150" t="n">
        <x:v>0.1485254691689008</x:v>
      </x:c>
      <x:c r="Q12" s="150" t="n">
        <x:v>0.12117962466487936</x:v>
      </x:c>
      <x:c r="R12" s="150" t="n">
        <x:v>0.13512064343163538</x:v>
      </x:c>
      <x:c r="S12" s="150" t="n">
        <x:v>0.14932975871313672</x:v>
      </x:c>
      <x:c r="T12" s="150" t="n">
        <x:v>0.12278820375335121</x:v>
      </x:c>
      <x:c r="U12" s="150" t="n">
        <x:v>0.11394101876675604</x:v>
      </x:c>
      <x:c r="V12" s="150" t="n">
        <x:v>0.11206434316353887</x:v>
      </x:c>
      <x:c r="W12" s="150" t="n">
        <x:v>0.1126005361930295</x:v>
      </x:c>
      <x:c r="X12" s="150" t="n">
        <x:v>0.13351206434316354</x:v>
      </x:c>
      <x:c r="Y12" s="150" t="n">
        <x:v>0.12144772117962467</x:v>
      </x:c>
    </x:row>
    <x:row r="13">
      <x:c r="A13" s="289"/>
      <x:c r="B13" s="289"/>
      <x:c r="C13" s="289"/>
      <x:c r="D13" s="289"/>
      <x:c r="E13" s="289"/>
      <x:c r="F13" s="289"/>
      <x:c r="G13" s="289"/>
      <x:c r="H13" s="289"/>
      <x:c r="I13" s="289"/>
      <x:c r="J13" s="289"/>
      <x:c r="K13" s="289"/>
      <x:c r="L13" s="289"/>
      <x:c r="M13" s="289"/>
      <x:c r="N13" s="289"/>
      <x:c r="O13" s="289"/>
      <x:c r="P13" s="289"/>
      <x:c r="Q13" s="289"/>
      <x:c r="R13" s="289"/>
      <x:c r="S13" s="289"/>
      <x:c r="T13" s="289"/>
      <x:c r="U13" s="289"/>
      <x:c r="V13" s="289"/>
      <x:c r="W13" s="289"/>
      <x:c r="X13" s="289"/>
      <x:c r="Y13" s="289"/>
    </x:row>
    <x:row r="14">
      <x:c r="A14" s="289"/>
      <x:c r="B14" s="289"/>
      <x:c r="C14" s="289"/>
      <x:c r="D14" s="289"/>
      <x:c r="E14" s="289"/>
      <x:c r="F14" s="289"/>
      <x:c r="G14" s="289"/>
      <x:c r="H14" s="289"/>
      <x:c r="I14" s="289"/>
      <x:c r="J14" s="289"/>
      <x:c r="K14" s="289"/>
      <x:c r="L14" s="289"/>
      <x:c r="M14" s="289"/>
      <x:c r="N14" s="289"/>
      <x:c r="O14" s="289"/>
      <x:c r="P14" s="289"/>
      <x:c r="Q14" s="289"/>
      <x:c r="R14" s="289"/>
      <x:c r="S14" s="289"/>
      <x:c r="T14" s="289"/>
      <x:c r="U14" s="289"/>
      <x:c r="V14" s="289"/>
      <x:c r="W14" s="289"/>
      <x:c r="X14" s="289"/>
      <x:c r="Y14" s="289"/>
    </x:row>
    <x:row r="15" ht="25" customHeight="1">
      <x:c r="A15" s="270" t="str">
        <x:v>高價值核心站</x:v>
      </x:c>
      <x:c r="B15" s="270"/>
      <x:c r="C15" s="270"/>
      <x:c r="D15" s="270"/>
      <x:c r="E15" s="270"/>
      <x:c r="F15" s="270"/>
      <x:c r="G15" s="270"/>
      <x:c r="H15" s="270"/>
      <x:c r="I15" s="270"/>
      <x:c r="J15" s="270"/>
      <x:c r="K15" s="270"/>
      <x:c r="L15" s="270"/>
      <x:c r="M15" s="270"/>
      <x:c r="N15" s="270"/>
      <x:c r="O15" s="270"/>
      <x:c r="P15" s="270"/>
      <x:c r="Q15" s="270"/>
      <x:c r="R15" s="270"/>
      <x:c r="S15" s="270"/>
      <x:c r="T15" s="270"/>
      <x:c r="U15" s="270"/>
      <x:c r="V15" s="270"/>
      <x:c r="W15" s="270"/>
      <x:c r="X15" s="270"/>
      <x:c r="Y15" s="270"/>
    </x:row>
    <x:row r="16" ht="28" customHeight="1">
      <x:c r="A16" s="275" t="str">
        <x:v>星期</x:v>
      </x:c>
      <x:c r="B16" s="275" t="n">
        <x:v>0</x:v>
      </x:c>
      <x:c r="C16" s="275" t="n">
        <x:v>1</x:v>
      </x:c>
      <x:c r="D16" s="275" t="n">
        <x:v>2</x:v>
      </x:c>
      <x:c r="E16" s="275" t="n">
        <x:v>3</x:v>
      </x:c>
      <x:c r="F16" s="275" t="n">
        <x:v>4</x:v>
      </x:c>
      <x:c r="G16" s="275" t="n">
        <x:v>5</x:v>
      </x:c>
      <x:c r="H16" s="275" t="n">
        <x:v>6</x:v>
      </x:c>
      <x:c r="I16" s="275" t="n">
        <x:v>7</x:v>
      </x:c>
      <x:c r="J16" s="275" t="n">
        <x:v>8</x:v>
      </x:c>
      <x:c r="K16" s="275" t="n">
        <x:v>9</x:v>
      </x:c>
      <x:c r="L16" s="275" t="n">
        <x:v>10</x:v>
      </x:c>
      <x:c r="M16" s="275" t="n">
        <x:v>11</x:v>
      </x:c>
      <x:c r="N16" s="275" t="n">
        <x:v>12</x:v>
      </x:c>
      <x:c r="O16" s="275" t="n">
        <x:v>13</x:v>
      </x:c>
      <x:c r="P16" s="275" t="n">
        <x:v>14</x:v>
      </x:c>
      <x:c r="Q16" s="275" t="n">
        <x:v>15</x:v>
      </x:c>
      <x:c r="R16" s="275" t="n">
        <x:v>16</x:v>
      </x:c>
      <x:c r="S16" s="275" t="n">
        <x:v>17</x:v>
      </x:c>
      <x:c r="T16" s="275" t="n">
        <x:v>18</x:v>
      </x:c>
      <x:c r="U16" s="275" t="n">
        <x:v>19</x:v>
      </x:c>
      <x:c r="V16" s="275" t="n">
        <x:v>20</x:v>
      </x:c>
      <x:c r="W16" s="275" t="n">
        <x:v>21</x:v>
      </x:c>
      <x:c r="X16" s="275" t="n">
        <x:v>22</x:v>
      </x:c>
      <x:c r="Y16" s="275" t="n">
        <x:v>23</x:v>
      </x:c>
    </x:row>
    <x:row r="17">
      <x:c r="A17" s="149" t="str">
        <x:v>二</x:v>
      </x:c>
      <x:c r="B17" s="150" t="n">
        <x:v>0.11079545454545454</x:v>
      </x:c>
      <x:c r="C17" s="150" t="n">
        <x:v>0.07244318181818182</x:v>
      </x:c>
      <x:c r="D17" s="150" t="n">
        <x:v>0.03551136363636364</x:v>
      </x:c>
      <x:c r="E17" s="150" t="n">
        <x:v>0.03125</x:v>
      </x:c>
      <x:c r="F17" s="150" t="n">
        <x:v>0.022727272727272728</x:v>
      </x:c>
      <x:c r="G17" s="150" t="n">
        <x:v>0.018465909090909092</x:v>
      </x:c>
      <x:c r="H17" s="150" t="n">
        <x:v>0.04403409090909091</x:v>
      </x:c>
      <x:c r="I17" s="150" t="n">
        <x:v>0.15482954545454544</x:v>
      </x:c>
      <x:c r="J17" s="150" t="n">
        <x:v>0.2627840909090909</x:v>
      </x:c>
      <x:c r="K17" s="150" t="n">
        <x:v>0.24147727272727273</x:v>
      </x:c>
      <x:c r="L17" s="150" t="n">
        <x:v>0.16335227272727273</x:v>
      </x:c>
      <x:c r="M17" s="150" t="n">
        <x:v>0.15198863636363635</x:v>
      </x:c>
      <x:c r="N17" s="150" t="n">
        <x:v>0.13210227272727273</x:v>
      </x:c>
      <x:c r="O17" s="150" t="n">
        <x:v>0.13068181818181818</x:v>
      </x:c>
      <x:c r="P17" s="150" t="n">
        <x:v>0.11221590909090909</x:v>
      </x:c>
      <x:c r="Q17" s="150" t="n">
        <x:v>0.09659090909090909</x:v>
      </x:c>
      <x:c r="R17" s="150" t="n">
        <x:v>0.109375</x:v>
      </x:c>
      <x:c r="S17" s="150" t="n">
        <x:v>0.15198863636363635</x:v>
      </x:c>
      <x:c r="T17" s="150" t="n">
        <x:v>0.13494318181818182</x:v>
      </x:c>
      <x:c r="U17" s="150" t="n">
        <x:v>0.13068181818181818</x:v>
      </x:c>
      <x:c r="V17" s="150" t="n">
        <x:v>0.1278409090909091</x:v>
      </x:c>
      <x:c r="W17" s="150" t="n">
        <x:v>0.13352272727272727</x:v>
      </x:c>
      <x:c r="X17" s="150" t="n">
        <x:v>0.13636363636363635</x:v>
      </x:c>
      <x:c r="Y17" s="150" t="n">
        <x:v>0.10511363636363637</x:v>
      </x:c>
    </x:row>
    <x:row r="18">
      <x:c r="A18" s="148" t="str">
        <x:v>三</x:v>
      </x:c>
      <x:c r="B18" s="151" t="n">
        <x:v>0.08522727272727272</x:v>
      </x:c>
      <x:c r="C18" s="151" t="n">
        <x:v>0.03977272727272727</x:v>
      </x:c>
      <x:c r="D18" s="151" t="n">
        <x:v>0.02130681818181818</x:v>
      </x:c>
      <x:c r="E18" s="151" t="n">
        <x:v>0.024147727272727272</x:v>
      </x:c>
      <x:c r="F18" s="151" t="n">
        <x:v>0.019886363636363636</x:v>
      </x:c>
      <x:c r="G18" s="151" t="n">
        <x:v>0.018465909090909092</x:v>
      </x:c>
      <x:c r="H18" s="151" t="n">
        <x:v>0.041193181818181816</x:v>
      </x:c>
      <x:c r="I18" s="151" t="n">
        <x:v>0.13494318181818182</x:v>
      </x:c>
      <x:c r="J18" s="151" t="n">
        <x:v>0.21875</x:v>
      </x:c>
      <x:c r="K18" s="151" t="n">
        <x:v>0.20170454545454544</x:v>
      </x:c>
      <x:c r="L18" s="151" t="n">
        <x:v>0.15625</x:v>
      </x:c>
      <x:c r="M18" s="151" t="n">
        <x:v>0.12215909090909091</x:v>
      </x:c>
      <x:c r="N18" s="151" t="n">
        <x:v>0.10369318181818182</x:v>
      </x:c>
      <x:c r="O18" s="151" t="n">
        <x:v>0.11363636363636363</x:v>
      </x:c>
      <x:c r="P18" s="151" t="n">
        <x:v>0.08096590909090909</x:v>
      </x:c>
      <x:c r="Q18" s="151" t="n">
        <x:v>0.08096590909090909</x:v>
      </x:c>
      <x:c r="R18" s="151" t="n">
        <x:v>0.10085227272727272</x:v>
      </x:c>
      <x:c r="S18" s="151" t="n">
        <x:v>0.11079545454545454</x:v>
      </x:c>
      <x:c r="T18" s="151" t="n">
        <x:v>0.12926136363636365</x:v>
      </x:c>
      <x:c r="U18" s="151" t="n">
        <x:v>0.11505681818181818</x:v>
      </x:c>
      <x:c r="V18" s="151" t="n">
        <x:v>0.1278409090909091</x:v>
      </x:c>
      <x:c r="W18" s="151" t="n">
        <x:v>0.125</x:v>
      </x:c>
      <x:c r="X18" s="151" t="n">
        <x:v>0.14914772727272727</x:v>
      </x:c>
      <x:c r="Y18" s="151" t="n">
        <x:v>0.11647727272727272</x:v>
      </x:c>
    </x:row>
    <x:row r="19">
      <x:c r="A19" s="149" t="str">
        <x:v>四</x:v>
      </x:c>
      <x:c r="B19" s="150" t="n">
        <x:v>0.08664772727272728</x:v>
      </x:c>
      <x:c r="C19" s="150" t="n">
        <x:v>0.045454545454545456</x:v>
      </x:c>
      <x:c r="D19" s="150" t="n">
        <x:v>0.02130681818181818</x:v>
      </x:c>
      <x:c r="E19" s="150" t="n">
        <x:v>0.022727272727272728</x:v>
      </x:c>
      <x:c r="F19" s="150" t="n">
        <x:v>0.022727272727272728</x:v>
      </x:c>
      <x:c r="G19" s="150" t="n">
        <x:v>0.015625</x:v>
      </x:c>
      <x:c r="H19" s="150" t="n">
        <x:v>0.03977272727272727</x:v>
      </x:c>
      <x:c r="I19" s="150" t="n">
        <x:v>0.16193181818181818</x:v>
      </x:c>
      <x:c r="J19" s="150" t="n">
        <x:v>0.27698863636363635</x:v>
      </x:c>
      <x:c r="K19" s="150" t="n">
        <x:v>0.25142045454545453</x:v>
      </x:c>
      <x:c r="L19" s="150" t="n">
        <x:v>0.19886363636363635</x:v>
      </x:c>
      <x:c r="M19" s="150" t="n">
        <x:v>0.15767045454545456</x:v>
      </x:c>
      <x:c r="N19" s="150" t="n">
        <x:v>0.12926136363636365</x:v>
      </x:c>
      <x:c r="O19" s="150" t="n">
        <x:v>0.125</x:v>
      </x:c>
      <x:c r="P19" s="150" t="n">
        <x:v>0.10227272727272728</x:v>
      </x:c>
      <x:c r="Q19" s="150" t="n">
        <x:v>0.09090909090909091</x:v>
      </x:c>
      <x:c r="R19" s="150" t="n">
        <x:v>0.11363636363636363</x:v>
      </x:c>
      <x:c r="S19" s="150" t="n">
        <x:v>0.12215909090909091</x:v>
      </x:c>
      <x:c r="T19" s="150" t="n">
        <x:v>0.12642045454545456</x:v>
      </x:c>
      <x:c r="U19" s="150" t="n">
        <x:v>0.13210227272727273</x:v>
      </x:c>
      <x:c r="V19" s="150" t="n">
        <x:v>0.10795454545454546</x:v>
      </x:c>
      <x:c r="W19" s="150" t="n">
        <x:v>0.12357954545454546</x:v>
      </x:c>
      <x:c r="X19" s="150" t="n">
        <x:v>0.15056818181818182</x:v>
      </x:c>
      <x:c r="Y19" s="150" t="n">
        <x:v>0.09090909090909091</x:v>
      </x:c>
    </x:row>
    <x:row r="20">
      <x:c r="A20" s="148" t="str">
        <x:v>五</x:v>
      </x:c>
      <x:c r="B20" s="151" t="n">
        <x:v>0.08238636363636363</x:v>
      </x:c>
      <x:c r="C20" s="151" t="n">
        <x:v>0.05539772727272727</x:v>
      </x:c>
      <x:c r="D20" s="151" t="n">
        <x:v>0.014204545454545454</x:v>
      </x:c>
      <x:c r="E20" s="151" t="n">
        <x:v>0.015625</x:v>
      </x:c>
      <x:c r="F20" s="151" t="n">
        <x:v>0.022727272727272728</x:v>
      </x:c>
      <x:c r="G20" s="151" t="n">
        <x:v>0.017045454545454544</x:v>
      </x:c>
      <x:c r="H20" s="151" t="n">
        <x:v>0.036931818181818184</x:v>
      </x:c>
      <x:c r="I20" s="151" t="n">
        <x:v>0.1590909090909091</x:v>
      </x:c>
      <x:c r="J20" s="151" t="n">
        <x:v>0.2840909090909091</x:v>
      </x:c>
      <x:c r="K20" s="151" t="n">
        <x:v>0.2627840909090909</x:v>
      </x:c>
      <x:c r="L20" s="151" t="n">
        <x:v>0.1690340909090909</x:v>
      </x:c>
      <x:c r="M20" s="151" t="n">
        <x:v>0.15198863636363635</x:v>
      </x:c>
      <x:c r="N20" s="151" t="n">
        <x:v>0.1377840909090909</x:v>
      </x:c>
      <x:c r="O20" s="151" t="n">
        <x:v>0.10653409090909091</x:v>
      </x:c>
      <x:c r="P20" s="151" t="n">
        <x:v>0.11079545454545454</x:v>
      </x:c>
      <x:c r="Q20" s="151" t="n">
        <x:v>0.08948863636363637</x:v>
      </x:c>
      <x:c r="R20" s="151" t="n">
        <x:v>0.09943181818181818</x:v>
      </x:c>
      <x:c r="S20" s="151" t="n">
        <x:v>0.15625</x:v>
      </x:c>
      <x:c r="T20" s="151" t="n">
        <x:v>0.125</x:v>
      </x:c>
      <x:c r="U20" s="151" t="n">
        <x:v>0.1534090909090909</x:v>
      </x:c>
      <x:c r="V20" s="151" t="n">
        <x:v>0.13352272727272727</x:v>
      </x:c>
      <x:c r="W20" s="151" t="n">
        <x:v>0.16761363636363635</x:v>
      </x:c>
      <x:c r="X20" s="151" t="n">
        <x:v>0.19886363636363635</x:v>
      </x:c>
      <x:c r="Y20" s="151" t="n">
        <x:v>0.13352272727272727</x:v>
      </x:c>
    </x:row>
    <x:row r="21">
      <x:c r="A21" s="149" t="str">
        <x:v>六</x:v>
      </x:c>
      <x:c r="B21" s="150" t="n">
        <x:v>0.09545454545454546</x:v>
      </x:c>
      <x:c r="C21" s="150" t="n">
        <x:v>0.048863636363636366</x:v>
      </x:c>
      <x:c r="D21" s="150" t="n">
        <x:v>0.023863636363636365</x:v>
      </x:c>
      <x:c r="E21" s="150" t="n">
        <x:v>0.019318181818181818</x:v>
      </x:c>
      <x:c r="F21" s="150" t="n">
        <x:v>0.020454545454545454</x:v>
      </x:c>
      <x:c r="G21" s="150" t="n">
        <x:v>0.01818181818181818</x:v>
      </x:c>
      <x:c r="H21" s="150" t="n">
        <x:v>0.029545454545454545</x:v>
      </x:c>
      <x:c r="I21" s="150" t="n">
        <x:v>0.11818181818181818</x:v>
      </x:c>
      <x:c r="J21" s="150" t="n">
        <x:v>0.19204545454545455</x:v>
      </x:c>
      <x:c r="K21" s="150" t="n">
        <x:v>0.1715909090909091</x:v>
      </x:c>
      <x:c r="L21" s="150" t="n">
        <x:v>0.1431818181818182</x:v>
      </x:c>
      <x:c r="M21" s="150" t="n">
        <x:v>0.10909090909090909</x:v>
      </x:c>
      <x:c r="N21" s="150" t="n">
        <x:v>0.10568181818181818</x:v>
      </x:c>
      <x:c r="O21" s="150" t="n">
        <x:v>0.09431818181818181</x:v>
      </x:c>
      <x:c r="P21" s="150" t="n">
        <x:v>0.1</x:v>
      </x:c>
      <x:c r="Q21" s="150" t="n">
        <x:v>0.08863636363636364</x:v>
      </x:c>
      <x:c r="R21" s="150" t="n">
        <x:v>0.12272727272727273</x:v>
      </x:c>
      <x:c r="S21" s="150" t="n">
        <x:v>0.1159090909090909</x:v>
      </x:c>
      <x:c r="T21" s="150" t="n">
        <x:v>0.11477272727272728</x:v>
      </x:c>
      <x:c r="U21" s="150" t="n">
        <x:v>0.1215909090909091</x:v>
      </x:c>
      <x:c r="V21" s="150" t="n">
        <x:v>0.1409090909090909</x:v>
      </x:c>
      <x:c r="W21" s="150" t="n">
        <x:v>0.14772727272727273</x:v>
      </x:c>
      <x:c r="X21" s="150" t="n">
        <x:v>0.1784090909090909</x:v>
      </x:c>
      <x:c r="Y21" s="150" t="n">
        <x:v>0.13863636363636364</x:v>
      </x:c>
    </x:row>
    <x:row r="22">
      <x:c r="A22" s="148" t="str">
        <x:v>日</x:v>
      </x:c>
      <x:c r="B22" s="151" t="n">
        <x:v>0.13295454545454546</x:v>
      </x:c>
      <x:c r="C22" s="151" t="n">
        <x:v>0.08181818181818182</x:v>
      </x:c>
      <x:c r="D22" s="151" t="n">
        <x:v>0.045454545454545456</x:v>
      </x:c>
      <x:c r="E22" s="151" t="n">
        <x:v>0.045454545454545456</x:v>
      </x:c>
      <x:c r="F22" s="151" t="n">
        <x:v>0.03977272727272727</x:v>
      </x:c>
      <x:c r="G22" s="151" t="n">
        <x:v>0.042045454545454546</x:v>
      </x:c>
      <x:c r="H22" s="151" t="n">
        <x:v>0.038636363636363635</x:v>
      </x:c>
      <x:c r="I22" s="151" t="n">
        <x:v>0.075</x:v>
      </x:c>
      <x:c r="J22" s="151" t="n">
        <x:v>0.07840909090909091</x:v>
      </x:c>
      <x:c r="K22" s="151" t="n">
        <x:v>0.08181818181818182</x:v>
      </x:c>
      <x:c r="L22" s="151" t="n">
        <x:v>0.10681818181818181</x:v>
      </x:c>
      <x:c r="M22" s="151" t="n">
        <x:v>0.1318181818181818</x:v>
      </x:c>
      <x:c r="N22" s="151" t="n">
        <x:v>0.15568181818181817</x:v>
      </x:c>
      <x:c r="O22" s="151" t="n">
        <x:v>0.1340909090909091</x:v>
      </x:c>
      <x:c r="P22" s="151" t="n">
        <x:v>0.13295454545454546</x:v>
      </x:c>
      <x:c r="Q22" s="151" t="n">
        <x:v>0.11931818181818182</x:v>
      </x:c>
      <x:c r="R22" s="151" t="n">
        <x:v>0.08977272727272727</x:v>
      </x:c>
      <x:c r="S22" s="151" t="n">
        <x:v>0.1125</x:v>
      </x:c>
      <x:c r="T22" s="151" t="n">
        <x:v>0.08068181818181819</x:v>
      </x:c>
      <x:c r="U22" s="151" t="n">
        <x:v>0.07954545454545454</x:v>
      </x:c>
      <x:c r="V22" s="151" t="n">
        <x:v>0.08863636363636364</x:v>
      </x:c>
      <x:c r="W22" s="151" t="n">
        <x:v>0.09545454545454546</x:v>
      </x:c>
      <x:c r="X22" s="151" t="n">
        <x:v>0.13522727272727272</x:v>
      </x:c>
      <x:c r="Y22" s="151" t="n">
        <x:v>0.125</x:v>
      </x:c>
    </x:row>
    <x:row r="23">
      <x:c r="A23" s="149" t="str"/>
      <x:c r="B23" s="150" t="n">
        <x:v>0.12386363636363637</x:v>
      </x:c>
      <x:c r="C23" s="150" t="n">
        <x:v>0.08636363636363636</x:v>
      </x:c>
      <x:c r="D23" s="150" t="n">
        <x:v>0.05909090909090909</x:v>
      </x:c>
      <x:c r="E23" s="150" t="n">
        <x:v>0.05113636363636364</x:v>
      </x:c>
      <x:c r="F23" s="150" t="n">
        <x:v>0.042045454545454546</x:v>
      </x:c>
      <x:c r="G23" s="150" t="n">
        <x:v>0.029545454545454545</x:v>
      </x:c>
      <x:c r="H23" s="150" t="n">
        <x:v>0.028409090909090908</x:v>
      </x:c>
      <x:c r="I23" s="150" t="n">
        <x:v>0.04318181818181818</x:v>
      </x:c>
      <x:c r="J23" s="150" t="n">
        <x:v>0.05</x:v>
      </x:c>
      <x:c r="K23" s="150" t="n">
        <x:v>0.056818181818181816</x:v>
      </x:c>
      <x:c r="L23" s="150" t="n">
        <x:v>0.075</x:v>
      </x:c>
      <x:c r="M23" s="150" t="n">
        <x:v>0.0875</x:v>
      </x:c>
      <x:c r="N23" s="150" t="n">
        <x:v>0.1215909090909091</x:v>
      </x:c>
      <x:c r="O23" s="150" t="n">
        <x:v>0.12840909090909092</x:v>
      </x:c>
      <x:c r="P23" s="150" t="n">
        <x:v>0.12272727272727273</x:v>
      </x:c>
      <x:c r="Q23" s="150" t="n">
        <x:v>0.08977272727272727</x:v>
      </x:c>
      <x:c r="R23" s="150" t="n">
        <x:v>0.10340909090909091</x:v>
      </x:c>
      <x:c r="S23" s="150" t="n">
        <x:v>0.12272727272727273</x:v>
      </x:c>
      <x:c r="T23" s="150" t="n">
        <x:v>0.09545454545454546</x:v>
      </x:c>
      <x:c r="U23" s="150" t="n">
        <x:v>0.07727272727272727</x:v>
      </x:c>
      <x:c r="V23" s="150" t="n">
        <x:v>0.09090909090909091</x:v>
      </x:c>
      <x:c r="W23" s="150" t="n">
        <x:v>0.10909090909090909</x:v>
      </x:c>
      <x:c r="X23" s="150" t="n">
        <x:v>0.15227272727272728</x:v>
      </x:c>
      <x:c r="Y23" s="150" t="n">
        <x:v>0.1159090909090909</x:v>
      </x:c>
    </x:row>
    <x:row r="24">
      <x:c r="A24" s="289"/>
      <x:c r="B24" s="289"/>
      <x:c r="C24" s="289"/>
      <x:c r="D24" s="289"/>
      <x:c r="E24" s="289"/>
      <x:c r="F24" s="289"/>
      <x:c r="G24" s="289"/>
      <x:c r="H24" s="289"/>
      <x:c r="I24" s="289"/>
      <x:c r="J24" s="289"/>
      <x:c r="K24" s="289"/>
      <x:c r="L24" s="289"/>
      <x:c r="M24" s="289"/>
      <x:c r="N24" s="289"/>
      <x:c r="O24" s="289"/>
      <x:c r="P24" s="289"/>
      <x:c r="Q24" s="289"/>
      <x:c r="R24" s="289"/>
      <x:c r="S24" s="289"/>
      <x:c r="T24" s="289"/>
      <x:c r="U24" s="289"/>
      <x:c r="V24" s="289"/>
      <x:c r="W24" s="289"/>
      <x:c r="X24" s="289"/>
      <x:c r="Y24" s="289"/>
    </x:row>
    <x:row r="25">
      <x:c r="A25" s="289"/>
      <x:c r="B25" s="289"/>
      <x:c r="C25" s="289"/>
      <x:c r="D25" s="289"/>
      <x:c r="E25" s="289"/>
      <x:c r="F25" s="289"/>
      <x:c r="G25" s="289"/>
      <x:c r="H25" s="289"/>
      <x:c r="I25" s="289"/>
      <x:c r="J25" s="289"/>
      <x:c r="K25" s="289"/>
      <x:c r="L25" s="289"/>
      <x:c r="M25" s="289"/>
      <x:c r="N25" s="289"/>
      <x:c r="O25" s="289"/>
      <x:c r="P25" s="289"/>
      <x:c r="Q25" s="289"/>
      <x:c r="R25" s="289"/>
      <x:c r="S25" s="289"/>
      <x:c r="T25" s="289"/>
      <x:c r="U25" s="289"/>
      <x:c r="V25" s="289"/>
      <x:c r="W25" s="289"/>
      <x:c r="X25" s="289"/>
      <x:c r="Y25" s="289"/>
    </x:row>
    <x:row r="26">
      <x:c r="A26" s="171" t="str">
        <x:v>用途：如果週末午後、夜間或非初始尖峰格子也長期偏紅，痛點就不能只寫成『上下班問題』。目前尖峰時段仍應視為探索定義，最後要由熱圖與事件開始時間共同說明。</x:v>
      </x:c>
      <x:c r="B26" s="172"/>
      <x:c r="C26" s="172"/>
      <x:c r="D26" s="172"/>
      <x:c r="E26" s="172"/>
      <x:c r="F26" s="172"/>
      <x:c r="G26" s="172"/>
      <x:c r="H26" s="172"/>
      <x:c r="I26" s="172"/>
      <x:c r="J26" s="172"/>
      <x:c r="K26" s="172"/>
      <x:c r="L26" s="172"/>
      <x:c r="M26" s="172"/>
      <x:c r="N26" s="172"/>
      <x:c r="O26" s="172"/>
      <x:c r="P26" s="172"/>
      <x:c r="Q26" s="172"/>
      <x:c r="R26" s="172"/>
      <x:c r="S26" s="172"/>
      <x:c r="T26" s="172"/>
      <x:c r="U26" s="172"/>
      <x:c r="V26" s="172"/>
      <x:c r="W26" s="172"/>
      <x:c r="X26" s="172"/>
      <x:c r="Y26" s="173"/>
    </x:row>
    <x:row r="27">
      <x:c r="A27" s="174"/>
      <x:c r="B27" s="175"/>
      <x:c r="C27" s="175"/>
      <x:c r="D27" s="175"/>
      <x:c r="E27" s="175"/>
      <x:c r="F27" s="175"/>
      <x:c r="G27" s="175"/>
      <x:c r="H27" s="175"/>
      <x:c r="I27" s="175"/>
      <x:c r="J27" s="175"/>
      <x:c r="K27" s="175"/>
      <x:c r="L27" s="175"/>
      <x:c r="M27" s="175"/>
      <x:c r="N27" s="175"/>
      <x:c r="O27" s="175"/>
      <x:c r="P27" s="175"/>
      <x:c r="Q27" s="175"/>
      <x:c r="R27" s="175"/>
      <x:c r="S27" s="175"/>
      <x:c r="T27" s="175"/>
      <x:c r="U27" s="175"/>
      <x:c r="V27" s="175"/>
      <x:c r="W27" s="175"/>
      <x:c r="X27" s="175"/>
      <x:c r="Y27" s="176"/>
    </x:row>
    <x:row r="28">
      <x:c r="A28" s="174"/>
      <x:c r="B28" s="175"/>
      <x:c r="C28" s="175"/>
      <x:c r="D28" s="175"/>
      <x:c r="E28" s="175"/>
      <x:c r="F28" s="175"/>
      <x:c r="G28" s="175"/>
      <x:c r="H28" s="175"/>
      <x:c r="I28" s="175"/>
      <x:c r="J28" s="175"/>
      <x:c r="K28" s="175"/>
      <x:c r="L28" s="175"/>
      <x:c r="M28" s="175"/>
      <x:c r="N28" s="175"/>
      <x:c r="O28" s="175"/>
      <x:c r="P28" s="175"/>
      <x:c r="Q28" s="175"/>
      <x:c r="R28" s="175"/>
      <x:c r="S28" s="175"/>
      <x:c r="T28" s="175"/>
      <x:c r="U28" s="175"/>
      <x:c r="V28" s="175"/>
      <x:c r="W28" s="175"/>
      <x:c r="X28" s="175"/>
      <x:c r="Y28" s="176"/>
    </x:row>
    <x:row r="29">
      <x:c r="A29" s="174"/>
      <x:c r="B29" s="175"/>
      <x:c r="C29" s="175"/>
      <x:c r="D29" s="175"/>
      <x:c r="E29" s="175"/>
      <x:c r="F29" s="175"/>
      <x:c r="G29" s="175"/>
      <x:c r="H29" s="175"/>
      <x:c r="I29" s="175"/>
      <x:c r="J29" s="175"/>
      <x:c r="K29" s="175"/>
      <x:c r="L29" s="175"/>
      <x:c r="M29" s="175"/>
      <x:c r="N29" s="175"/>
      <x:c r="O29" s="175"/>
      <x:c r="P29" s="175"/>
      <x:c r="Q29" s="175"/>
      <x:c r="R29" s="175"/>
      <x:c r="S29" s="175"/>
      <x:c r="T29" s="175"/>
      <x:c r="U29" s="175"/>
      <x:c r="V29" s="175"/>
      <x:c r="W29" s="175"/>
      <x:c r="X29" s="175"/>
      <x:c r="Y29" s="176"/>
    </x:row>
    <x:row r="30">
      <x:c r="A30" s="177"/>
      <x:c r="B30" s="178"/>
      <x:c r="C30" s="178"/>
      <x:c r="D30" s="178"/>
      <x:c r="E30" s="178"/>
      <x:c r="F30" s="178"/>
      <x:c r="G30" s="178"/>
      <x:c r="H30" s="178"/>
      <x:c r="I30" s="178"/>
      <x:c r="J30" s="178"/>
      <x:c r="K30" s="178"/>
      <x:c r="L30" s="178"/>
      <x:c r="M30" s="178"/>
      <x:c r="N30" s="178"/>
      <x:c r="O30" s="178"/>
      <x:c r="P30" s="178"/>
      <x:c r="Q30" s="178"/>
      <x:c r="R30" s="178"/>
      <x:c r="S30" s="178"/>
      <x:c r="T30" s="178"/>
      <x:c r="U30" s="178"/>
      <x:c r="V30" s="178"/>
      <x:c r="W30" s="178"/>
      <x:c r="X30" s="178"/>
      <x:c r="Y30" s="179"/>
    </x:row>
  </x:sheetData>
  <x:mergeCells>
    <x:mergeCell ref="A1:Y1"/>
    <x:mergeCell ref="A2:Y2"/>
    <x:mergeCell ref="A4:Y4"/>
    <x:mergeCell ref="A15:Y15"/>
    <x:mergeCell ref="A26:Y30"/>
  </x:mergeCells>
  <x:conditionalFormatting sqref="B6:Y12">
    <x:cfRule type="colorScale" priority="1">
      <x:colorScale>
        <x:cfvo type="min"/>
        <x:cfvo type="percentile" val="50"/>
        <x:cfvo type="max"/>
        <x:color rgb="FFE8F5E9"/>
        <x:color rgb="FFFFF3CD"/>
        <x:color rgb="FFE76F51"/>
      </x:colorScale>
    </x:cfRule>
  </x:conditionalFormatting>
  <x:conditionalFormatting sqref="B17:Y23">
    <x:cfRule type="colorScale" priority="2">
      <x:colorScale>
        <x:cfvo type="min"/>
        <x:cfvo type="percentile" val="50"/>
        <x:cfvo type="max"/>
        <x:color rgb="FFE8F5E9"/>
        <x:color rgb="FFFFF3CD"/>
        <x:color rgb="FFE76F51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3" t="str">
        <x:v>五月：事件開始頻率與持續時間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8" customHeight="1">
      <x:c r="A2" s="7" t="str">
        <x:v>紅燈快照數會把一次長事件重複計算；事件開始次數回答『發生幾次』，持續時間回答『影響多久』。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  <x:c r="N3" s="289"/>
      <x:c r="O3" s="289"/>
      <x:c r="P3" s="289"/>
      <x:c r="Q3" s="289"/>
      <x:c r="R3" s="289"/>
      <x:c r="S3" s="289"/>
      <x:c r="T3" s="289"/>
    </x:row>
    <x:row r="4" ht="28" customHeight="1">
      <x:c r="A4" s="135" t="str">
        <x:v>事件開始小時</x:v>
      </x:c>
      <x:c r="B4" s="135" t="str">
        <x:v>全部站點/百站</x:v>
      </x:c>
      <x:c r="C4" s="135" t="str">
        <x:v>高活動前25%/百站</x:v>
      </x:c>
      <x:c r="D4" s="135" t="str">
        <x:v>高失衡前25%/百站</x:v>
      </x:c>
      <x:c r="E4" s="135" t="str">
        <x:v>核心站/百站</x:v>
      </x:c>
      <x:c r="F4" s="289"/>
      <x:c r="G4" s="289"/>
      <x:c r="H4" s="289"/>
      <x:c r="I4" s="289"/>
      <x:c r="J4" s="289"/>
      <x:c r="K4" s="289"/>
      <x:c r="L4" s="289"/>
      <x:c r="M4" s="289"/>
      <x:c r="N4" s="289"/>
      <x:c r="O4" s="289"/>
      <x:c r="P4" s="289"/>
      <x:c r="Q4" s="289"/>
      <x:c r="R4" s="289"/>
      <x:c r="S4" s="289"/>
      <x:c r="T4" s="289"/>
    </x:row>
    <x:row r="5">
      <x:c r="A5" s="149" t="n">
        <x:v>0</x:v>
      </x:c>
      <x:c r="B5" s="276" t="n">
        <x:v>123.28859060402685</x:v>
      </x:c>
      <x:c r="C5" s="276" t="n">
        <x:v>248.5254691689008</x:v>
      </x:c>
      <x:c r="D5" s="276" t="n">
        <x:v>172.92225201072387</x:v>
      </x:c>
      <x:c r="E5" s="276" t="n">
        <x:v>214.77272727272728</x:v>
      </x:c>
      <x:c r="F5" s="289"/>
      <x:c r="G5" s="289"/>
      <x:c r="H5" s="289"/>
      <x:c r="I5" s="289"/>
      <x:c r="J5" s="289"/>
      <x:c r="K5" s="289"/>
      <x:c r="L5" s="289"/>
      <x:c r="M5" s="289"/>
      <x:c r="N5" s="289"/>
      <x:c r="O5" s="289"/>
      <x:c r="P5" s="289"/>
      <x:c r="Q5" s="289"/>
      <x:c r="R5" s="289"/>
      <x:c r="S5" s="289"/>
      <x:c r="T5" s="289"/>
    </x:row>
    <x:row r="6">
      <x:c r="A6" s="148" t="n">
        <x:v>1</x:v>
      </x:c>
      <x:c r="B6" s="277" t="n">
        <x:v>49.261744966442954</x:v>
      </x:c>
      <x:c r="C6" s="277" t="n">
        <x:v>93.83378016085791</x:v>
      </x:c>
      <x:c r="D6" s="277" t="n">
        <x:v>68.90080428954424</x:v>
      </x:c>
      <x:c r="E6" s="277" t="n">
        <x:v>77.27272727272727</x:v>
      </x:c>
      <x:c r="F6" s="289"/>
      <x:c r="G6" s="289"/>
      <x:c r="H6" s="289"/>
      <x:c r="I6" s="289"/>
      <x:c r="J6" s="289"/>
      <x:c r="K6" s="289"/>
      <x:c r="L6" s="289"/>
      <x:c r="M6" s="289"/>
      <x:c r="N6" s="289"/>
      <x:c r="O6" s="289"/>
      <x:c r="P6" s="289"/>
      <x:c r="Q6" s="289"/>
      <x:c r="R6" s="289"/>
      <x:c r="S6" s="289"/>
      <x:c r="T6" s="289"/>
    </x:row>
    <x:row r="7">
      <x:c r="A7" s="149" t="n">
        <x:v>2</x:v>
      </x:c>
      <x:c r="B7" s="276" t="n">
        <x:v>18.79194630872483</x:v>
      </x:c>
      <x:c r="C7" s="276" t="n">
        <x:v>30.56300268096515</x:v>
      </x:c>
      <x:c r="D7" s="276" t="n">
        <x:v>34.85254691689008</x:v>
      </x:c>
      <x:c r="E7" s="276" t="n">
        <x:v>39.77272727272727</x:v>
      </x:c>
      <x:c r="F7" s="289"/>
      <x:c r="G7" s="289"/>
      <x:c r="H7" s="289"/>
      <x:c r="I7" s="289"/>
      <x:c r="J7" s="289"/>
      <x:c r="K7" s="289"/>
      <x:c r="L7" s="289"/>
      <x:c r="M7" s="289"/>
      <x:c r="N7" s="289"/>
      <x:c r="O7" s="289"/>
      <x:c r="P7" s="289"/>
      <x:c r="Q7" s="289"/>
      <x:c r="R7" s="289"/>
      <x:c r="S7" s="289"/>
      <x:c r="T7" s="289"/>
    </x:row>
    <x:row r="8">
      <x:c r="A8" s="148" t="n">
        <x:v>3</x:v>
      </x:c>
      <x:c r="B8" s="277" t="n">
        <x:v>14.899328859060402</x:v>
      </x:c>
      <x:c r="C8" s="277" t="n">
        <x:v>25.201072386058982</x:v>
      </x:c>
      <x:c r="D8" s="277" t="n">
        <x:v>24.396782841823057</x:v>
      </x:c>
      <x:c r="E8" s="277" t="n">
        <x:v>23.863636363636363</x:v>
      </x:c>
      <x:c r="F8" s="289"/>
      <x:c r="G8" s="289"/>
      <x:c r="H8" s="289"/>
      <x:c r="I8" s="289"/>
      <x:c r="J8" s="289"/>
      <x:c r="K8" s="289"/>
      <x:c r="L8" s="289"/>
      <x:c r="M8" s="289"/>
      <x:c r="N8" s="289"/>
      <x:c r="O8" s="289"/>
      <x:c r="P8" s="289"/>
      <x:c r="Q8" s="289"/>
      <x:c r="R8" s="289"/>
      <x:c r="S8" s="289"/>
      <x:c r="T8" s="289"/>
    </x:row>
    <x:row r="9">
      <x:c r="A9" s="149" t="n">
        <x:v>4</x:v>
      </x:c>
      <x:c r="B9" s="276" t="n">
        <x:v>11.812080536912752</x:v>
      </x:c>
      <x:c r="C9" s="276" t="n">
        <x:v>21.447721179624665</x:v>
      </x:c>
      <x:c r="D9" s="276" t="n">
        <x:v>20.10723860589812</x:v>
      </x:c>
      <x:c r="E9" s="276" t="n">
        <x:v>28.40909090909091</x:v>
      </x:c>
      <x:c r="F9" s="289"/>
      <x:c r="G9" s="289"/>
      <x:c r="H9" s="289"/>
      <x:c r="I9" s="289"/>
      <x:c r="J9" s="289"/>
      <x:c r="K9" s="289"/>
      <x:c r="L9" s="289"/>
      <x:c r="M9" s="289"/>
      <x:c r="N9" s="289"/>
      <x:c r="O9" s="289"/>
      <x:c r="P9" s="289"/>
      <x:c r="Q9" s="289"/>
      <x:c r="R9" s="289"/>
      <x:c r="S9" s="289"/>
      <x:c r="T9" s="289"/>
    </x:row>
    <x:row r="10">
      <x:c r="A10" s="148" t="n">
        <x:v>5</x:v>
      </x:c>
      <x:c r="B10" s="277" t="n">
        <x:v>21.34228187919463</x:v>
      </x:c>
      <x:c r="C10" s="277" t="n">
        <x:v>28.41823056300268</x:v>
      </x:c>
      <x:c r="D10" s="277" t="n">
        <x:v>39.67828418230563</x:v>
      </x:c>
      <x:c r="E10" s="277" t="n">
        <x:v>30.681818181818183</x:v>
      </x:c>
      <x:c r="F10" s="289"/>
      <x:c r="G10" s="289"/>
      <x:c r="H10" s="289"/>
      <x:c r="I10" s="289"/>
      <x:c r="J10" s="289"/>
      <x:c r="K10" s="289"/>
      <x:c r="L10" s="289"/>
      <x:c r="M10" s="289"/>
      <x:c r="N10" s="289"/>
      <x:c r="O10" s="289"/>
      <x:c r="P10" s="289"/>
      <x:c r="Q10" s="289"/>
      <x:c r="R10" s="289"/>
      <x:c r="S10" s="289"/>
      <x:c r="T10" s="289"/>
    </x:row>
    <x:row r="11">
      <x:c r="A11" s="149" t="n">
        <x:v>6</x:v>
      </x:c>
      <x:c r="B11" s="276" t="n">
        <x:v>50.738255033557046</x:v>
      </x:c>
      <x:c r="C11" s="276" t="n">
        <x:v>51.474530831099194</x:v>
      </x:c>
      <x:c r="D11" s="276" t="n">
        <x:v>122.78820375335121</x:v>
      </x:c>
      <x:c r="E11" s="276" t="n">
        <x:v>121.5909090909091</x:v>
      </x:c>
      <x:c r="F11" s="289"/>
      <x:c r="G11" s="289"/>
      <x:c r="H11" s="289"/>
      <x:c r="I11" s="289"/>
      <x:c r="J11" s="289"/>
      <x:c r="K11" s="289"/>
      <x:c r="L11" s="289"/>
      <x:c r="M11" s="289"/>
      <x:c r="N11" s="289"/>
      <x:c r="O11" s="289"/>
      <x:c r="P11" s="289"/>
      <x:c r="Q11" s="289"/>
      <x:c r="R11" s="289"/>
      <x:c r="S11" s="289"/>
      <x:c r="T11" s="289"/>
    </x:row>
    <x:row r="12">
      <x:c r="A12" s="148" t="n">
        <x:v>7</x:v>
      </x:c>
      <x:c r="B12" s="277" t="n">
        <x:v>211.4765100671141</x:v>
      </x:c>
      <x:c r="C12" s="277" t="n">
        <x:v>213.94101876675603</x:v>
      </x:c>
      <x:c r="D12" s="277" t="n">
        <x:v>486.8632707774799</x:v>
      </x:c>
      <x:c r="E12" s="277" t="n">
        <x:v>523.8636363636364</x:v>
      </x:c>
      <x:c r="F12" s="289"/>
      <x:c r="G12" s="289"/>
      <x:c r="H12" s="289"/>
      <x:c r="I12" s="289"/>
      <x:c r="J12" s="289"/>
      <x:c r="K12" s="289"/>
      <x:c r="L12" s="289"/>
      <x:c r="M12" s="289"/>
      <x:c r="N12" s="289"/>
      <x:c r="O12" s="289"/>
      <x:c r="P12" s="289"/>
      <x:c r="Q12" s="289"/>
      <x:c r="R12" s="289"/>
      <x:c r="S12" s="289"/>
      <x:c r="T12" s="289"/>
    </x:row>
    <x:row r="13">
      <x:c r="A13" s="149" t="n">
        <x:v>8</x:v>
      </x:c>
      <x:c r="B13" s="276" t="n">
        <x:v>290.13422818791946</x:v>
      </x:c>
      <x:c r="C13" s="276" t="n">
        <x:v>329.7587131367292</x:v>
      </x:c>
      <x:c r="D13" s="276" t="n">
        <x:v>583.6461126005362</x:v>
      </x:c>
      <x:c r="E13" s="276" t="n">
        <x:v>610.2272727272727</x:v>
      </x:c>
      <x:c r="F13" s="289"/>
      <x:c r="G13" s="289"/>
      <x:c r="H13" s="289"/>
      <x:c r="I13" s="289"/>
      <x:c r="J13" s="289"/>
      <x:c r="K13" s="289"/>
      <x:c r="L13" s="289"/>
      <x:c r="M13" s="289"/>
      <x:c r="N13" s="289"/>
      <x:c r="O13" s="289"/>
      <x:c r="P13" s="289"/>
      <x:c r="Q13" s="289"/>
      <x:c r="R13" s="289"/>
      <x:c r="S13" s="289"/>
      <x:c r="T13" s="289"/>
    </x:row>
    <x:row r="14">
      <x:c r="A14" s="148" t="n">
        <x:v>9</x:v>
      </x:c>
      <x:c r="B14" s="277" t="n">
        <x:v>244.6979865771812</x:v>
      </x:c>
      <x:c r="C14" s="277" t="n">
        <x:v>295.44235924932974</x:v>
      </x:c>
      <x:c r="D14" s="277" t="n">
        <x:v>478.28418230563005</x:v>
      </x:c>
      <x:c r="E14" s="277" t="n">
        <x:v>501.1363636363636</x:v>
      </x:c>
      <x:c r="F14" s="289"/>
      <x:c r="G14" s="289"/>
      <x:c r="H14" s="289"/>
      <x:c r="I14" s="289"/>
      <x:c r="J14" s="289"/>
      <x:c r="K14" s="289"/>
      <x:c r="L14" s="289"/>
      <x:c r="M14" s="289"/>
      <x:c r="N14" s="289"/>
      <x:c r="O14" s="289"/>
      <x:c r="P14" s="289"/>
      <x:c r="Q14" s="289"/>
      <x:c r="R14" s="289"/>
      <x:c r="S14" s="289"/>
      <x:c r="T14" s="289"/>
    </x:row>
    <x:row r="15">
      <x:c r="A15" s="149" t="n">
        <x:v>10</x:v>
      </x:c>
      <x:c r="B15" s="276" t="n">
        <x:v>214.56375838926175</x:v>
      </x:c>
      <x:c r="C15" s="276" t="n">
        <x:v>253.61930294906165</x:v>
      </x:c>
      <x:c r="D15" s="276" t="n">
        <x:v>422.5201072386059</x:v>
      </x:c>
      <x:c r="E15" s="276" t="n">
        <x:v>460.22727272727275</x:v>
      </x:c>
      <x:c r="F15" s="289"/>
      <x:c r="G15" s="289"/>
      <x:c r="H15" s="289"/>
      <x:c r="I15" s="289"/>
      <x:c r="J15" s="289"/>
      <x:c r="K15" s="289"/>
      <x:c r="L15" s="289"/>
      <x:c r="M15" s="289"/>
      <x:c r="N15" s="289"/>
      <x:c r="O15" s="289"/>
      <x:c r="P15" s="289"/>
      <x:c r="Q15" s="289"/>
      <x:c r="R15" s="289"/>
      <x:c r="S15" s="289"/>
      <x:c r="T15" s="289"/>
    </x:row>
    <x:row r="16">
      <x:c r="A16" s="148" t="n">
        <x:v>11</x:v>
      </x:c>
      <x:c r="B16" s="277" t="n">
        <x:v>190.13422818791946</x:v>
      </x:c>
      <x:c r="C16" s="277" t="n">
        <x:v>239.67828418230562</x:v>
      </x:c>
      <x:c r="D16" s="277" t="n">
        <x:v>372.65415549597856</x:v>
      </x:c>
      <x:c r="E16" s="277" t="n">
        <x:v>452.27272727272725</x:v>
      </x:c>
      <x:c r="F16" s="289"/>
      <x:c r="G16" s="289"/>
      <x:c r="H16" s="289"/>
      <x:c r="I16" s="289"/>
      <x:c r="J16" s="289"/>
      <x:c r="K16" s="289"/>
      <x:c r="L16" s="289"/>
      <x:c r="M16" s="289"/>
      <x:c r="N16" s="289"/>
      <x:c r="O16" s="289"/>
      <x:c r="P16" s="289"/>
      <x:c r="Q16" s="289"/>
      <x:c r="R16" s="289"/>
      <x:c r="S16" s="289"/>
      <x:c r="T16" s="289"/>
    </x:row>
    <x:row r="17">
      <x:c r="A17" s="149" t="n">
        <x:v>12</x:v>
      </x:c>
      <x:c r="B17" s="276" t="n">
        <x:v>203.48993288590603</x:v>
      </x:c>
      <x:c r="C17" s="276" t="n">
        <x:v>229.49061662198392</x:v>
      </x:c>
      <x:c r="D17" s="276" t="n">
        <x:v>405.0938337801609</x:v>
      </x:c>
      <x:c r="E17" s="276" t="n">
        <x:v>427.27272727272725</x:v>
      </x:c>
      <x:c r="F17" s="289"/>
      <x:c r="G17" s="289"/>
      <x:c r="H17" s="289"/>
      <x:c r="I17" s="289"/>
      <x:c r="J17" s="289"/>
      <x:c r="K17" s="289"/>
      <x:c r="L17" s="289"/>
      <x:c r="M17" s="289"/>
      <x:c r="N17" s="289"/>
      <x:c r="O17" s="289"/>
      <x:c r="P17" s="289"/>
      <x:c r="Q17" s="289"/>
      <x:c r="R17" s="289"/>
      <x:c r="S17" s="289"/>
      <x:c r="T17" s="289"/>
    </x:row>
    <x:row r="18">
      <x:c r="A18" s="148" t="n">
        <x:v>13</x:v>
      </x:c>
      <x:c r="B18" s="277" t="n">
        <x:v>209.86577181208054</x:v>
      </x:c>
      <x:c r="C18" s="277" t="n">
        <x:v>240.21447721179624</x:v>
      </x:c>
      <x:c r="D18" s="277" t="n">
        <x:v>397.5871313672922</x:v>
      </x:c>
      <x:c r="E18" s="277" t="n">
        <x:v>427.27272727272725</x:v>
      </x:c>
      <x:c r="F18" s="289"/>
      <x:c r="G18" s="289"/>
      <x:c r="H18" s="289"/>
      <x:c r="I18" s="289"/>
      <x:c r="J18" s="289"/>
      <x:c r="K18" s="289"/>
      <x:c r="L18" s="289"/>
      <x:c r="M18" s="289"/>
      <x:c r="N18" s="289"/>
      <x:c r="O18" s="289"/>
      <x:c r="P18" s="289"/>
      <x:c r="Q18" s="289"/>
      <x:c r="R18" s="289"/>
      <x:c r="S18" s="289"/>
      <x:c r="T18" s="289"/>
    </x:row>
    <x:row r="19">
      <x:c r="A19" s="149" t="n">
        <x:v>14</x:v>
      </x:c>
      <x:c r="B19" s="276" t="n">
        <x:v>198.59060402684563</x:v>
      </x:c>
      <x:c r="C19" s="276" t="n">
        <x:v>219.5710455764075</x:v>
      </x:c>
      <x:c r="D19" s="276" t="n">
        <x:v>371.0455764075067</x:v>
      </x:c>
      <x:c r="E19" s="276" t="n">
        <x:v>398.8636363636364</x:v>
      </x:c>
      <x:c r="F19" s="289"/>
      <x:c r="G19" s="289"/>
      <x:c r="H19" s="289"/>
      <x:c r="I19" s="289"/>
      <x:c r="J19" s="289"/>
      <x:c r="K19" s="289"/>
      <x:c r="L19" s="289"/>
      <x:c r="M19" s="289"/>
      <x:c r="N19" s="289"/>
      <x:c r="O19" s="289"/>
      <x:c r="P19" s="289"/>
      <x:c r="Q19" s="289"/>
      <x:c r="R19" s="289"/>
      <x:c r="S19" s="289"/>
      <x:c r="T19" s="289"/>
    </x:row>
    <x:row r="20">
      <x:c r="A20" s="148" t="n">
        <x:v>15</x:v>
      </x:c>
      <x:c r="B20" s="277" t="n">
        <x:v>198.65771812080536</x:v>
      </x:c>
      <x:c r="C20" s="277" t="n">
        <x:v>203.48525469168902</x:v>
      </x:c>
      <x:c r="D20" s="277" t="n">
        <x:v>357.372654155496</x:v>
      </x:c>
      <x:c r="E20" s="277" t="n">
        <x:v>363.6363636363636</x:v>
      </x:c>
      <x:c r="F20" s="289"/>
      <x:c r="G20" s="289"/>
      <x:c r="H20" s="289"/>
      <x:c r="I20" s="289"/>
      <x:c r="J20" s="289"/>
      <x:c r="K20" s="289"/>
      <x:c r="L20" s="289"/>
      <x:c r="M20" s="289"/>
      <x:c r="N20" s="289"/>
      <x:c r="O20" s="289"/>
      <x:c r="P20" s="289"/>
      <x:c r="Q20" s="289"/>
      <x:c r="R20" s="289"/>
      <x:c r="S20" s="289"/>
      <x:c r="T20" s="289"/>
    </x:row>
    <x:row r="21">
      <x:c r="A21" s="149" t="n">
        <x:v>16</x:v>
      </x:c>
      <x:c r="B21" s="276" t="n">
        <x:v>247.6510067114094</x:v>
      </x:c>
      <x:c r="C21" s="276" t="n">
        <x:v>234.04825737265415</x:v>
      </x:c>
      <x:c r="D21" s="276" t="n">
        <x:v>458.7131367292225</x:v>
      </x:c>
      <x:c r="E21" s="276" t="n">
        <x:v>421.59090909090907</x:v>
      </x:c>
      <x:c r="F21" s="289"/>
      <x:c r="G21" s="289"/>
      <x:c r="H21" s="289"/>
      <x:c r="I21" s="289"/>
      <x:c r="J21" s="289"/>
      <x:c r="K21" s="289"/>
      <x:c r="L21" s="289"/>
      <x:c r="M21" s="289"/>
      <x:c r="N21" s="289"/>
      <x:c r="O21" s="289"/>
      <x:c r="P21" s="289"/>
      <x:c r="Q21" s="289"/>
      <x:c r="R21" s="289"/>
      <x:c r="S21" s="289"/>
      <x:c r="T21" s="289"/>
    </x:row>
    <x:row r="22">
      <x:c r="A22" s="148" t="n">
        <x:v>17</x:v>
      </x:c>
      <x:c r="B22" s="277" t="n">
        <x:v>291.20805369127515</x:v>
      </x:c>
      <x:c r="C22" s="277" t="n">
        <x:v>256.03217158176943</x:v>
      </x:c>
      <x:c r="D22" s="277" t="n">
        <x:v>530.0268096514745</x:v>
      </x:c>
      <x:c r="E22" s="277" t="n">
        <x:v>481.8181818181818</x:v>
      </x:c>
      <x:c r="F22" s="289"/>
      <x:c r="G22" s="289"/>
      <x:c r="H22" s="289"/>
      <x:c r="I22" s="289"/>
      <x:c r="J22" s="289"/>
      <x:c r="K22" s="289"/>
      <x:c r="L22" s="289"/>
      <x:c r="M22" s="289"/>
      <x:c r="N22" s="289"/>
      <x:c r="O22" s="289"/>
      <x:c r="P22" s="289"/>
      <x:c r="Q22" s="289"/>
      <x:c r="R22" s="289"/>
      <x:c r="S22" s="289"/>
      <x:c r="T22" s="289"/>
    </x:row>
    <x:row r="23">
      <x:c r="A23" s="149" t="n">
        <x:v>18</x:v>
      </x:c>
      <x:c r="B23" s="276" t="n">
        <x:v>270.33557046979865</x:v>
      </x:c>
      <x:c r="C23" s="276" t="n">
        <x:v>250.13404825737265</x:v>
      </x:c>
      <x:c r="D23" s="276" t="n">
        <x:v>475.06702412868634</x:v>
      </x:c>
      <x:c r="E23" s="276" t="n">
        <x:v>427.27272727272725</x:v>
      </x:c>
      <x:c r="F23" s="289"/>
      <x:c r="G23" s="289"/>
      <x:c r="H23" s="289"/>
      <x:c r="I23" s="289"/>
      <x:c r="J23" s="289"/>
      <x:c r="K23" s="289"/>
      <x:c r="L23" s="289"/>
      <x:c r="M23" s="289"/>
      <x:c r="N23" s="289"/>
      <x:c r="O23" s="289"/>
      <x:c r="P23" s="289"/>
      <x:c r="Q23" s="289"/>
      <x:c r="R23" s="289"/>
      <x:c r="S23" s="289"/>
      <x:c r="T23" s="289"/>
    </x:row>
    <x:row r="24">
      <x:c r="A24" s="148" t="n">
        <x:v>19</x:v>
      </x:c>
      <x:c r="B24" s="277" t="n">
        <x:v>235.1006711409396</x:v>
      </x:c>
      <x:c r="C24" s="277" t="n">
        <x:v>293.8337801608579</x:v>
      </x:c>
      <x:c r="D24" s="277" t="n">
        <x:v>408.57908847184984</x:v>
      </x:c>
      <x:c r="E24" s="277" t="n">
        <x:v>420.45454545454544</x:v>
      </x:c>
      <x:c r="F24" s="289"/>
      <x:c r="G24" s="289"/>
      <x:c r="H24" s="289"/>
      <x:c r="I24" s="289"/>
      <x:c r="J24" s="289"/>
      <x:c r="K24" s="289"/>
      <x:c r="L24" s="289"/>
      <x:c r="M24" s="289"/>
      <x:c r="N24" s="289"/>
      <x:c r="O24" s="289"/>
      <x:c r="P24" s="289"/>
      <x:c r="Q24" s="289"/>
      <x:c r="R24" s="289"/>
      <x:c r="S24" s="289"/>
      <x:c r="T24" s="289"/>
    </x:row>
    <x:row r="25">
      <x:c r="A25" s="149" t="n">
        <x:v>20</x:v>
      </x:c>
      <x:c r="B25" s="276" t="n">
        <x:v>209.1275167785235</x:v>
      </x:c>
      <x:c r="C25" s="276" t="n">
        <x:v>276.6756032171582</x:v>
      </x:c>
      <x:c r="D25" s="276" t="n">
        <x:v>355.4959785522788</x:v>
      </x:c>
      <x:c r="E25" s="276" t="n">
        <x:v>389.77272727272725</x:v>
      </x:c>
      <x:c r="F25" s="289"/>
      <x:c r="G25" s="289"/>
      <x:c r="H25" s="289"/>
      <x:c r="I25" s="289"/>
      <x:c r="J25" s="289"/>
      <x:c r="K25" s="289"/>
      <x:c r="L25" s="289"/>
      <x:c r="M25" s="289"/>
      <x:c r="N25" s="289"/>
      <x:c r="O25" s="289"/>
      <x:c r="P25" s="289"/>
      <x:c r="Q25" s="289"/>
      <x:c r="R25" s="289"/>
      <x:c r="S25" s="289"/>
      <x:c r="T25" s="289"/>
    </x:row>
    <x:row r="26">
      <x:c r="A26" s="148" t="n">
        <x:v>21</x:v>
      </x:c>
      <x:c r="B26" s="277" t="n">
        <x:v>220.8724832214765</x:v>
      </x:c>
      <x:c r="C26" s="277" t="n">
        <x:v>354.9597855227882</x:v>
      </x:c>
      <x:c r="D26" s="277" t="n">
        <x:v>362.19839142091155</x:v>
      </x:c>
      <x:c r="E26" s="277" t="n">
        <x:v>423.8636363636364</x:v>
      </x:c>
      <x:c r="F26" s="289"/>
      <x:c r="G26" s="289"/>
      <x:c r="H26" s="289"/>
      <x:c r="I26" s="289"/>
      <x:c r="J26" s="289"/>
      <x:c r="K26" s="289"/>
      <x:c r="L26" s="289"/>
      <x:c r="M26" s="289"/>
      <x:c r="N26" s="289"/>
      <x:c r="O26" s="289"/>
      <x:c r="P26" s="289"/>
      <x:c r="Q26" s="289"/>
      <x:c r="R26" s="289"/>
      <x:c r="S26" s="289"/>
      <x:c r="T26" s="289"/>
    </x:row>
    <x:row r="27">
      <x:c r="A27" s="149" t="n">
        <x:v>22</x:v>
      </x:c>
      <x:c r="B27" s="276" t="n">
        <x:v>252.41610738255034</x:v>
      </x:c>
      <x:c r="C27" s="276" t="n">
        <x:v>427.07774798927613</x:v>
      </x:c>
      <x:c r="D27" s="276" t="n">
        <x:v>404.55764075067026</x:v>
      </x:c>
      <x:c r="E27" s="276" t="n">
        <x:v>471.59090909090907</x:v>
      </x:c>
      <x:c r="F27" s="289"/>
      <x:c r="G27" s="289"/>
      <x:c r="H27" s="289"/>
      <x:c r="I27" s="289"/>
      <x:c r="J27" s="289"/>
      <x:c r="K27" s="289"/>
      <x:c r="L27" s="289"/>
      <x:c r="M27" s="289"/>
      <x:c r="N27" s="289"/>
      <x:c r="O27" s="289"/>
      <x:c r="P27" s="289"/>
      <x:c r="Q27" s="289"/>
      <x:c r="R27" s="289"/>
      <x:c r="S27" s="289"/>
      <x:c r="T27" s="289"/>
    </x:row>
    <x:row r="28">
      <x:c r="A28" s="148" t="n">
        <x:v>23</x:v>
      </x:c>
      <x:c r="B28" s="277" t="n">
        <x:v>188.3221476510067</x:v>
      </x:c>
      <x:c r="C28" s="277" t="n">
        <x:v>325.4691689008043</x:v>
      </x:c>
      <x:c r="D28" s="277" t="n">
        <x:v>282.57372654155495</x:v>
      </x:c>
      <x:c r="E28" s="277" t="n">
        <x:v>306.8181818181818</x:v>
      </x:c>
      <x:c r="F28" s="289"/>
      <x:c r="G28" s="289"/>
      <x:c r="H28" s="289"/>
      <x:c r="I28" s="289"/>
      <x:c r="J28" s="289"/>
      <x:c r="K28" s="289"/>
      <x:c r="L28" s="289"/>
      <x:c r="M28" s="289"/>
      <x:c r="N28" s="289"/>
      <x:c r="O28" s="289"/>
      <x:c r="P28" s="289"/>
      <x:c r="Q28" s="289"/>
      <x:c r="R28" s="289"/>
      <x:c r="S28" s="289"/>
      <x:c r="T28" s="289"/>
    </x:row>
    <x:row r="29">
      <x:c r="A29" s="289"/>
      <x:c r="B29" s="289"/>
      <x:c r="C29" s="289"/>
      <x:c r="D29" s="289"/>
      <x:c r="E29" s="289"/>
      <x:c r="F29" s="289"/>
      <x:c r="G29" s="289"/>
      <x:c r="H29" s="289"/>
      <x:c r="I29" s="289"/>
      <x:c r="J29" s="289"/>
      <x:c r="K29" s="289"/>
      <x:c r="L29" s="289"/>
      <x:c r="M29" s="289"/>
      <x:c r="N29" s="289"/>
      <x:c r="O29" s="289"/>
      <x:c r="P29" s="289"/>
      <x:c r="Q29" s="289"/>
      <x:c r="R29" s="289"/>
      <x:c r="S29" s="289"/>
      <x:c r="T29" s="289"/>
    </x:row>
    <x:row r="30">
      <x:c r="A30" s="289"/>
      <x:c r="B30" s="289"/>
      <x:c r="C30" s="289"/>
      <x:c r="D30" s="289"/>
      <x:c r="E30" s="289"/>
      <x:c r="F30" s="289"/>
      <x:c r="G30" s="289"/>
      <x:c r="H30" s="289"/>
      <x:c r="I30" s="289"/>
      <x:c r="J30" s="289"/>
      <x:c r="K30" s="289"/>
      <x:c r="L30" s="289"/>
      <x:c r="M30" s="289"/>
      <x:c r="N30" s="289"/>
      <x:c r="O30" s="289"/>
      <x:c r="P30" s="289"/>
      <x:c r="Q30" s="289"/>
      <x:c r="R30" s="289"/>
      <x:c r="S30" s="289"/>
      <x:c r="T30" s="289"/>
    </x:row>
    <x:row r="31">
      <x:c r="A31" s="289"/>
      <x:c r="B31" s="289"/>
      <x:c r="C31" s="289"/>
      <x:c r="D31" s="289"/>
      <x:c r="E31" s="289"/>
      <x:c r="F31" s="289"/>
      <x:c r="G31" s="289"/>
      <x:c r="H31" s="289"/>
      <x:c r="I31" s="289"/>
      <x:c r="J31" s="289"/>
      <x:c r="K31" s="289"/>
      <x:c r="L31" s="289"/>
      <x:c r="M31" s="289"/>
      <x:c r="N31" s="289"/>
      <x:c r="O31" s="289"/>
      <x:c r="P31" s="289"/>
      <x:c r="Q31" s="289"/>
      <x:c r="R31" s="289"/>
      <x:c r="S31" s="289"/>
      <x:c r="T31" s="289"/>
    </x:row>
    <x:row r="32" ht="28" customHeight="1">
      <x:c r="A32" s="146" t="str">
        <x:v>無車持續時間</x:v>
      </x:c>
      <x:c r="B32" s="146" t="str">
        <x:v>高活動</x:v>
      </x:c>
      <x:c r="C32" s="146" t="str">
        <x:v>高失衡</x:v>
      </x:c>
      <x:c r="D32" s="146" t="str">
        <x:v>核心</x:v>
      </x:c>
      <x:c r="E32" s="289"/>
      <x:c r="F32" s="275" t="str">
        <x:v>滿柱持續時間</x:v>
      </x:c>
      <x:c r="G32" s="275" t="str">
        <x:v>高活動</x:v>
      </x:c>
      <x:c r="H32" s="275" t="str">
        <x:v>高失衡</x:v>
      </x:c>
      <x:c r="I32" s="275" t="str">
        <x:v>核心</x:v>
      </x:c>
      <x:c r="J32" s="289"/>
      <x:c r="K32" s="289"/>
      <x:c r="L32" s="289"/>
      <x:c r="M32" s="289"/>
      <x:c r="N32" s="289"/>
      <x:c r="O32" s="289"/>
      <x:c r="P32" s="289"/>
      <x:c r="Q32" s="289"/>
      <x:c r="R32" s="289"/>
      <x:c r="S32" s="289"/>
      <x:c r="T32" s="289"/>
    </x:row>
    <x:row r="33">
      <x:c r="A33" s="149" t="str">
        <x:v>30分鐘</x:v>
      </x:c>
      <x:c r="B33" s="150" t="n">
        <x:v>0.6024068095098327</x:v>
      </x:c>
      <x:c r="C33" s="150" t="n">
        <x:v>0.5899488926746167</x:v>
      </x:c>
      <x:c r="D33" s="150" t="n">
        <x:v>0.6026512013256007</x:v>
      </x:c>
      <x:c r="E33" s="289"/>
      <x:c r="F33" s="149" t="str">
        <x:v>30分鐘</x:v>
      </x:c>
      <x:c r="G33" s="150" t="n">
        <x:v>0.770949720670391</x:v>
      </x:c>
      <x:c r="H33" s="150" t="n">
        <x:v>0.7335065973610556</x:v>
      </x:c>
      <x:c r="I33" s="150" t="n">
        <x:v>0.7547892720306514</x:v>
      </x:c>
      <x:c r="J33" s="289"/>
      <x:c r="K33" s="289"/>
      <x:c r="L33" s="289"/>
      <x:c r="M33" s="289"/>
      <x:c r="N33" s="289"/>
      <x:c r="O33" s="289"/>
      <x:c r="P33" s="289"/>
      <x:c r="Q33" s="289"/>
      <x:c r="R33" s="289"/>
      <x:c r="S33" s="289"/>
      <x:c r="T33" s="289"/>
    </x:row>
    <x:row r="34">
      <x:c r="A34" s="148" t="str">
        <x:v>60分鐘</x:v>
      </x:c>
      <x:c r="B34" s="151" t="n">
        <x:v>0.2152626944525976</x:v>
      </x:c>
      <x:c r="C34" s="151" t="n">
        <x:v>0.2266609880749574</x:v>
      </x:c>
      <x:c r="D34" s="151" t="n">
        <x:v>0.21623860811930407</x:v>
      </x:c>
      <x:c r="E34" s="289"/>
      <x:c r="F34" s="148" t="str">
        <x:v>60分鐘</x:v>
      </x:c>
      <x:c r="G34" s="151" t="n">
        <x:v>0.15502793296089384</x:v>
      </x:c>
      <x:c r="H34" s="151" t="n">
        <x:v>0.17253098760495802</x:v>
      </x:c>
      <x:c r="I34" s="151" t="n">
        <x:v>0.16379310344827586</x:v>
      </x:c>
      <x:c r="J34" s="289"/>
      <x:c r="K34" s="289"/>
      <x:c r="L34" s="289"/>
      <x:c r="M34" s="289"/>
      <x:c r="N34" s="289"/>
      <x:c r="O34" s="289"/>
      <x:c r="P34" s="289"/>
      <x:c r="Q34" s="289"/>
      <x:c r="R34" s="289"/>
      <x:c r="S34" s="289"/>
      <x:c r="T34" s="289"/>
    </x:row>
    <x:row r="35">
      <x:c r="A35" s="149" t="str">
        <x:v>90分鐘</x:v>
      </x:c>
      <x:c r="B35" s="150" t="n">
        <x:v>0.09163486938655709</x:v>
      </x:c>
      <x:c r="C35" s="150" t="n">
        <x:v>0.09804088586030664</x:v>
      </x:c>
      <x:c r="D35" s="150" t="n">
        <x:v>0.09478044739022369</x:v>
      </x:c>
      <x:c r="E35" s="289"/>
      <x:c r="F35" s="149" t="str">
        <x:v>90分鐘</x:v>
      </x:c>
      <x:c r="G35" s="150" t="n">
        <x:v>0.04748603351955307</x:v>
      </x:c>
      <x:c r="H35" s="150" t="n">
        <x:v>0.05777688924430228</x:v>
      </x:c>
      <x:c r="I35" s="150" t="n">
        <x:v>0.05842911877394636</x:v>
      </x:c>
      <x:c r="J35" s="289"/>
      <x:c r="K35" s="289"/>
      <x:c r="L35" s="289"/>
      <x:c r="M35" s="289"/>
      <x:c r="N35" s="289"/>
      <x:c r="O35" s="289"/>
      <x:c r="P35" s="289"/>
      <x:c r="Q35" s="289"/>
      <x:c r="R35" s="289"/>
      <x:c r="S35" s="289"/>
      <x:c r="T35" s="289"/>
    </x:row>
    <x:row r="36">
      <x:c r="A36" s="148" t="str">
        <x:v>120–239分鐘</x:v>
      </x:c>
      <x:c r="B36" s="151" t="n">
        <x:v>0.08095098326973878</x:v>
      </x:c>
      <x:c r="C36" s="151" t="n">
        <x:v>0.07742759795570699</x:v>
      </x:c>
      <x:c r="D36" s="151" t="n">
        <x:v>0.07903893951946976</x:v>
      </x:c>
      <x:c r="E36" s="289"/>
      <x:c r="F36" s="148" t="str">
        <x:v>120–239分鐘</x:v>
      </x:c>
      <x:c r="G36" s="151" t="n">
        <x:v>0.02094972067039106</x:v>
      </x:c>
      <x:c r="H36" s="151" t="n">
        <x:v>0.028188724510195922</x:v>
      </x:c>
      <x:c r="I36" s="151" t="n">
        <x:v>0.020114942528735632</x:v>
      </x:c>
      <x:c r="J36" s="289"/>
      <x:c r="K36" s="289"/>
      <x:c r="L36" s="289"/>
      <x:c r="M36" s="289"/>
      <x:c r="N36" s="289"/>
      <x:c r="O36" s="289"/>
      <x:c r="P36" s="289"/>
      <x:c r="Q36" s="289"/>
      <x:c r="R36" s="289"/>
      <x:c r="S36" s="289"/>
      <x:c r="T36" s="289"/>
    </x:row>
    <x:row r="37">
      <x:c r="A37" s="149" t="str">
        <x:v>≥240分鐘</x:v>
      </x:c>
      <x:c r="B37" s="150" t="n">
        <x:v>0.009744643381273848</x:v>
      </x:c>
      <x:c r="C37" s="150" t="n">
        <x:v>0.007921635434412266</x:v>
      </x:c>
      <x:c r="D37" s="150" t="n">
        <x:v>0.0072908036454018225</x:v>
      </x:c>
      <x:c r="E37" s="289"/>
      <x:c r="F37" s="149" t="str">
        <x:v>≥240分鐘</x:v>
      </x:c>
      <x:c r="G37" s="150" t="n">
        <x:v>0.00558659217877095</x:v>
      </x:c>
      <x:c r="H37" s="150" t="n">
        <x:v>0.007996801279488205</x:v>
      </x:c>
      <x:c r="I37" s="150" t="n">
        <x:v>0.0028735632183908046</x:v>
      </x:c>
      <x:c r="J37" s="289"/>
      <x:c r="K37" s="289"/>
      <x:c r="L37" s="289"/>
      <x:c r="M37" s="289"/>
      <x:c r="N37" s="289"/>
      <x:c r="O37" s="289"/>
      <x:c r="P37" s="289"/>
      <x:c r="Q37" s="289"/>
      <x:c r="R37" s="289"/>
      <x:c r="S37" s="289"/>
      <x:c r="T37" s="289"/>
    </x:row>
    <x:row r="38">
      <x:c r="A38" s="289"/>
      <x:c r="B38" s="289"/>
      <x:c r="C38" s="289"/>
      <x:c r="D38" s="289"/>
      <x:c r="E38" s="289"/>
      <x:c r="F38" s="289"/>
      <x:c r="G38" s="289"/>
      <x:c r="H38" s="289"/>
      <x:c r="I38" s="289"/>
      <x:c r="J38" s="289"/>
      <x:c r="K38" s="289"/>
      <x:c r="L38" s="289"/>
      <x:c r="M38" s="289"/>
      <x:c r="N38" s="289"/>
      <x:c r="O38" s="289"/>
      <x:c r="P38" s="289"/>
      <x:c r="Q38" s="289"/>
      <x:c r="R38" s="289"/>
      <x:c r="S38" s="289"/>
      <x:c r="T38" s="289"/>
    </x:row>
    <x:row r="39">
      <x:c r="A39" s="289"/>
      <x:c r="B39" s="289"/>
      <x:c r="C39" s="289"/>
      <x:c r="D39" s="289"/>
      <x:c r="E39" s="289"/>
      <x:c r="F39" s="226" t="str">
        <x:v>痛點不能只用失衡率排序：同樣20%的失衡率，可能是很多短事件，也可能是一個整月都沒車的長事件。前者比較像反覆供需波動，後者可能是容量、調度、停用或資料狀態。</x:v>
      </x:c>
      <x:c r="G39" s="227"/>
      <x:c r="H39" s="227"/>
      <x:c r="I39" s="227"/>
      <x:c r="J39" s="227"/>
      <x:c r="K39" s="227"/>
      <x:c r="L39" s="227"/>
      <x:c r="M39" s="227"/>
      <x:c r="N39" s="227"/>
      <x:c r="O39" s="227"/>
      <x:c r="P39" s="227"/>
      <x:c r="Q39" s="227"/>
      <x:c r="R39" s="227"/>
      <x:c r="S39" s="227"/>
      <x:c r="T39" s="228"/>
    </x:row>
    <x:row r="40">
      <x:c r="A40" s="289"/>
      <x:c r="B40" s="289"/>
      <x:c r="C40" s="289"/>
      <x:c r="D40" s="289"/>
      <x:c r="E40" s="289"/>
      <x:c r="F40" s="229"/>
      <x:c r="G40" s="230"/>
      <x:c r="H40" s="230"/>
      <x:c r="I40" s="230"/>
      <x:c r="J40" s="230"/>
      <x:c r="K40" s="230"/>
      <x:c r="L40" s="230"/>
      <x:c r="M40" s="230"/>
      <x:c r="N40" s="230"/>
      <x:c r="O40" s="230"/>
      <x:c r="P40" s="230"/>
      <x:c r="Q40" s="230"/>
      <x:c r="R40" s="230"/>
      <x:c r="S40" s="230"/>
      <x:c r="T40" s="231"/>
    </x:row>
    <x:row r="41">
      <x:c r="A41" s="289"/>
      <x:c r="B41" s="289"/>
      <x:c r="C41" s="289"/>
      <x:c r="D41" s="289"/>
      <x:c r="E41" s="289"/>
      <x:c r="F41" s="229"/>
      <x:c r="G41" s="230"/>
      <x:c r="H41" s="230"/>
      <x:c r="I41" s="230"/>
      <x:c r="J41" s="230"/>
      <x:c r="K41" s="230"/>
      <x:c r="L41" s="230"/>
      <x:c r="M41" s="230"/>
      <x:c r="N41" s="230"/>
      <x:c r="O41" s="230"/>
      <x:c r="P41" s="230"/>
      <x:c r="Q41" s="230"/>
      <x:c r="R41" s="230"/>
      <x:c r="S41" s="230"/>
      <x:c r="T41" s="231"/>
    </x:row>
    <x:row r="42">
      <x:c r="A42" s="289"/>
      <x:c r="B42" s="289"/>
      <x:c r="C42" s="289"/>
      <x:c r="D42" s="289"/>
      <x:c r="E42" s="289"/>
      <x:c r="F42" s="229"/>
      <x:c r="G42" s="230"/>
      <x:c r="H42" s="230"/>
      <x:c r="I42" s="230"/>
      <x:c r="J42" s="230"/>
      <x:c r="K42" s="230"/>
      <x:c r="L42" s="230"/>
      <x:c r="M42" s="230"/>
      <x:c r="N42" s="230"/>
      <x:c r="O42" s="230"/>
      <x:c r="P42" s="230"/>
      <x:c r="Q42" s="230"/>
      <x:c r="R42" s="230"/>
      <x:c r="S42" s="230"/>
      <x:c r="T42" s="231"/>
    </x:row>
    <x:row r="43">
      <x:c r="A43" s="289"/>
      <x:c r="B43" s="289"/>
      <x:c r="C43" s="289"/>
      <x:c r="D43" s="289"/>
      <x:c r="E43" s="289"/>
      <x:c r="F43" s="229"/>
      <x:c r="G43" s="230"/>
      <x:c r="H43" s="230"/>
      <x:c r="I43" s="230"/>
      <x:c r="J43" s="230"/>
      <x:c r="K43" s="230"/>
      <x:c r="L43" s="230"/>
      <x:c r="M43" s="230"/>
      <x:c r="N43" s="230"/>
      <x:c r="O43" s="230"/>
      <x:c r="P43" s="230"/>
      <x:c r="Q43" s="230"/>
      <x:c r="R43" s="230"/>
      <x:c r="S43" s="230"/>
      <x:c r="T43" s="231"/>
    </x:row>
    <x:row r="44">
      <x:c r="A44" s="289"/>
      <x:c r="B44" s="289"/>
      <x:c r="C44" s="289"/>
      <x:c r="D44" s="289"/>
      <x:c r="E44" s="289"/>
      <x:c r="F44" s="232"/>
      <x:c r="G44" s="233"/>
      <x:c r="H44" s="233"/>
      <x:c r="I44" s="233"/>
      <x:c r="J44" s="233"/>
      <x:c r="K44" s="233"/>
      <x:c r="L44" s="233"/>
      <x:c r="M44" s="233"/>
      <x:c r="N44" s="233"/>
      <x:c r="O44" s="233"/>
      <x:c r="P44" s="233"/>
      <x:c r="Q44" s="233"/>
      <x:c r="R44" s="233"/>
      <x:c r="S44" s="233"/>
      <x:c r="T44" s="234"/>
    </x:row>
  </x:sheetData>
  <x:mergeCells>
    <x:mergeCell ref="A1:T1"/>
    <x:mergeCell ref="A2:T2"/>
    <x:mergeCell ref="F39:T44"/>
  </x:mergeCells>
  <x:pageMargins left="0.7" right="0.7" top="0.75" bottom="0.75" header="0.3" footer="0.3"/>
  <x:drawing xmlns:r="http://schemas.openxmlformats.org/officeDocument/2006/relationships" r:id="R637cf3dad0fc427e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4" customHeight="1">
      <x:c r="A1" s="3" t="str">
        <x:v>五月：無車可借與無位可還要分開看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高失衡排名先把兩種失敗合併，用來找整體問題站；營運解讀仍需拆開，因為補車與移車方向相反。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  <x:c r="N3" s="289"/>
      <x:c r="O3" s="289"/>
      <x:c r="P3" s="289"/>
      <x:c r="Q3" s="289"/>
      <x:c r="R3" s="289"/>
    </x:row>
    <x:row r="4" ht="28" customHeight="1">
      <x:c r="A4" s="135" t="str">
        <x:v>群組</x:v>
      </x:c>
      <x:c r="B4" s="135" t="str">
        <x:v>尖峰無車占全站</x:v>
      </x:c>
      <x:c r="C4" s="135" t="str">
        <x:v>尖峰滿柱占全站</x:v>
      </x:c>
      <x:c r="D4" s="135" t="str">
        <x:v>合計尖峰失衡占全站</x:v>
      </x:c>
      <x:c r="E4" s="289"/>
      <x:c r="F4" s="289"/>
      <x:c r="G4" s="289"/>
      <x:c r="H4" s="289"/>
      <x:c r="I4" s="289"/>
      <x:c r="J4" s="289"/>
      <x:c r="K4" s="289"/>
      <x:c r="L4" s="289"/>
      <x:c r="M4" s="289"/>
      <x:c r="N4" s="289"/>
      <x:c r="O4" s="289"/>
      <x:c r="P4" s="289"/>
      <x:c r="Q4" s="289"/>
      <x:c r="R4" s="289"/>
    </x:row>
    <x:row r="5">
      <x:c r="A5" s="149" t="str">
        <x:v>總變動前25%</x:v>
      </x:c>
      <x:c r="B5" s="150" t="n">
        <x:v>0.23609869263671734</x:v>
      </x:c>
      <x:c r="C5" s="150" t="n">
        <x:v>0.21895360315893386</x:v>
      </x:c>
      <x:c r="D5" s="150" t="n">
        <x:v>0.23422899711492917</x:v>
      </x:c>
      <x:c r="E5" s="289"/>
      <x:c r="F5" s="289"/>
      <x:c r="G5" s="289"/>
      <x:c r="H5" s="289"/>
      <x:c r="I5" s="289"/>
      <x:c r="J5" s="289"/>
      <x:c r="K5" s="289"/>
      <x:c r="L5" s="289"/>
      <x:c r="M5" s="289"/>
      <x:c r="N5" s="289"/>
      <x:c r="O5" s="289"/>
      <x:c r="P5" s="289"/>
      <x:c r="Q5" s="289"/>
      <x:c r="R5" s="289"/>
    </x:row>
    <x:row r="6">
      <x:c r="A6" s="148" t="str">
        <x:v>尖峰失衡率前25%</x:v>
      </x:c>
      <x:c r="B6" s="151" t="n">
        <x:v>0.5419395374688867</x:v>
      </x:c>
      <x:c r="C6" s="151" t="n">
        <x:v>0.5545903257650543</x:v>
      </x:c>
      <x:c r="D6" s="151" t="n">
        <x:v>0.5433191232829523</x:v>
      </x:c>
      <x:c r="E6" s="289"/>
      <x:c r="F6" s="289"/>
      <x:c r="G6" s="289"/>
      <x:c r="H6" s="289"/>
      <x:c r="I6" s="289"/>
      <x:c r="J6" s="289"/>
      <x:c r="K6" s="289"/>
      <x:c r="L6" s="289"/>
      <x:c r="M6" s="289"/>
      <x:c r="N6" s="289"/>
      <x:c r="O6" s="289"/>
      <x:c r="P6" s="289"/>
      <x:c r="Q6" s="289"/>
      <x:c r="R6" s="289"/>
    </x:row>
    <x:row r="7">
      <x:c r="A7" s="149" t="str">
        <x:v>高價值核心站</x:v>
      </x:c>
      <x:c r="B7" s="150" t="n">
        <x:v>0.10913221043474058</x:v>
      </x:c>
      <x:c r="C7" s="150" t="n">
        <x:v>0.11628825271470879</x:v>
      </x:c>
      <x:c r="D7" s="150" t="n">
        <x:v>0.10991258665977695</x:v>
      </x:c>
      <x:c r="E7" s="289"/>
      <x:c r="F7" s="289"/>
      <x:c r="G7" s="289"/>
      <x:c r="H7" s="289"/>
      <x:c r="I7" s="289"/>
      <x:c r="J7" s="289"/>
      <x:c r="K7" s="289"/>
      <x:c r="L7" s="289"/>
      <x:c r="M7" s="289"/>
      <x:c r="N7" s="289"/>
      <x:c r="O7" s="289"/>
      <x:c r="P7" s="289"/>
      <x:c r="Q7" s="289"/>
      <x:c r="R7" s="289"/>
    </x:row>
    <x:row r="8">
      <x:c r="A8" s="289"/>
      <x:c r="B8" s="289"/>
      <x:c r="C8" s="289"/>
      <x:c r="D8" s="289"/>
      <x:c r="E8" s="289"/>
      <x:c r="F8" s="289"/>
      <x:c r="G8" s="289"/>
      <x:c r="H8" s="289"/>
      <x:c r="I8" s="289"/>
      <x:c r="J8" s="289"/>
      <x:c r="K8" s="289"/>
      <x:c r="L8" s="289"/>
      <x:c r="M8" s="289"/>
      <x:c r="N8" s="289"/>
      <x:c r="O8" s="289"/>
      <x:c r="P8" s="289"/>
      <x:c r="Q8" s="289"/>
      <x:c r="R8" s="289"/>
    </x:row>
    <x:row r="9">
      <x:c r="A9" s="289"/>
      <x:c r="B9" s="289"/>
      <x:c r="C9" s="289"/>
      <x:c r="D9" s="289"/>
      <x:c r="E9" s="289"/>
      <x:c r="F9" s="289"/>
      <x:c r="G9" s="289"/>
      <x:c r="H9" s="289"/>
      <x:c r="I9" s="289"/>
      <x:c r="J9" s="289"/>
      <x:c r="K9" s="289"/>
      <x:c r="L9" s="289"/>
      <x:c r="M9" s="289"/>
      <x:c r="N9" s="289"/>
      <x:c r="O9" s="289"/>
      <x:c r="P9" s="289"/>
      <x:c r="Q9" s="289"/>
      <x:c r="R9" s="289"/>
    </x:row>
    <x:row r="10">
      <x:c r="A10" s="289"/>
      <x:c r="B10" s="289"/>
      <x:c r="C10" s="289"/>
      <x:c r="D10" s="289"/>
      <x:c r="E10" s="289"/>
      <x:c r="F10" s="289"/>
      <x:c r="G10" s="289"/>
      <x:c r="H10" s="289"/>
      <x:c r="I10" s="289"/>
      <x:c r="J10" s="289"/>
      <x:c r="K10" s="289"/>
      <x:c r="L10" s="289"/>
      <x:c r="M10" s="289"/>
      <x:c r="N10" s="289"/>
      <x:c r="O10" s="289"/>
      <x:c r="P10" s="289"/>
      <x:c r="Q10" s="289"/>
      <x:c r="R10" s="289"/>
    </x:row>
    <x:row r="11">
      <x:c r="A11" s="289"/>
      <x:c r="B11" s="289"/>
      <x:c r="C11" s="289"/>
      <x:c r="D11" s="289"/>
      <x:c r="E11" s="289"/>
      <x:c r="F11" s="289"/>
      <x:c r="G11" s="289"/>
      <x:c r="H11" s="289"/>
      <x:c r="I11" s="289"/>
      <x:c r="J11" s="289"/>
      <x:c r="K11" s="289"/>
      <x:c r="L11" s="289"/>
      <x:c r="M11" s="289"/>
      <x:c r="N11" s="289"/>
      <x:c r="O11" s="289"/>
      <x:c r="P11" s="289"/>
      <x:c r="Q11" s="289"/>
      <x:c r="R11" s="289"/>
    </x:row>
    <x:row r="12" ht="25" customHeight="1">
      <x:c r="A12" s="129" t="str">
        <x:v>原始快照數</x:v>
      </x:c>
      <x:c r="B12" s="129"/>
      <x:c r="C12" s="129"/>
      <x:c r="D12" s="129"/>
      <x:c r="E12" s="129"/>
      <x:c r="F12" s="289"/>
      <x:c r="G12" s="289"/>
      <x:c r="H12" s="289"/>
      <x:c r="I12" s="289"/>
      <x:c r="J12" s="289"/>
      <x:c r="K12" s="289"/>
      <x:c r="L12" s="289"/>
      <x:c r="M12" s="289"/>
      <x:c r="N12" s="289"/>
      <x:c r="O12" s="289"/>
      <x:c r="P12" s="289"/>
      <x:c r="Q12" s="289"/>
      <x:c r="R12" s="289"/>
    </x:row>
    <x:row r="13" ht="28" customHeight="1">
      <x:c r="A13" s="146" t="str">
        <x:v>群組</x:v>
      </x:c>
      <x:c r="B13" s="146" t="str">
        <x:v>失衡類型</x:v>
      </x:c>
      <x:c r="C13" s="146" t="str">
        <x:v>全日失衡快照</x:v>
      </x:c>
      <x:c r="D13" s="146" t="str">
        <x:v>尖峰失衡快照</x:v>
      </x:c>
      <x:c r="E13" s="146" t="str">
        <x:v>尖峰占全站同類型</x:v>
      </x:c>
      <x:c r="F13" s="289"/>
      <x:c r="G13" s="289"/>
      <x:c r="H13" s="289"/>
      <x:c r="I13" s="289"/>
      <x:c r="J13" s="289"/>
      <x:c r="K13" s="289"/>
      <x:c r="L13" s="289"/>
      <x:c r="M13" s="289"/>
      <x:c r="N13" s="289"/>
      <x:c r="O13" s="289"/>
      <x:c r="P13" s="289"/>
      <x:c r="Q13" s="289"/>
      <x:c r="R13" s="289"/>
    </x:row>
    <x:row r="14">
      <x:c r="A14" s="149" t="str">
        <x:v>總變動前25%</x:v>
      </x:c>
      <x:c r="B14" s="149" t="str">
        <x:v>無車可借</x:v>
      </x:c>
      <x:c r="C14" s="149" t="n">
        <x:v>32902</x:v>
      </x:c>
      <x:c r="D14" s="149" t="n">
        <x:v>9770</x:v>
      </x:c>
      <x:c r="E14" s="150" t="n">
        <x:v>0.23609869263671734</x:v>
      </x:c>
      <x:c r="F14" s="289"/>
      <x:c r="G14" s="289"/>
      <x:c r="H14" s="289"/>
      <x:c r="I14" s="289"/>
      <x:c r="J14" s="289"/>
      <x:c r="K14" s="289"/>
      <x:c r="L14" s="289"/>
      <x:c r="M14" s="289"/>
      <x:c r="N14" s="289"/>
      <x:c r="O14" s="289"/>
      <x:c r="P14" s="289"/>
      <x:c r="Q14" s="289"/>
      <x:c r="R14" s="289"/>
    </x:row>
    <x:row r="15">
      <x:c r="A15" s="148" t="str">
        <x:v>總變動前25%</x:v>
      </x:c>
      <x:c r="B15" s="148" t="str">
        <x:v>無位可還</x:v>
      </x:c>
      <x:c r="C15" s="148" t="n">
        <x:v>2966</x:v>
      </x:c>
      <x:c r="D15" s="148" t="n">
        <x:v>1109</x:v>
      </x:c>
      <x:c r="E15" s="151" t="n">
        <x:v>0.21895360315893386</x:v>
      </x:c>
      <x:c r="F15" s="289"/>
      <x:c r="G15" s="289"/>
      <x:c r="H15" s="289"/>
      <x:c r="I15" s="289"/>
      <x:c r="J15" s="289"/>
      <x:c r="K15" s="289"/>
      <x:c r="L15" s="289"/>
      <x:c r="M15" s="289"/>
      <x:c r="N15" s="289"/>
      <x:c r="O15" s="289"/>
      <x:c r="P15" s="289"/>
      <x:c r="Q15" s="289"/>
      <x:c r="R15" s="289"/>
    </x:row>
    <x:row r="16">
      <x:c r="A16" s="149" t="str">
        <x:v>尖峰失衡率前25%</x:v>
      </x:c>
      <x:c r="B16" s="149" t="str">
        <x:v>無車可借</x:v>
      </x:c>
      <x:c r="C16" s="149" t="n">
        <x:v>58974</x:v>
      </x:c>
      <x:c r="D16" s="149" t="n">
        <x:v>22426</x:v>
      </x:c>
      <x:c r="E16" s="150" t="n">
        <x:v>0.5419395374688867</x:v>
      </x:c>
      <x:c r="F16" s="289"/>
      <x:c r="G16" s="289"/>
      <x:c r="H16" s="289"/>
      <x:c r="I16" s="289"/>
      <x:c r="J16" s="289"/>
      <x:c r="K16" s="289"/>
      <x:c r="L16" s="289"/>
      <x:c r="M16" s="289"/>
      <x:c r="N16" s="289"/>
      <x:c r="O16" s="289"/>
      <x:c r="P16" s="289"/>
      <x:c r="Q16" s="289"/>
      <x:c r="R16" s="289"/>
    </x:row>
    <x:row r="17">
      <x:c r="A17" s="148" t="str">
        <x:v>尖峰失衡率前25%</x:v>
      </x:c>
      <x:c r="B17" s="148" t="str">
        <x:v>無位可還</x:v>
      </x:c>
      <x:c r="C17" s="148" t="n">
        <x:v>7355</x:v>
      </x:c>
      <x:c r="D17" s="148" t="n">
        <x:v>2809</x:v>
      </x:c>
      <x:c r="E17" s="151" t="n">
        <x:v>0.5545903257650543</x:v>
      </x:c>
      <x:c r="F17" s="289"/>
      <x:c r="G17" s="289"/>
      <x:c r="H17" s="289"/>
      <x:c r="I17" s="289"/>
      <x:c r="J17" s="289"/>
      <x:c r="K17" s="289"/>
      <x:c r="L17" s="289"/>
      <x:c r="M17" s="289"/>
      <x:c r="N17" s="289"/>
      <x:c r="O17" s="289"/>
      <x:c r="P17" s="289"/>
      <x:c r="Q17" s="289"/>
      <x:c r="R17" s="289"/>
    </x:row>
    <x:row r="18">
      <x:c r="A18" s="149" t="str">
        <x:v>高價值核心站</x:v>
      </x:c>
      <x:c r="B18" s="149" t="str">
        <x:v>無車可借</x:v>
      </x:c>
      <x:c r="C18" s="149" t="n">
        <x:v>12150</x:v>
      </x:c>
      <x:c r="D18" s="149" t="n">
        <x:v>4516</x:v>
      </x:c>
      <x:c r="E18" s="150" t="n">
        <x:v>0.10913221043474058</x:v>
      </x:c>
      <x:c r="F18" s="289"/>
      <x:c r="G18" s="289"/>
      <x:c r="H18" s="289"/>
      <x:c r="I18" s="289"/>
      <x:c r="J18" s="289"/>
      <x:c r="K18" s="289"/>
      <x:c r="L18" s="289"/>
      <x:c r="M18" s="289"/>
      <x:c r="N18" s="289"/>
      <x:c r="O18" s="289"/>
      <x:c r="P18" s="289"/>
      <x:c r="Q18" s="289"/>
      <x:c r="R18" s="289"/>
    </x:row>
    <x:row r="19">
      <x:c r="A19" s="148" t="str">
        <x:v>高價值核心站</x:v>
      </x:c>
      <x:c r="B19" s="148" t="str">
        <x:v>無位可還</x:v>
      </x:c>
      <x:c r="C19" s="148" t="n">
        <x:v>1445</x:v>
      </x:c>
      <x:c r="D19" s="148" t="n">
        <x:v>589</x:v>
      </x:c>
      <x:c r="E19" s="151" t="n">
        <x:v>0.11628825271470879</x:v>
      </x:c>
      <x:c r="F19" s="289"/>
      <x:c r="G19" s="289"/>
      <x:c r="H19" s="289"/>
      <x:c r="I19" s="289"/>
      <x:c r="J19" s="289"/>
      <x:c r="K19" s="289"/>
      <x:c r="L19" s="289"/>
      <x:c r="M19" s="289"/>
      <x:c r="N19" s="289"/>
      <x:c r="O19" s="289"/>
      <x:c r="P19" s="289"/>
      <x:c r="Q19" s="289"/>
      <x:c r="R19" s="289"/>
    </x:row>
    <x:row r="20">
      <x:c r="A20" s="289"/>
      <x:c r="B20" s="289"/>
      <x:c r="C20" s="289"/>
      <x:c r="D20" s="289"/>
      <x:c r="E20" s="289"/>
      <x:c r="F20" s="289"/>
      <x:c r="G20" s="289"/>
      <x:c r="H20" s="289"/>
      <x:c r="I20" s="289"/>
      <x:c r="J20" s="289"/>
      <x:c r="K20" s="289"/>
      <x:c r="L20" s="289"/>
      <x:c r="M20" s="289"/>
      <x:c r="N20" s="289"/>
      <x:c r="O20" s="289"/>
      <x:c r="P20" s="289"/>
      <x:c r="Q20" s="289"/>
      <x:c r="R20" s="289"/>
    </x:row>
    <x:row r="21">
      <x:c r="A21" s="289"/>
      <x:c r="B21" s="289"/>
      <x:c r="C21" s="289"/>
      <x:c r="D21" s="289"/>
      <x:c r="E21" s="289"/>
      <x:c r="F21" s="289"/>
      <x:c r="G21" s="171" t="str">
        <x:v>目前兩類失衡在高失衡前25%都高度集中：五月尖峰無車約54.2%、尖峰滿柱約55.5%。所以『高失衡站』作為整體痛點範圍合理，但後續案例分析與措施不能把兩者合成同一種問題。</x:v>
      </x:c>
      <x:c r="H21" s="172"/>
      <x:c r="I21" s="172"/>
      <x:c r="J21" s="172"/>
      <x:c r="K21" s="172"/>
      <x:c r="L21" s="172"/>
      <x:c r="M21" s="172"/>
      <x:c r="N21" s="172"/>
      <x:c r="O21" s="172"/>
      <x:c r="P21" s="172"/>
      <x:c r="Q21" s="172"/>
      <x:c r="R21" s="173"/>
    </x:row>
    <x:row r="22">
      <x:c r="A22" s="289"/>
      <x:c r="B22" s="289"/>
      <x:c r="C22" s="289"/>
      <x:c r="D22" s="289"/>
      <x:c r="E22" s="289"/>
      <x:c r="F22" s="289"/>
      <x:c r="G22" s="174"/>
      <x:c r="H22" s="175"/>
      <x:c r="I22" s="175"/>
      <x:c r="J22" s="175"/>
      <x:c r="K22" s="175"/>
      <x:c r="L22" s="175"/>
      <x:c r="M22" s="175"/>
      <x:c r="N22" s="175"/>
      <x:c r="O22" s="175"/>
      <x:c r="P22" s="175"/>
      <x:c r="Q22" s="175"/>
      <x:c r="R22" s="176"/>
    </x:row>
    <x:row r="23">
      <x:c r="A23" s="289"/>
      <x:c r="B23" s="289"/>
      <x:c r="C23" s="289"/>
      <x:c r="D23" s="289"/>
      <x:c r="E23" s="289"/>
      <x:c r="F23" s="289"/>
      <x:c r="G23" s="174"/>
      <x:c r="H23" s="175"/>
      <x:c r="I23" s="175"/>
      <x:c r="J23" s="175"/>
      <x:c r="K23" s="175"/>
      <x:c r="L23" s="175"/>
      <x:c r="M23" s="175"/>
      <x:c r="N23" s="175"/>
      <x:c r="O23" s="175"/>
      <x:c r="P23" s="175"/>
      <x:c r="Q23" s="175"/>
      <x:c r="R23" s="176"/>
    </x:row>
    <x:row r="24">
      <x:c r="A24" s="289"/>
      <x:c r="B24" s="289"/>
      <x:c r="C24" s="289"/>
      <x:c r="D24" s="289"/>
      <x:c r="E24" s="289"/>
      <x:c r="F24" s="289"/>
      <x:c r="G24" s="174"/>
      <x:c r="H24" s="175"/>
      <x:c r="I24" s="175"/>
      <x:c r="J24" s="175"/>
      <x:c r="K24" s="175"/>
      <x:c r="L24" s="175"/>
      <x:c r="M24" s="175"/>
      <x:c r="N24" s="175"/>
      <x:c r="O24" s="175"/>
      <x:c r="P24" s="175"/>
      <x:c r="Q24" s="175"/>
      <x:c r="R24" s="176"/>
    </x:row>
    <x:row r="25">
      <x:c r="A25" s="289"/>
      <x:c r="B25" s="289"/>
      <x:c r="C25" s="289"/>
      <x:c r="D25" s="289"/>
      <x:c r="E25" s="289"/>
      <x:c r="F25" s="289"/>
      <x:c r="G25" s="174"/>
      <x:c r="H25" s="175"/>
      <x:c r="I25" s="175"/>
      <x:c r="J25" s="175"/>
      <x:c r="K25" s="175"/>
      <x:c r="L25" s="175"/>
      <x:c r="M25" s="175"/>
      <x:c r="N25" s="175"/>
      <x:c r="O25" s="175"/>
      <x:c r="P25" s="175"/>
      <x:c r="Q25" s="175"/>
      <x:c r="R25" s="176"/>
    </x:row>
    <x:row r="26">
      <x:c r="A26" s="289"/>
      <x:c r="B26" s="289"/>
      <x:c r="C26" s="289"/>
      <x:c r="D26" s="289"/>
      <x:c r="E26" s="289"/>
      <x:c r="F26" s="289"/>
      <x:c r="G26" s="174"/>
      <x:c r="H26" s="175"/>
      <x:c r="I26" s="175"/>
      <x:c r="J26" s="175"/>
      <x:c r="K26" s="175"/>
      <x:c r="L26" s="175"/>
      <x:c r="M26" s="175"/>
      <x:c r="N26" s="175"/>
      <x:c r="O26" s="175"/>
      <x:c r="P26" s="175"/>
      <x:c r="Q26" s="175"/>
      <x:c r="R26" s="176"/>
    </x:row>
    <x:row r="27">
      <x:c r="A27" s="289"/>
      <x:c r="B27" s="289"/>
      <x:c r="C27" s="289"/>
      <x:c r="D27" s="289"/>
      <x:c r="E27" s="289"/>
      <x:c r="F27" s="289"/>
      <x:c r="G27" s="174"/>
      <x:c r="H27" s="175"/>
      <x:c r="I27" s="175"/>
      <x:c r="J27" s="175"/>
      <x:c r="K27" s="175"/>
      <x:c r="L27" s="175"/>
      <x:c r="M27" s="175"/>
      <x:c r="N27" s="175"/>
      <x:c r="O27" s="175"/>
      <x:c r="P27" s="175"/>
      <x:c r="Q27" s="175"/>
      <x:c r="R27" s="176"/>
    </x:row>
    <x:row r="28">
      <x:c r="A28" s="289"/>
      <x:c r="B28" s="289"/>
      <x:c r="C28" s="289"/>
      <x:c r="D28" s="289"/>
      <x:c r="E28" s="289"/>
      <x:c r="F28" s="289"/>
      <x:c r="G28" s="177"/>
      <x:c r="H28" s="178"/>
      <x:c r="I28" s="178"/>
      <x:c r="J28" s="178"/>
      <x:c r="K28" s="178"/>
      <x:c r="L28" s="178"/>
      <x:c r="M28" s="178"/>
      <x:c r="N28" s="178"/>
      <x:c r="O28" s="178"/>
      <x:c r="P28" s="178"/>
      <x:c r="Q28" s="178"/>
      <x:c r="R28" s="179"/>
    </x:row>
  </x:sheetData>
  <x:mergeCells>
    <x:mergeCell ref="A1:R1"/>
    <x:mergeCell ref="A2:R2"/>
    <x:mergeCell ref="A12:E12"/>
    <x:mergeCell ref="G21:R28"/>
  </x:mergeCells>
  <x:pageMargins left="0.7" right="0.7" top="0.75" bottom="0.75" header="0.3" footer="0.3"/>
  <x:drawing xmlns:r="http://schemas.openxmlformats.org/officeDocument/2006/relationships" r:id="R5ba377ad156745b7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4" customHeight="1">
      <x:c r="A1" s="3" t="str">
        <x:v>基準期：各站群的尖峰失衡率分布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看分布可以避免只被平均值誤導，也能發現極高失衡率與長期零活動站。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  <x:c r="N3" s="289"/>
      <x:c r="O3" s="289"/>
      <x:c r="P3" s="289"/>
      <x:c r="Q3" s="289"/>
      <x:c r="R3" s="289"/>
    </x:row>
    <x:row r="4" ht="28" customHeight="1">
      <x:c r="A4" s="135" t="str">
        <x:v>失衡率區間</x:v>
      </x:c>
      <x:c r="B4" s="135" t="str">
        <x:v>全部站點</x:v>
      </x:c>
      <x:c r="C4" s="135" t="str">
        <x:v>高活動前25%</x:v>
      </x:c>
      <x:c r="D4" s="135" t="str">
        <x:v>高失衡前25%</x:v>
      </x:c>
      <x:c r="E4" s="135" t="str">
        <x:v>核心站</x:v>
      </x:c>
      <x:c r="F4" s="289"/>
      <x:c r="G4" s="289"/>
      <x:c r="H4" s="146" t="str">
        <x:v>失衡率區間</x:v>
      </x:c>
      <x:c r="I4" s="146" t="str">
        <x:v>全部站點</x:v>
      </x:c>
      <x:c r="J4" s="146" t="str">
        <x:v>高活動前25%</x:v>
      </x:c>
      <x:c r="K4" s="146" t="str">
        <x:v>高失衡前25%</x:v>
      </x:c>
      <x:c r="L4" s="146" t="str">
        <x:v>核心站</x:v>
      </x:c>
      <x:c r="M4" s="289"/>
      <x:c r="N4" s="289"/>
      <x:c r="O4" s="289"/>
      <x:c r="P4" s="289"/>
      <x:c r="Q4" s="289"/>
      <x:c r="R4" s="289"/>
    </x:row>
    <x:row r="5">
      <x:c r="A5" s="149" t="str">
        <x:v>≤1%</x:v>
      </x:c>
      <x:c r="B5" s="149" t="n">
        <x:v>139</x:v>
      </x:c>
      <x:c r="C5" s="149" t="n">
        <x:v>24</x:v>
      </x:c>
      <x:c r="D5" s="149" t="n">
        <x:v>0</x:v>
      </x:c>
      <x:c r="E5" s="149" t="n">
        <x:v>0</x:v>
      </x:c>
      <x:c r="F5" s="289"/>
      <x:c r="G5" s="289"/>
      <x:c r="H5" s="149" t="str">
        <x:v>≤1%</x:v>
      </x:c>
      <x:c r="I5" s="150" t="n">
        <x:f>B5/'定義與範圍'!$B$5</x:f>
        <x:v>0.09328859060402685</x:v>
      </x:c>
      <x:c r="J5" s="150" t="n">
        <x:f>C5/'定義與範圍'!$B$7</x:f>
        <x:v>0.064343163538874</x:v>
      </x:c>
      <x:c r="K5" s="150" t="n">
        <x:f>D5/'定義與範圍'!$B$7</x:f>
        <x:v>0</x:v>
      </x:c>
      <x:c r="L5" s="150" t="n">
        <x:f>E5/'定義與範圍'!$B$16</x:f>
        <x:v>0</x:v>
      </x:c>
      <x:c r="M5" s="289"/>
      <x:c r="N5" s="289"/>
      <x:c r="O5" s="289"/>
      <x:c r="P5" s="289"/>
      <x:c r="Q5" s="289"/>
      <x:c r="R5" s="289"/>
    </x:row>
    <x:row r="6">
      <x:c r="A6" s="148" t="str">
        <x:v>1–3%</x:v>
      </x:c>
      <x:c r="B6" s="148" t="n">
        <x:v>414</x:v>
      </x:c>
      <x:c r="C6" s="148" t="n">
        <x:v>99</x:v>
      </x:c>
      <x:c r="D6" s="148" t="n">
        <x:v>0</x:v>
      </x:c>
      <x:c r="E6" s="148" t="n">
        <x:v>0</x:v>
      </x:c>
      <x:c r="F6" s="289"/>
      <x:c r="G6" s="289"/>
      <x:c r="H6" s="148" t="str">
        <x:v>1–3%</x:v>
      </x:c>
      <x:c r="I6" s="151" t="n">
        <x:f>B6/'定義與範圍'!$B$5</x:f>
        <x:v>0.2778523489932886</x:v>
      </x:c>
      <x:c r="J6" s="151" t="n">
        <x:f>C6/'定義與範圍'!$B$7</x:f>
        <x:v>0.26541554959785524</x:v>
      </x:c>
      <x:c r="K6" s="151" t="n">
        <x:f>D6/'定義與範圍'!$B$7</x:f>
        <x:v>0</x:v>
      </x:c>
      <x:c r="L6" s="151" t="n">
        <x:f>E6/'定義與範圍'!$B$16</x:f>
        <x:v>0</x:v>
      </x:c>
      <x:c r="M6" s="289"/>
      <x:c r="N6" s="289"/>
      <x:c r="O6" s="289"/>
      <x:c r="P6" s="289"/>
      <x:c r="Q6" s="289"/>
      <x:c r="R6" s="289"/>
    </x:row>
    <x:row r="7">
      <x:c r="A7" s="149" t="str">
        <x:v>3–5%</x:v>
      </x:c>
      <x:c r="B7" s="149" t="n">
        <x:v>306</x:v>
      </x:c>
      <x:c r="C7" s="149" t="n">
        <x:v>89</x:v>
      </x:c>
      <x:c r="D7" s="149" t="n">
        <x:v>0</x:v>
      </x:c>
      <x:c r="E7" s="149" t="n">
        <x:v>0</x:v>
      </x:c>
      <x:c r="F7" s="289"/>
      <x:c r="G7" s="289"/>
      <x:c r="H7" s="149" t="str">
        <x:v>3–5%</x:v>
      </x:c>
      <x:c r="I7" s="150" t="n">
        <x:f>B7/'定義與範圍'!$B$5</x:f>
        <x:v>0.20536912751677852</x:v>
      </x:c>
      <x:c r="J7" s="150" t="n">
        <x:f>C7/'定義與範圍'!$B$7</x:f>
        <x:v>0.2386058981233244</x:v>
      </x:c>
      <x:c r="K7" s="150" t="n">
        <x:f>D7/'定義與範圍'!$B$7</x:f>
        <x:v>0</x:v>
      </x:c>
      <x:c r="L7" s="150" t="n">
        <x:f>E7/'定義與範圍'!$B$16</x:f>
        <x:v>0</x:v>
      </x:c>
      <x:c r="M7" s="289"/>
      <x:c r="N7" s="289"/>
      <x:c r="O7" s="289"/>
      <x:c r="P7" s="289"/>
      <x:c r="Q7" s="289"/>
      <x:c r="R7" s="289"/>
    </x:row>
    <x:row r="8">
      <x:c r="A8" s="148" t="str">
        <x:v>5–10%</x:v>
      </x:c>
      <x:c r="B8" s="148" t="n">
        <x:v>408</x:v>
      </x:c>
      <x:c r="C8" s="148" t="n">
        <x:v>119</x:v>
      </x:c>
      <x:c r="D8" s="148" t="n">
        <x:v>150</x:v>
      </x:c>
      <x:c r="E8" s="148" t="n">
        <x:v>46</x:v>
      </x:c>
      <x:c r="F8" s="289"/>
      <x:c r="G8" s="289"/>
      <x:c r="H8" s="148" t="str">
        <x:v>5–10%</x:v>
      </x:c>
      <x:c r="I8" s="151" t="n">
        <x:f>B8/'定義與範圍'!$B$5</x:f>
        <x:v>0.2738255033557047</x:v>
      </x:c>
      <x:c r="J8" s="151" t="n">
        <x:f>C8/'定義與範圍'!$B$7</x:f>
        <x:v>0.3190348525469169</x:v>
      </x:c>
      <x:c r="K8" s="151" t="n">
        <x:f>D8/'定義與範圍'!$B$7</x:f>
        <x:v>0.40214477211796246</x:v>
      </x:c>
      <x:c r="L8" s="151" t="n">
        <x:f>E8/'定義與範圍'!$B$16</x:f>
        <x:v>0.5227272727272727</x:v>
      </x:c>
      <x:c r="M8" s="289"/>
      <x:c r="N8" s="289"/>
      <x:c r="O8" s="289"/>
      <x:c r="P8" s="289"/>
      <x:c r="Q8" s="289"/>
      <x:c r="R8" s="289"/>
    </x:row>
    <x:row r="9">
      <x:c r="A9" s="149" t="str">
        <x:v>10–20%</x:v>
      </x:c>
      <x:c r="B9" s="149" t="n">
        <x:v>187</x:v>
      </x:c>
      <x:c r="C9" s="149" t="n">
        <x:v>35</x:v>
      </x:c>
      <x:c r="D9" s="149" t="n">
        <x:v>187</x:v>
      </x:c>
      <x:c r="E9" s="149" t="n">
        <x:v>35</x:v>
      </x:c>
      <x:c r="F9" s="289"/>
      <x:c r="G9" s="289"/>
      <x:c r="H9" s="149" t="str">
        <x:v>10–20%</x:v>
      </x:c>
      <x:c r="I9" s="150" t="n">
        <x:f>B9/'定義與範圍'!$B$5</x:f>
        <x:v>0.12550335570469798</x:v>
      </x:c>
      <x:c r="J9" s="150" t="n">
        <x:f>C9/'定義與範圍'!$B$7</x:f>
        <x:v>0.0938337801608579</x:v>
      </x:c>
      <x:c r="K9" s="150" t="n">
        <x:f>D9/'定義與範圍'!$B$7</x:f>
        <x:v>0.5013404825737265</x:v>
      </x:c>
      <x:c r="L9" s="150" t="n">
        <x:f>E9/'定義與範圍'!$B$16</x:f>
        <x:v>0.3977272727272727</x:v>
      </x:c>
      <x:c r="M9" s="289"/>
      <x:c r="N9" s="289"/>
      <x:c r="O9" s="289"/>
      <x:c r="P9" s="289"/>
      <x:c r="Q9" s="289"/>
      <x:c r="R9" s="289"/>
    </x:row>
    <x:row r="10">
      <x:c r="A10" s="148" t="str">
        <x:v>20–50%</x:v>
      </x:c>
      <x:c r="B10" s="148" t="n">
        <x:v>27</x:v>
      </x:c>
      <x:c r="C10" s="148" t="n">
        <x:v>7</x:v>
      </x:c>
      <x:c r="D10" s="148" t="n">
        <x:v>27</x:v>
      </x:c>
      <x:c r="E10" s="148" t="n">
        <x:v>7</x:v>
      </x:c>
      <x:c r="F10" s="289"/>
      <x:c r="G10" s="289"/>
      <x:c r="H10" s="148" t="str">
        <x:v>20–50%</x:v>
      </x:c>
      <x:c r="I10" s="151" t="n">
        <x:f>B10/'定義與範圍'!$B$5</x:f>
        <x:v>0.018120805369127517</x:v>
      </x:c>
      <x:c r="J10" s="151" t="n">
        <x:f>C10/'定義與範圍'!$B$7</x:f>
        <x:v>0.01876675603217158</x:v>
      </x:c>
      <x:c r="K10" s="151" t="n">
        <x:f>D10/'定義與範圍'!$B$7</x:f>
        <x:v>0.07238605898123325</x:v>
      </x:c>
      <x:c r="L10" s="151" t="n">
        <x:f>E10/'定義與範圍'!$B$16</x:f>
        <x:v>0.07954545454545454</x:v>
      </x:c>
      <x:c r="M10" s="289"/>
      <x:c r="N10" s="289"/>
      <x:c r="O10" s="289"/>
      <x:c r="P10" s="289"/>
      <x:c r="Q10" s="289"/>
      <x:c r="R10" s="289"/>
    </x:row>
    <x:row r="11">
      <x:c r="A11" s="149" t="str">
        <x:v>&gt;50%</x:v>
      </x:c>
      <x:c r="B11" s="149" t="n">
        <x:v>9</x:v>
      </x:c>
      <x:c r="C11" s="149" t="n">
        <x:v>0</x:v>
      </x:c>
      <x:c r="D11" s="149" t="n">
        <x:v>9</x:v>
      </x:c>
      <x:c r="E11" s="149" t="n">
        <x:v>0</x:v>
      </x:c>
      <x:c r="F11" s="289"/>
      <x:c r="G11" s="289"/>
      <x:c r="H11" s="149" t="str">
        <x:v>&gt;50%</x:v>
      </x:c>
      <x:c r="I11" s="150" t="n">
        <x:f>B11/'定義與範圍'!$B$5</x:f>
        <x:v>0.006040268456375839</x:v>
      </x:c>
      <x:c r="J11" s="150" t="n">
        <x:f>C11/'定義與範圍'!$B$7</x:f>
        <x:v>0</x:v>
      </x:c>
      <x:c r="K11" s="150" t="n">
        <x:f>D11/'定義與範圍'!$B$7</x:f>
        <x:v>0.024128686327077747</x:v>
      </x:c>
      <x:c r="L11" s="150" t="n">
        <x:f>E11/'定義與範圍'!$B$16</x:f>
        <x:v>0</x:v>
      </x:c>
      <x:c r="M11" s="289"/>
      <x:c r="N11" s="289"/>
      <x:c r="O11" s="289"/>
      <x:c r="P11" s="289"/>
      <x:c r="Q11" s="289"/>
      <x:c r="R11" s="289"/>
    </x:row>
    <x:row r="12">
      <x:c r="A12" s="289"/>
      <x:c r="B12" s="289"/>
      <x:c r="C12" s="289"/>
      <x:c r="D12" s="289"/>
      <x:c r="E12" s="289"/>
      <x:c r="F12" s="289"/>
      <x:c r="G12" s="289"/>
      <x:c r="H12" s="289"/>
      <x:c r="I12" s="289"/>
      <x:c r="J12" s="289"/>
      <x:c r="K12" s="289"/>
      <x:c r="L12" s="289"/>
      <x:c r="M12" s="289"/>
      <x:c r="N12" s="289"/>
      <x:c r="O12" s="289"/>
      <x:c r="P12" s="289"/>
      <x:c r="Q12" s="289"/>
      <x:c r="R12" s="289"/>
    </x:row>
    <x:row r="13">
      <x:c r="A13" s="289"/>
      <x:c r="B13" s="289"/>
      <x:c r="C13" s="289"/>
      <x:c r="D13" s="289"/>
      <x:c r="E13" s="289"/>
      <x:c r="F13" s="289"/>
      <x:c r="G13" s="289"/>
      <x:c r="H13" s="289"/>
      <x:c r="I13" s="289"/>
      <x:c r="J13" s="289"/>
      <x:c r="K13" s="289"/>
      <x:c r="L13" s="289"/>
      <x:c r="M13" s="289"/>
      <x:c r="N13" s="289"/>
      <x:c r="O13" s="289"/>
      <x:c r="P13" s="289"/>
      <x:c r="Q13" s="289"/>
      <x:c r="R13" s="289"/>
    </x:row>
    <x:row r="14">
      <x:c r="A14" s="199" t="str">
        <x:v>資料檢查重點
原始失衡率高不一定代表大量使用者受影響。若站點長期沒有車、車數幾乎不變，失衡率可能接近100%，但更像停用或資料狀態。這類站仍保留在原始高失衡名單，另於『資料疑點』工作表標示。</x:v>
      </x:c>
      <x:c r="B14" s="200"/>
      <x:c r="C14" s="200"/>
      <x:c r="D14" s="200"/>
      <x:c r="E14" s="200"/>
      <x:c r="F14" s="201"/>
      <x:c r="G14" s="289"/>
      <x:c r="H14" s="289"/>
      <x:c r="I14" s="289"/>
      <x:c r="J14" s="289"/>
      <x:c r="K14" s="289"/>
      <x:c r="L14" s="289"/>
      <x:c r="M14" s="289"/>
      <x:c r="N14" s="289"/>
      <x:c r="O14" s="289"/>
      <x:c r="P14" s="289"/>
      <x:c r="Q14" s="289"/>
      <x:c r="R14" s="289"/>
    </x:row>
    <x:row r="15">
      <x:c r="A15" s="202"/>
      <x:c r="B15" s="203"/>
      <x:c r="C15" s="203"/>
      <x:c r="D15" s="203"/>
      <x:c r="E15" s="203"/>
      <x:c r="F15" s="204"/>
      <x:c r="G15" s="289"/>
      <x:c r="H15" s="289"/>
      <x:c r="I15" s="289"/>
      <x:c r="J15" s="289"/>
      <x:c r="K15" s="289"/>
      <x:c r="L15" s="289"/>
      <x:c r="M15" s="289"/>
      <x:c r="N15" s="289"/>
      <x:c r="O15" s="289"/>
      <x:c r="P15" s="289"/>
      <x:c r="Q15" s="289"/>
      <x:c r="R15" s="289"/>
    </x:row>
    <x:row r="16">
      <x:c r="A16" s="202"/>
      <x:c r="B16" s="203"/>
      <x:c r="C16" s="203"/>
      <x:c r="D16" s="203"/>
      <x:c r="E16" s="203"/>
      <x:c r="F16" s="204"/>
      <x:c r="G16" s="289"/>
      <x:c r="H16" s="289"/>
      <x:c r="I16" s="289"/>
      <x:c r="J16" s="289"/>
      <x:c r="K16" s="289"/>
      <x:c r="L16" s="289"/>
      <x:c r="M16" s="289"/>
      <x:c r="N16" s="289"/>
      <x:c r="O16" s="289"/>
      <x:c r="P16" s="289"/>
      <x:c r="Q16" s="289"/>
      <x:c r="R16" s="289"/>
    </x:row>
    <x:row r="17">
      <x:c r="A17" s="202"/>
      <x:c r="B17" s="203"/>
      <x:c r="C17" s="203"/>
      <x:c r="D17" s="203"/>
      <x:c r="E17" s="203"/>
      <x:c r="F17" s="204"/>
      <x:c r="G17" s="289"/>
      <x:c r="H17" s="289"/>
      <x:c r="I17" s="289"/>
      <x:c r="J17" s="289"/>
      <x:c r="K17" s="289"/>
      <x:c r="L17" s="289"/>
      <x:c r="M17" s="289"/>
      <x:c r="N17" s="289"/>
      <x:c r="O17" s="289"/>
      <x:c r="P17" s="289"/>
      <x:c r="Q17" s="289"/>
      <x:c r="R17" s="289"/>
    </x:row>
    <x:row r="18">
      <x:c r="A18" s="202"/>
      <x:c r="B18" s="203"/>
      <x:c r="C18" s="203"/>
      <x:c r="D18" s="203"/>
      <x:c r="E18" s="203"/>
      <x:c r="F18" s="204"/>
      <x:c r="G18" s="289"/>
      <x:c r="H18" s="289"/>
      <x:c r="I18" s="289"/>
      <x:c r="J18" s="289"/>
      <x:c r="K18" s="289"/>
      <x:c r="L18" s="289"/>
      <x:c r="M18" s="289"/>
      <x:c r="N18" s="289"/>
      <x:c r="O18" s="289"/>
      <x:c r="P18" s="289"/>
      <x:c r="Q18" s="289"/>
      <x:c r="R18" s="289"/>
    </x:row>
    <x:row r="19">
      <x:c r="A19" s="202"/>
      <x:c r="B19" s="203"/>
      <x:c r="C19" s="203"/>
      <x:c r="D19" s="203"/>
      <x:c r="E19" s="203"/>
      <x:c r="F19" s="204"/>
      <x:c r="G19" s="289"/>
      <x:c r="H19" s="289"/>
      <x:c r="I19" s="289"/>
      <x:c r="J19" s="289"/>
      <x:c r="K19" s="289"/>
      <x:c r="L19" s="289"/>
      <x:c r="M19" s="289"/>
      <x:c r="N19" s="289"/>
      <x:c r="O19" s="289"/>
      <x:c r="P19" s="289"/>
      <x:c r="Q19" s="289"/>
      <x:c r="R19" s="289"/>
    </x:row>
    <x:row r="20">
      <x:c r="A20" s="202"/>
      <x:c r="B20" s="203"/>
      <x:c r="C20" s="203"/>
      <x:c r="D20" s="203"/>
      <x:c r="E20" s="203"/>
      <x:c r="F20" s="204"/>
      <x:c r="G20" s="289"/>
      <x:c r="H20" s="289"/>
      <x:c r="I20" s="289"/>
      <x:c r="J20" s="289"/>
      <x:c r="K20" s="289"/>
      <x:c r="L20" s="289"/>
      <x:c r="M20" s="289"/>
      <x:c r="N20" s="289"/>
      <x:c r="O20" s="289"/>
      <x:c r="P20" s="289"/>
      <x:c r="Q20" s="289"/>
      <x:c r="R20" s="289"/>
    </x:row>
    <x:row r="21">
      <x:c r="A21" s="202"/>
      <x:c r="B21" s="203"/>
      <x:c r="C21" s="203"/>
      <x:c r="D21" s="203"/>
      <x:c r="E21" s="203"/>
      <x:c r="F21" s="204"/>
      <x:c r="G21" s="289"/>
      <x:c r="H21" s="289"/>
      <x:c r="I21" s="289"/>
      <x:c r="J21" s="289"/>
      <x:c r="K21" s="289"/>
      <x:c r="L21" s="289"/>
      <x:c r="M21" s="289"/>
      <x:c r="N21" s="289"/>
      <x:c r="O21" s="289"/>
      <x:c r="P21" s="289"/>
      <x:c r="Q21" s="289"/>
      <x:c r="R21" s="289"/>
    </x:row>
    <x:row r="22">
      <x:c r="A22" s="202"/>
      <x:c r="B22" s="203"/>
      <x:c r="C22" s="203"/>
      <x:c r="D22" s="203"/>
      <x:c r="E22" s="203"/>
      <x:c r="F22" s="204"/>
      <x:c r="G22" s="289"/>
      <x:c r="H22" s="289"/>
      <x:c r="I22" s="289"/>
      <x:c r="J22" s="289"/>
      <x:c r="K22" s="289"/>
      <x:c r="L22" s="289"/>
      <x:c r="M22" s="289"/>
      <x:c r="N22" s="289"/>
      <x:c r="O22" s="289"/>
      <x:c r="P22" s="289"/>
      <x:c r="Q22" s="289"/>
      <x:c r="R22" s="289"/>
    </x:row>
    <x:row r="23">
      <x:c r="A23" s="205"/>
      <x:c r="B23" s="206"/>
      <x:c r="C23" s="206"/>
      <x:c r="D23" s="206"/>
      <x:c r="E23" s="206"/>
      <x:c r="F23" s="207"/>
      <x:c r="G23" s="289"/>
      <x:c r="H23" s="289"/>
      <x:c r="I23" s="289"/>
      <x:c r="J23" s="289"/>
      <x:c r="K23" s="289"/>
      <x:c r="L23" s="289"/>
      <x:c r="M23" s="289"/>
      <x:c r="N23" s="289"/>
      <x:c r="O23" s="289"/>
      <x:c r="P23" s="289"/>
      <x:c r="Q23" s="289"/>
      <x:c r="R23" s="289"/>
    </x:row>
  </x:sheetData>
  <x:mergeCells>
    <x:mergeCell ref="A1:R1"/>
    <x:mergeCell ref="A2:R2"/>
    <x:mergeCell ref="A14:F23"/>
  </x:mergeCells>
  <x:pageMargins left="0.7" right="0.7" top="0.75" bottom="0.75" header="0.3" footer="0.3"/>
  <x:drawing xmlns:r="http://schemas.openxmlformats.org/officeDocument/2006/relationships" r:id="R4b091cfa535f40f8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3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3" hidden="0" customWidth="1"/>
  </x:cols>
  <x:sheetData>
    <x:row r="1" ht="34" customHeight="1">
      <x:c r="A1" s="3" t="str">
        <x:v>高價值核心站明細（88站）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8" customHeight="1">
      <x:c r="A2" s="7" t="str">
        <x:v>核心＝基準期總變動排名前373且尖峰失衡率排名前373。資料注意欄不代表已確認異常，只表示要先人工複核。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</x:row>
    <x:row r="4" ht="42" customHeight="1">
      <x:c r="A4" s="135" t="str">
        <x:v>失衡排名</x:v>
      </x:c>
      <x:c r="B4" s="135" t="str">
        <x:v>活動排名</x:v>
      </x:c>
      <x:c r="C4" s="135" t="str">
        <x:v>站點</x:v>
      </x:c>
      <x:c r="D4" s="135" t="str">
        <x:v>行政區</x:v>
      </x:c>
      <x:c r="E4" s="135" t="str">
        <x:v>容量</x:v>
      </x:c>
      <x:c r="F4" s="135" t="str">
        <x:v>基準活動/日</x:v>
      </x:c>
      <x:c r="G4" s="135" t="str">
        <x:v>基準尖峰失衡率</x:v>
      </x:c>
      <x:c r="H4" s="135" t="str">
        <x:v>五月活動/日</x:v>
      </x:c>
      <x:c r="I4" s="135" t="str">
        <x:v>五月尖峰失衡率</x:v>
      </x:c>
      <x:c r="J4" s="135" t="str">
        <x:v>五月尖峰失衡快照</x:v>
      </x:c>
      <x:c r="K4" s="135" t="str">
        <x:v>五月持續事件</x:v>
      </x:c>
      <x:c r="L4" s="135" t="str">
        <x:v>五月失衡分鐘</x:v>
      </x:c>
      <x:c r="M4" s="135" t="str">
        <x:v>資料注意</x:v>
      </x:c>
    </x:row>
    <x:row r="5" ht="28" customHeight="1">
      <x:c r="A5" s="140" t="n">
        <x:v>21</x:v>
      </x:c>
      <x:c r="B5" s="140" t="n">
        <x:v>168</x:v>
      </x:c>
      <x:c r="C5" s="140" t="str">
        <x:v>興華公園</x:v>
      </x:c>
      <x:c r="D5" s="140" t="str">
        <x:v>三重區</x:v>
      </x:c>
      <x:c r="E5" s="140" t="n">
        <x:v>45</x:v>
      </x:c>
      <x:c r="F5" s="278" t="n">
        <x:v>101.43333333333334</x:v>
      </x:c>
      <x:c r="G5" s="239" t="n">
        <x:v>0.2148809523809524</x:v>
      </x:c>
      <x:c r="H5" s="278" t="n">
        <x:v>0</x:v>
      </x:c>
      <x:c r="I5" s="239" t="n">
        <x:v>1</x:v>
      </x:c>
      <x:c r="J5" s="140" t="n">
        <x:v>434</x:v>
      </x:c>
      <x:c r="K5" s="140" t="n">
        <x:v>1</x:v>
      </x:c>
      <x:c r="L5" s="140" t="n">
        <x:v>44640</x:v>
      </x:c>
      <x:c r="M5" s="140" t="str">
        <x:v>五月零活動，先查停用／資料狀態</x:v>
      </x:c>
    </x:row>
    <x:row r="6" ht="28" customHeight="1">
      <x:c r="A6" s="139" t="n">
        <x:v>23</x:v>
      </x:c>
      <x:c r="B6" s="139" t="n">
        <x:v>117</x:v>
      </x:c>
      <x:c r="C6" s="139" t="str">
        <x:v>捷運頂溪站(2號出口)</x:v>
      </x:c>
      <x:c r="D6" s="139" t="str">
        <x:v>永和區</x:v>
      </x:c>
      <x:c r="E6" s="139" t="n">
        <x:v>15</x:v>
      </x:c>
      <x:c r="F6" s="279" t="n">
        <x:v>114.28333333333332</x:v>
      </x:c>
      <x:c r="G6" s="240" t="n">
        <x:v>0.2130952380952381</x:v>
      </x:c>
      <x:c r="H6" s="279" t="n">
        <x:v>127.5483870967742</x:v>
      </x:c>
      <x:c r="I6" s="240" t="n">
        <x:v>0.1912442396313364</x:v>
      </x:c>
      <x:c r="J6" s="139" t="n">
        <x:v>83</x:v>
      </x:c>
      <x:c r="K6" s="139" t="n">
        <x:v>61</x:v>
      </x:c>
      <x:c r="L6" s="139" t="n">
        <x:v>9120</x:v>
      </x:c>
      <x:c r="M6" s="139" t="str"/>
    </x:row>
    <x:row r="7" ht="28" customHeight="1">
      <x:c r="A7" s="140" t="n">
        <x:v>27</x:v>
      </x:c>
      <x:c r="B7" s="140" t="n">
        <x:v>100</x:v>
      </x:c>
      <x:c r="C7" s="140" t="str">
        <x:v>捷運三和國中站(2號出口)</x:v>
      </x:c>
      <x:c r="D7" s="140" t="str">
        <x:v>三重區</x:v>
      </x:c>
      <x:c r="E7" s="140" t="n">
        <x:v>17</x:v>
      </x:c>
      <x:c r="F7" s="278" t="n">
        <x:v>125.71666666666668</x:v>
      </x:c>
      <x:c r="G7" s="239" t="n">
        <x:v>0.2111244019138756</x:v>
      </x:c>
      <x:c r="H7" s="278" t="n">
        <x:v>134.38709677419354</x:v>
      </x:c>
      <x:c r="I7" s="239" t="n">
        <x:v>0.26036866359447</x:v>
      </x:c>
      <x:c r="J7" s="140" t="n">
        <x:v>113</x:v>
      </x:c>
      <x:c r="K7" s="140" t="n">
        <x:v>64</x:v>
      </x:c>
      <x:c r="L7" s="140" t="n">
        <x:v>9240</x:v>
      </x:c>
      <x:c r="M7" s="140" t="str"/>
    </x:row>
    <x:row r="8" ht="28" customHeight="1">
      <x:c r="A8" s="139" t="n">
        <x:v>28</x:v>
      </x:c>
      <x:c r="B8" s="139" t="n">
        <x:v>228</x:v>
      </x:c>
      <x:c r="C8" s="139" t="str">
        <x:v>捷運江子翠站(2號出口)</x:v>
      </x:c>
      <x:c r="D8" s="139" t="str">
        <x:v>板橋區</x:v>
      </x:c>
      <x:c r="E8" s="139" t="n">
        <x:v>26</x:v>
      </x:c>
      <x:c r="F8" s="279" t="n">
        <x:v>89.43333333333334</x:v>
      </x:c>
      <x:c r="G8" s="240" t="n">
        <x:v>0.2071428571428571</x:v>
      </x:c>
      <x:c r="H8" s="279" t="n">
        <x:v>97.90322580645162</x:v>
      </x:c>
      <x:c r="I8" s="240" t="n">
        <x:v>0.2119815668202765</x:v>
      </x:c>
      <x:c r="J8" s="139" t="n">
        <x:v>92</x:v>
      </x:c>
      <x:c r="K8" s="139" t="n">
        <x:v>81</x:v>
      </x:c>
      <x:c r="L8" s="139" t="n">
        <x:v>9450</x:v>
      </x:c>
      <x:c r="M8" s="139" t="str"/>
    </x:row>
    <x:row r="9" ht="28" customHeight="1">
      <x:c r="A9" s="140" t="n">
        <x:v>30</x:v>
      </x:c>
      <x:c r="B9" s="140" t="n">
        <x:v>145</x:v>
      </x:c>
      <x:c r="C9" s="140" t="str">
        <x:v>文德新海路口</x:v>
      </x:c>
      <x:c r="D9" s="140" t="str">
        <x:v>板橋區</x:v>
      </x:c>
      <x:c r="E9" s="140" t="n">
        <x:v>18</x:v>
      </x:c>
      <x:c r="F9" s="278" t="n">
        <x:v>106.95</x:v>
      </x:c>
      <x:c r="G9" s="239" t="n">
        <x:v>0.2041666666666666</x:v>
      </x:c>
      <x:c r="H9" s="278" t="n">
        <x:v>124.51612903225806</x:v>
      </x:c>
      <x:c r="I9" s="239" t="n">
        <x:v>0.2235023041474654</x:v>
      </x:c>
      <x:c r="J9" s="140" t="n">
        <x:v>97</x:v>
      </x:c>
      <x:c r="K9" s="140" t="n">
        <x:v>39</x:v>
      </x:c>
      <x:c r="L9" s="140" t="n">
        <x:v>6270</x:v>
      </x:c>
      <x:c r="M9" s="140" t="str"/>
    </x:row>
    <x:row r="10" ht="28" customHeight="1">
      <x:c r="A10" s="139" t="n">
        <x:v>31</x:v>
      </x:c>
      <x:c r="B10" s="139" t="n">
        <x:v>364</x:v>
      </x:c>
      <x:c r="C10" s="139" t="str">
        <x:v>覺明寺(豐年街53巷)</x:v>
      </x:c>
      <x:c r="D10" s="139" t="str">
        <x:v>新莊區</x:v>
      </x:c>
      <x:c r="E10" s="139" t="n">
        <x:v>11</x:v>
      </x:c>
      <x:c r="F10" s="279" t="n">
        <x:v>75.34166666666667</x:v>
      </x:c>
      <x:c r="G10" s="240" t="n">
        <x:v>0.2035714285714285</x:v>
      </x:c>
      <x:c r="H10" s="279" t="n">
        <x:v>92.7741935483871</x:v>
      </x:c>
      <x:c r="I10" s="240" t="n">
        <x:v>0.2350230414746544</x:v>
      </x:c>
      <x:c r="J10" s="139" t="n">
        <x:v>102</x:v>
      </x:c>
      <x:c r="K10" s="139" t="n">
        <x:v>37</x:v>
      </x:c>
      <x:c r="L10" s="139" t="n">
        <x:v>5760</x:v>
      </x:c>
      <x:c r="M10" s="139" t="str"/>
    </x:row>
    <x:row r="11" ht="28" customHeight="1">
      <x:c r="A11" s="140" t="n">
        <x:v>33</x:v>
      </x:c>
      <x:c r="B11" s="140" t="n">
        <x:v>355</x:v>
      </x:c>
      <x:c r="C11" s="140" t="str">
        <x:v>捷運江子翠站(6號出口)</x:v>
      </x:c>
      <x:c r="D11" s="140" t="str">
        <x:v>板橋區</x:v>
      </x:c>
      <x:c r="E11" s="140" t="n">
        <x:v>22</x:v>
      </x:c>
      <x:c r="F11" s="278" t="n">
        <x:v>75.71666666666667</x:v>
      </x:c>
      <x:c r="G11" s="239" t="n">
        <x:v>0.2029761904761904</x:v>
      </x:c>
      <x:c r="H11" s="278" t="n">
        <x:v>96</x:v>
      </x:c>
      <x:c r="I11" s="239" t="n">
        <x:v>0.2304147465437788</x:v>
      </x:c>
      <x:c r="J11" s="140" t="n">
        <x:v>100</x:v>
      </x:c>
      <x:c r="K11" s="140" t="n">
        <x:v>81</x:v>
      </x:c>
      <x:c r="L11" s="140" t="n">
        <x:v>9660</x:v>
      </x:c>
      <x:c r="M11" s="140" t="str"/>
    </x:row>
    <x:row r="12" ht="28" customHeight="1">
      <x:c r="A12" s="139" t="n">
        <x:v>39</x:v>
      </x:c>
      <x:c r="B12" s="139" t="n">
        <x:v>303</x:v>
      </x:c>
      <x:c r="C12" s="139" t="str">
        <x:v>捷運新埔站(3號出口)</x:v>
      </x:c>
      <x:c r="D12" s="139" t="str">
        <x:v>板橋區</x:v>
      </x:c>
      <x:c r="E12" s="139" t="n">
        <x:v>20</x:v>
      </x:c>
      <x:c r="F12" s="279" t="n">
        <x:v>80.40833333333333</x:v>
      </x:c>
      <x:c r="G12" s="240" t="n">
        <x:v>0.194047619047619</x:v>
      </x:c>
      <x:c r="H12" s="279" t="n">
        <x:v>103.90322580645162</x:v>
      </x:c>
      <x:c r="I12" s="240" t="n">
        <x:v>0.1981566820276497</x:v>
      </x:c>
      <x:c r="J12" s="139" t="n">
        <x:v>86</x:v>
      </x:c>
      <x:c r="K12" s="139" t="n">
        <x:v>66</x:v>
      </x:c>
      <x:c r="L12" s="139" t="n">
        <x:v>8550</x:v>
      </x:c>
      <x:c r="M12" s="139" t="str"/>
    </x:row>
    <x:row r="13" ht="28" customHeight="1">
      <x:c r="A13" s="140" t="n">
        <x:v>45</x:v>
      </x:c>
      <x:c r="B13" s="140" t="n">
        <x:v>337</x:v>
      </x:c>
      <x:c r="C13" s="140" t="str">
        <x:v>飛駝二村</x:v>
      </x:c>
      <x:c r="D13" s="140" t="str">
        <x:v>中和區</x:v>
      </x:c>
      <x:c r="E13" s="140" t="n">
        <x:v>11</x:v>
      </x:c>
      <x:c r="F13" s="278" t="n">
        <x:v>77.425</x:v>
      </x:c>
      <x:c r="G13" s="239" t="n">
        <x:v>0.1833333333333333</x:v>
      </x:c>
      <x:c r="H13" s="278" t="n">
        <x:v>90.48387096774194</x:v>
      </x:c>
      <x:c r="I13" s="239" t="n">
        <x:v>0.1912442396313364</x:v>
      </x:c>
      <x:c r="J13" s="140" t="n">
        <x:v>83</x:v>
      </x:c>
      <x:c r="K13" s="140" t="n">
        <x:v>41</x:v>
      </x:c>
      <x:c r="L13" s="140" t="n">
        <x:v>6570</x:v>
      </x:c>
      <x:c r="M13" s="140" t="str"/>
    </x:row>
    <x:row r="14" ht="28" customHeight="1">
      <x:c r="A14" s="139" t="n">
        <x:v>48</x:v>
      </x:c>
      <x:c r="B14" s="139" t="n">
        <x:v>349</x:v>
      </x:c>
      <x:c r="C14" s="139" t="str">
        <x:v>捷運淡水站(中正鼻頭街口)</x:v>
      </x:c>
      <x:c r="D14" s="139" t="str">
        <x:v>淡水區</x:v>
      </x:c>
      <x:c r="E14" s="139" t="n">
        <x:v>14</x:v>
      </x:c>
      <x:c r="F14" s="279" t="n">
        <x:v>76.6</x:v>
      </x:c>
      <x:c r="G14" s="240" t="n">
        <x:v>0.1827380952380952</x:v>
      </x:c>
      <x:c r="H14" s="279" t="n">
        <x:v>102.25806451612904</x:v>
      </x:c>
      <x:c r="I14" s="240" t="n">
        <x:v>0.2050691244239631</x:v>
      </x:c>
      <x:c r="J14" s="139" t="n">
        <x:v>89</x:v>
      </x:c>
      <x:c r="K14" s="139" t="n">
        <x:v>53</x:v>
      </x:c>
      <x:c r="L14" s="139" t="n">
        <x:v>8160</x:v>
      </x:c>
      <x:c r="M14" s="139" t="str"/>
    </x:row>
    <x:row r="15" ht="28" customHeight="1">
      <x:c r="A15" s="140" t="n">
        <x:v>54</x:v>
      </x:c>
      <x:c r="B15" s="140" t="n">
        <x:v>40</x:v>
      </x:c>
      <x:c r="C15" s="140" t="str">
        <x:v>師大林口校區誠樓前</x:v>
      </x:c>
      <x:c r="D15" s="140" t="str">
        <x:v>林口區</x:v>
      </x:c>
      <x:c r="E15" s="140" t="n">
        <x:v>29</x:v>
      </x:c>
      <x:c r="F15" s="278" t="n">
        <x:v>174.83333333333334</x:v>
      </x:c>
      <x:c r="G15" s="239" t="n">
        <x:v>0.175595238095238</x:v>
      </x:c>
      <x:c r="H15" s="278" t="n">
        <x:v>201.3548387096774</x:v>
      </x:c>
      <x:c r="I15" s="239" t="n">
        <x:v>0.0921658986175115</x:v>
      </x:c>
      <x:c r="J15" s="140" t="n">
        <x:v>40</x:v>
      </x:c>
      <x:c r="K15" s="140" t="n">
        <x:v>18</x:v>
      </x:c>
      <x:c r="L15" s="140" t="n">
        <x:v>3090</x:v>
      </x:c>
      <x:c r="M15" s="140" t="str"/>
    </x:row>
    <x:row r="16" ht="28" customHeight="1">
      <x:c r="A16" s="139" t="n">
        <x:v>71</x:v>
      </x:c>
      <x:c r="B16" s="139" t="n">
        <x:v>314</x:v>
      </x:c>
      <x:c r="C16" s="139" t="str">
        <x:v>溪尾街196巷/仁美街口</x:v>
      </x:c>
      <x:c r="D16" s="139" t="str">
        <x:v>三重區</x:v>
      </x:c>
      <x:c r="E16" s="139" t="n">
        <x:v>18</x:v>
      </x:c>
      <x:c r="F16" s="279" t="n">
        <x:v>79.05833333333334</x:v>
      </x:c>
      <x:c r="G16" s="240" t="n">
        <x:v>0.156547619047619</x:v>
      </x:c>
      <x:c r="H16" s="279" t="n">
        <x:v>100.16129032258064</x:v>
      </x:c>
      <x:c r="I16" s="240" t="n">
        <x:v>0.1635944700460829</x:v>
      </x:c>
      <x:c r="J16" s="139" t="n">
        <x:v>71</x:v>
      </x:c>
      <x:c r="K16" s="139" t="n">
        <x:v>38</x:v>
      </x:c>
      <x:c r="L16" s="139" t="n">
        <x:v>4890</x:v>
      </x:c>
      <x:c r="M16" s="139" t="str"/>
    </x:row>
    <x:row r="17" ht="28" customHeight="1">
      <x:c r="A17" s="140" t="n">
        <x:v>76</x:v>
      </x:c>
      <x:c r="B17" s="140" t="n">
        <x:v>97</x:v>
      </x:c>
      <x:c r="C17" s="140" t="str">
        <x:v>致理科技大學</x:v>
      </x:c>
      <x:c r="D17" s="140" t="str">
        <x:v>板橋區</x:v>
      </x:c>
      <x:c r="E17" s="140" t="n">
        <x:v>31</x:v>
      </x:c>
      <x:c r="F17" s="278" t="n">
        <x:v>126.71666666666668</x:v>
      </x:c>
      <x:c r="G17" s="239" t="n">
        <x:v>0.1535714285714285</x:v>
      </x:c>
      <x:c r="H17" s="278" t="n">
        <x:v>154.93548387096774</x:v>
      </x:c>
      <x:c r="I17" s="239" t="n">
        <x:v>0.1359447004608295</x:v>
      </x:c>
      <x:c r="J17" s="140" t="n">
        <x:v>59</x:v>
      </x:c>
      <x:c r="K17" s="140" t="n">
        <x:v>28</x:v>
      </x:c>
      <x:c r="L17" s="140" t="n">
        <x:v>3570</x:v>
      </x:c>
      <x:c r="M17" s="140" t="str"/>
    </x:row>
    <x:row r="18" ht="28" customHeight="1">
      <x:c r="A18" s="139" t="n">
        <x:v>83</x:v>
      </x:c>
      <x:c r="B18" s="139" t="n">
        <x:v>282</x:v>
      </x:c>
      <x:c r="C18" s="139" t="str">
        <x:v>中山路二段90巷</x:v>
      </x:c>
      <x:c r="D18" s="139" t="str">
        <x:v>板橋區</x:v>
      </x:c>
      <x:c r="E18" s="139" t="n">
        <x:v>13</x:v>
      </x:c>
      <x:c r="F18" s="279" t="n">
        <x:v>83.04166666666667</x:v>
      </x:c>
      <x:c r="G18" s="240" t="n">
        <x:v>0.1494047619047619</x:v>
      </x:c>
      <x:c r="H18" s="279" t="n">
        <x:v>99.41935483870968</x:v>
      </x:c>
      <x:c r="I18" s="240" t="n">
        <x:v>0.1497695852534562</x:v>
      </x:c>
      <x:c r="J18" s="139" t="n">
        <x:v>65</x:v>
      </x:c>
      <x:c r="K18" s="139" t="n">
        <x:v>27</x:v>
      </x:c>
      <x:c r="L18" s="139" t="n">
        <x:v>4950</x:v>
      </x:c>
      <x:c r="M18" s="139" t="str"/>
    </x:row>
    <x:row r="19" ht="28" customHeight="1">
      <x:c r="A19" s="140" t="n">
        <x:v>92</x:v>
      </x:c>
      <x:c r="B19" s="140" t="n">
        <x:v>96</x:v>
      </x:c>
      <x:c r="C19" s="140" t="str">
        <x:v>浮洲合宜住宅(樂群路)</x:v>
      </x:c>
      <x:c r="D19" s="140" t="str">
        <x:v>板橋區</x:v>
      </x:c>
      <x:c r="E19" s="140" t="n">
        <x:v>48</x:v>
      </x:c>
      <x:c r="F19" s="278" t="n">
        <x:v>128.26666666666668</x:v>
      </x:c>
      <x:c r="G19" s="239" t="n">
        <x:v>0.1452380952380952</x:v>
      </x:c>
      <x:c r="H19" s="278" t="n">
        <x:v>156.67741935483872</x:v>
      </x:c>
      <x:c r="I19" s="239" t="n">
        <x:v>0.1635944700460829</x:v>
      </x:c>
      <x:c r="J19" s="140" t="n">
        <x:v>71</x:v>
      </x:c>
      <x:c r="K19" s="140" t="n">
        <x:v>35</x:v>
      </x:c>
      <x:c r="L19" s="140" t="n">
        <x:v>4980</x:v>
      </x:c>
      <x:c r="M19" s="140" t="str"/>
    </x:row>
    <x:row r="20" ht="28" customHeight="1">
      <x:c r="A20" s="139" t="n">
        <x:v>96</x:v>
      </x:c>
      <x:c r="B20" s="139" t="n">
        <x:v>67</x:v>
      </x:c>
      <x:c r="C20" s="139" t="str">
        <x:v>清和里(青雲路)</x:v>
      </x:c>
      <x:c r="D20" s="139" t="str">
        <x:v>土城區</x:v>
      </x:c>
      <x:c r="E20" s="139" t="n">
        <x:v>37</x:v>
      </x:c>
      <x:c r="F20" s="279" t="n">
        <x:v>147.00833333333333</x:v>
      </x:c>
      <x:c r="G20" s="240" t="n">
        <x:v>0.1428571428571428</x:v>
      </x:c>
      <x:c r="H20" s="279" t="n">
        <x:v>153.4193548387097</x:v>
      </x:c>
      <x:c r="I20" s="240" t="n">
        <x:v>0.1382488479262673</x:v>
      </x:c>
      <x:c r="J20" s="139" t="n">
        <x:v>60</x:v>
      </x:c>
      <x:c r="K20" s="139" t="n">
        <x:v>24</x:v>
      </x:c>
      <x:c r="L20" s="139" t="n">
        <x:v>3090</x:v>
      </x:c>
      <x:c r="M20" s="139" t="str"/>
    </x:row>
    <x:row r="21" ht="28" customHeight="1">
      <x:c r="A21" s="140" t="n">
        <x:v>99</x:v>
      </x:c>
      <x:c r="B21" s="140" t="n">
        <x:v>239</x:v>
      </x:c>
      <x:c r="C21" s="140" t="str">
        <x:v>中正路145巷口</x:v>
      </x:c>
      <x:c r="D21" s="140" t="str">
        <x:v>板橋區</x:v>
      </x:c>
      <x:c r="E21" s="140" t="n">
        <x:v>18</x:v>
      </x:c>
      <x:c r="F21" s="278" t="n">
        <x:v>88.31666666666666</x:v>
      </x:c>
      <x:c r="G21" s="239" t="n">
        <x:v>0.1416666666666666</x:v>
      </x:c>
      <x:c r="H21" s="278" t="n">
        <x:v>109.4516129032258</x:v>
      </x:c>
      <x:c r="I21" s="239" t="n">
        <x:v>0.1797235023041474</x:v>
      </x:c>
      <x:c r="J21" s="140" t="n">
        <x:v>78</x:v>
      </x:c>
      <x:c r="K21" s="140" t="n">
        <x:v>30</x:v>
      </x:c>
      <x:c r="L21" s="140" t="n">
        <x:v>4440</x:v>
      </x:c>
      <x:c r="M21" s="140" t="str"/>
    </x:row>
    <x:row r="22" ht="28" customHeight="1">
      <x:c r="A22" s="139" t="n">
        <x:v>108</x:v>
      </x:c>
      <x:c r="B22" s="139" t="n">
        <x:v>244</x:v>
      </x:c>
      <x:c r="C22" s="139" t="str">
        <x:v>港德攤集區(中正路236巷)</x:v>
      </x:c>
      <x:c r="D22" s="139" t="str">
        <x:v>板橋區</x:v>
      </x:c>
      <x:c r="E22" s="139" t="n">
        <x:v>20</x:v>
      </x:c>
      <x:c r="F22" s="279" t="n">
        <x:v>87.64835164835165</x:v>
      </x:c>
      <x:c r="G22" s="240" t="n">
        <x:v>0.1357927786499215</x:v>
      </x:c>
      <x:c r="H22" s="279" t="n">
        <x:v>119.16129032258064</x:v>
      </x:c>
      <x:c r="I22" s="240" t="n">
        <x:v>0.1313364055299539</x:v>
      </x:c>
      <x:c r="J22" s="139" t="n">
        <x:v>57</x:v>
      </x:c>
      <x:c r="K22" s="139" t="n">
        <x:v>38</x:v>
      </x:c>
      <x:c r="L22" s="139" t="n">
        <x:v>5310</x:v>
      </x:c>
      <x:c r="M22" s="139" t="str"/>
    </x:row>
    <x:row r="23" ht="28" customHeight="1">
      <x:c r="A23" s="140" t="n">
        <x:v>112</x:v>
      </x:c>
      <x:c r="B23" s="140" t="n">
        <x:v>271</x:v>
      </x:c>
      <x:c r="C23" s="140" t="str">
        <x:v>光復高中</x:v>
      </x:c>
      <x:c r="D23" s="140" t="str">
        <x:v>板橋區</x:v>
      </x:c>
      <x:c r="E23" s="140" t="n">
        <x:v>37</x:v>
      </x:c>
      <x:c r="F23" s="278" t="n">
        <x:v>84.1311475409836</x:v>
      </x:c>
      <x:c r="G23" s="239" t="n">
        <x:v>0.1334894613583138</x:v>
      </x:c>
      <x:c r="H23" s="278" t="n">
        <x:v>86.12903225806451</x:v>
      </x:c>
      <x:c r="I23" s="239" t="n">
        <x:v>0.1336405529953917</x:v>
      </x:c>
      <x:c r="J23" s="140" t="n">
        <x:v>58</x:v>
      </x:c>
      <x:c r="K23" s="140" t="n">
        <x:v>23</x:v>
      </x:c>
      <x:c r="L23" s="140" t="n">
        <x:v>2430</x:v>
      </x:c>
      <x:c r="M23" s="140" t="str"/>
    </x:row>
    <x:row r="24" ht="28" customHeight="1">
      <x:c r="A24" s="139" t="n">
        <x:v>119</x:v>
      </x:c>
      <x:c r="B24" s="139" t="n">
        <x:v>348</x:v>
      </x:c>
      <x:c r="C24" s="139" t="str">
        <x:v>文化路一段212巷口</x:v>
      </x:c>
      <x:c r="D24" s="139" t="str">
        <x:v>板橋區</x:v>
      </x:c>
      <x:c r="E24" s="139" t="n">
        <x:v>20</x:v>
      </x:c>
      <x:c r="F24" s="279" t="n">
        <x:v>76.65</x:v>
      </x:c>
      <x:c r="G24" s="240" t="n">
        <x:v>0.1303571428571428</x:v>
      </x:c>
      <x:c r="H24" s="279" t="n">
        <x:v>105.48387096774194</x:v>
      </x:c>
      <x:c r="I24" s="240" t="n">
        <x:v>0.140552995391705</x:v>
      </x:c>
      <x:c r="J24" s="139" t="n">
        <x:v>61</x:v>
      </x:c>
      <x:c r="K24" s="139" t="n">
        <x:v>34</x:v>
      </x:c>
      <x:c r="L24" s="139" t="n">
        <x:v>4740</x:v>
      </x:c>
      <x:c r="M24" s="139" t="str"/>
    </x:row>
    <x:row r="25" ht="28" customHeight="1">
      <x:c r="A25" s="140" t="n">
        <x:v>122</x:v>
      </x:c>
      <x:c r="B25" s="140" t="n">
        <x:v>123</x:v>
      </x:c>
      <x:c r="C25" s="140" t="str">
        <x:v>仁愛路40巷口</x:v>
      </x:c>
      <x:c r="D25" s="140" t="str">
        <x:v>永和區</x:v>
      </x:c>
      <x:c r="E25" s="140" t="n">
        <x:v>23</x:v>
      </x:c>
      <x:c r="F25" s="278" t="n">
        <x:v>112.85</x:v>
      </x:c>
      <x:c r="G25" s="239" t="n">
        <x:v>0.1297619047619047</x:v>
      </x:c>
      <x:c r="H25" s="278" t="n">
        <x:v>137.7741935483871</x:v>
      </x:c>
      <x:c r="I25" s="239" t="n">
        <x:v>0.1152073732718894</x:v>
      </x:c>
      <x:c r="J25" s="140" t="n">
        <x:v>50</x:v>
      </x:c>
      <x:c r="K25" s="140" t="n">
        <x:v>53</x:v>
      </x:c>
      <x:c r="L25" s="140" t="n">
        <x:v>6630</x:v>
      </x:c>
      <x:c r="M25" s="140" t="str"/>
    </x:row>
    <x:row r="26" ht="28" customHeight="1">
      <x:c r="A26" s="139" t="n">
        <x:v>125</x:v>
      </x:c>
      <x:c r="B26" s="139" t="n">
        <x:v>162</x:v>
      </x:c>
      <x:c r="C26" s="139" t="str">
        <x:v>廣福派出所</x:v>
      </x:c>
      <x:c r="D26" s="139" t="str">
        <x:v>土城區</x:v>
      </x:c>
      <x:c r="E26" s="139" t="n">
        <x:v>43</x:v>
      </x:c>
      <x:c r="F26" s="279" t="n">
        <x:v>103.34166666666668</x:v>
      </x:c>
      <x:c r="G26" s="240" t="n">
        <x:v>0.1273809523809523</x:v>
      </x:c>
      <x:c r="H26" s="279" t="n">
        <x:v>134.4516129032258</x:v>
      </x:c>
      <x:c r="I26" s="240" t="n">
        <x:v>0.1198156682027649</x:v>
      </x:c>
      <x:c r="J26" s="139" t="n">
        <x:v>52</x:v>
      </x:c>
      <x:c r="K26" s="139" t="n">
        <x:v>26</x:v>
      </x:c>
      <x:c r="L26" s="139" t="n">
        <x:v>3210</x:v>
      </x:c>
      <x:c r="M26" s="139" t="str"/>
    </x:row>
    <x:row r="27" ht="28" customHeight="1">
      <x:c r="A27" s="140" t="n">
        <x:v>140</x:v>
      </x:c>
      <x:c r="B27" s="140" t="n">
        <x:v>259</x:v>
      </x:c>
      <x:c r="C27" s="140" t="str">
        <x:v>華夏科技大學(華新街)</x:v>
      </x:c>
      <x:c r="D27" s="140" t="str">
        <x:v>中和區</x:v>
      </x:c>
      <x:c r="E27" s="140" t="n">
        <x:v>16</x:v>
      </x:c>
      <x:c r="F27" s="278" t="n">
        <x:v>85.75</x:v>
      </x:c>
      <x:c r="G27" s="239" t="n">
        <x:v>0.1214285714285714</x:v>
      </x:c>
      <x:c r="H27" s="278" t="n">
        <x:v>101.51612903225806</x:v>
      </x:c>
      <x:c r="I27" s="239" t="n">
        <x:v>0.1382488479262673</x:v>
      </x:c>
      <x:c r="J27" s="140" t="n">
        <x:v>60</x:v>
      </x:c>
      <x:c r="K27" s="140" t="n">
        <x:v>43</x:v>
      </x:c>
      <x:c r="L27" s="140" t="n">
        <x:v>6210</x:v>
      </x:c>
      <x:c r="M27" s="140" t="str"/>
    </x:row>
    <x:row r="28" ht="28" customHeight="1">
      <x:c r="A28" s="139" t="n">
        <x:v>148</x:v>
      </x:c>
      <x:c r="B28" s="139" t="n">
        <x:v>295</x:v>
      </x:c>
      <x:c r="C28" s="139" t="str">
        <x:v>碧華公園(集勇街)</x:v>
      </x:c>
      <x:c r="D28" s="139" t="str">
        <x:v>三重區</x:v>
      </x:c>
      <x:c r="E28" s="139" t="n">
        <x:v>36</x:v>
      </x:c>
      <x:c r="F28" s="279" t="n">
        <x:v>81.85</x:v>
      </x:c>
      <x:c r="G28" s="240" t="n">
        <x:v>0.1184523809523809</x:v>
      </x:c>
      <x:c r="H28" s="279" t="n">
        <x:v>107.87096774193547</x:v>
      </x:c>
      <x:c r="I28" s="240" t="n">
        <x:v>0.0391705069124423</x:v>
      </x:c>
      <x:c r="J28" s="139" t="n">
        <x:v>17</x:v>
      </x:c>
      <x:c r="K28" s="139" t="n">
        <x:v>8</x:v>
      </x:c>
      <x:c r="L28" s="139" t="n">
        <x:v>1230</x:v>
      </x:c>
      <x:c r="M28" s="139" t="str"/>
    </x:row>
    <x:row r="29" ht="28" customHeight="1">
      <x:c r="A29" s="140" t="n">
        <x:v>156</x:v>
      </x:c>
      <x:c r="B29" s="140" t="n">
        <x:v>41</x:v>
      </x:c>
      <x:c r="C29" s="140" t="str">
        <x:v>中正民權路口</x:v>
      </x:c>
      <x:c r="D29" s="140" t="str">
        <x:v>新店區</x:v>
      </x:c>
      <x:c r="E29" s="140" t="n">
        <x:v>92</x:v>
      </x:c>
      <x:c r="F29" s="278" t="n">
        <x:v>173.8</x:v>
      </x:c>
      <x:c r="G29" s="239" t="n">
        <x:v>0.1166666666666666</x:v>
      </x:c>
      <x:c r="H29" s="278" t="n">
        <x:v>225.0967741935484</x:v>
      </x:c>
      <x:c r="I29" s="239" t="n">
        <x:v>0.1013824884792626</x:v>
      </x:c>
      <x:c r="J29" s="140" t="n">
        <x:v>44</x:v>
      </x:c>
      <x:c r="K29" s="140" t="n">
        <x:v>21</x:v>
      </x:c>
      <x:c r="L29" s="140" t="n">
        <x:v>2730</x:v>
      </x:c>
      <x:c r="M29" s="140" t="str"/>
    </x:row>
    <x:row r="30" ht="28" customHeight="1">
      <x:c r="A30" s="139" t="n">
        <x:v>162</x:v>
      </x:c>
      <x:c r="B30" s="139" t="n">
        <x:v>289</x:v>
      </x:c>
      <x:c r="C30" s="139" t="str">
        <x:v>板橋和平公園</x:v>
      </x:c>
      <x:c r="D30" s="139" t="str">
        <x:v>板橋區</x:v>
      </x:c>
      <x:c r="E30" s="139" t="n">
        <x:v>54</x:v>
      </x:c>
      <x:c r="F30" s="279" t="n">
        <x:v>82.43333333333334</x:v>
      </x:c>
      <x:c r="G30" s="240" t="n">
        <x:v>0.1136904761904761</x:v>
      </x:c>
      <x:c r="H30" s="279" t="n">
        <x:v>97.35483870967742</x:v>
      </x:c>
      <x:c r="I30" s="240" t="n">
        <x:v>0.1036866359447004</x:v>
      </x:c>
      <x:c r="J30" s="139" t="n">
        <x:v>45</x:v>
      </x:c>
      <x:c r="K30" s="139" t="n">
        <x:v>19</x:v>
      </x:c>
      <x:c r="L30" s="139" t="n">
        <x:v>2550</x:v>
      </x:c>
      <x:c r="M30" s="139" t="str"/>
    </x:row>
    <x:row r="31" ht="28" customHeight="1">
      <x:c r="A31" s="140" t="n">
        <x:v>169</x:v>
      </x:c>
      <x:c r="B31" s="140" t="n">
        <x:v>299</x:v>
      </x:c>
      <x:c r="C31" s="140" t="str">
        <x:v>莊敬公園</x:v>
      </x:c>
      <x:c r="D31" s="140" t="str">
        <x:v>板橋區</x:v>
      </x:c>
      <x:c r="E31" s="140" t="n">
        <x:v>50</x:v>
      </x:c>
      <x:c r="F31" s="278" t="n">
        <x:v>81.00833333333334</x:v>
      </x:c>
      <x:c r="G31" s="239" t="n">
        <x:v>0.1119047619047619</x:v>
      </x:c>
      <x:c r="H31" s="278" t="n">
        <x:v>93.3225806451613</x:v>
      </x:c>
      <x:c r="I31" s="239" t="n">
        <x:v>0.1221198156682027</x:v>
      </x:c>
      <x:c r="J31" s="140" t="n">
        <x:v>53</x:v>
      </x:c>
      <x:c r="K31" s="140" t="n">
        <x:v>32</x:v>
      </x:c>
      <x:c r="L31" s="140" t="n">
        <x:v>4230</x:v>
      </x:c>
      <x:c r="M31" s="140" t="str"/>
    </x:row>
    <x:row r="32" ht="28" customHeight="1">
      <x:c r="A32" s="139" t="n">
        <x:v>171</x:v>
      </x:c>
      <x:c r="B32" s="139" t="n">
        <x:v>362</x:v>
      </x:c>
      <x:c r="C32" s="139" t="str">
        <x:v>清水高中</x:v>
      </x:c>
      <x:c r="D32" s="139" t="str">
        <x:v>土城區</x:v>
      </x:c>
      <x:c r="E32" s="139" t="n">
        <x:v>46</x:v>
      </x:c>
      <x:c r="F32" s="279" t="n">
        <x:v>75.38333333333334</x:v>
      </x:c>
      <x:c r="G32" s="240" t="n">
        <x:v>0.1107142857142857</x:v>
      </x:c>
      <x:c r="H32" s="279" t="n">
        <x:v>101.48387096774194</x:v>
      </x:c>
      <x:c r="I32" s="240" t="n">
        <x:v>0.1036866359447004</x:v>
      </x:c>
      <x:c r="J32" s="139" t="n">
        <x:v>45</x:v>
      </x:c>
      <x:c r="K32" s="139" t="n">
        <x:v>14</x:v>
      </x:c>
      <x:c r="L32" s="139" t="n">
        <x:v>2100</x:v>
      </x:c>
      <x:c r="M32" s="139" t="str"/>
    </x:row>
    <x:row r="33" ht="28" customHeight="1">
      <x:c r="A33" s="140" t="n">
        <x:v>175</x:v>
      </x:c>
      <x:c r="B33" s="140" t="n">
        <x:v>296</x:v>
      </x:c>
      <x:c r="C33" s="140" t="str">
        <x:v>仁愛路306巷18弄口</x:v>
      </x:c>
      <x:c r="D33" s="140" t="str">
        <x:v>永和區</x:v>
      </x:c>
      <x:c r="E33" s="140" t="n">
        <x:v>13</x:v>
      </x:c>
      <x:c r="F33" s="278" t="n">
        <x:v>81.29166666666667</x:v>
      </x:c>
      <x:c r="G33" s="239" t="n">
        <x:v>0.1095238095238095</x:v>
      </x:c>
      <x:c r="H33" s="278" t="n">
        <x:v>96.96774193548389</x:v>
      </x:c>
      <x:c r="I33" s="239" t="n">
        <x:v>0.152073732718894</x:v>
      </x:c>
      <x:c r="J33" s="140" t="n">
        <x:v>66</x:v>
      </x:c>
      <x:c r="K33" s="140" t="n">
        <x:v>32</x:v>
      </x:c>
      <x:c r="L33" s="140" t="n">
        <x:v>5460</x:v>
      </x:c>
      <x:c r="M33" s="140" t="str"/>
    </x:row>
    <x:row r="34" ht="28" customHeight="1">
      <x:c r="A34" s="139" t="n">
        <x:v>180</x:v>
      </x:c>
      <x:c r="B34" s="139" t="n">
        <x:v>297</x:v>
      </x:c>
      <x:c r="C34" s="139" t="str">
        <x:v>南雅西路二段145巷</x:v>
      </x:c>
      <x:c r="D34" s="139" t="str">
        <x:v>板橋區</x:v>
      </x:c>
      <x:c r="E34" s="139" t="n">
        <x:v>18</x:v>
      </x:c>
      <x:c r="F34" s="279" t="n">
        <x:v>81.25</x:v>
      </x:c>
      <x:c r="G34" s="240" t="n">
        <x:v>0.1083333333333333</x:v>
      </x:c>
      <x:c r="H34" s="279" t="n">
        <x:v>103.70967741935485</x:v>
      </x:c>
      <x:c r="I34" s="240" t="n">
        <x:v>0.1036866359447004</x:v>
      </x:c>
      <x:c r="J34" s="139" t="n">
        <x:v>45</x:v>
      </x:c>
      <x:c r="K34" s="139" t="n">
        <x:v>22</x:v>
      </x:c>
      <x:c r="L34" s="139" t="n">
        <x:v>3060</x:v>
      </x:c>
      <x:c r="M34" s="139" t="str"/>
    </x:row>
    <x:row r="35" ht="28" customHeight="1">
      <x:c r="A35" s="140" t="n">
        <x:v>185</x:v>
      </x:c>
      <x:c r="B35" s="140" t="n">
        <x:v>143</x:v>
      </x:c>
      <x:c r="C35" s="140" t="str">
        <x:v>新莊田徑場</x:v>
      </x:c>
      <x:c r="D35" s="140" t="str">
        <x:v>新莊區</x:v>
      </x:c>
      <x:c r="E35" s="140" t="n">
        <x:v>42</x:v>
      </x:c>
      <x:c r="F35" s="278" t="n">
        <x:v>107.775</x:v>
      </x:c>
      <x:c r="G35" s="239" t="n">
        <x:v>0.1077380952380952</x:v>
      </x:c>
      <x:c r="H35" s="278" t="n">
        <x:v>141.03225806451613</x:v>
      </x:c>
      <x:c r="I35" s="239" t="n">
        <x:v>0.1797235023041474</x:v>
      </x:c>
      <x:c r="J35" s="140" t="n">
        <x:v>78</x:v>
      </x:c>
      <x:c r="K35" s="140" t="n">
        <x:v>28</x:v>
      </x:c>
      <x:c r="L35" s="140" t="n">
        <x:v>4470</x:v>
      </x:c>
      <x:c r="M35" s="140" t="str"/>
    </x:row>
    <x:row r="36" ht="28" customHeight="1">
      <x:c r="A36" s="139" t="n">
        <x:v>189</x:v>
      </x:c>
      <x:c r="B36" s="139" t="n">
        <x:v>342</x:v>
      </x:c>
      <x:c r="C36" s="139" t="str">
        <x:v>瓊泰市民活動中心</x:v>
      </x:c>
      <x:c r="D36" s="139" t="str">
        <x:v>新莊區</x:v>
      </x:c>
      <x:c r="E36" s="139" t="n">
        <x:v>15</x:v>
      </x:c>
      <x:c r="F36" s="279" t="n">
        <x:v>77.1</x:v>
      </x:c>
      <x:c r="G36" s="240" t="n">
        <x:v>0.106547619047619</x:v>
      </x:c>
      <x:c r="H36" s="279" t="n">
        <x:v>104.80645161290325</x:v>
      </x:c>
      <x:c r="I36" s="240" t="n">
        <x:v>0.1175115207373272</x:v>
      </x:c>
      <x:c r="J36" s="139" t="n">
        <x:v>51</x:v>
      </x:c>
      <x:c r="K36" s="139" t="n">
        <x:v>21</x:v>
      </x:c>
      <x:c r="L36" s="139" t="n">
        <x:v>2640</x:v>
      </x:c>
      <x:c r="M36" s="139" t="str"/>
    </x:row>
    <x:row r="37" ht="28" customHeight="1">
      <x:c r="A37" s="140" t="n">
        <x:v>191</x:v>
      </x:c>
      <x:c r="B37" s="140" t="n">
        <x:v>231</x:v>
      </x:c>
      <x:c r="C37" s="140" t="str">
        <x:v>民生中山路口</x:v>
      </x:c>
      <x:c r="D37" s="140" t="str">
        <x:v>板橋區</x:v>
      </x:c>
      <x:c r="E37" s="140" t="n">
        <x:v>29</x:v>
      </x:c>
      <x:c r="F37" s="278" t="n">
        <x:v>89.04166666666667</x:v>
      </x:c>
      <x:c r="G37" s="239" t="n">
        <x:v>0.106547619047619</x:v>
      </x:c>
      <x:c r="H37" s="278" t="n">
        <x:v>109.58064516129032</x:v>
      </x:c>
      <x:c r="I37" s="239" t="n">
        <x:v>0.1290322580645161</x:v>
      </x:c>
      <x:c r="J37" s="140" t="n">
        <x:v>56</x:v>
      </x:c>
      <x:c r="K37" s="140" t="n">
        <x:v>27</x:v>
      </x:c>
      <x:c r="L37" s="140" t="n">
        <x:v>3570</x:v>
      </x:c>
      <x:c r="M37" s="140" t="str"/>
    </x:row>
    <x:row r="38" ht="28" customHeight="1">
      <x:c r="A38" s="139" t="n">
        <x:v>192</x:v>
      </x:c>
      <x:c r="B38" s="139" t="n">
        <x:v>222</x:v>
      </x:c>
      <x:c r="C38" s="139" t="str">
        <x:v>埤墘公園</x:v>
      </x:c>
      <x:c r="D38" s="139" t="str">
        <x:v>板橋區</x:v>
      </x:c>
      <x:c r="E38" s="139" t="n">
        <x:v>37</x:v>
      </x:c>
      <x:c r="F38" s="279" t="n">
        <x:v>90.20833333333331</x:v>
      </x:c>
      <x:c r="G38" s="240" t="n">
        <x:v>0.106547619047619</x:v>
      </x:c>
      <x:c r="H38" s="279" t="n">
        <x:v>109.64516129032258</x:v>
      </x:c>
      <x:c r="I38" s="240" t="n">
        <x:v>0.1751152073732718</x:v>
      </x:c>
      <x:c r="J38" s="139" t="n">
        <x:v>76</x:v>
      </x:c>
      <x:c r="K38" s="139" t="n">
        <x:v>35</x:v>
      </x:c>
      <x:c r="L38" s="139" t="n">
        <x:v>4140</x:v>
      </x:c>
      <x:c r="M38" s="139" t="str"/>
    </x:row>
    <x:row r="39" ht="28" customHeight="1">
      <x:c r="A39" s="140" t="n">
        <x:v>194</x:v>
      </x:c>
      <x:c r="B39" s="140" t="n">
        <x:v>265</x:v>
      </x:c>
      <x:c r="C39" s="140" t="str">
        <x:v>中山國中</x:v>
      </x:c>
      <x:c r="D39" s="140" t="str">
        <x:v>板橋區</x:v>
      </x:c>
      <x:c r="E39" s="140" t="n">
        <x:v>34</x:v>
      </x:c>
      <x:c r="F39" s="278" t="n">
        <x:v>84.99166666666666</x:v>
      </x:c>
      <x:c r="G39" s="239" t="n">
        <x:v>0.1059523809523809</x:v>
      </x:c>
      <x:c r="H39" s="278" t="n">
        <x:v>112.03225806451611</x:v>
      </x:c>
      <x:c r="I39" s="239" t="n">
        <x:v>0.1290322580645161</x:v>
      </x:c>
      <x:c r="J39" s="140" t="n">
        <x:v>56</x:v>
      </x:c>
      <x:c r="K39" s="140" t="n">
        <x:v>24</x:v>
      </x:c>
      <x:c r="L39" s="140" t="n">
        <x:v>3330</x:v>
      </x:c>
      <x:c r="M39" s="140" t="str"/>
    </x:row>
    <x:row r="40" ht="28" customHeight="1">
      <x:c r="A40" s="139" t="n">
        <x:v>195</x:v>
      </x:c>
      <x:c r="B40" s="139" t="n">
        <x:v>360</x:v>
      </x:c>
      <x:c r="C40" s="139" t="str">
        <x:v>頂溪國小</x:v>
      </x:c>
      <x:c r="D40" s="139" t="str">
        <x:v>永和區</x:v>
      </x:c>
      <x:c r="E40" s="139" t="n">
        <x:v>44</x:v>
      </x:c>
      <x:c r="F40" s="279" t="n">
        <x:v>75.44166666666666</x:v>
      </x:c>
      <x:c r="G40" s="240" t="n">
        <x:v>0.1059523809523809</x:v>
      </x:c>
      <x:c r="H40" s="279" t="n">
        <x:v>98.48387096774194</x:v>
      </x:c>
      <x:c r="I40" s="240" t="n">
        <x:v>0.0852534562211981</x:v>
      </x:c>
      <x:c r="J40" s="139" t="n">
        <x:v>37</x:v>
      </x:c>
      <x:c r="K40" s="139" t="n">
        <x:v>21</x:v>
      </x:c>
      <x:c r="L40" s="139" t="n">
        <x:v>2610</x:v>
      </x:c>
      <x:c r="M40" s="139" t="str"/>
    </x:row>
    <x:row r="41" ht="28" customHeight="1">
      <x:c r="A41" s="140" t="n">
        <x:v>197</x:v>
      </x:c>
      <x:c r="B41" s="140" t="n">
        <x:v>267</x:v>
      </x:c>
      <x:c r="C41" s="140" t="str">
        <x:v>僑中二街92巷口</x:v>
      </x:c>
      <x:c r="D41" s="140" t="str">
        <x:v>板橋區</x:v>
      </x:c>
      <x:c r="E41" s="140" t="n">
        <x:v>21</x:v>
      </x:c>
      <x:c r="F41" s="278" t="n">
        <x:v>84.85</x:v>
      </x:c>
      <x:c r="G41" s="239" t="n">
        <x:v>0.1053571428571428</x:v>
      </x:c>
      <x:c r="H41" s="278" t="n">
        <x:v>113.06451612903226</x:v>
      </x:c>
      <x:c r="I41" s="239" t="n">
        <x:v>0.0299539170506912</x:v>
      </x:c>
      <x:c r="J41" s="140" t="n">
        <x:v>13</x:v>
      </x:c>
      <x:c r="K41" s="140" t="n">
        <x:v>8</x:v>
      </x:c>
      <x:c r="L41" s="140" t="n">
        <x:v>1350</x:v>
      </x:c>
      <x:c r="M41" s="140" t="str"/>
    </x:row>
    <x:row r="42" ht="28" customHeight="1">
      <x:c r="A42" s="139" t="n">
        <x:v>208</x:v>
      </x:c>
      <x:c r="B42" s="139" t="n">
        <x:v>227</x:v>
      </x:c>
      <x:c r="C42" s="139" t="str">
        <x:v>廣福國小</x:v>
      </x:c>
      <x:c r="D42" s="139" t="str">
        <x:v>土城區</x:v>
      </x:c>
      <x:c r="E42" s="139" t="n">
        <x:v>20</x:v>
      </x:c>
      <x:c r="F42" s="279" t="n">
        <x:v>89.48333333333333</x:v>
      </x:c>
      <x:c r="G42" s="240" t="n">
        <x:v>0.1029761904761904</x:v>
      </x:c>
      <x:c r="H42" s="279" t="n">
        <x:v>116.2258064516129</x:v>
      </x:c>
      <x:c r="I42" s="240" t="n">
        <x:v>0.1198156682027649</x:v>
      </x:c>
      <x:c r="J42" s="139" t="n">
        <x:v>52</x:v>
      </x:c>
      <x:c r="K42" s="139" t="n">
        <x:v>28</x:v>
      </x:c>
      <x:c r="L42" s="139" t="n">
        <x:v>4230</x:v>
      </x:c>
      <x:c r="M42" s="139" t="str"/>
    </x:row>
    <x:row r="43" ht="28" customHeight="1">
      <x:c r="A43" s="140" t="n">
        <x:v>211</x:v>
      </x:c>
      <x:c r="B43" s="140" t="n">
        <x:v>281</x:v>
      </x:c>
      <x:c r="C43" s="140" t="str">
        <x:v>昌盛橋</x:v>
      </x:c>
      <x:c r="D43" s="140" t="str">
        <x:v>新莊區</x:v>
      </x:c>
      <x:c r="E43" s="140" t="n">
        <x:v>20</x:v>
      </x:c>
      <x:c r="F43" s="278" t="n">
        <x:v>83.09166666666667</x:v>
      </x:c>
      <x:c r="G43" s="239" t="n">
        <x:v>0.1023809523809523</x:v>
      </x:c>
      <x:c r="H43" s="278" t="n">
        <x:v>110.64516129032258</x:v>
      </x:c>
      <x:c r="I43" s="239" t="n">
        <x:v>0.1129032258064516</x:v>
      </x:c>
      <x:c r="J43" s="140" t="n">
        <x:v>49</x:v>
      </x:c>
      <x:c r="K43" s="140" t="n">
        <x:v>23</x:v>
      </x:c>
      <x:c r="L43" s="140" t="n">
        <x:v>3390</x:v>
      </x:c>
      <x:c r="M43" s="140" t="str"/>
    </x:row>
    <x:row r="44" ht="28" customHeight="1">
      <x:c r="A44" s="139" t="n">
        <x:v>216</x:v>
      </x:c>
      <x:c r="B44" s="139" t="n">
        <x:v>245</x:v>
      </x:c>
      <x:c r="C44" s="139" t="str">
        <x:v>中興街180巷口</x:v>
      </x:c>
      <x:c r="D44" s="139" t="str">
        <x:v>中和區</x:v>
      </x:c>
      <x:c r="E44" s="139" t="n">
        <x:v>18</x:v>
      </x:c>
      <x:c r="F44" s="279" t="n">
        <x:v>87.54166666666667</x:v>
      </x:c>
      <x:c r="G44" s="240" t="n">
        <x:v>0.1011904761904761</x:v>
      </x:c>
      <x:c r="H44" s="279" t="n">
        <x:v>119.12903225806453</x:v>
      </x:c>
      <x:c r="I44" s="240" t="n">
        <x:v>0.1451612903225806</x:v>
      </x:c>
      <x:c r="J44" s="139" t="n">
        <x:v>63</x:v>
      </x:c>
      <x:c r="K44" s="139" t="n">
        <x:v>44</x:v>
      </x:c>
      <x:c r="L44" s="139" t="n">
        <x:v>5070</x:v>
      </x:c>
      <x:c r="M44" s="139" t="str"/>
    </x:row>
    <x:row r="45" ht="28" customHeight="1">
      <x:c r="A45" s="140" t="n">
        <x:v>218</x:v>
      </x:c>
      <x:c r="B45" s="140" t="n">
        <x:v>332</x:v>
      </x:c>
      <x:c r="C45" s="140" t="str">
        <x:v>江翠國中</x:v>
      </x:c>
      <x:c r="D45" s="140" t="str">
        <x:v>板橋區</x:v>
      </x:c>
      <x:c r="E45" s="140" t="n">
        <x:v>36</x:v>
      </x:c>
      <x:c r="F45" s="278" t="n">
        <x:v>77.85833333333333</x:v>
      </x:c>
      <x:c r="G45" s="239" t="n">
        <x:v>0.1011904761904761</x:v>
      </x:c>
      <x:c r="H45" s="278" t="n">
        <x:v>110.25806451612904</x:v>
      </x:c>
      <x:c r="I45" s="239" t="n">
        <x:v>0.1313364055299539</x:v>
      </x:c>
      <x:c r="J45" s="140" t="n">
        <x:v>57</x:v>
      </x:c>
      <x:c r="K45" s="140" t="n">
        <x:v>25</x:v>
      </x:c>
      <x:c r="L45" s="140" t="n">
        <x:v>3240</x:v>
      </x:c>
      <x:c r="M45" s="140" t="str"/>
    </x:row>
    <x:row r="46" ht="28" customHeight="1">
      <x:c r="A46" s="139" t="n">
        <x:v>219</x:v>
      </x:c>
      <x:c r="B46" s="139" t="n">
        <x:v>150</x:v>
      </x:c>
      <x:c r="C46" s="139" t="str">
        <x:v>板橋重慶公園</x:v>
      </x:c>
      <x:c r="D46" s="139" t="str">
        <x:v>板橋區</x:v>
      </x:c>
      <x:c r="E46" s="139" t="n">
        <x:v>38</x:v>
      </x:c>
      <x:c r="F46" s="279" t="n">
        <x:v>105.91666666666669</x:v>
      </x:c>
      <x:c r="G46" s="240" t="n">
        <x:v>0.1011904761904761</x:v>
      </x:c>
      <x:c r="H46" s="279" t="n">
        <x:v>131.80645161290323</x:v>
      </x:c>
      <x:c r="I46" s="240" t="n">
        <x:v>0.0783410138248847</x:v>
      </x:c>
      <x:c r="J46" s="139" t="n">
        <x:v>34</x:v>
      </x:c>
      <x:c r="K46" s="139" t="n">
        <x:v>16</x:v>
      </x:c>
      <x:c r="L46" s="139" t="n">
        <x:v>2670</x:v>
      </x:c>
      <x:c r="M46" s="139" t="str"/>
    </x:row>
    <x:row r="47" ht="28" customHeight="1">
      <x:c r="A47" s="140" t="n">
        <x:v>225</x:v>
      </x:c>
      <x:c r="B47" s="140" t="n">
        <x:v>298</x:v>
      </x:c>
      <x:c r="C47" s="140" t="str">
        <x:v>捷運幸福站(2號出口)</x:v>
      </x:c>
      <x:c r="D47" s="140" t="str">
        <x:v>新莊區</x:v>
      </x:c>
      <x:c r="E47" s="140" t="n">
        <x:v>35</x:v>
      </x:c>
      <x:c r="F47" s="278" t="n">
        <x:v>81.04166666666667</x:v>
      </x:c>
      <x:c r="G47" s="239" t="n">
        <x:v>0.1</x:v>
      </x:c>
      <x:c r="H47" s="278" t="n">
        <x:v>107.83870967741936</x:v>
      </x:c>
      <x:c r="I47" s="239" t="n">
        <x:v>0.1105990783410138</x:v>
      </x:c>
      <x:c r="J47" s="140" t="n">
        <x:v>48</x:v>
      </x:c>
      <x:c r="K47" s="140" t="n">
        <x:v>44</x:v>
      </x:c>
      <x:c r="L47" s="140" t="n">
        <x:v>6270</x:v>
      </x:c>
      <x:c r="M47" s="140" t="str"/>
    </x:row>
    <x:row r="48" ht="28" customHeight="1">
      <x:c r="A48" s="139" t="n">
        <x:v>239</x:v>
      </x:c>
      <x:c r="B48" s="139" t="n">
        <x:v>319</x:v>
      </x:c>
      <x:c r="C48" s="139" t="str">
        <x:v>思賢國小(自由街)</x:v>
      </x:c>
      <x:c r="D48" s="139" t="str">
        <x:v>新莊區</x:v>
      </x:c>
      <x:c r="E48" s="139" t="n">
        <x:v>21</x:v>
      </x:c>
      <x:c r="F48" s="279" t="n">
        <x:v>78.58333333333333</x:v>
      </x:c>
      <x:c r="G48" s="240" t="n">
        <x:v>0.0976190476190476</x:v>
      </x:c>
      <x:c r="H48" s="279" t="n">
        <x:v>104.83870967741936</x:v>
      </x:c>
      <x:c r="I48" s="240" t="n">
        <x:v>0.0944700460829493</x:v>
      </x:c>
      <x:c r="J48" s="139" t="n">
        <x:v>41</x:v>
      </x:c>
      <x:c r="K48" s="139" t="n">
        <x:v>15</x:v>
      </x:c>
      <x:c r="L48" s="139" t="n">
        <x:v>2280</x:v>
      </x:c>
      <x:c r="M48" s="139" t="str"/>
    </x:row>
    <x:row r="49" ht="28" customHeight="1">
      <x:c r="A49" s="140" t="n">
        <x:v>240</x:v>
      </x:c>
      <x:c r="B49" s="140" t="n">
        <x:v>225</x:v>
      </x:c>
      <x:c r="C49" s="140" t="str">
        <x:v>永豐公園活動中心</x:v>
      </x:c>
      <x:c r="D49" s="140" t="str">
        <x:v>板橋區</x:v>
      </x:c>
      <x:c r="E49" s="140" t="n">
        <x:v>32</x:v>
      </x:c>
      <x:c r="F49" s="278" t="n">
        <x:v>89.54166666666667</x:v>
      </x:c>
      <x:c r="G49" s="239" t="n">
        <x:v>0.0976190476190476</x:v>
      </x:c>
      <x:c r="H49" s="278" t="n">
        <x:v>110.29032258064515</x:v>
      </x:c>
      <x:c r="I49" s="239" t="n">
        <x:v>0.0944700460829493</x:v>
      </x:c>
      <x:c r="J49" s="140" t="n">
        <x:v>41</x:v>
      </x:c>
      <x:c r="K49" s="140" t="n">
        <x:v>30</x:v>
      </x:c>
      <x:c r="L49" s="140" t="n">
        <x:v>3390</x:v>
      </x:c>
      <x:c r="M49" s="140" t="str"/>
    </x:row>
    <x:row r="50" ht="28" customHeight="1">
      <x:c r="A50" s="139" t="n">
        <x:v>248</x:v>
      </x:c>
      <x:c r="B50" s="139" t="n">
        <x:v>311</x:v>
      </x:c>
      <x:c r="C50" s="139" t="str">
        <x:v>永和耕莘醫院</x:v>
      </x:c>
      <x:c r="D50" s="139" t="str">
        <x:v>永和區</x:v>
      </x:c>
      <x:c r="E50" s="139" t="n">
        <x:v>32</x:v>
      </x:c>
      <x:c r="F50" s="279" t="n">
        <x:v>79.275</x:v>
      </x:c>
      <x:c r="G50" s="240" t="n">
        <x:v>0.0958333333333333</x:v>
      </x:c>
      <x:c r="H50" s="279" t="n">
        <x:v>115.48387096774194</x:v>
      </x:c>
      <x:c r="I50" s="240" t="n">
        <x:v>0.1036866359447004</x:v>
      </x:c>
      <x:c r="J50" s="139" t="n">
        <x:v>45</x:v>
      </x:c>
      <x:c r="K50" s="139" t="n">
        <x:v>30</x:v>
      </x:c>
      <x:c r="L50" s="139" t="n">
        <x:v>4980</x:v>
      </x:c>
      <x:c r="M50" s="139" t="str"/>
    </x:row>
    <x:row r="51" ht="28" customHeight="1">
      <x:c r="A51" s="140" t="n">
        <x:v>249</x:v>
      </x:c>
      <x:c r="B51" s="140" t="n">
        <x:v>192</x:v>
      </x:c>
      <x:c r="C51" s="140" t="str">
        <x:v>新莊體育館</x:v>
      </x:c>
      <x:c r="D51" s="140" t="str">
        <x:v>新莊區</x:v>
      </x:c>
      <x:c r="E51" s="140" t="n">
        <x:v>47</x:v>
      </x:c>
      <x:c r="F51" s="278" t="n">
        <x:v>95.25833333333334</x:v>
      </x:c>
      <x:c r="G51" s="239" t="n">
        <x:v>0.0958333333333333</x:v>
      </x:c>
      <x:c r="H51" s="278" t="n">
        <x:v>121.19354838709675</x:v>
      </x:c>
      <x:c r="I51" s="239" t="n">
        <x:v>0.1451612903225806</x:v>
      </x:c>
      <x:c r="J51" s="140" t="n">
        <x:v>63</x:v>
      </x:c>
      <x:c r="K51" s="140" t="n">
        <x:v>32</x:v>
      </x:c>
      <x:c r="L51" s="140" t="n">
        <x:v>4350</x:v>
      </x:c>
      <x:c r="M51" s="140" t="str"/>
    </x:row>
    <x:row r="52" ht="28" customHeight="1">
      <x:c r="A52" s="139" t="n">
        <x:v>250</x:v>
      </x:c>
      <x:c r="B52" s="139" t="n">
        <x:v>276</x:v>
      </x:c>
      <x:c r="C52" s="139" t="str">
        <x:v>永安公園</x:v>
      </x:c>
      <x:c r="D52" s="139" t="str">
        <x:v>板橋區</x:v>
      </x:c>
      <x:c r="E52" s="139" t="n">
        <x:v>64</x:v>
      </x:c>
      <x:c r="F52" s="279" t="n">
        <x:v>83.65833333333333</x:v>
      </x:c>
      <x:c r="G52" s="240" t="n">
        <x:v>0.0952380952380952</x:v>
      </x:c>
      <x:c r="H52" s="279" t="n">
        <x:v>98.6774193548387</x:v>
      </x:c>
      <x:c r="I52" s="240" t="n">
        <x:v>0.1543778801843318</x:v>
      </x:c>
      <x:c r="J52" s="139" t="n">
        <x:v>67</x:v>
      </x:c>
      <x:c r="K52" s="139" t="n">
        <x:v>27</x:v>
      </x:c>
      <x:c r="L52" s="139" t="n">
        <x:v>3630</x:v>
      </x:c>
      <x:c r="M52" s="139" t="str"/>
    </x:row>
    <x:row r="53" ht="28" customHeight="1">
      <x:c r="A53" s="140" t="n">
        <x:v>254</x:v>
      </x:c>
      <x:c r="B53" s="140" t="n">
        <x:v>280</x:v>
      </x:c>
      <x:c r="C53" s="140" t="str">
        <x:v>寶高智慧產業園區</x:v>
      </x:c>
      <x:c r="D53" s="140" t="str">
        <x:v>新店區</x:v>
      </x:c>
      <x:c r="E53" s="140" t="n">
        <x:v>35</x:v>
      </x:c>
      <x:c r="F53" s="278" t="n">
        <x:v>83.15</x:v>
      </x:c>
      <x:c r="G53" s="239" t="n">
        <x:v>0.0952380952380952</x:v>
      </x:c>
      <x:c r="H53" s="278" t="n">
        <x:v>103.7741935483871</x:v>
      </x:c>
      <x:c r="I53" s="239" t="n">
        <x:v>0.1152073732718894</x:v>
      </x:c>
      <x:c r="J53" s="140" t="n">
        <x:v>50</x:v>
      </x:c>
      <x:c r="K53" s="140" t="n">
        <x:v>27</x:v>
      </x:c>
      <x:c r="L53" s="140" t="n">
        <x:v>3540</x:v>
      </x:c>
      <x:c r="M53" s="140" t="str"/>
    </x:row>
    <x:row r="54" ht="28" customHeight="1">
      <x:c r="A54" s="139" t="n">
        <x:v>255</x:v>
      </x:c>
      <x:c r="B54" s="139" t="n">
        <x:v>301</x:v>
      </x:c>
      <x:c r="C54" s="139" t="str">
        <x:v>文化路二段182巷1弄</x:v>
      </x:c>
      <x:c r="D54" s="139" t="str">
        <x:v>板橋區</x:v>
      </x:c>
      <x:c r="E54" s="139" t="n">
        <x:v>49</x:v>
      </x:c>
      <x:c r="F54" s="279" t="n">
        <x:v>80.7</x:v>
      </x:c>
      <x:c r="G54" s="240" t="n">
        <x:v>0.0952380952380952</x:v>
      </x:c>
      <x:c r="H54" s="279" t="n">
        <x:v>90</x:v>
      </x:c>
      <x:c r="I54" s="240" t="n">
        <x:v>0.1267281105990783</x:v>
      </x:c>
      <x:c r="J54" s="139" t="n">
        <x:v>55</x:v>
      </x:c>
      <x:c r="K54" s="139" t="n">
        <x:v>57</x:v>
      </x:c>
      <x:c r="L54" s="139" t="n">
        <x:v>7830</x:v>
      </x:c>
      <x:c r="M54" s="139" t="str"/>
    </x:row>
    <x:row r="55" ht="28" customHeight="1">
      <x:c r="A55" s="140" t="n">
        <x:v>259</x:v>
      </x:c>
      <x:c r="B55" s="140" t="n">
        <x:v>273</x:v>
      </x:c>
      <x:c r="C55" s="140" t="str">
        <x:v>國隆大仁街口</x:v>
      </x:c>
      <x:c r="D55" s="140" t="str">
        <x:v>三重區</x:v>
      </x:c>
      <x:c r="E55" s="140" t="n">
        <x:v>17</x:v>
      </x:c>
      <x:c r="F55" s="278" t="n">
        <x:v>84.00833333333334</x:v>
      </x:c>
      <x:c r="G55" s="239" t="n">
        <x:v>0.0946428571428571</x:v>
      </x:c>
      <x:c r="H55" s="278" t="n">
        <x:v>106.51612903225806</x:v>
      </x:c>
      <x:c r="I55" s="239" t="n">
        <x:v>0.1451612903225806</x:v>
      </x:c>
      <x:c r="J55" s="140" t="n">
        <x:v>63</x:v>
      </x:c>
      <x:c r="K55" s="140" t="n">
        <x:v>25</x:v>
      </x:c>
      <x:c r="L55" s="140" t="n">
        <x:v>3540</x:v>
      </x:c>
      <x:c r="M55" s="140" t="str"/>
    </x:row>
    <x:row r="56" ht="28" customHeight="1">
      <x:c r="A56" s="139" t="n">
        <x:v>265</x:v>
      </x:c>
      <x:c r="B56" s="139" t="n">
        <x:v>138</x:v>
      </x:c>
      <x:c r="C56" s="139" t="str">
        <x:v>建國民權路口</x:v>
      </x:c>
      <x:c r="D56" s="139" t="str">
        <x:v>新店區</x:v>
      </x:c>
      <x:c r="E56" s="139" t="n">
        <x:v>32</x:v>
      </x:c>
      <x:c r="F56" s="279" t="n">
        <x:v>108.68333333333334</x:v>
      </x:c>
      <x:c r="G56" s="240" t="n">
        <x:v>0.0934523809523809</x:v>
      </x:c>
      <x:c r="H56" s="279" t="n">
        <x:v>145.70967741935485</x:v>
      </x:c>
      <x:c r="I56" s="240" t="n">
        <x:v>0.0852534562211981</x:v>
      </x:c>
      <x:c r="J56" s="139" t="n">
        <x:v>37</x:v>
      </x:c>
      <x:c r="K56" s="139" t="n">
        <x:v>32</x:v>
      </x:c>
      <x:c r="L56" s="139" t="n">
        <x:v>3780</x:v>
      </x:c>
      <x:c r="M56" s="139" t="str"/>
    </x:row>
    <x:row r="57" ht="28" customHeight="1">
      <x:c r="A57" s="140" t="n">
        <x:v>267</x:v>
      </x:c>
      <x:c r="B57" s="140" t="n">
        <x:v>291</x:v>
      </x:c>
      <x:c r="C57" s="140" t="str">
        <x:v>埔墘國小</x:v>
      </x:c>
      <x:c r="D57" s="140" t="str">
        <x:v>板橋區</x:v>
      </x:c>
      <x:c r="E57" s="140" t="n">
        <x:v>34</x:v>
      </x:c>
      <x:c r="F57" s="278" t="n">
        <x:v>82.01666666666667</x:v>
      </x:c>
      <x:c r="G57" s="239" t="n">
        <x:v>0.0928571428571428</x:v>
      </x:c>
      <x:c r="H57" s="278" t="n">
        <x:v>98.5483870967742</x:v>
      </x:c>
      <x:c r="I57" s="239" t="n">
        <x:v>0.0898617511520737</x:v>
      </x:c>
      <x:c r="J57" s="140" t="n">
        <x:v>39</x:v>
      </x:c>
      <x:c r="K57" s="140" t="n">
        <x:v>19</x:v>
      </x:c>
      <x:c r="L57" s="140" t="n">
        <x:v>2940</x:v>
      </x:c>
      <x:c r="M57" s="140" t="str"/>
    </x:row>
    <x:row r="58" ht="28" customHeight="1">
      <x:c r="A58" s="139" t="n">
        <x:v>269</x:v>
      </x:c>
      <x:c r="B58" s="139" t="n">
        <x:v>51</x:v>
      </x:c>
      <x:c r="C58" s="139" t="str">
        <x:v>國光里(國光路)</x:v>
      </x:c>
      <x:c r="D58" s="139" t="str">
        <x:v>板橋區</x:v>
      </x:c>
      <x:c r="E58" s="139" t="n">
        <x:v>43</x:v>
      </x:c>
      <x:c r="F58" s="279" t="n">
        <x:v>159.34166666666667</x:v>
      </x:c>
      <x:c r="G58" s="240" t="n">
        <x:v>0.0928571428571428</x:v>
      </x:c>
      <x:c r="H58" s="279" t="n">
        <x:v>179.06451612903226</x:v>
      </x:c>
      <x:c r="I58" s="240" t="n">
        <x:v>0.0921658986175115</x:v>
      </x:c>
      <x:c r="J58" s="139" t="n">
        <x:v>40</x:v>
      </x:c>
      <x:c r="K58" s="139" t="n">
        <x:v>17</x:v>
      </x:c>
      <x:c r="L58" s="139" t="n">
        <x:v>2850</x:v>
      </x:c>
      <x:c r="M58" s="139" t="str"/>
    </x:row>
    <x:row r="59" ht="28" customHeight="1">
      <x:c r="A59" s="140" t="n">
        <x:v>270</x:v>
      </x:c>
      <x:c r="B59" s="140" t="n">
        <x:v>172</x:v>
      </x:c>
      <x:c r="C59" s="140" t="str">
        <x:v>福和國中停車場</x:v>
      </x:c>
      <x:c r="D59" s="140" t="str">
        <x:v>永和區</x:v>
      </x:c>
      <x:c r="E59" s="140" t="n">
        <x:v>48</x:v>
      </x:c>
      <x:c r="F59" s="278" t="n">
        <x:v>100.80833333333334</x:v>
      </x:c>
      <x:c r="G59" s="239" t="n">
        <x:v>0.0928571428571428</x:v>
      </x:c>
      <x:c r="H59" s="278" t="n">
        <x:v>137.1290322580645</x:v>
      </x:c>
      <x:c r="I59" s="239" t="n">
        <x:v>0.1244239631336405</x:v>
      </x:c>
      <x:c r="J59" s="140" t="n">
        <x:v>54</x:v>
      </x:c>
      <x:c r="K59" s="140" t="n">
        <x:v>10</x:v>
      </x:c>
      <x:c r="L59" s="140" t="n">
        <x:v>1980</x:v>
      </x:c>
      <x:c r="M59" s="140" t="str"/>
    </x:row>
    <x:row r="60" ht="28" customHeight="1">
      <x:c r="A60" s="139" t="n">
        <x:v>275</x:v>
      </x:c>
      <x:c r="B60" s="139" t="n">
        <x:v>175</x:v>
      </x:c>
      <x:c r="C60" s="139" t="str">
        <x:v>華江九華江一路口(匯翠社區)</x:v>
      </x:c>
      <x:c r="D60" s="139" t="str">
        <x:v>板橋區</x:v>
      </x:c>
      <x:c r="E60" s="139" t="n">
        <x:v>40</x:v>
      </x:c>
      <x:c r="F60" s="279" t="n">
        <x:v>98.425</x:v>
      </x:c>
      <x:c r="G60" s="240" t="n">
        <x:v>0.0922619047619047</x:v>
      </x:c>
      <x:c r="H60" s="279" t="n">
        <x:v>128.70967741935485</x:v>
      </x:c>
      <x:c r="I60" s="240" t="n">
        <x:v>0.1474654377880184</x:v>
      </x:c>
      <x:c r="J60" s="139" t="n">
        <x:v>64</x:v>
      </x:c>
      <x:c r="K60" s="139" t="n">
        <x:v>36</x:v>
      </x:c>
      <x:c r="L60" s="139" t="n">
        <x:v>4440</x:v>
      </x:c>
      <x:c r="M60" s="139" t="str"/>
    </x:row>
    <x:row r="61" ht="28" customHeight="1">
      <x:c r="A61" s="140" t="n">
        <x:v>277</x:v>
      </x:c>
      <x:c r="B61" s="140" t="n">
        <x:v>119</x:v>
      </x:c>
      <x:c r="C61" s="140" t="str">
        <x:v>伊吉邦社區</x:v>
      </x:c>
      <x:c r="D61" s="140" t="str">
        <x:v>新莊區</x:v>
      </x:c>
      <x:c r="E61" s="140" t="n">
        <x:v>40</x:v>
      </x:c>
      <x:c r="F61" s="278" t="n">
        <x:v>113.71666666666668</x:v>
      </x:c>
      <x:c r="G61" s="239" t="n">
        <x:v>0.0916666666666666</x:v>
      </x:c>
      <x:c r="H61" s="278" t="n">
        <x:v>127.80645161290325</x:v>
      </x:c>
      <x:c r="I61" s="239" t="n">
        <x:v>0.1267281105990783</x:v>
      </x:c>
      <x:c r="J61" s="140" t="n">
        <x:v>55</x:v>
      </x:c>
      <x:c r="K61" s="140" t="n">
        <x:v>30</x:v>
      </x:c>
      <x:c r="L61" s="140" t="n">
        <x:v>3420</x:v>
      </x:c>
      <x:c r="M61" s="140" t="str"/>
    </x:row>
    <x:row r="62" ht="28" customHeight="1">
      <x:c r="A62" s="139" t="n">
        <x:v>278</x:v>
      </x:c>
      <x:c r="B62" s="139" t="n">
        <x:v>218</x:v>
      </x:c>
      <x:c r="C62" s="139" t="str">
        <x:v>文化白雲公園</x:v>
      </x:c>
      <x:c r="D62" s="139" t="str">
        <x:v>汐止區</x:v>
      </x:c>
      <x:c r="E62" s="139" t="n">
        <x:v>76</x:v>
      </x:c>
      <x:c r="F62" s="279" t="n">
        <x:v>90.8</x:v>
      </x:c>
      <x:c r="G62" s="240" t="n">
        <x:v>0.0910714285714285</x:v>
      </x:c>
      <x:c r="H62" s="279" t="n">
        <x:v>108.41935483870968</x:v>
      </x:c>
      <x:c r="I62" s="240" t="n">
        <x:v>0.1198156682027649</x:v>
      </x:c>
      <x:c r="J62" s="139" t="n">
        <x:v>52</x:v>
      </x:c>
      <x:c r="K62" s="139" t="n">
        <x:v>35</x:v>
      </x:c>
      <x:c r="L62" s="139" t="n">
        <x:v>3780</x:v>
      </x:c>
      <x:c r="M62" s="139" t="str"/>
    </x:row>
    <x:row r="63" ht="28" customHeight="1">
      <x:c r="A63" s="140" t="n">
        <x:v>281</x:v>
      </x:c>
      <x:c r="B63" s="140" t="n">
        <x:v>72</x:v>
      </x:c>
      <x:c r="C63" s="140" t="str">
        <x:v>三重永豐公園</x:v>
      </x:c>
      <x:c r="D63" s="140" t="str">
        <x:v>三重區</x:v>
      </x:c>
      <x:c r="E63" s="140" t="n">
        <x:v>31</x:v>
      </x:c>
      <x:c r="F63" s="278" t="n">
        <x:v>141.025</x:v>
      </x:c>
      <x:c r="G63" s="239" t="n">
        <x:v>0.0910714285714285</x:v>
      </x:c>
      <x:c r="H63" s="278" t="n">
        <x:v>174</x:v>
      </x:c>
      <x:c r="I63" s="239" t="n">
        <x:v>0.1129032258064516</x:v>
      </x:c>
      <x:c r="J63" s="140" t="n">
        <x:v>49</x:v>
      </x:c>
      <x:c r="K63" s="140" t="n">
        <x:v>32</x:v>
      </x:c>
      <x:c r="L63" s="140" t="n">
        <x:v>3570</x:v>
      </x:c>
      <x:c r="M63" s="140" t="str"/>
    </x:row>
    <x:row r="64" ht="28" customHeight="1">
      <x:c r="A64" s="139" t="n">
        <x:v>282</x:v>
      </x:c>
      <x:c r="B64" s="139" t="n">
        <x:v>212</x:v>
      </x:c>
      <x:c r="C64" s="139" t="str">
        <x:v>龍鳳公園</x:v>
      </x:c>
      <x:c r="D64" s="139" t="str">
        <x:v>新莊區</x:v>
      </x:c>
      <x:c r="E64" s="139" t="n">
        <x:v>52</x:v>
      </x:c>
      <x:c r="F64" s="279" t="n">
        <x:v>91.14166666666668</x:v>
      </x:c>
      <x:c r="G64" s="240" t="n">
        <x:v>0.0910714285714285</x:v>
      </x:c>
      <x:c r="H64" s="279" t="n">
        <x:v>117.4516129032258</x:v>
      </x:c>
      <x:c r="I64" s="240" t="n">
        <x:v>0.1013824884792626</x:v>
      </x:c>
      <x:c r="J64" s="139" t="n">
        <x:v>44</x:v>
      </x:c>
      <x:c r="K64" s="139" t="n">
        <x:v>17</x:v>
      </x:c>
      <x:c r="L64" s="139" t="n">
        <x:v>1890</x:v>
      </x:c>
      <x:c r="M64" s="139" t="str"/>
    </x:row>
    <x:row r="65" ht="28" customHeight="1">
      <x:c r="A65" s="140" t="n">
        <x:v>286</x:v>
      </x:c>
      <x:c r="B65" s="140" t="n">
        <x:v>190</x:v>
      </x:c>
      <x:c r="C65" s="140" t="str">
        <x:v>龍門公園</x:v>
      </x:c>
      <x:c r="D65" s="140" t="str">
        <x:v>三重區</x:v>
      </x:c>
      <x:c r="E65" s="140" t="n">
        <x:v>48</x:v>
      </x:c>
      <x:c r="F65" s="278" t="n">
        <x:v>95.68333333333334</x:v>
      </x:c>
      <x:c r="G65" s="239" t="n">
        <x:v>0.0904761904761904</x:v>
      </x:c>
      <x:c r="H65" s="278" t="n">
        <x:v>109.2258064516129</x:v>
      </x:c>
      <x:c r="I65" s="239" t="n">
        <x:v>0.0921658986175115</x:v>
      </x:c>
      <x:c r="J65" s="140" t="n">
        <x:v>40</x:v>
      </x:c>
      <x:c r="K65" s="140" t="n">
        <x:v>26</x:v>
      </x:c>
      <x:c r="L65" s="140" t="n">
        <x:v>2880</x:v>
      </x:c>
      <x:c r="M65" s="140" t="str"/>
    </x:row>
    <x:row r="66" ht="28" customHeight="1">
      <x:c r="A66" s="139" t="n">
        <x:v>289</x:v>
      </x:c>
      <x:c r="B66" s="139" t="n">
        <x:v>249</x:v>
      </x:c>
      <x:c r="C66" s="139" t="str">
        <x:v>輕軌淡江大學站</x:v>
      </x:c>
      <x:c r="D66" s="139" t="str">
        <x:v>淡水區</x:v>
      </x:c>
      <x:c r="E66" s="139" t="n">
        <x:v>40</x:v>
      </x:c>
      <x:c r="F66" s="279" t="n">
        <x:v>86.86666666666666</x:v>
      </x:c>
      <x:c r="G66" s="240" t="n">
        <x:v>0.0898809523809523</x:v>
      </x:c>
      <x:c r="H66" s="279" t="n">
        <x:v>122.2258064516129</x:v>
      </x:c>
      <x:c r="I66" s="240" t="n">
        <x:v>0.1866359447004608</x:v>
      </x:c>
      <x:c r="J66" s="139" t="n">
        <x:v>81</x:v>
      </x:c>
      <x:c r="K66" s="139" t="n">
        <x:v>55</x:v>
      </x:c>
      <x:c r="L66" s="139" t="n">
        <x:v>6750</x:v>
      </x:c>
      <x:c r="M66" s="139" t="str"/>
    </x:row>
    <x:row r="67" ht="28" customHeight="1">
      <x:c r="A67" s="140" t="n">
        <x:v>299</x:v>
      </x:c>
      <x:c r="B67" s="140" t="n">
        <x:v>164</x:v>
      </x:c>
      <x:c r="C67" s="140" t="str">
        <x:v>學士龍山二街口(金城舞2社區)</x:v>
      </x:c>
      <x:c r="D67" s="140" t="str">
        <x:v>土城區</x:v>
      </x:c>
      <x:c r="E67" s="140" t="n">
        <x:v>31</x:v>
      </x:c>
      <x:c r="F67" s="278" t="n">
        <x:v>103.23333333333332</x:v>
      </x:c>
      <x:c r="G67" s="239" t="n">
        <x:v>0.0875</x:v>
      </x:c>
      <x:c r="H67" s="278" t="n">
        <x:v>121.41935483870968</x:v>
      </x:c>
      <x:c r="I67" s="239" t="n">
        <x:v>0.1290322580645161</x:v>
      </x:c>
      <x:c r="J67" s="140" t="n">
        <x:v>56</x:v>
      </x:c>
      <x:c r="K67" s="140" t="n">
        <x:v>29</x:v>
      </x:c>
      <x:c r="L67" s="140" t="n">
        <x:v>3690</x:v>
      </x:c>
      <x:c r="M67" s="140" t="str"/>
    </x:row>
    <x:row r="68" ht="28" customHeight="1">
      <x:c r="A68" s="139" t="n">
        <x:v>305</x:v>
      </x:c>
      <x:c r="B68" s="139" t="n">
        <x:v>75</x:v>
      </x:c>
      <x:c r="C68" s="139" t="str">
        <x:v>板橋四維公園</x:v>
      </x:c>
      <x:c r="D68" s="139" t="str">
        <x:v>板橋區</x:v>
      </x:c>
      <x:c r="E68" s="139" t="n">
        <x:v>67</x:v>
      </x:c>
      <x:c r="F68" s="279" t="n">
        <x:v>140.66666666666666</x:v>
      </x:c>
      <x:c r="G68" s="240" t="n">
        <x:v>0.0857142857142857</x:v>
      </x:c>
      <x:c r="H68" s="279" t="n">
        <x:v>163.90322580645162</x:v>
      </x:c>
      <x:c r="I68" s="240" t="n">
        <x:v>0.0783410138248847</x:v>
      </x:c>
      <x:c r="J68" s="139" t="n">
        <x:v>34</x:v>
      </x:c>
      <x:c r="K68" s="139" t="n">
        <x:v>15</x:v>
      </x:c>
      <x:c r="L68" s="139" t="n">
        <x:v>2610</x:v>
      </x:c>
      <x:c r="M68" s="139" t="str"/>
    </x:row>
    <x:row r="69" ht="28" customHeight="1">
      <x:c r="A69" s="140" t="n">
        <x:v>306</x:v>
      </x:c>
      <x:c r="B69" s="140" t="n">
        <x:v>358</x:v>
      </x:c>
      <x:c r="C69" s="140" t="str">
        <x:v>光華長榮路口</x:v>
      </x:c>
      <x:c r="D69" s="140" t="str">
        <x:v>蘆洲區</x:v>
      </x:c>
      <x:c r="E69" s="140" t="n">
        <x:v>16</x:v>
      </x:c>
      <x:c r="F69" s="278" t="n">
        <x:v>75.50833333333334</x:v>
      </x:c>
      <x:c r="G69" s="239" t="n">
        <x:v>0.0857142857142857</x:v>
      </x:c>
      <x:c r="H69" s="278" t="n">
        <x:v>95.64516129032258</x:v>
      </x:c>
      <x:c r="I69" s="239" t="n">
        <x:v>0.0875576036866359</x:v>
      </x:c>
      <x:c r="J69" s="140" t="n">
        <x:v>38</x:v>
      </x:c>
      <x:c r="K69" s="140" t="n">
        <x:v>18</x:v>
      </x:c>
      <x:c r="L69" s="140" t="n">
        <x:v>2490</x:v>
      </x:c>
      <x:c r="M69" s="140" t="str"/>
    </x:row>
    <x:row r="70" ht="28" customHeight="1">
      <x:c r="A70" s="139" t="n">
        <x:v>308</x:v>
      </x:c>
      <x:c r="B70" s="139" t="n">
        <x:v>63</x:v>
      </x:c>
      <x:c r="C70" s="139" t="str">
        <x:v>四維公園地下停車場</x:v>
      </x:c>
      <x:c r="D70" s="139" t="str">
        <x:v>板橋區</x:v>
      </x:c>
      <x:c r="E70" s="139" t="n">
        <x:v>93</x:v>
      </x:c>
      <x:c r="F70" s="279" t="n">
        <x:v>150.40833333333333</x:v>
      </x:c>
      <x:c r="G70" s="240" t="n">
        <x:v>0.0851190476190476</x:v>
      </x:c>
      <x:c r="H70" s="279" t="n">
        <x:v>168.6451612903226</x:v>
      </x:c>
      <x:c r="I70" s="240" t="n">
        <x:v>0.1129032258064516</x:v>
      </x:c>
      <x:c r="J70" s="139" t="n">
        <x:v>49</x:v>
      </x:c>
      <x:c r="K70" s="139" t="n">
        <x:v>19</x:v>
      </x:c>
      <x:c r="L70" s="139" t="n">
        <x:v>3090</x:v>
      </x:c>
      <x:c r="M70" s="139" t="str"/>
    </x:row>
    <x:row r="71" ht="28" customHeight="1">
      <x:c r="A71" s="140" t="n">
        <x:v>313</x:v>
      </x:c>
      <x:c r="B71" s="140" t="n">
        <x:v>189</x:v>
      </x:c>
      <x:c r="C71" s="140" t="str">
        <x:v>中山北新春街口</x:v>
      </x:c>
      <x:c r="D71" s="140" t="str">
        <x:v>淡水區</x:v>
      </x:c>
      <x:c r="E71" s="140" t="n">
        <x:v>49</x:v>
      </x:c>
      <x:c r="F71" s="278" t="n">
        <x:v>95.80833333333334</x:v>
      </x:c>
      <x:c r="G71" s="239" t="n">
        <x:v>0.0851190476190476</x:v>
      </x:c>
      <x:c r="H71" s="278" t="n">
        <x:v>136.25806451612902</x:v>
      </x:c>
      <x:c r="I71" s="239" t="n">
        <x:v>0.1774193548387097</x:v>
      </x:c>
      <x:c r="J71" s="140" t="n">
        <x:v>77</x:v>
      </x:c>
      <x:c r="K71" s="140" t="n">
        <x:v>36</x:v>
      </x:c>
      <x:c r="L71" s="140" t="n">
        <x:v>4140</x:v>
      </x:c>
      <x:c r="M71" s="140" t="str"/>
    </x:row>
    <x:row r="72" ht="28" customHeight="1">
      <x:c r="A72" s="139" t="n">
        <x:v>318</x:v>
      </x:c>
      <x:c r="B72" s="139" t="n">
        <x:v>315</x:v>
      </x:c>
      <x:c r="C72" s="139" t="str">
        <x:v>府中汽車停車場</x:v>
      </x:c>
      <x:c r="D72" s="139" t="str">
        <x:v>板橋區</x:v>
      </x:c>
      <x:c r="E72" s="139" t="n">
        <x:v>28</x:v>
      </x:c>
      <x:c r="F72" s="279" t="n">
        <x:v>78.99166666666666</x:v>
      </x:c>
      <x:c r="G72" s="240" t="n">
        <x:v>0.0845238095238095</x:v>
      </x:c>
      <x:c r="H72" s="279" t="n">
        <x:v>106.6774193548387</x:v>
      </x:c>
      <x:c r="I72" s="240" t="n">
        <x:v>0.0898617511520737</x:v>
      </x:c>
      <x:c r="J72" s="139" t="n">
        <x:v>39</x:v>
      </x:c>
      <x:c r="K72" s="139" t="n">
        <x:v>49</x:v>
      </x:c>
      <x:c r="L72" s="139" t="n">
        <x:v>5640</x:v>
      </x:c>
      <x:c r="M72" s="139" t="str"/>
    </x:row>
    <x:row r="73" ht="28" customHeight="1">
      <x:c r="A73" s="140" t="n">
        <x:v>319</x:v>
      </x:c>
      <x:c r="B73" s="140" t="n">
        <x:v>169</x:v>
      </x:c>
      <x:c r="C73" s="140" t="str">
        <x:v>新北高工(學士路)</x:v>
      </x:c>
      <x:c r="D73" s="140" t="str">
        <x:v>土城區</x:v>
      </x:c>
      <x:c r="E73" s="140" t="n">
        <x:v>28</x:v>
      </x:c>
      <x:c r="F73" s="278" t="n">
        <x:v>101.39166666666668</x:v>
      </x:c>
      <x:c r="G73" s="239" t="n">
        <x:v>0.0845238095238095</x:v>
      </x:c>
      <x:c r="H73" s="278" t="n">
        <x:v>124.2258064516129</x:v>
      </x:c>
      <x:c r="I73" s="239" t="n">
        <x:v>0.1682027649769585</x:v>
      </x:c>
      <x:c r="J73" s="140" t="n">
        <x:v>73</x:v>
      </x:c>
      <x:c r="K73" s="140" t="n">
        <x:v>40</x:v>
      </x:c>
      <x:c r="L73" s="140" t="n">
        <x:v>4950</x:v>
      </x:c>
      <x:c r="M73" s="140" t="str"/>
    </x:row>
    <x:row r="74" ht="28" customHeight="1">
      <x:c r="A74" s="139" t="n">
        <x:v>320</x:v>
      </x:c>
      <x:c r="B74" s="139" t="n">
        <x:v>142</x:v>
      </x:c>
      <x:c r="C74" s="139" t="str">
        <x:v>福和路7巷口</x:v>
      </x:c>
      <x:c r="D74" s="139" t="str">
        <x:v>永和區</x:v>
      </x:c>
      <x:c r="E74" s="139" t="n">
        <x:v>35</x:v>
      </x:c>
      <x:c r="F74" s="279" t="n">
        <x:v>107.95833333333331</x:v>
      </x:c>
      <x:c r="G74" s="240" t="n">
        <x:v>0.0845238095238095</x:v>
      </x:c>
      <x:c r="H74" s="279" t="n">
        <x:v>148.96774193548387</x:v>
      </x:c>
      <x:c r="I74" s="240" t="n">
        <x:v>0.0691244239631336</x:v>
      </x:c>
      <x:c r="J74" s="139" t="n">
        <x:v>30</x:v>
      </x:c>
      <x:c r="K74" s="139" t="n">
        <x:v>20</x:v>
      </x:c>
      <x:c r="L74" s="139" t="n">
        <x:v>3330</x:v>
      </x:c>
      <x:c r="M74" s="139" t="str"/>
    </x:row>
    <x:row r="75" ht="28" customHeight="1">
      <x:c r="A75" s="140" t="n">
        <x:v>322</x:v>
      </x:c>
      <x:c r="B75" s="140" t="n">
        <x:v>127</x:v>
      </x:c>
      <x:c r="C75" s="140" t="str">
        <x:v>板橋車站(新站路)</x:v>
      </x:c>
      <x:c r="D75" s="140" t="str">
        <x:v>板橋區</x:v>
      </x:c>
      <x:c r="E75" s="140" t="n">
        <x:v>28</x:v>
      </x:c>
      <x:c r="F75" s="278" t="n">
        <x:v>110.91666666666669</x:v>
      </x:c>
      <x:c r="G75" s="239" t="n">
        <x:v>0.0839285714285714</x:v>
      </x:c>
      <x:c r="H75" s="278" t="n">
        <x:v>118.58064516129032</x:v>
      </x:c>
      <x:c r="I75" s="239" t="n">
        <x:v>0.1013824884792626</x:v>
      </x:c>
      <x:c r="J75" s="140" t="n">
        <x:v>44</x:v>
      </x:c>
      <x:c r="K75" s="140" t="n">
        <x:v>60</x:v>
      </x:c>
      <x:c r="L75" s="140" t="n">
        <x:v>8850</x:v>
      </x:c>
      <x:c r="M75" s="140" t="str"/>
    </x:row>
    <x:row r="76" ht="28" customHeight="1">
      <x:c r="A76" s="139" t="n">
        <x:v>323</x:v>
      </x:c>
      <x:c r="B76" s="139" t="n">
        <x:v>204</x:v>
      </x:c>
      <x:c r="C76" s="139" t="str">
        <x:v>新泰公園</x:v>
      </x:c>
      <x:c r="D76" s="139" t="str">
        <x:v>新莊區</x:v>
      </x:c>
      <x:c r="E76" s="139" t="n">
        <x:v>30</x:v>
      </x:c>
      <x:c r="F76" s="279" t="n">
        <x:v>92.75833333333334</x:v>
      </x:c>
      <x:c r="G76" s="240" t="n">
        <x:v>0.0839285714285714</x:v>
      </x:c>
      <x:c r="H76" s="279" t="n">
        <x:v>120.03225806451611</x:v>
      </x:c>
      <x:c r="I76" s="240" t="n">
        <x:v>0.0714285714285714</x:v>
      </x:c>
      <x:c r="J76" s="139" t="n">
        <x:v>31</x:v>
      </x:c>
      <x:c r="K76" s="139" t="n">
        <x:v>8</x:v>
      </x:c>
      <x:c r="L76" s="139" t="n">
        <x:v>1380</x:v>
      </x:c>
      <x:c r="M76" s="139" t="str"/>
    </x:row>
    <x:row r="77" ht="28" customHeight="1">
      <x:c r="A77" s="140" t="n">
        <x:v>324</x:v>
      </x:c>
      <x:c r="B77" s="140" t="n">
        <x:v>318</x:v>
      </x:c>
      <x:c r="C77" s="140" t="str">
        <x:v>江翠國小</x:v>
      </x:c>
      <x:c r="D77" s="140" t="str">
        <x:v>板橋區</x:v>
      </x:c>
      <x:c r="E77" s="140" t="n">
        <x:v>43</x:v>
      </x:c>
      <x:c r="F77" s="278" t="n">
        <x:v>78.69166666666666</x:v>
      </x:c>
      <x:c r="G77" s="239" t="n">
        <x:v>0.0839285714285714</x:v>
      </x:c>
      <x:c r="H77" s="278" t="n">
        <x:v>98.48387096774194</x:v>
      </x:c>
      <x:c r="I77" s="239" t="n">
        <x:v>0.0921658986175115</x:v>
      </x:c>
      <x:c r="J77" s="140" t="n">
        <x:v>40</x:v>
      </x:c>
      <x:c r="K77" s="140" t="n">
        <x:v>33</x:v>
      </x:c>
      <x:c r="L77" s="140" t="n">
        <x:v>4110</x:v>
      </x:c>
      <x:c r="M77" s="140" t="str"/>
    </x:row>
    <x:row r="78" ht="28" customHeight="1">
      <x:c r="A78" s="139" t="n">
        <x:v>325</x:v>
      </x:c>
      <x:c r="B78" s="139" t="n">
        <x:v>8</x:v>
      </x:c>
      <x:c r="C78" s="139" t="str">
        <x:v>捷運三重國小站</x:v>
      </x:c>
      <x:c r="D78" s="139" t="str">
        <x:v>三重區</x:v>
      </x:c>
      <x:c r="E78" s="139" t="n">
        <x:v>52</x:v>
      </x:c>
      <x:c r="F78" s="279" t="n">
        <x:v>248.45</x:v>
      </x:c>
      <x:c r="G78" s="240" t="n">
        <x:v>0.0833333333333333</x:v>
      </x:c>
      <x:c r="H78" s="279" t="n">
        <x:v>275.35483870967744</x:v>
      </x:c>
      <x:c r="I78" s="240" t="n">
        <x:v>0.0921658986175115</x:v>
      </x:c>
      <x:c r="J78" s="139" t="n">
        <x:v>40</x:v>
      </x:c>
      <x:c r="K78" s="139" t="n">
        <x:v>40</x:v>
      </x:c>
      <x:c r="L78" s="139" t="n">
        <x:v>5400</x:v>
      </x:c>
      <x:c r="M78" s="139" t="str"/>
    </x:row>
    <x:row r="79" ht="28" customHeight="1">
      <x:c r="A79" s="140" t="n">
        <x:v>332</x:v>
      </x:c>
      <x:c r="B79" s="140" t="n">
        <x:v>76</x:v>
      </x:c>
      <x:c r="C79" s="140" t="str">
        <x:v>仁愛街70巷口</x:v>
      </x:c>
      <x:c r="D79" s="140" t="str">
        <x:v>蘆洲區</x:v>
      </x:c>
      <x:c r="E79" s="140" t="n">
        <x:v>32</x:v>
      </x:c>
      <x:c r="F79" s="278" t="n">
        <x:v>140.325</x:v>
      </x:c>
      <x:c r="G79" s="239" t="n">
        <x:v>0.0821428571428571</x:v>
      </x:c>
      <x:c r="H79" s="278" t="n">
        <x:v>167.1290322580645</x:v>
      </x:c>
      <x:c r="I79" s="239" t="n">
        <x:v>0.0783410138248847</x:v>
      </x:c>
      <x:c r="J79" s="140" t="n">
        <x:v>34</x:v>
      </x:c>
      <x:c r="K79" s="140" t="n">
        <x:v>18</x:v>
      </x:c>
      <x:c r="L79" s="140" t="n">
        <x:v>2400</x:v>
      </x:c>
      <x:c r="M79" s="140" t="str"/>
    </x:row>
    <x:row r="80" ht="28" customHeight="1">
      <x:c r="A80" s="139" t="n">
        <x:v>333</x:v>
      </x:c>
      <x:c r="B80" s="139" t="n">
        <x:v>112</x:v>
      </x:c>
      <x:c r="C80" s="139" t="str">
        <x:v>國泰街111巷口</x:v>
      </x:c>
      <x:c r="D80" s="139" t="str">
        <x:v>板橋區</x:v>
      </x:c>
      <x:c r="E80" s="139" t="n">
        <x:v>43</x:v>
      </x:c>
      <x:c r="F80" s="279" t="n">
        <x:v>118.225</x:v>
      </x:c>
      <x:c r="G80" s="240" t="n">
        <x:v>0.0821428571428571</x:v>
      </x:c>
      <x:c r="H80" s="279" t="n">
        <x:v>146.2258064516129</x:v>
      </x:c>
      <x:c r="I80" s="240" t="n">
        <x:v>0.1059907834101382</x:v>
      </x:c>
      <x:c r="J80" s="139" t="n">
        <x:v>46</x:v>
      </x:c>
      <x:c r="K80" s="139" t="n">
        <x:v>21</x:v>
      </x:c>
      <x:c r="L80" s="139" t="n">
        <x:v>2940</x:v>
      </x:c>
      <x:c r="M80" s="139" t="str"/>
    </x:row>
    <x:row r="81" ht="28" customHeight="1">
      <x:c r="A81" s="140" t="n">
        <x:v>338</x:v>
      </x:c>
      <x:c r="B81" s="140" t="n">
        <x:v>80</x:v>
      </x:c>
      <x:c r="C81" s="140" t="str">
        <x:v>永和國父紀念館</x:v>
      </x:c>
      <x:c r="D81" s="140" t="str">
        <x:v>永和區</x:v>
      </x:c>
      <x:c r="E81" s="140" t="n">
        <x:v>30</x:v>
      </x:c>
      <x:c r="F81" s="278" t="n">
        <x:v>139.06666666666666</x:v>
      </x:c>
      <x:c r="G81" s="239" t="n">
        <x:v>0.081547619047619</x:v>
      </x:c>
      <x:c r="H81" s="278" t="n">
        <x:v>179.16129032258064</x:v>
      </x:c>
      <x:c r="I81" s="239" t="n">
        <x:v>0.0783410138248847</x:v>
      </x:c>
      <x:c r="J81" s="140" t="n">
        <x:v>34</x:v>
      </x:c>
      <x:c r="K81" s="140" t="n">
        <x:v>17</x:v>
      </x:c>
      <x:c r="L81" s="140" t="n">
        <x:v>2880</x:v>
      </x:c>
      <x:c r="M81" s="140" t="str"/>
    </x:row>
    <x:row r="82" ht="28" customHeight="1">
      <x:c r="A82" s="139" t="n">
        <x:v>339</x:v>
      </x:c>
      <x:c r="B82" s="139" t="n">
        <x:v>202</x:v>
      </x:c>
      <x:c r="C82" s="139" t="str">
        <x:v>自強溪尾街口</x:v>
      </x:c>
      <x:c r="D82" s="139" t="str">
        <x:v>三重區</x:v>
      </x:c>
      <x:c r="E82" s="139" t="n">
        <x:v>52</x:v>
      </x:c>
      <x:c r="F82" s="279" t="n">
        <x:v>93.00833333333334</x:v>
      </x:c>
      <x:c r="G82" s="240" t="n">
        <x:v>0.081547619047619</x:v>
      </x:c>
      <x:c r="H82" s="279" t="n">
        <x:v>111.2258064516129</x:v>
      </x:c>
      <x:c r="I82" s="240" t="n">
        <x:v>0.1013824884792626</x:v>
      </x:c>
      <x:c r="J82" s="139" t="n">
        <x:v>44</x:v>
      </x:c>
      <x:c r="K82" s="139" t="n">
        <x:v>27</x:v>
      </x:c>
      <x:c r="L82" s="139" t="n">
        <x:v>3900</x:v>
      </x:c>
      <x:c r="M82" s="139" t="str"/>
    </x:row>
    <x:row r="83" ht="28" customHeight="1">
      <x:c r="A83" s="140" t="n">
        <x:v>345</x:v>
      </x:c>
      <x:c r="B83" s="140" t="n">
        <x:v>56</x:v>
      </x:c>
      <x:c r="C83" s="140" t="str">
        <x:v>健華新城社區</x:v>
      </x:c>
      <x:c r="D83" s="140" t="str">
        <x:v>板橋區</x:v>
      </x:c>
      <x:c r="E83" s="140" t="n">
        <x:v>72</x:v>
      </x:c>
      <x:c r="F83" s="278" t="n">
        <x:v>153.175</x:v>
      </x:c>
      <x:c r="G83" s="239" t="n">
        <x:v>0.0803571428571428</x:v>
      </x:c>
      <x:c r="H83" s="278" t="n">
        <x:v>161.80645161290323</x:v>
      </x:c>
      <x:c r="I83" s="239" t="n">
        <x:v>0.1175115207373272</x:v>
      </x:c>
      <x:c r="J83" s="140" t="n">
        <x:v>51</x:v>
      </x:c>
      <x:c r="K83" s="140" t="n">
        <x:v>27</x:v>
      </x:c>
      <x:c r="L83" s="140" t="n">
        <x:v>4350</x:v>
      </x:c>
      <x:c r="M83" s="140" t="str"/>
    </x:row>
    <x:row r="84" ht="28" customHeight="1">
      <x:c r="A84" s="139" t="n">
        <x:v>346</x:v>
      </x:c>
      <x:c r="B84" s="139" t="n">
        <x:v>29</x:v>
      </x:c>
      <x:c r="C84" s="139" t="str">
        <x:v>捷運頭前庄站(1號出口)</x:v>
      </x:c>
      <x:c r="D84" s="139" t="str">
        <x:v>新莊區</x:v>
      </x:c>
      <x:c r="E84" s="139" t="n">
        <x:v>90</x:v>
      </x:c>
      <x:c r="F84" s="279" t="n">
        <x:v>194.95833333333331</x:v>
      </x:c>
      <x:c r="G84" s="240" t="n">
        <x:v>0.0803571428571428</x:v>
      </x:c>
      <x:c r="H84" s="279" t="n">
        <x:v>205.93548387096772</x:v>
      </x:c>
      <x:c r="I84" s="240" t="n">
        <x:v>0.1175115207373272</x:v>
      </x:c>
      <x:c r="J84" s="139" t="n">
        <x:v>51</x:v>
      </x:c>
      <x:c r="K84" s="139" t="n">
        <x:v>42</x:v>
      </x:c>
      <x:c r="L84" s="139" t="n">
        <x:v>6000</x:v>
      </x:c>
      <x:c r="M84" s="139" t="str"/>
    </x:row>
    <x:row r="85" ht="28" customHeight="1">
      <x:c r="A85" s="140" t="n">
        <x:v>352</x:v>
      </x:c>
      <x:c r="B85" s="140" t="n">
        <x:v>307</x:v>
      </x:c>
      <x:c r="C85" s="140" t="str">
        <x:v>三峽國中</x:v>
      </x:c>
      <x:c r="D85" s="140" t="str">
        <x:v>三峽區</x:v>
      </x:c>
      <x:c r="E85" s="140" t="n">
        <x:v>33</x:v>
      </x:c>
      <x:c r="F85" s="278" t="n">
        <x:v>79.89166666666667</x:v>
      </x:c>
      <x:c r="G85" s="239" t="n">
        <x:v>0.0797619047619047</x:v>
      </x:c>
      <x:c r="H85" s="278" t="n">
        <x:v>111.6774193548387</x:v>
      </x:c>
      <x:c r="I85" s="239" t="n">
        <x:v>0.1382488479262673</x:v>
      </x:c>
      <x:c r="J85" s="140" t="n">
        <x:v>60</x:v>
      </x:c>
      <x:c r="K85" s="140" t="n">
        <x:v>14</x:v>
      </x:c>
      <x:c r="L85" s="140" t="n">
        <x:v>2220</x:v>
      </x:c>
      <x:c r="M85" s="140" t="str"/>
    </x:row>
    <x:row r="86" ht="28" customHeight="1">
      <x:c r="A86" s="139" t="n">
        <x:v>355</x:v>
      </x:c>
      <x:c r="B86" s="139" t="n">
        <x:v>167</x:v>
      </x:c>
      <x:c r="C86" s="139" t="str">
        <x:v>員和公園</x:v>
      </x:c>
      <x:c r="D86" s="139" t="str">
        <x:v>土城區</x:v>
      </x:c>
      <x:c r="E86" s="139" t="n">
        <x:v>34</x:v>
      </x:c>
      <x:c r="F86" s="279" t="n">
        <x:v>101.73333333333332</x:v>
      </x:c>
      <x:c r="G86" s="240" t="n">
        <x:v>0.0791666666666666</x:v>
      </x:c>
      <x:c r="H86" s="279" t="n">
        <x:v>145.5806451612903</x:v>
      </x:c>
      <x:c r="I86" s="240" t="n">
        <x:v>0.0576036866359447</x:v>
      </x:c>
      <x:c r="J86" s="139" t="n">
        <x:v>25</x:v>
      </x:c>
      <x:c r="K86" s="139" t="n">
        <x:v>11</x:v>
      </x:c>
      <x:c r="L86" s="139" t="n">
        <x:v>1710</x:v>
      </x:c>
      <x:c r="M86" s="139" t="str"/>
    </x:row>
    <x:row r="87" ht="28" customHeight="1">
      <x:c r="A87" s="140" t="n">
        <x:v>363</x:v>
      </x:c>
      <x:c r="B87" s="140" t="n">
        <x:v>125</x:v>
      </x:c>
      <x:c r="C87" s="140" t="str">
        <x:v>青山廣場</x:v>
      </x:c>
      <x:c r="D87" s="140" t="str">
        <x:v>土城區</x:v>
      </x:c>
      <x:c r="E87" s="140" t="n">
        <x:v>42</x:v>
      </x:c>
      <x:c r="F87" s="278" t="n">
        <x:v>112.375</x:v>
      </x:c>
      <x:c r="G87" s="239" t="n">
        <x:v>0.0779761904761904</x:v>
      </x:c>
      <x:c r="H87" s="278" t="n">
        <x:v>143</x:v>
      </x:c>
      <x:c r="I87" s="239" t="n">
        <x:v>0.0737327188940092</x:v>
      </x:c>
      <x:c r="J87" s="140" t="n">
        <x:v>32</x:v>
      </x:c>
      <x:c r="K87" s="140" t="n">
        <x:v>23</x:v>
      </x:c>
      <x:c r="L87" s="140" t="n">
        <x:v>2550</x:v>
      </x:c>
      <x:c r="M87" s="140" t="str"/>
    </x:row>
    <x:row r="88" ht="28" customHeight="1">
      <x:c r="A88" s="139" t="n">
        <x:v>364</x:v>
      </x:c>
      <x:c r="B88" s="139" t="n">
        <x:v>188</x:v>
      </x:c>
      <x:c r="C88" s="139" t="str">
        <x:v>福和國中</x:v>
      </x:c>
      <x:c r="D88" s="139" t="str">
        <x:v>永和區</x:v>
      </x:c>
      <x:c r="E88" s="139" t="n">
        <x:v>63</x:v>
      </x:c>
      <x:c r="F88" s="279" t="n">
        <x:v>95.81666666666666</x:v>
      </x:c>
      <x:c r="G88" s="240" t="n">
        <x:v>0.0773809523809523</x:v>
      </x:c>
      <x:c r="H88" s="279" t="n">
        <x:v>144.90322580645162</x:v>
      </x:c>
      <x:c r="I88" s="240" t="n">
        <x:v>0.0506912442396313</x:v>
      </x:c>
      <x:c r="J88" s="139" t="n">
        <x:v>22</x:v>
      </x:c>
      <x:c r="K88" s="139" t="n">
        <x:v>8</x:v>
      </x:c>
      <x:c r="L88" s="139" t="n">
        <x:v>1110</x:v>
      </x:c>
      <x:c r="M88" s="139" t="str"/>
    </x:row>
    <x:row r="89" ht="28" customHeight="1">
      <x:c r="A89" s="140" t="n">
        <x:v>367</x:v>
      </x:c>
      <x:c r="B89" s="140" t="n">
        <x:v>161</x:v>
      </x:c>
      <x:c r="C89" s="140" t="str">
        <x:v>民德立體停車場</x:v>
      </x:c>
      <x:c r="D89" s="140" t="str">
        <x:v>中和區</x:v>
      </x:c>
      <x:c r="E89" s="140" t="n">
        <x:v>32</x:v>
      </x:c>
      <x:c r="F89" s="278" t="n">
        <x:v>103.50833333333334</x:v>
      </x:c>
      <x:c r="G89" s="239" t="n">
        <x:v>0.0773809523809523</x:v>
      </x:c>
      <x:c r="H89" s="278" t="n">
        <x:v>132.09677419354838</x:v>
      </x:c>
      <x:c r="I89" s="239" t="n">
        <x:v>0.0737327188940092</x:v>
      </x:c>
      <x:c r="J89" s="140" t="n">
        <x:v>32</x:v>
      </x:c>
      <x:c r="K89" s="140" t="n">
        <x:v>17</x:v>
      </x:c>
      <x:c r="L89" s="140" t="n">
        <x:v>2580</x:v>
      </x:c>
      <x:c r="M89" s="140" t="str"/>
    </x:row>
    <x:row r="90" ht="28" customHeight="1">
      <x:c r="A90" s="139" t="n">
        <x:v>369</x:v>
      </x:c>
      <x:c r="B90" s="139" t="n">
        <x:v>279</x:v>
      </x:c>
      <x:c r="C90" s="139" t="str">
        <x:v>土城綜合體育場</x:v>
      </x:c>
      <x:c r="D90" s="139" t="str">
        <x:v>土城區</x:v>
      </x:c>
      <x:c r="E90" s="139" t="n">
        <x:v>56</x:v>
      </x:c>
      <x:c r="F90" s="279" t="n">
        <x:v>83.28333333333333</x:v>
      </x:c>
      <x:c r="G90" s="240" t="n">
        <x:v>0.0773809523809523</x:v>
      </x:c>
      <x:c r="H90" s="279" t="n">
        <x:v>116.25806451612904</x:v>
      </x:c>
      <x:c r="I90" s="240" t="n">
        <x:v>0.0829493087557603</x:v>
      </x:c>
      <x:c r="J90" s="139" t="n">
        <x:v>36</x:v>
      </x:c>
      <x:c r="K90" s="139" t="n">
        <x:v>25</x:v>
      </x:c>
      <x:c r="L90" s="139" t="n">
        <x:v>3570</x:v>
      </x:c>
      <x:c r="M90" s="139" t="str"/>
    </x:row>
    <x:row r="91" ht="28" customHeight="1">
      <x:c r="A91" s="140" t="n">
        <x:v>372</x:v>
      </x:c>
      <x:c r="B91" s="140" t="n">
        <x:v>310</x:v>
      </x:c>
      <x:c r="C91" s="140" t="str">
        <x:v>丹鳳派出所</x:v>
      </x:c>
      <x:c r="D91" s="140" t="str">
        <x:v>新莊區</x:v>
      </x:c>
      <x:c r="E91" s="140" t="n">
        <x:v>23</x:v>
      </x:c>
      <x:c r="F91" s="278" t="n">
        <x:v>79.3</x:v>
      </x:c>
      <x:c r="G91" s="239" t="n">
        <x:v>0.0767857142857142</x:v>
      </x:c>
      <x:c r="H91" s="278" t="n">
        <x:v>102.06451612903226</x:v>
      </x:c>
      <x:c r="I91" s="239" t="n">
        <x:v>0.0921658986175115</x:v>
      </x:c>
      <x:c r="J91" s="140" t="n">
        <x:v>40</x:v>
      </x:c>
      <x:c r="K91" s="140" t="n">
        <x:v>20</x:v>
      </x:c>
      <x:c r="L91" s="140" t="n">
        <x:v>2640</x:v>
      </x:c>
      <x:c r="M91" s="140" t="str"/>
    </x:row>
    <x:row r="92" ht="28" customHeight="1">
      <x:c r="A92" s="139" t="n">
        <x:v>373</x:v>
      </x:c>
      <x:c r="B92" s="139" t="n">
        <x:v>176</x:v>
      </x:c>
      <x:c r="C92" s="139" t="str">
        <x:v>捷運七張站(1號出口)</x:v>
      </x:c>
      <x:c r="D92" s="139" t="str">
        <x:v>新店區</x:v>
      </x:c>
      <x:c r="E92" s="139" t="n">
        <x:v>42</x:v>
      </x:c>
      <x:c r="F92" s="279" t="n">
        <x:v>98.09166666666668</x:v>
      </x:c>
      <x:c r="G92" s="240" t="n">
        <x:v>0.0767857142857142</x:v>
      </x:c>
      <x:c r="H92" s="279" t="n">
        <x:v>139.67741935483872</x:v>
      </x:c>
      <x:c r="I92" s="240" t="n">
        <x:v>0.0483870967741935</x:v>
      </x:c>
      <x:c r="J92" s="139" t="n">
        <x:v>21</x:v>
      </x:c>
      <x:c r="K92" s="139" t="n">
        <x:v>32</x:v>
      </x:c>
      <x:c r="L92" s="139" t="n">
        <x:v>4200</x:v>
      </x:c>
      <x:c r="M92" s="139" t="str"/>
    </x:row>
  </x:sheetData>
  <x:mergeCells>
    <x:mergeCell ref="A1:M1"/>
    <x:mergeCell ref="A2:M2"/>
  </x:mergeCells>
  <x:conditionalFormatting sqref="M5:M92">
    <x:cfRule type="notContainsBlanks" dxfId="0" priority="1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31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</x:cols>
  <x:sheetData>
    <x:row r="1" ht="34" customHeight="1">
      <x:c r="A1" s="3" t="str">
        <x:v>尖峰失衡率前25%站點明細（373站）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8" customHeight="1">
      <x:c r="A2" s="7" t="str">
        <x:v>核心欄使用Excel公式判定活動排名是否也進入前373；完整保留疑似停用／資料狀態站，避免分析過程暗中刪除問題。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  <x:c r="N3" s="289"/>
      <x:c r="O3" s="289"/>
    </x:row>
    <x:row r="4" ht="42" customHeight="1">
      <x:c r="A4" s="135" t="str">
        <x:v>失衡排名</x:v>
      </x:c>
      <x:c r="B4" s="135" t="str">
        <x:v>活動排名</x:v>
      </x:c>
      <x:c r="C4" s="135" t="str">
        <x:v>核心?</x:v>
      </x:c>
      <x:c r="D4" s="135" t="str">
        <x:v>四群</x:v>
      </x:c>
      <x:c r="E4" s="135" t="str">
        <x:v>站點</x:v>
      </x:c>
      <x:c r="F4" s="135" t="str">
        <x:v>行政區</x:v>
      </x:c>
      <x:c r="G4" s="135" t="str">
        <x:v>容量</x:v>
      </x:c>
      <x:c r="H4" s="135" t="str">
        <x:v>基準活動/日</x:v>
      </x:c>
      <x:c r="I4" s="135" t="str">
        <x:v>基準尖峰失衡率</x:v>
      </x:c>
      <x:c r="J4" s="135" t="str">
        <x:v>車數變動快照率</x:v>
      </x:c>
      <x:c r="K4" s="135" t="str">
        <x:v>五月活動/日</x:v>
      </x:c>
      <x:c r="L4" s="135" t="str">
        <x:v>五月尖峰失衡率</x:v>
      </x:c>
      <x:c r="M4" s="135" t="str">
        <x:v>五月持續事件</x:v>
      </x:c>
      <x:c r="N4" s="135" t="str">
        <x:v>五月失衡分鐘</x:v>
      </x:c>
      <x:c r="O4" s="135" t="str">
        <x:v>資料注意</x:v>
      </x:c>
    </x:row>
    <x:row r="5" ht="27" customHeight="1">
      <x:c r="A5" s="284" t="n">
        <x:v>1</x:v>
      </x:c>
      <x:c r="B5" s="284" t="n">
        <x:v>1484</x:v>
      </x:c>
      <x:c r="C5" s="284" t="str">
        <x:f>IF(AND(A5&lt;='定義與範圍'!$B$7,B5&lt;='定義與範圍'!$B$7),"是","")</x:f>
      </x:c>
      <x:c r="D5" s="284" t="str">
        <x:v>僅高失衡</x:v>
      </x:c>
      <x:c r="E5" s="284" t="str">
        <x:v>汐止公園</x:v>
      </x:c>
      <x:c r="F5" s="284" t="str">
        <x:v>汐止區</x:v>
      </x:c>
      <x:c r="G5" s="284" t="n">
        <x:v>10</x:v>
      </x:c>
      <x:c r="H5" s="287" t="n">
        <x:v>0</x:v>
      </x:c>
      <x:c r="I5" s="285" t="n">
        <x:v>1</x:v>
      </x:c>
      <x:c r="J5" s="285" t="n">
        <x:v>0</x:v>
      </x:c>
      <x:c r="K5" s="287" t="n">
        <x:v>0</x:v>
      </x:c>
      <x:c r="L5" s="285" t="n">
        <x:v>1</x:v>
      </x:c>
      <x:c r="M5" s="284" t="n">
        <x:v>1</x:v>
      </x:c>
      <x:c r="N5" s="284" t="n">
        <x:v>44640</x:v>
      </x:c>
      <x:c r="O5" s="284" t="str">
        <x:v>五月零活動，先查停用／資料狀態</x:v>
      </x:c>
    </x:row>
    <x:row r="6" ht="27" customHeight="1">
      <x:c r="A6" s="283" t="n">
        <x:v>2</x:v>
      </x:c>
      <x:c r="B6" s="283" t="n">
        <x:v>1485</x:v>
      </x:c>
      <x:c r="C6" s="283" t="str">
        <x:f>IF(AND(A6&lt;='定義與範圍'!$B$7,B6&lt;='定義與範圍'!$B$7),"是","")</x:f>
      </x:c>
      <x:c r="D6" s="283" t="str">
        <x:v>僅高失衡</x:v>
      </x:c>
      <x:c r="E6" s="283" t="str">
        <x:v>捷運三民高中站(1號出口)</x:v>
      </x:c>
      <x:c r="F6" s="283" t="str">
        <x:v>蘆洲區</x:v>
      </x:c>
      <x:c r="G6" s="283" t="n">
        <x:v>12</x:v>
      </x:c>
      <x:c r="H6" s="288" t="n">
        <x:v>0</x:v>
      </x:c>
      <x:c r="I6" s="286" t="n">
        <x:v>1</x:v>
      </x:c>
      <x:c r="J6" s="286" t="n">
        <x:v>0</x:v>
      </x:c>
      <x:c r="K6" s="288" t="n">
        <x:v>0</x:v>
      </x:c>
      <x:c r="L6" s="286" t="n">
        <x:v>1</x:v>
      </x:c>
      <x:c r="M6" s="283" t="n">
        <x:v>1</x:v>
      </x:c>
      <x:c r="N6" s="283" t="n">
        <x:v>44640</x:v>
      </x:c>
      <x:c r="O6" s="283" t="str">
        <x:v>五月零活動，先查停用／資料狀態</x:v>
      </x:c>
    </x:row>
    <x:row r="7" ht="27" customHeight="1">
      <x:c r="A7" s="284" t="n">
        <x:v>3</x:v>
      </x:c>
      <x:c r="B7" s="284" t="n">
        <x:v>1486</x:v>
      </x:c>
      <x:c r="C7" s="284" t="str">
        <x:f>IF(AND(A7&lt;='定義與範圍'!$B$7,B7&lt;='定義與範圍'!$B$7),"是","")</x:f>
      </x:c>
      <x:c r="D7" s="284" t="str">
        <x:v>僅高失衡</x:v>
      </x:c>
      <x:c r="E7" s="284" t="str">
        <x:v>永和區公所公有新生市場</x:v>
      </x:c>
      <x:c r="F7" s="284" t="str">
        <x:v>永和區</x:v>
      </x:c>
      <x:c r="G7" s="284" t="n">
        <x:v>12</x:v>
      </x:c>
      <x:c r="H7" s="287" t="n">
        <x:v>0</x:v>
      </x:c>
      <x:c r="I7" s="285" t="n">
        <x:v>1</x:v>
      </x:c>
      <x:c r="J7" s="285" t="n">
        <x:v>0</x:v>
      </x:c>
      <x:c r="K7" s="287" t="n">
        <x:v>0</x:v>
      </x:c>
      <x:c r="L7" s="285" t="n">
        <x:v>1</x:v>
      </x:c>
      <x:c r="M7" s="284" t="n">
        <x:v>1</x:v>
      </x:c>
      <x:c r="N7" s="284" t="n">
        <x:v>44640</x:v>
      </x:c>
      <x:c r="O7" s="284" t="str">
        <x:v>五月零活動，先查停用／資料狀態</x:v>
      </x:c>
    </x:row>
    <x:row r="8" ht="27" customHeight="1">
      <x:c r="A8" s="283" t="n">
        <x:v>4</x:v>
      </x:c>
      <x:c r="B8" s="283" t="n">
        <x:v>1487</x:v>
      </x:c>
      <x:c r="C8" s="283" t="str">
        <x:f>IF(AND(A8&lt;='定義與範圍'!$B$7,B8&lt;='定義與範圍'!$B$7),"是","")</x:f>
      </x:c>
      <x:c r="D8" s="283" t="str">
        <x:v>僅高失衡</x:v>
      </x:c>
      <x:c r="E8" s="283" t="str">
        <x:v>德泰公園</x:v>
      </x:c>
      <x:c r="F8" s="283" t="str">
        <x:v>五股區</x:v>
      </x:c>
      <x:c r="G8" s="283" t="n">
        <x:v>13</x:v>
      </x:c>
      <x:c r="H8" s="288" t="n">
        <x:v>0</x:v>
      </x:c>
      <x:c r="I8" s="286" t="n">
        <x:v>1</x:v>
      </x:c>
      <x:c r="J8" s="286" t="n">
        <x:v>0</x:v>
      </x:c>
      <x:c r="K8" s="288" t="n">
        <x:v>0</x:v>
      </x:c>
      <x:c r="L8" s="286" t="n">
        <x:v>1</x:v>
      </x:c>
      <x:c r="M8" s="283" t="n">
        <x:v>1</x:v>
      </x:c>
      <x:c r="N8" s="283" t="n">
        <x:v>44640</x:v>
      </x:c>
      <x:c r="O8" s="283" t="str">
        <x:v>五月零活動，先查停用／資料狀態</x:v>
      </x:c>
    </x:row>
    <x:row r="9" ht="27" customHeight="1">
      <x:c r="A9" s="284" t="n">
        <x:v>5</x:v>
      </x:c>
      <x:c r="B9" s="284" t="n">
        <x:v>1488</x:v>
      </x:c>
      <x:c r="C9" s="284" t="str">
        <x:f>IF(AND(A9&lt;='定義與範圍'!$B$7,B9&lt;='定義與範圍'!$B$7),"是","")</x:f>
      </x:c>
      <x:c r="D9" s="284" t="str">
        <x:v>僅高失衡</x:v>
      </x:c>
      <x:c r="E9" s="284" t="str">
        <x:v>景平橋和路口</x:v>
      </x:c>
      <x:c r="F9" s="284" t="str">
        <x:v>中和區</x:v>
      </x:c>
      <x:c r="G9" s="284" t="n">
        <x:v>15</x:v>
      </x:c>
      <x:c r="H9" s="287" t="n">
        <x:v>0</x:v>
      </x:c>
      <x:c r="I9" s="285" t="n">
        <x:v>1</x:v>
      </x:c>
      <x:c r="J9" s="285" t="n">
        <x:v>0</x:v>
      </x:c>
      <x:c r="K9" s="287" t="n">
        <x:v>0</x:v>
      </x:c>
      <x:c r="L9" s="285" t="n">
        <x:v>1</x:v>
      </x:c>
      <x:c r="M9" s="284" t="n">
        <x:v>1</x:v>
      </x:c>
      <x:c r="N9" s="284" t="n">
        <x:v>44640</x:v>
      </x:c>
      <x:c r="O9" s="284" t="str">
        <x:v>五月零活動，先查停用／資料狀態</x:v>
      </x:c>
    </x:row>
    <x:row r="10" ht="27" customHeight="1">
      <x:c r="A10" s="283" t="n">
        <x:v>6</x:v>
      </x:c>
      <x:c r="B10" s="283" t="n">
        <x:v>1489</x:v>
      </x:c>
      <x:c r="C10" s="283" t="str">
        <x:f>IF(AND(A10&lt;='定義與範圍'!$B$7,B10&lt;='定義與範圍'!$B$7),"是","")</x:f>
      </x:c>
      <x:c r="D10" s="283" t="str">
        <x:v>僅高失衡</x:v>
      </x:c>
      <x:c r="E10" s="283" t="str">
        <x:v>同興大同路口</x:v>
      </x:c>
      <x:c r="F10" s="283" t="str">
        <x:v>汐止區</x:v>
      </x:c>
      <x:c r="G10" s="283" t="n">
        <x:v>30</x:v>
      </x:c>
      <x:c r="H10" s="288" t="n">
        <x:v>0</x:v>
      </x:c>
      <x:c r="I10" s="286" t="n">
        <x:v>1</x:v>
      </x:c>
      <x:c r="J10" s="286" t="n">
        <x:v>0</x:v>
      </x:c>
      <x:c r="K10" s="288" t="n">
        <x:v>0</x:v>
      </x:c>
      <x:c r="L10" s="286" t="n">
        <x:v>1</x:v>
      </x:c>
      <x:c r="M10" s="283" t="n">
        <x:v>1</x:v>
      </x:c>
      <x:c r="N10" s="283" t="n">
        <x:v>44640</x:v>
      </x:c>
      <x:c r="O10" s="283" t="str">
        <x:v>五月零活動，先查停用／資料狀態</x:v>
      </x:c>
    </x:row>
    <x:row r="11" ht="27" customHeight="1">
      <x:c r="A11" s="284" t="n">
        <x:v>7</x:v>
      </x:c>
      <x:c r="B11" s="284" t="n">
        <x:v>1490</x:v>
      </x:c>
      <x:c r="C11" s="284" t="str">
        <x:f>IF(AND(A11&lt;='定義與範圍'!$B$7,B11&lt;='定義與範圍'!$B$7),"是","")</x:f>
      </x:c>
      <x:c r="D11" s="284" t="str">
        <x:v>僅高失衡</x:v>
      </x:c>
      <x:c r="E11" s="284" t="str">
        <x:v>汐止區綜合運動場</x:v>
      </x:c>
      <x:c r="F11" s="284" t="str">
        <x:v>汐止區</x:v>
      </x:c>
      <x:c r="G11" s="284" t="n">
        <x:v>34</x:v>
      </x:c>
      <x:c r="H11" s="287" t="n">
        <x:v>0</x:v>
      </x:c>
      <x:c r="I11" s="285" t="n">
        <x:v>1</x:v>
      </x:c>
      <x:c r="J11" s="285" t="n">
        <x:v>0</x:v>
      </x:c>
      <x:c r="K11" s="287" t="n">
        <x:v>0</x:v>
      </x:c>
      <x:c r="L11" s="285" t="n">
        <x:v>1</x:v>
      </x:c>
      <x:c r="M11" s="284" t="n">
        <x:v>1</x:v>
      </x:c>
      <x:c r="N11" s="284" t="n">
        <x:v>44640</x:v>
      </x:c>
      <x:c r="O11" s="284" t="str">
        <x:v>五月零活動，先查停用／資料狀態</x:v>
      </x:c>
    </x:row>
    <x:row r="12" ht="27" customHeight="1">
      <x:c r="A12" s="283" t="n">
        <x:v>8</x:v>
      </x:c>
      <x:c r="B12" s="283" t="n">
        <x:v>1261</x:v>
      </x:c>
      <x:c r="C12" s="283" t="str">
        <x:f>IF(AND(A12&lt;='定義與範圍'!$B$7,B12&lt;='定義與範圍'!$B$7),"是","")</x:f>
      </x:c>
      <x:c r="D12" s="283" t="str">
        <x:v>僅高失衡</x:v>
      </x:c>
      <x:c r="E12" s="283" t="str">
        <x:v>復興民生街口</x:v>
      </x:c>
      <x:c r="F12" s="283" t="str">
        <x:v>三峽區</x:v>
      </x:c>
      <x:c r="G12" s="283" t="n">
        <x:v>24</x:v>
      </x:c>
      <x:c r="H12" s="288" t="n">
        <x:v>22.35</x:v>
      </x:c>
      <x:c r="I12" s="286" t="n">
        <x:v>0.6363095238095238</x:v>
      </x:c>
      <x:c r="J12" s="286" t="n">
        <x:v>0.2184347826086956</x:v>
      </x:c>
      <x:c r="K12" s="288" t="n">
        <x:v>77.54838709677419</x:v>
      </x:c>
      <x:c r="L12" s="286" t="n">
        <x:v>0.0046082949308755</x:v>
      </x:c>
      <x:c r="M12" s="283" t="n">
        <x:v>2</x:v>
      </x:c>
      <x:c r="N12" s="283" t="n">
        <x:v>240</x:v>
      </x:c>
      <x:c r="O12" s="283" t="str"/>
    </x:row>
    <x:row r="13" ht="27" customHeight="1">
      <x:c r="A13" s="284" t="n">
        <x:v>9</x:v>
      </x:c>
      <x:c r="B13" s="284" t="n">
        <x:v>1441</x:v>
      </x:c>
      <x:c r="C13" s="284" t="str">
        <x:f>IF(AND(A13&lt;='定義與範圍'!$B$7,B13&lt;='定義與範圍'!$B$7),"是","")</x:f>
      </x:c>
      <x:c r="D13" s="284" t="str">
        <x:v>僅高失衡</x:v>
      </x:c>
      <x:c r="E13" s="284" t="str">
        <x:v>國慶三樹路口</x:v>
      </x:c>
      <x:c r="F13" s="284" t="str">
        <x:v>三峽區</x:v>
      </x:c>
      <x:c r="G13" s="284" t="n">
        <x:v>20</x:v>
      </x:c>
      <x:c r="H13" s="287" t="n">
        <x:v>8.558333333333334</x:v>
      </x:c>
      <x:c r="I13" s="285" t="n">
        <x:v>0.5351190476190476</x:v>
      </x:c>
      <x:c r="J13" s="285" t="n">
        <x:v>0.0568695652173913</x:v>
      </x:c>
      <x:c r="K13" s="287" t="n">
        <x:v>0</x:v>
      </x:c>
      <x:c r="L13" s="285" t="n">
        <x:v>1</x:v>
      </x:c>
      <x:c r="M13" s="284" t="n">
        <x:v>1</x:v>
      </x:c>
      <x:c r="N13" s="284" t="n">
        <x:v>44640</x:v>
      </x:c>
      <x:c r="O13" s="284" t="str">
        <x:v>五月零活動，先查停用／資料狀態</x:v>
      </x:c>
    </x:row>
    <x:row r="14" ht="27" customHeight="1">
      <x:c r="A14" s="283" t="n">
        <x:v>10</x:v>
      </x:c>
      <x:c r="B14" s="283" t="n">
        <x:v>989</x:v>
      </x:c>
      <x:c r="C14" s="283" t="str">
        <x:f>IF(AND(A14&lt;='定義與範圍'!$B$7,B14&lt;='定義與範圍'!$B$7),"是","")</x:f>
      </x:c>
      <x:c r="D14" s="283" t="str">
        <x:v>僅高失衡</x:v>
      </x:c>
      <x:c r="E14" s="283" t="str">
        <x:v>三樹大學路口</x:v>
      </x:c>
      <x:c r="F14" s="283" t="str">
        <x:v>三峽區</x:v>
      </x:c>
      <x:c r="G14" s="283" t="n">
        <x:v>19</x:v>
      </x:c>
      <x:c r="H14" s="288" t="n">
        <x:v>35.975</x:v>
      </x:c>
      <x:c r="I14" s="286" t="n">
        <x:v>0.4589285714285714</x:v>
      </x:c>
      <x:c r="J14" s="286" t="n">
        <x:v>0.3323478260869565</x:v>
      </x:c>
      <x:c r="K14" s="288" t="n">
        <x:v>73.25806451612904</x:v>
      </x:c>
      <x:c r="L14" s="286" t="n">
        <x:v>0.0276497695852534</x:v>
      </x:c>
      <x:c r="M14" s="283" t="n">
        <x:v>9</x:v>
      </x:c>
      <x:c r="N14" s="283" t="n">
        <x:v>1140</x:v>
      </x:c>
      <x:c r="O14" s="283" t="str"/>
    </x:row>
    <x:row r="15" ht="27" customHeight="1">
      <x:c r="A15" s="284" t="n">
        <x:v>11</x:v>
      </x:c>
      <x:c r="B15" s="284" t="n">
        <x:v>1403</x:v>
      </x:c>
      <x:c r="C15" s="284" t="str">
        <x:f>IF(AND(A15&lt;='定義與範圍'!$B$7,B15&lt;='定義與範圍'!$B$7),"是","")</x:f>
      </x:c>
      <x:c r="D15" s="284" t="str">
        <x:v>僅高失衡</x:v>
      </x:c>
      <x:c r="E15" s="284" t="str">
        <x:v>公八停車場</x:v>
      </x:c>
      <x:c r="F15" s="284" t="str">
        <x:v>鶯歌區</x:v>
      </x:c>
      <x:c r="G15" s="284" t="n">
        <x:v>15</x:v>
      </x:c>
      <x:c r="H15" s="287" t="n">
        <x:v>11.991666666666667</x:v>
      </x:c>
      <x:c r="I15" s="285" t="n">
        <x:v>0.4494047619047619</x:v>
      </x:c>
      <x:c r="J15" s="285" t="n">
        <x:v>0.164695652173913</x:v>
      </x:c>
      <x:c r="K15" s="287" t="n">
        <x:v>19.741935483870968</x:v>
      </x:c>
      <x:c r="L15" s="285" t="n">
        <x:v>0.3179723502304147</x:v>
      </x:c>
      <x:c r="M15" s="284" t="n">
        <x:v>2</x:v>
      </x:c>
      <x:c r="N15" s="284" t="n">
        <x:v>13920</x:v>
      </x:c>
      <x:c r="O15" s="284" t="str"/>
    </x:row>
    <x:row r="16" ht="27" customHeight="1">
      <x:c r="A16" s="283" t="n">
        <x:v>12</x:v>
      </x:c>
      <x:c r="B16" s="283" t="n">
        <x:v>590</x:v>
      </x:c>
      <x:c r="C16" s="283" t="str">
        <x:f>IF(AND(A16&lt;='定義與範圍'!$B$7,B16&lt;='定義與範圍'!$B$7),"是","")</x:f>
      </x:c>
      <x:c r="D16" s="283" t="str">
        <x:v>僅高失衡</x:v>
      </x:c>
      <x:c r="E16" s="283" t="str">
        <x:v>華江一華江九路口</x:v>
      </x:c>
      <x:c r="F16" s="283" t="str">
        <x:v>板橋區</x:v>
      </x:c>
      <x:c r="G16" s="283" t="n">
        <x:v>55</x:v>
      </x:c>
      <x:c r="H16" s="288" t="n">
        <x:v>59.391666666666666</x:v>
      </x:c>
      <x:c r="I16" s="286" t="n">
        <x:v>0.2738095238095238</x:v>
      </x:c>
      <x:c r="J16" s="286" t="n">
        <x:v>0.2813913043478261</x:v>
      </x:c>
      <x:c r="K16" s="288" t="n">
        <x:v>10.451612903225806</x:v>
      </x:c>
      <x:c r="L16" s="286" t="n">
        <x:v>0.423963133640553</x:v>
      </x:c>
      <x:c r="M16" s="283" t="n">
        <x:v>5</x:v>
      </x:c>
      <x:c r="N16" s="283" t="n">
        <x:v>18900</x:v>
      </x:c>
      <x:c r="O16" s="283" t="str"/>
    </x:row>
    <x:row r="17" ht="27" customHeight="1">
      <x:c r="A17" s="284" t="n">
        <x:v>13</x:v>
      </x:c>
      <x:c r="B17" s="284" t="n">
        <x:v>589</x:v>
      </x:c>
      <x:c r="C17" s="284" t="str">
        <x:f>IF(AND(A17&lt;='定義與範圍'!$B$7,B17&lt;='定義與範圍'!$B$7),"是","")</x:f>
      </x:c>
      <x:c r="D17" s="284" t="str">
        <x:v>僅高失衡</x:v>
      </x:c>
      <x:c r="E17" s="284" t="str">
        <x:v>捷運江子翠站(4號出口)</x:v>
      </x:c>
      <x:c r="F17" s="284" t="str">
        <x:v>板橋區</x:v>
      </x:c>
      <x:c r="G17" s="284" t="n">
        <x:v>11</x:v>
      </x:c>
      <x:c r="H17" s="287" t="n">
        <x:v>59.425</x:v>
      </x:c>
      <x:c r="I17" s="285" t="n">
        <x:v>0.2726190476190476</x:v>
      </x:c>
      <x:c r="J17" s="285" t="n">
        <x:v>0.5198260869565218</x:v>
      </x:c>
      <x:c r="K17" s="287" t="n">
        <x:v>73.09677419354838</x:v>
      </x:c>
      <x:c r="L17" s="285" t="n">
        <x:v>0.228110599078341</x:v>
      </x:c>
      <x:c r="M17" s="284" t="n">
        <x:v>92</x:v>
      </x:c>
      <x:c r="N17" s="284" t="n">
        <x:v>12300</x:v>
      </x:c>
      <x:c r="O17" s="284" t="str"/>
    </x:row>
    <x:row r="18" ht="27" customHeight="1">
      <x:c r="A18" s="283" t="n">
        <x:v>14</x:v>
      </x:c>
      <x:c r="B18" s="283" t="n">
        <x:v>974</x:v>
      </x:c>
      <x:c r="C18" s="283" t="str">
        <x:f>IF(AND(A18&lt;='定義與範圍'!$B$7,B18&lt;='定義與範圍'!$B$7),"是","")</x:f>
      </x:c>
      <x:c r="D18" s="283" t="str">
        <x:v>僅高失衡</x:v>
      </x:c>
      <x:c r="E18" s="283" t="str">
        <x:v>龍門龍濱路口</x:v>
      </x:c>
      <x:c r="F18" s="283" t="str">
        <x:v>三重區</x:v>
      </x:c>
      <x:c r="G18" s="283" t="n">
        <x:v>30</x:v>
      </x:c>
      <x:c r="H18" s="288" t="n">
        <x:v>36.6</x:v>
      </x:c>
      <x:c r="I18" s="286" t="n">
        <x:v>0.2708333333333333</x:v>
      </x:c>
      <x:c r="J18" s="286" t="n">
        <x:v>0.2827826086956522</x:v>
      </x:c>
      <x:c r="K18" s="288" t="n">
        <x:v>0</x:v>
      </x:c>
      <x:c r="L18" s="286" t="n">
        <x:v>1</x:v>
      </x:c>
      <x:c r="M18" s="283" t="n">
        <x:v>1</x:v>
      </x:c>
      <x:c r="N18" s="283" t="n">
        <x:v>44640</x:v>
      </x:c>
      <x:c r="O18" s="283" t="str">
        <x:v>五月零活動，先查停用／資料狀態</x:v>
      </x:c>
    </x:row>
    <x:row r="19" ht="27" customHeight="1">
      <x:c r="A19" s="284" t="n">
        <x:v>15</x:v>
      </x:c>
      <x:c r="B19" s="284" t="n">
        <x:v>655</x:v>
      </x:c>
      <x:c r="C19" s="284" t="str">
        <x:f>IF(AND(A19&lt;='定義與範圍'!$B$7,B19&lt;='定義與範圍'!$B$7),"是","")</x:f>
      </x:c>
      <x:c r="D19" s="284" t="str">
        <x:v>僅高失衡</x:v>
      </x:c>
      <x:c r="E19" s="284" t="str">
        <x:v>捷運江子翠站(1號出口)</x:v>
      </x:c>
      <x:c r="F19" s="284" t="str">
        <x:v>板橋區</x:v>
      </x:c>
      <x:c r="G19" s="284" t="n">
        <x:v>13</x:v>
      </x:c>
      <x:c r="H19" s="287" t="n">
        <x:v>54.73333333333333</x:v>
      </x:c>
      <x:c r="I19" s="285" t="n">
        <x:v>0.2678571428571428</x:v>
      </x:c>
      <x:c r="J19" s="285" t="n">
        <x:v>0.4859130434782608</x:v>
      </x:c>
      <x:c r="K19" s="287" t="n">
        <x:v>66.96774193548387</x:v>
      </x:c>
      <x:c r="L19" s="285" t="n">
        <x:v>0.2926267281105991</x:v>
      </x:c>
      <x:c r="M19" s="284" t="n">
        <x:v>95</x:v>
      </x:c>
      <x:c r="N19" s="284" t="n">
        <x:v>12630</x:v>
      </x:c>
      <x:c r="O19" s="284" t="str"/>
    </x:row>
    <x:row r="20" ht="27" customHeight="1">
      <x:c r="A20" s="283" t="n">
        <x:v>16</x:v>
      </x:c>
      <x:c r="B20" s="283" t="n">
        <x:v>712</x:v>
      </x:c>
      <x:c r="C20" s="283" t="str">
        <x:f>IF(AND(A20&lt;='定義與範圍'!$B$7,B20&lt;='定義與範圍'!$B$7),"是","")</x:f>
      </x:c>
      <x:c r="D20" s="283" t="str">
        <x:v>僅高失衡</x:v>
      </x:c>
      <x:c r="E20" s="283" t="str">
        <x:v>幸福路678巷口</x:v>
      </x:c>
      <x:c r="F20" s="283" t="str">
        <x:v>新莊區</x:v>
      </x:c>
      <x:c r="G20" s="283" t="n">
        <x:v>13</x:v>
      </x:c>
      <x:c r="H20" s="288" t="n">
        <x:v>51.4</x:v>
      </x:c>
      <x:c r="I20" s="286" t="n">
        <x:v>0.2666666666666666</x:v>
      </x:c>
      <x:c r="J20" s="286" t="n">
        <x:v>0.4551304347826087</x:v>
      </x:c>
      <x:c r="K20" s="288" t="n">
        <x:v>63.25806451612903</x:v>
      </x:c>
      <x:c r="L20" s="286" t="n">
        <x:v>0.2811059907834101</x:v>
      </x:c>
      <x:c r="M20" s="283" t="n">
        <x:v>46</x:v>
      </x:c>
      <x:c r="N20" s="283" t="n">
        <x:v>6090</x:v>
      </x:c>
      <x:c r="O20" s="283" t="str"/>
    </x:row>
    <x:row r="21" ht="27" customHeight="1">
      <x:c r="A21" s="284" t="n">
        <x:v>17</x:v>
      </x:c>
      <x:c r="B21" s="284" t="n">
        <x:v>534</x:v>
      </x:c>
      <x:c r="C21" s="284" t="str">
        <x:f>IF(AND(A21&lt;='定義與範圍'!$B$7,B21&lt;='定義與範圍'!$B$7),"是","")</x:f>
      </x:c>
      <x:c r="D21" s="284" t="str">
        <x:v>僅高失衡</x:v>
      </x:c>
      <x:c r="E21" s="284" t="str">
        <x:v>審計人員訓練大樓</x:v>
      </x:c>
      <x:c r="F21" s="284" t="str">
        <x:v>中和區</x:v>
      </x:c>
      <x:c r="G21" s="284" t="n">
        <x:v>10</x:v>
      </x:c>
      <x:c r="H21" s="287" t="n">
        <x:v>62.91666666666666</x:v>
      </x:c>
      <x:c r="I21" s="285" t="n">
        <x:v>0.2613095238095238</x:v>
      </x:c>
      <x:c r="J21" s="285" t="n">
        <x:v>0.5212173913043479</x:v>
      </x:c>
      <x:c r="K21" s="287" t="n">
        <x:v>71.7741935483871</x:v>
      </x:c>
      <x:c r="L21" s="285" t="n">
        <x:v>0.2672811059907834</x:v>
      </x:c>
      <x:c r="M21" s="284" t="n">
        <x:v>83</x:v>
      </x:c>
      <x:c r="N21" s="284" t="n">
        <x:v>9900</x:v>
      </x:c>
      <x:c r="O21" s="284" t="str"/>
    </x:row>
    <x:row r="22" ht="27" customHeight="1">
      <x:c r="A22" s="283" t="n">
        <x:v>18</x:v>
      </x:c>
      <x:c r="B22" s="283" t="n">
        <x:v>715</x:v>
      </x:c>
      <x:c r="C22" s="283" t="str">
        <x:f>IF(AND(A22&lt;='定義與範圍'!$B$7,B22&lt;='定義與範圍'!$B$7),"是","")</x:f>
      </x:c>
      <x:c r="D22" s="283" t="str">
        <x:v>僅高失衡</x:v>
      </x:c>
      <x:c r="E22" s="283" t="str">
        <x:v>縣民民生路口</x:v>
      </x:c>
      <x:c r="F22" s="283" t="str">
        <x:v>板橋區</x:v>
      </x:c>
      <x:c r="G22" s="283" t="n">
        <x:v>13</x:v>
      </x:c>
      <x:c r="H22" s="288" t="n">
        <x:v>51.208333333333336</x:v>
      </x:c>
      <x:c r="I22" s="286" t="n">
        <x:v>0.2559523809523809</x:v>
      </x:c>
      <x:c r="J22" s="286" t="n">
        <x:v>0.4455652173913043</x:v>
      </x:c>
      <x:c r="K22" s="288" t="n">
        <x:v>60.25806451612903</x:v>
      </x:c>
      <x:c r="L22" s="286" t="n">
        <x:v>0.3294930875576037</x:v>
      </x:c>
      <x:c r="M22" s="283" t="n">
        <x:v>77</x:v>
      </x:c>
      <x:c r="N22" s="283" t="n">
        <x:v>8520</x:v>
      </x:c>
      <x:c r="O22" s="283" t="str"/>
    </x:row>
    <x:row r="23" ht="27" customHeight="1">
      <x:c r="A23" s="284" t="n">
        <x:v>19</x:v>
      </x:c>
      <x:c r="B23" s="284" t="n">
        <x:v>697</x:v>
      </x:c>
      <x:c r="C23" s="284" t="str">
        <x:f>IF(AND(A23&lt;='定義與範圍'!$B$7,B23&lt;='定義與範圍'!$B$7),"是","")</x:f>
      </x:c>
      <x:c r="D23" s="284" t="str">
        <x:v>僅高失衡</x:v>
      </x:c>
      <x:c r="E23" s="284" t="str">
        <x:v>縣民富山街口</x:v>
      </x:c>
      <x:c r="F23" s="284" t="str">
        <x:v>板橋區</x:v>
      </x:c>
      <x:c r="G23" s="284" t="n">
        <x:v>10</x:v>
      </x:c>
      <x:c r="H23" s="287" t="n">
        <x:v>51.891666666666666</x:v>
      </x:c>
      <x:c r="I23" s="285" t="n">
        <x:v>0.2369047619047619</x:v>
      </x:c>
      <x:c r="J23" s="285" t="n">
        <x:v>0.436695652173913</x:v>
      </x:c>
      <x:c r="K23" s="287" t="n">
        <x:v>63.87096774193548</x:v>
      </x:c>
      <x:c r="L23" s="285" t="n">
        <x:v>0.2142857142857142</x:v>
      </x:c>
      <x:c r="M23" s="284" t="n">
        <x:v>50</x:v>
      </x:c>
      <x:c r="N23" s="284" t="n">
        <x:v>6030</x:v>
      </x:c>
      <x:c r="O23" s="284" t="str"/>
    </x:row>
    <x:row r="24" ht="27" customHeight="1">
      <x:c r="A24" s="283" t="n">
        <x:v>20</x:v>
      </x:c>
      <x:c r="B24" s="283" t="n">
        <x:v>860</x:v>
      </x:c>
      <x:c r="C24" s="283" t="str">
        <x:f>IF(AND(A24&lt;='定義與範圍'!$B$7,B24&lt;='定義與範圍'!$B$7),"是","")</x:f>
      </x:c>
      <x:c r="D24" s="283" t="str">
        <x:v>僅高失衡</x:v>
      </x:c>
      <x:c r="E24" s="283" t="str">
        <x:v>華江公園</x:v>
      </x:c>
      <x:c r="F24" s="283" t="str">
        <x:v>板橋區</x:v>
      </x:c>
      <x:c r="G24" s="283" t="n">
        <x:v>12</x:v>
      </x:c>
      <x:c r="H24" s="288" t="n">
        <x:v>42.55</x:v>
      </x:c>
      <x:c r="I24" s="286" t="n">
        <x:v>0.2244047619047619</x:v>
      </x:c>
      <x:c r="J24" s="286" t="n">
        <x:v>0.413391304347826</x:v>
      </x:c>
      <x:c r="K24" s="288" t="n">
        <x:v>51.54838709677419</x:v>
      </x:c>
      <x:c r="L24" s="286" t="n">
        <x:v>0.2764976958525346</x:v>
      </x:c>
      <x:c r="M24" s="283" t="n">
        <x:v>63</x:v>
      </x:c>
      <x:c r="N24" s="283" t="n">
        <x:v>8370</x:v>
      </x:c>
      <x:c r="O24" s="283" t="str"/>
    </x:row>
    <x:row r="25" ht="27" customHeight="1">
      <x:c r="A25" s="284" t="n">
        <x:v>21</x:v>
      </x:c>
      <x:c r="B25" s="284" t="n">
        <x:v>168</x:v>
      </x:c>
      <x:c r="C25" s="284" t="str">
        <x:f>IF(AND(A25&lt;='定義與範圍'!$B$7,B25&lt;='定義與範圍'!$B$7),"是","")</x:f>
        <x:v>是</x:v>
      </x:c>
      <x:c r="D25" s="284" t="str">
        <x:v>高活動＋高失衡</x:v>
      </x:c>
      <x:c r="E25" s="284" t="str">
        <x:v>興華公園</x:v>
      </x:c>
      <x:c r="F25" s="284" t="str">
        <x:v>三重區</x:v>
      </x:c>
      <x:c r="G25" s="284" t="n">
        <x:v>45</x:v>
      </x:c>
      <x:c r="H25" s="287" t="n">
        <x:v>101.43333333333334</x:v>
      </x:c>
      <x:c r="I25" s="285" t="n">
        <x:v>0.2148809523809524</x:v>
      </x:c>
      <x:c r="J25" s="285" t="n">
        <x:v>0.4347826086956521</x:v>
      </x:c>
      <x:c r="K25" s="287" t="n">
        <x:v>0</x:v>
      </x:c>
      <x:c r="L25" s="285" t="n">
        <x:v>1</x:v>
      </x:c>
      <x:c r="M25" s="284" t="n">
        <x:v>1</x:v>
      </x:c>
      <x:c r="N25" s="284" t="n">
        <x:v>44640</x:v>
      </x:c>
      <x:c r="O25" s="284" t="str">
        <x:v>五月零活動，先查停用／資料狀態</x:v>
      </x:c>
    </x:row>
    <x:row r="26" ht="27" customHeight="1">
      <x:c r="A26" s="283" t="n">
        <x:v>22</x:v>
      </x:c>
      <x:c r="B26" s="283" t="n">
        <x:v>501</x:v>
      </x:c>
      <x:c r="C26" s="283" t="str">
        <x:f>IF(AND(A26&lt;='定義與範圍'!$B$7,B26&lt;='定義與範圍'!$B$7),"是","")</x:f>
      </x:c>
      <x:c r="D26" s="283" t="str">
        <x:v>僅高失衡</x:v>
      </x:c>
      <x:c r="E26" s="283" t="str">
        <x:v>新莊國民運動中心(和興街)</x:v>
      </x:c>
      <x:c r="F26" s="283" t="str">
        <x:v>新莊區</x:v>
      </x:c>
      <x:c r="G26" s="283" t="n">
        <x:v>12</x:v>
      </x:c>
      <x:c r="H26" s="288" t="n">
        <x:v>64.65833333333333</x:v>
      </x:c>
      <x:c r="I26" s="286" t="n">
        <x:v>0.2130952380952381</x:v>
      </x:c>
      <x:c r="J26" s="286" t="n">
        <x:v>0.5262608695652173</x:v>
      </x:c>
      <x:c r="K26" s="288" t="n">
        <x:v>86.03225806451613</x:v>
      </x:c>
      <x:c r="L26" s="286" t="n">
        <x:v>0.2580645161290322</x:v>
      </x:c>
      <x:c r="M26" s="283" t="n">
        <x:v>59</x:v>
      </x:c>
      <x:c r="N26" s="283" t="n">
        <x:v>7470</x:v>
      </x:c>
      <x:c r="O26" s="283" t="str"/>
    </x:row>
    <x:row r="27" ht="27" customHeight="1">
      <x:c r="A27" s="284" t="n">
        <x:v>23</x:v>
      </x:c>
      <x:c r="B27" s="284" t="n">
        <x:v>117</x:v>
      </x:c>
      <x:c r="C27" s="284" t="str">
        <x:f>IF(AND(A27&lt;='定義與範圍'!$B$7,B27&lt;='定義與範圍'!$B$7),"是","")</x:f>
        <x:v>是</x:v>
      </x:c>
      <x:c r="D27" s="284" t="str">
        <x:v>高活動＋高失衡</x:v>
      </x:c>
      <x:c r="E27" s="284" t="str">
        <x:v>捷運頂溪站(2號出口)</x:v>
      </x:c>
      <x:c r="F27" s="284" t="str">
        <x:v>永和區</x:v>
      </x:c>
      <x:c r="G27" s="284" t="n">
        <x:v>15</x:v>
      </x:c>
      <x:c r="H27" s="287" t="n">
        <x:v>114.28333333333332</x:v>
      </x:c>
      <x:c r="I27" s="285" t="n">
        <x:v>0.2130952380952381</x:v>
      </x:c>
      <x:c r="J27" s="285" t="n">
        <x:v>0.6304347826086957</x:v>
      </x:c>
      <x:c r="K27" s="287" t="n">
        <x:v>127.5483870967742</x:v>
      </x:c>
      <x:c r="L27" s="285" t="n">
        <x:v>0.1912442396313364</x:v>
      </x:c>
      <x:c r="M27" s="284" t="n">
        <x:v>61</x:v>
      </x:c>
      <x:c r="N27" s="284" t="n">
        <x:v>9120</x:v>
      </x:c>
      <x:c r="O27" s="284" t="str"/>
    </x:row>
    <x:row r="28" ht="27" customHeight="1">
      <x:c r="A28" s="283" t="n">
        <x:v>24</x:v>
      </x:c>
      <x:c r="B28" s="283" t="n">
        <x:v>627</x:v>
      </x:c>
      <x:c r="C28" s="283" t="str">
        <x:f>IF(AND(A28&lt;='定義與範圍'!$B$7,B28&lt;='定義與範圍'!$B$7),"是","")</x:f>
      </x:c>
      <x:c r="D28" s="283" t="str">
        <x:v>僅高失衡</x:v>
      </x:c>
      <x:c r="E28" s="283" t="str">
        <x:v>民生縣民大道口(東南側)</x:v>
      </x:c>
      <x:c r="F28" s="283" t="str">
        <x:v>板橋區</x:v>
      </x:c>
      <x:c r="G28" s="283" t="n">
        <x:v>22</x:v>
      </x:c>
      <x:c r="H28" s="288" t="n">
        <x:v>56.71666666666667</x:v>
      </x:c>
      <x:c r="I28" s="286" t="n">
        <x:v>0.2125</x:v>
      </x:c>
      <x:c r="J28" s="286" t="n">
        <x:v>0.4426086956521739</x:v>
      </x:c>
      <x:c r="K28" s="288" t="n">
        <x:v>66.41935483870968</x:v>
      </x:c>
      <x:c r="L28" s="286" t="n">
        <x:v>0.2557603686635945</x:v>
      </x:c>
      <x:c r="M28" s="283" t="n">
        <x:v>56</x:v>
      </x:c>
      <x:c r="N28" s="283" t="n">
        <x:v>7260</x:v>
      </x:c>
      <x:c r="O28" s="283" t="str"/>
    </x:row>
    <x:row r="29" ht="27" customHeight="1">
      <x:c r="A29" s="284" t="n">
        <x:v>25</x:v>
      </x:c>
      <x:c r="B29" s="284" t="n">
        <x:v>698</x:v>
      </x:c>
      <x:c r="C29" s="284" t="str">
        <x:f>IF(AND(A29&lt;='定義與範圍'!$B$7,B29&lt;='定義與範圍'!$B$7),"是","")</x:f>
      </x:c>
      <x:c r="D29" s="284" t="str">
        <x:v>僅高失衡</x:v>
      </x:c>
      <x:c r="E29" s="284" t="str">
        <x:v>仁美街/三和路四段145巷口</x:v>
      </x:c>
      <x:c r="F29" s="284" t="str">
        <x:v>三重區</x:v>
      </x:c>
      <x:c r="G29" s="284" t="n">
        <x:v>12</x:v>
      </x:c>
      <x:c r="H29" s="287" t="n">
        <x:v>51.875</x:v>
      </x:c>
      <x:c r="I29" s="285" t="n">
        <x:v>0.2119047619047619</x:v>
      </x:c>
      <x:c r="J29" s="285" t="n">
        <x:v>0.4893913043478261</x:v>
      </x:c>
      <x:c r="K29" s="287" t="n">
        <x:v>65.45161290322581</x:v>
      </x:c>
      <x:c r="L29" s="285" t="n">
        <x:v>0.2211981566820276</x:v>
      </x:c>
      <x:c r="M29" s="284" t="n">
        <x:v>46</x:v>
      </x:c>
      <x:c r="N29" s="284" t="n">
        <x:v>6420</x:v>
      </x:c>
      <x:c r="O29" s="284" t="str"/>
    </x:row>
    <x:row r="30" ht="27" customHeight="1">
      <x:c r="A30" s="283" t="n">
        <x:v>26</x:v>
      </x:c>
      <x:c r="B30" s="283" t="n">
        <x:v>911</x:v>
      </x:c>
      <x:c r="C30" s="283" t="str">
        <x:f>IF(AND(A30&lt;='定義與範圍'!$B$7,B30&lt;='定義與範圍'!$B$7),"是","")</x:f>
      </x:c>
      <x:c r="D30" s="283" t="str">
        <x:v>僅高失衡</x:v>
      </x:c>
      <x:c r="E30" s="283" t="str">
        <x:v>青雲路451巷口(紐約艾美社區)</x:v>
      </x:c>
      <x:c r="F30" s="283" t="str">
        <x:v>土城區</x:v>
      </x:c>
      <x:c r="G30" s="283" t="n">
        <x:v>41</x:v>
      </x:c>
      <x:c r="H30" s="288" t="n">
        <x:v>39.99166666666667</x:v>
      </x:c>
      <x:c r="I30" s="286" t="n">
        <x:v>0.2113095238095238</x:v>
      </x:c>
      <x:c r="J30" s="286" t="n">
        <x:v>0.2645217391304348</x:v>
      </x:c>
      <x:c r="K30" s="288" t="n">
        <x:v>35.16129032258065</x:v>
      </x:c>
      <x:c r="L30" s="286" t="n">
        <x:v>0.1705069124423963</x:v>
      </x:c>
      <x:c r="M30" s="283" t="n">
        <x:v>26</x:v>
      </x:c>
      <x:c r="N30" s="283" t="n">
        <x:v>3060</x:v>
      </x:c>
      <x:c r="O30" s="283" t="str"/>
    </x:row>
    <x:row r="31" ht="27" customHeight="1">
      <x:c r="A31" s="284" t="n">
        <x:v>27</x:v>
      </x:c>
      <x:c r="B31" s="284" t="n">
        <x:v>100</x:v>
      </x:c>
      <x:c r="C31" s="284" t="str">
        <x:f>IF(AND(A31&lt;='定義與範圍'!$B$7,B31&lt;='定義與範圍'!$B$7),"是","")</x:f>
        <x:v>是</x:v>
      </x:c>
      <x:c r="D31" s="284" t="str">
        <x:v>高活動＋高失衡</x:v>
      </x:c>
      <x:c r="E31" s="284" t="str">
        <x:v>捷運三和國中站(2號出口)</x:v>
      </x:c>
      <x:c r="F31" s="284" t="str">
        <x:v>三重區</x:v>
      </x:c>
      <x:c r="G31" s="284" t="n">
        <x:v>17</x:v>
      </x:c>
      <x:c r="H31" s="287" t="n">
        <x:v>125.71666666666668</x:v>
      </x:c>
      <x:c r="I31" s="285" t="n">
        <x:v>0.2111244019138756</x:v>
      </x:c>
      <x:c r="J31" s="285" t="n">
        <x:v>0.6339254615116684</x:v>
      </x:c>
      <x:c r="K31" s="287" t="n">
        <x:v>134.38709677419354</x:v>
      </x:c>
      <x:c r="L31" s="285" t="n">
        <x:v>0.26036866359447</x:v>
      </x:c>
      <x:c r="M31" s="284" t="n">
        <x:v>64</x:v>
      </x:c>
      <x:c r="N31" s="284" t="n">
        <x:v>9240</x:v>
      </x:c>
      <x:c r="O31" s="284" t="str"/>
    </x:row>
    <x:row r="32" ht="27" customHeight="1">
      <x:c r="A32" s="283" t="n">
        <x:v>28</x:v>
      </x:c>
      <x:c r="B32" s="283" t="n">
        <x:v>228</x:v>
      </x:c>
      <x:c r="C32" s="283" t="str">
        <x:f>IF(AND(A32&lt;='定義與範圍'!$B$7,B32&lt;='定義與範圍'!$B$7),"是","")</x:f>
        <x:v>是</x:v>
      </x:c>
      <x:c r="D32" s="283" t="str">
        <x:v>高活動＋高失衡</x:v>
      </x:c>
      <x:c r="E32" s="283" t="str">
        <x:v>捷運江子翠站(2號出口)</x:v>
      </x:c>
      <x:c r="F32" s="283" t="str">
        <x:v>板橋區</x:v>
      </x:c>
      <x:c r="G32" s="283" t="n">
        <x:v>26</x:v>
      </x:c>
      <x:c r="H32" s="288" t="n">
        <x:v>89.43333333333334</x:v>
      </x:c>
      <x:c r="I32" s="286" t="n">
        <x:v>0.2071428571428571</x:v>
      </x:c>
      <x:c r="J32" s="286" t="n">
        <x:v>0.5140869565217391</x:v>
      </x:c>
      <x:c r="K32" s="288" t="n">
        <x:v>97.90322580645162</x:v>
      </x:c>
      <x:c r="L32" s="286" t="n">
        <x:v>0.2119815668202765</x:v>
      </x:c>
      <x:c r="M32" s="283" t="n">
        <x:v>81</x:v>
      </x:c>
      <x:c r="N32" s="283" t="n">
        <x:v>9450</x:v>
      </x:c>
      <x:c r="O32" s="283" t="str"/>
    </x:row>
    <x:row r="33" ht="27" customHeight="1">
      <x:c r="A33" s="284" t="n">
        <x:v>29</x:v>
      </x:c>
      <x:c r="B33" s="284" t="n">
        <x:v>641</x:v>
      </x:c>
      <x:c r="C33" s="284" t="str">
        <x:f>IF(AND(A33&lt;='定義與範圍'!$B$7,B33&lt;='定義與範圍'!$B$7),"是","")</x:f>
      </x:c>
      <x:c r="D33" s="284" t="str">
        <x:v>僅高失衡</x:v>
      </x:c>
      <x:c r="E33" s="284" t="str">
        <x:v>捷運頂溪站(復興街1巷)</x:v>
      </x:c>
      <x:c r="F33" s="284" t="str">
        <x:v>永和區</x:v>
      </x:c>
      <x:c r="G33" s="284" t="n">
        <x:v>15</x:v>
      </x:c>
      <x:c r="H33" s="287" t="n">
        <x:v>55.775</x:v>
      </x:c>
      <x:c r="I33" s="285" t="n">
        <x:v>0.2053571428571428</x:v>
      </x:c>
      <x:c r="J33" s="285" t="n">
        <x:v>0.4817391304347826</x:v>
      </x:c>
      <x:c r="K33" s="287" t="n">
        <x:v>71.61290322580645</x:v>
      </x:c>
      <x:c r="L33" s="285" t="n">
        <x:v>0.2211981566820276</x:v>
      </x:c>
      <x:c r="M33" s="284" t="n">
        <x:v>85</x:v>
      </x:c>
      <x:c r="N33" s="284" t="n">
        <x:v>10200</x:v>
      </x:c>
      <x:c r="O33" s="284" t="str"/>
    </x:row>
    <x:row r="34" ht="27" customHeight="1">
      <x:c r="A34" s="283" t="n">
        <x:v>30</x:v>
      </x:c>
      <x:c r="B34" s="283" t="n">
        <x:v>145</x:v>
      </x:c>
      <x:c r="C34" s="283" t="str">
        <x:f>IF(AND(A34&lt;='定義與範圍'!$B$7,B34&lt;='定義與範圍'!$B$7),"是","")</x:f>
        <x:v>是</x:v>
      </x:c>
      <x:c r="D34" s="283" t="str">
        <x:v>高活動＋高失衡</x:v>
      </x:c>
      <x:c r="E34" s="283" t="str">
        <x:v>文德新海路口</x:v>
      </x:c>
      <x:c r="F34" s="283" t="str">
        <x:v>板橋區</x:v>
      </x:c>
      <x:c r="G34" s="283" t="n">
        <x:v>18</x:v>
      </x:c>
      <x:c r="H34" s="288" t="n">
        <x:v>106.95</x:v>
      </x:c>
      <x:c r="I34" s="286" t="n">
        <x:v>0.2041666666666666</x:v>
      </x:c>
      <x:c r="J34" s="286" t="n">
        <x:v>0.6292173913043478</x:v>
      </x:c>
      <x:c r="K34" s="288" t="n">
        <x:v>124.51612903225806</x:v>
      </x:c>
      <x:c r="L34" s="286" t="n">
        <x:v>0.2235023041474654</x:v>
      </x:c>
      <x:c r="M34" s="283" t="n">
        <x:v>39</x:v>
      </x:c>
      <x:c r="N34" s="283" t="n">
        <x:v>6270</x:v>
      </x:c>
      <x:c r="O34" s="283" t="str"/>
    </x:row>
    <x:row r="35" ht="27" customHeight="1">
      <x:c r="A35" s="284" t="n">
        <x:v>31</x:v>
      </x:c>
      <x:c r="B35" s="284" t="n">
        <x:v>364</x:v>
      </x:c>
      <x:c r="C35" s="284" t="str">
        <x:f>IF(AND(A35&lt;='定義與範圍'!$B$7,B35&lt;='定義與範圍'!$B$7),"是","")</x:f>
        <x:v>是</x:v>
      </x:c>
      <x:c r="D35" s="284" t="str">
        <x:v>高活動＋高失衡</x:v>
      </x:c>
      <x:c r="E35" s="284" t="str">
        <x:v>覺明寺(豐年街53巷)</x:v>
      </x:c>
      <x:c r="F35" s="284" t="str">
        <x:v>新莊區</x:v>
      </x:c>
      <x:c r="G35" s="284" t="n">
        <x:v>11</x:v>
      </x:c>
      <x:c r="H35" s="287" t="n">
        <x:v>75.34166666666667</x:v>
      </x:c>
      <x:c r="I35" s="285" t="n">
        <x:v>0.2035714285714285</x:v>
      </x:c>
      <x:c r="J35" s="285" t="n">
        <x:v>0.536695652173913</x:v>
      </x:c>
      <x:c r="K35" s="287" t="n">
        <x:v>92.7741935483871</x:v>
      </x:c>
      <x:c r="L35" s="285" t="n">
        <x:v>0.2350230414746544</x:v>
      </x:c>
      <x:c r="M35" s="284" t="n">
        <x:v>37</x:v>
      </x:c>
      <x:c r="N35" s="284" t="n">
        <x:v>5760</x:v>
      </x:c>
      <x:c r="O35" s="284" t="str"/>
    </x:row>
    <x:row r="36" ht="27" customHeight="1">
      <x:c r="A36" s="283" t="n">
        <x:v>32</x:v>
      </x:c>
      <x:c r="B36" s="283" t="n">
        <x:v>1123</x:v>
      </x:c>
      <x:c r="C36" s="283" t="str">
        <x:f>IF(AND(A36&lt;='定義與範圍'!$B$7,B36&lt;='定義與範圍'!$B$7),"是","")</x:f>
      </x:c>
      <x:c r="D36" s="283" t="str">
        <x:v>僅高失衡</x:v>
      </x:c>
      <x:c r="E36" s="283" t="str">
        <x:v>新北捷運環狀線南機廠</x:v>
      </x:c>
      <x:c r="F36" s="283" t="str">
        <x:v>新店區</x:v>
      </x:c>
      <x:c r="G36" s="283" t="n">
        <x:v>21</x:v>
      </x:c>
      <x:c r="H36" s="288" t="n">
        <x:v>29.266666666666666</x:v>
      </x:c>
      <x:c r="I36" s="286" t="n">
        <x:v>0.2029761904761904</x:v>
      </x:c>
      <x:c r="J36" s="286" t="n">
        <x:v>0.2674782608695652</x:v>
      </x:c>
      <x:c r="K36" s="288" t="n">
        <x:v>53.29032258064516</x:v>
      </x:c>
      <x:c r="L36" s="286" t="n">
        <x:v>0.1497695852534562</x:v>
      </x:c>
      <x:c r="M36" s="283" t="n">
        <x:v>44</x:v>
      </x:c>
      <x:c r="N36" s="283" t="n">
        <x:v>6060</x:v>
      </x:c>
      <x:c r="O36" s="283" t="str"/>
    </x:row>
    <x:row r="37" ht="27" customHeight="1">
      <x:c r="A37" s="284" t="n">
        <x:v>33</x:v>
      </x:c>
      <x:c r="B37" s="284" t="n">
        <x:v>355</x:v>
      </x:c>
      <x:c r="C37" s="284" t="str">
        <x:f>IF(AND(A37&lt;='定義與範圍'!$B$7,B37&lt;='定義與範圍'!$B$7),"是","")</x:f>
        <x:v>是</x:v>
      </x:c>
      <x:c r="D37" s="284" t="str">
        <x:v>高活動＋高失衡</x:v>
      </x:c>
      <x:c r="E37" s="284" t="str">
        <x:v>捷運江子翠站(6號出口)</x:v>
      </x:c>
      <x:c r="F37" s="284" t="str">
        <x:v>板橋區</x:v>
      </x:c>
      <x:c r="G37" s="284" t="n">
        <x:v>22</x:v>
      </x:c>
      <x:c r="H37" s="287" t="n">
        <x:v>75.71666666666667</x:v>
      </x:c>
      <x:c r="I37" s="285" t="n">
        <x:v>0.2029761904761904</x:v>
      </x:c>
      <x:c r="J37" s="285" t="n">
        <x:v>0.4935652173913043</x:v>
      </x:c>
      <x:c r="K37" s="287" t="n">
        <x:v>96</x:v>
      </x:c>
      <x:c r="L37" s="285" t="n">
        <x:v>0.2304147465437788</x:v>
      </x:c>
      <x:c r="M37" s="284" t="n">
        <x:v>81</x:v>
      </x:c>
      <x:c r="N37" s="284" t="n">
        <x:v>9660</x:v>
      </x:c>
      <x:c r="O37" s="284" t="str"/>
    </x:row>
    <x:row r="38" ht="27" customHeight="1">
      <x:c r="A38" s="283" t="n">
        <x:v>34</x:v>
      </x:c>
      <x:c r="B38" s="283" t="n">
        <x:v>517</x:v>
      </x:c>
      <x:c r="C38" s="283" t="str">
        <x:f>IF(AND(A38&lt;='定義與範圍'!$B$7,B38&lt;='定義與範圍'!$B$7),"是","")</x:f>
      </x:c>
      <x:c r="D38" s="283" t="str">
        <x:v>僅高失衡</x:v>
      </x:c>
      <x:c r="E38" s="283" t="str">
        <x:v>縣民觀光街口</x:v>
      </x:c>
      <x:c r="F38" s="283" t="str">
        <x:v>板橋區</x:v>
      </x:c>
      <x:c r="G38" s="283" t="n">
        <x:v>12</x:v>
      </x:c>
      <x:c r="H38" s="288" t="n">
        <x:v>63.8</x:v>
      </x:c>
      <x:c r="I38" s="286" t="n">
        <x:v>0.2023809523809523</x:v>
      </x:c>
      <x:c r="J38" s="286" t="n">
        <x:v>0.5259130434782608</x:v>
      </x:c>
      <x:c r="K38" s="288" t="n">
        <x:v>83.51612903225806</x:v>
      </x:c>
      <x:c r="L38" s="286" t="n">
        <x:v>0.1474654377880184</x:v>
      </x:c>
      <x:c r="M38" s="283" t="n">
        <x:v>33</x:v>
      </x:c>
      <x:c r="N38" s="283" t="n">
        <x:v>4710</x:v>
      </x:c>
      <x:c r="O38" s="283" t="str"/>
    </x:row>
    <x:row r="39" ht="27" customHeight="1">
      <x:c r="A39" s="284" t="n">
        <x:v>35</x:v>
      </x:c>
      <x:c r="B39" s="284" t="n">
        <x:v>493</x:v>
      </x:c>
      <x:c r="C39" s="284" t="str">
        <x:f>IF(AND(A39&lt;='定義與範圍'!$B$7,B39&lt;='定義與範圍'!$B$7),"是","")</x:f>
      </x:c>
      <x:c r="D39" s="284" t="str">
        <x:v>僅高失衡</x:v>
      </x:c>
      <x:c r="E39" s="284" t="str">
        <x:v>永福國小(永福街72巷)</x:v>
      </x:c>
      <x:c r="F39" s="284" t="str">
        <x:v>三重區</x:v>
      </x:c>
      <x:c r="G39" s="284" t="n">
        <x:v>31</x:v>
      </x:c>
      <x:c r="H39" s="287" t="n">
        <x:v>65.525</x:v>
      </x:c>
      <x:c r="I39" s="285" t="n">
        <x:v>0.2023809523809523</x:v>
      </x:c>
      <x:c r="J39" s="285" t="n">
        <x:v>0.403304347826087</x:v>
      </x:c>
      <x:c r="K39" s="287" t="n">
        <x:v>99.51612903225806</x:v>
      </x:c>
      <x:c r="L39" s="285" t="n">
        <x:v>0.064516129032258</x:v>
      </x:c>
      <x:c r="M39" s="284" t="n">
        <x:v>15</x:v>
      </x:c>
      <x:c r="N39" s="284" t="n">
        <x:v>1980</x:v>
      </x:c>
      <x:c r="O39" s="284" t="str"/>
    </x:row>
    <x:row r="40" ht="27" customHeight="1">
      <x:c r="A40" s="283" t="n">
        <x:v>36</x:v>
      </x:c>
      <x:c r="B40" s="283" t="n">
        <x:v>404</x:v>
      </x:c>
      <x:c r="C40" s="283" t="str">
        <x:f>IF(AND(A40&lt;='定義與範圍'!$B$7,B40&lt;='定義與範圍'!$B$7),"是","")</x:f>
      </x:c>
      <x:c r="D40" s="283" t="str">
        <x:v>僅高失衡</x:v>
      </x:c>
      <x:c r="E40" s="283" t="str">
        <x:v>大觀路二段265巷3弄口</x:v>
      </x:c>
      <x:c r="F40" s="283" t="str">
        <x:v>板橋區</x:v>
      </x:c>
      <x:c r="G40" s="283" t="n">
        <x:v>10</x:v>
      </x:c>
      <x:c r="H40" s="288" t="n">
        <x:v>71.525</x:v>
      </x:c>
      <x:c r="I40" s="286" t="n">
        <x:v>0.2011904761904762</x:v>
      </x:c>
      <x:c r="J40" s="286" t="n">
        <x:v>0.5408695652173913</x:v>
      </x:c>
      <x:c r="K40" s="288" t="n">
        <x:v>89.48387096774194</x:v>
      </x:c>
      <x:c r="L40" s="286" t="n">
        <x:v>0.2465437788018433</x:v>
      </x:c>
      <x:c r="M40" s="283" t="n">
        <x:v>50</x:v>
      </x:c>
      <x:c r="N40" s="283" t="n">
        <x:v>7410</x:v>
      </x:c>
      <x:c r="O40" s="283" t="str"/>
    </x:row>
    <x:row r="41" ht="27" customHeight="1">
      <x:c r="A41" s="284" t="n">
        <x:v>37</x:v>
      </x:c>
      <x:c r="B41" s="284" t="n">
        <x:v>745</x:v>
      </x:c>
      <x:c r="C41" s="284" t="str">
        <x:f>IF(AND(A41&lt;='定義與範圍'!$B$7,B41&lt;='定義與範圍'!$B$7),"是","")</x:f>
      </x:c>
      <x:c r="D41" s="284" t="str">
        <x:v>僅高失衡</x:v>
      </x:c>
      <x:c r="E41" s="284" t="str">
        <x:v>中華電信學院</x:v>
      </x:c>
      <x:c r="F41" s="284" t="str">
        <x:v>板橋區</x:v>
      </x:c>
      <x:c r="G41" s="284" t="n">
        <x:v>9</x:v>
      </x:c>
      <x:c r="H41" s="287" t="n">
        <x:v>49.36666666666667</x:v>
      </x:c>
      <x:c r="I41" s="285" t="n">
        <x:v>0.1976190476190476</x:v>
      </x:c>
      <x:c r="J41" s="285" t="n">
        <x:v>0.4822608695652174</x:v>
      </x:c>
      <x:c r="K41" s="287" t="n">
        <x:v>63.87096774193548</x:v>
      </x:c>
      <x:c r="L41" s="285" t="n">
        <x:v>0.2534562211981567</x:v>
      </x:c>
      <x:c r="M41" s="284" t="n">
        <x:v>59</x:v>
      </x:c>
      <x:c r="N41" s="284" t="n">
        <x:v>7440</x:v>
      </x:c>
      <x:c r="O41" s="284" t="str"/>
    </x:row>
    <x:row r="42" ht="27" customHeight="1">
      <x:c r="A42" s="283" t="n">
        <x:v>38</x:v>
      </x:c>
      <x:c r="B42" s="283" t="n">
        <x:v>593</x:v>
      </x:c>
      <x:c r="C42" s="283" t="str">
        <x:f>IF(AND(A42&lt;='定義與範圍'!$B$7,B42&lt;='定義與範圍'!$B$7),"是","")</x:f>
      </x:c>
      <x:c r="D42" s="283" t="str">
        <x:v>僅高失衡</x:v>
      </x:c>
      <x:c r="E42" s="283" t="str">
        <x:v>縣民大道三段270巷口</x:v>
      </x:c>
      <x:c r="F42" s="283" t="str">
        <x:v>板橋區</x:v>
      </x:c>
      <x:c r="G42" s="283" t="n">
        <x:v>11</x:v>
      </x:c>
      <x:c r="H42" s="288" t="n">
        <x:v>59.275</x:v>
      </x:c>
      <x:c r="I42" s="286" t="n">
        <x:v>0.1970238095238095</x:v>
      </x:c>
      <x:c r="J42" s="286" t="n">
        <x:v>0.4478260869565217</x:v>
      </x:c>
      <x:c r="K42" s="288" t="n">
        <x:v>73.70967741935483</x:v>
      </x:c>
      <x:c r="L42" s="286" t="n">
        <x:v>0.2004608294930875</x:v>
      </x:c>
      <x:c r="M42" s="283" t="n">
        <x:v>42</x:v>
      </x:c>
      <x:c r="N42" s="283" t="n">
        <x:v>5400</x:v>
      </x:c>
      <x:c r="O42" s="283" t="str"/>
    </x:row>
    <x:row r="43" ht="27" customHeight="1">
      <x:c r="A43" s="284" t="n">
        <x:v>39</x:v>
      </x:c>
      <x:c r="B43" s="284" t="n">
        <x:v>303</x:v>
      </x:c>
      <x:c r="C43" s="284" t="str">
        <x:f>IF(AND(A43&lt;='定義與範圍'!$B$7,B43&lt;='定義與範圍'!$B$7),"是","")</x:f>
        <x:v>是</x:v>
      </x:c>
      <x:c r="D43" s="284" t="str">
        <x:v>高活動＋高失衡</x:v>
      </x:c>
      <x:c r="E43" s="284" t="str">
        <x:v>捷運新埔站(3號出口)</x:v>
      </x:c>
      <x:c r="F43" s="284" t="str">
        <x:v>板橋區</x:v>
      </x:c>
      <x:c r="G43" s="284" t="n">
        <x:v>20</x:v>
      </x:c>
      <x:c r="H43" s="287" t="n">
        <x:v>80.40833333333333</x:v>
      </x:c>
      <x:c r="I43" s="285" t="n">
        <x:v>0.194047619047619</x:v>
      </x:c>
      <x:c r="J43" s="285" t="n">
        <x:v>0.5113043478260869</x:v>
      </x:c>
      <x:c r="K43" s="287" t="n">
        <x:v>103.90322580645162</x:v>
      </x:c>
      <x:c r="L43" s="285" t="n">
        <x:v>0.1981566820276497</x:v>
      </x:c>
      <x:c r="M43" s="284" t="n">
        <x:v>66</x:v>
      </x:c>
      <x:c r="N43" s="284" t="n">
        <x:v>8550</x:v>
      </x:c>
      <x:c r="O43" s="284" t="str"/>
    </x:row>
    <x:row r="44" ht="27" customHeight="1">
      <x:c r="A44" s="283" t="n">
        <x:v>40</x:v>
      </x:c>
      <x:c r="B44" s="283" t="n">
        <x:v>519</x:v>
      </x:c>
      <x:c r="C44" s="283" t="str">
        <x:f>IF(AND(A44&lt;='定義與範圍'!$B$7,B44&lt;='定義與範圍'!$B$7),"是","")</x:f>
      </x:c>
      <x:c r="D44" s="283" t="str">
        <x:v>僅高失衡</x:v>
      </x:c>
      <x:c r="E44" s="283" t="str">
        <x:v>後埔國小</x:v>
      </x:c>
      <x:c r="F44" s="283" t="str">
        <x:v>板橋區</x:v>
      </x:c>
      <x:c r="G44" s="283" t="n">
        <x:v>12</x:v>
      </x:c>
      <x:c r="H44" s="288" t="n">
        <x:v>63.54166666666666</x:v>
      </x:c>
      <x:c r="I44" s="286" t="n">
        <x:v>0.1928571428571428</x:v>
      </x:c>
      <x:c r="J44" s="286" t="n">
        <x:v>0.4933913043478261</x:v>
      </x:c>
      <x:c r="K44" s="288" t="n">
        <x:v>79.45161290322581</x:v>
      </x:c>
      <x:c r="L44" s="286" t="n">
        <x:v>0.1889400921658986</x:v>
      </x:c>
      <x:c r="M44" s="283" t="n">
        <x:v>43</x:v>
      </x:c>
      <x:c r="N44" s="283" t="n">
        <x:v>5550</x:v>
      </x:c>
      <x:c r="O44" s="283" t="str"/>
    </x:row>
    <x:row r="45" ht="27" customHeight="1">
      <x:c r="A45" s="284" t="n">
        <x:v>41</x:v>
      </x:c>
      <x:c r="B45" s="284" t="n">
        <x:v>518</x:v>
      </x:c>
      <x:c r="C45" s="284" t="str">
        <x:f>IF(AND(A45&lt;='定義與範圍'!$B$7,B45&lt;='定義與範圍'!$B$7),"是","")</x:f>
      </x:c>
      <x:c r="D45" s="284" t="str">
        <x:v>僅高失衡</x:v>
      </x:c>
      <x:c r="E45" s="284" t="str">
        <x:v>海山高中(漢生東路)</x:v>
      </x:c>
      <x:c r="F45" s="284" t="str">
        <x:v>板橋區</x:v>
      </x:c>
      <x:c r="G45" s="284" t="n">
        <x:v>40</x:v>
      </x:c>
      <x:c r="H45" s="287" t="n">
        <x:v>63.55</x:v>
      </x:c>
      <x:c r="I45" s="285" t="n">
        <x:v>0.1928571428571428</x:v>
      </x:c>
      <x:c r="J45" s="285" t="n">
        <x:v>0.3638260869565217</x:v>
      </x:c>
      <x:c r="K45" s="287" t="n">
        <x:v>87.45161290322581</x:v>
      </x:c>
      <x:c r="L45" s="285" t="n">
        <x:v>0.1912442396313364</x:v>
      </x:c>
      <x:c r="M45" s="284" t="n">
        <x:v>46</x:v>
      </x:c>
      <x:c r="N45" s="284" t="n">
        <x:v>5160</x:v>
      </x:c>
      <x:c r="O45" s="284" t="str"/>
    </x:row>
    <x:row r="46" ht="27" customHeight="1">
      <x:c r="A46" s="283" t="n">
        <x:v>42</x:v>
      </x:c>
      <x:c r="B46" s="283" t="n">
        <x:v>553</x:v>
      </x:c>
      <x:c r="C46" s="283" t="str">
        <x:f>IF(AND(A46&lt;='定義與範圍'!$B$7,B46&lt;='定義與範圍'!$B$7),"是","")</x:f>
      </x:c>
      <x:c r="D46" s="283" t="str">
        <x:v>僅高失衡</x:v>
      </x:c>
      <x:c r="E46" s="283" t="str">
        <x:v>仁愛公園(仁愛路)</x:v>
      </x:c>
      <x:c r="F46" s="283" t="str">
        <x:v>永和區</x:v>
      </x:c>
      <x:c r="G46" s="283" t="n">
        <x:v>15</x:v>
      </x:c>
      <x:c r="H46" s="288" t="n">
        <x:v>61.50833333333333</x:v>
      </x:c>
      <x:c r="I46" s="286" t="n">
        <x:v>0.1904761904761904</x:v>
      </x:c>
      <x:c r="J46" s="286" t="n">
        <x:v>0.4972173913043478</x:v>
      </x:c>
      <x:c r="K46" s="288" t="n">
        <x:v>85.3225806451613</x:v>
      </x:c>
      <x:c r="L46" s="286" t="n">
        <x:v>0.1728110599078341</x:v>
      </x:c>
      <x:c r="M46" s="283" t="n">
        <x:v>34</x:v>
      </x:c>
      <x:c r="N46" s="283" t="n">
        <x:v>4830</x:v>
      </x:c>
      <x:c r="O46" s="283" t="str"/>
    </x:row>
    <x:row r="47" ht="27" customHeight="1">
      <x:c r="A47" s="284" t="n">
        <x:v>43</x:v>
      </x:c>
      <x:c r="B47" s="284" t="n">
        <x:v>1375</x:v>
      </x:c>
      <x:c r="C47" s="284" t="str">
        <x:f>IF(AND(A47&lt;='定義與範圍'!$B$7,B47&lt;='定義與範圍'!$B$7),"是","")</x:f>
      </x:c>
      <x:c r="D47" s="284" t="str">
        <x:v>僅高失衡</x:v>
      </x:c>
      <x:c r="E47" s="284" t="str">
        <x:v>文化北路一段412巷口</x:v>
      </x:c>
      <x:c r="F47" s="284" t="str">
        <x:v>林口區</x:v>
      </x:c>
      <x:c r="G47" s="284" t="n">
        <x:v>27</x:v>
      </x:c>
      <x:c r="H47" s="287" t="n">
        <x:v>13.366666666666667</x:v>
      </x:c>
      <x:c r="I47" s="285" t="n">
        <x:v>0.1886904761904762</x:v>
      </x:c>
      <x:c r="J47" s="285" t="n">
        <x:v>0.1777391304347826</x:v>
      </x:c>
      <x:c r="K47" s="287" t="n">
        <x:v>25.483870967741936</x:v>
      </x:c>
      <x:c r="L47" s="285" t="n">
        <x:v>0</x:v>
      </x:c>
      <x:c r="M47" s="284" t="n">
        <x:v>1</x:v>
      </x:c>
      <x:c r="N47" s="284" t="n">
        <x:v>120</x:v>
      </x:c>
      <x:c r="O47" s="284" t="str"/>
    </x:row>
    <x:row r="48" ht="27" customHeight="1">
      <x:c r="A48" s="283" t="n">
        <x:v>44</x:v>
      </x:c>
      <x:c r="B48" s="283" t="n">
        <x:v>442</x:v>
      </x:c>
      <x:c r="C48" s="283" t="str">
        <x:f>IF(AND(A48&lt;='定義與範圍'!$B$7,B48&lt;='定義與範圍'!$B$7),"是","")</x:f>
      </x:c>
      <x:c r="D48" s="283" t="str">
        <x:v>僅高失衡</x:v>
      </x:c>
      <x:c r="E48" s="283" t="str">
        <x:v>新北高工(明德路)</x:v>
      </x:c>
      <x:c r="F48" s="283" t="str">
        <x:v>土城區</x:v>
      </x:c>
      <x:c r="G48" s="283" t="n">
        <x:v>18</x:v>
      </x:c>
      <x:c r="H48" s="288" t="n">
        <x:v>68.7</x:v>
      </x:c>
      <x:c r="I48" s="286" t="n">
        <x:v>0.1845238095238095</x:v>
      </x:c>
      <x:c r="J48" s="286" t="n">
        <x:v>0.468</x:v>
      </x:c>
      <x:c r="K48" s="288" t="n">
        <x:v>79.38709677419355</x:v>
      </x:c>
      <x:c r="L48" s="286" t="n">
        <x:v>0.2004608294930875</x:v>
      </x:c>
      <x:c r="M48" s="283" t="n">
        <x:v>66</x:v>
      </x:c>
      <x:c r="N48" s="283" t="n">
        <x:v>8070</x:v>
      </x:c>
      <x:c r="O48" s="283" t="str"/>
    </x:row>
    <x:row r="49" ht="27" customHeight="1">
      <x:c r="A49" s="284" t="n">
        <x:v>45</x:v>
      </x:c>
      <x:c r="B49" s="284" t="n">
        <x:v>337</x:v>
      </x:c>
      <x:c r="C49" s="284" t="str">
        <x:f>IF(AND(A49&lt;='定義與範圍'!$B$7,B49&lt;='定義與範圍'!$B$7),"是","")</x:f>
        <x:v>是</x:v>
      </x:c>
      <x:c r="D49" s="284" t="str">
        <x:v>高活動＋高失衡</x:v>
      </x:c>
      <x:c r="E49" s="284" t="str">
        <x:v>飛駝二村</x:v>
      </x:c>
      <x:c r="F49" s="284" t="str">
        <x:v>中和區</x:v>
      </x:c>
      <x:c r="G49" s="284" t="n">
        <x:v>11</x:v>
      </x:c>
      <x:c r="H49" s="287" t="n">
        <x:v>77.425</x:v>
      </x:c>
      <x:c r="I49" s="285" t="n">
        <x:v>0.1833333333333333</x:v>
      </x:c>
      <x:c r="J49" s="285" t="n">
        <x:v>0.5601739130434783</x:v>
      </x:c>
      <x:c r="K49" s="287" t="n">
        <x:v>90.48387096774194</x:v>
      </x:c>
      <x:c r="L49" s="285" t="n">
        <x:v>0.1912442396313364</x:v>
      </x:c>
      <x:c r="M49" s="284" t="n">
        <x:v>41</x:v>
      </x:c>
      <x:c r="N49" s="284" t="n">
        <x:v>6570</x:v>
      </x:c>
      <x:c r="O49" s="284" t="str"/>
    </x:row>
    <x:row r="50" ht="27" customHeight="1">
      <x:c r="A50" s="283" t="n">
        <x:v>46</x:v>
      </x:c>
      <x:c r="B50" s="283" t="n">
        <x:v>419</x:v>
      </x:c>
      <x:c r="C50" s="283" t="str">
        <x:f>IF(AND(A50&lt;='定義與範圍'!$B$7,B50&lt;='定義與範圍'!$B$7),"是","")</x:f>
      </x:c>
      <x:c r="D50" s="283" t="str">
        <x:v>僅高失衡</x:v>
      </x:c>
      <x:c r="E50" s="283" t="str">
        <x:v>幸福路753巷口</x:v>
      </x:c>
      <x:c r="F50" s="283" t="str">
        <x:v>新莊區</x:v>
      </x:c>
      <x:c r="G50" s="283" t="n">
        <x:v>19</x:v>
      </x:c>
      <x:c r="H50" s="288" t="n">
        <x:v>69.89166666666667</x:v>
      </x:c>
      <x:c r="I50" s="286" t="n">
        <x:v>0.1833333333333333</x:v>
      </x:c>
      <x:c r="J50" s="286" t="n">
        <x:v>0.5173913043478261</x:v>
      </x:c>
      <x:c r="K50" s="288" t="n">
        <x:v>90.74193548387096</x:v>
      </x:c>
      <x:c r="L50" s="286" t="n">
        <x:v>0.1935483870967742</x:v>
      </x:c>
      <x:c r="M50" s="283" t="n">
        <x:v>36</x:v>
      </x:c>
      <x:c r="N50" s="283" t="n">
        <x:v>4950</x:v>
      </x:c>
      <x:c r="O50" s="283" t="str"/>
    </x:row>
    <x:row r="51" ht="27" customHeight="1">
      <x:c r="A51" s="284" t="n">
        <x:v>47</x:v>
      </x:c>
      <x:c r="B51" s="284" t="n">
        <x:v>847</x:v>
      </x:c>
      <x:c r="C51" s="284" t="str">
        <x:f>IF(AND(A51&lt;='定義與範圍'!$B$7,B51&lt;='定義與範圍'!$B$7),"是","")</x:f>
      </x:c>
      <x:c r="D51" s="284" t="str">
        <x:v>僅高失衡</x:v>
      </x:c>
      <x:c r="E51" s="284" t="str">
        <x:v>文化廣場</x:v>
      </x:c>
      <x:c r="F51" s="284" t="str">
        <x:v>林口區</x:v>
      </x:c>
      <x:c r="G51" s="284" t="n">
        <x:v>30</x:v>
      </x:c>
      <x:c r="H51" s="287" t="n">
        <x:v>43.4</x:v>
      </x:c>
      <x:c r="I51" s="285" t="n">
        <x:v>0.1833333333333333</x:v>
      </x:c>
      <x:c r="J51" s="285" t="n">
        <x:v>0.3540869565217391</x:v>
      </x:c>
      <x:c r="K51" s="287" t="n">
        <x:v>89.87096774193549</x:v>
      </x:c>
      <x:c r="L51" s="285" t="n">
        <x:v>0.0299539170506912</x:v>
      </x:c>
      <x:c r="M51" s="284" t="n">
        <x:v>7</x:v>
      </x:c>
      <x:c r="N51" s="284" t="n">
        <x:v>960</x:v>
      </x:c>
      <x:c r="O51" s="284" t="str"/>
    </x:row>
    <x:row r="52" ht="27" customHeight="1">
      <x:c r="A52" s="283" t="n">
        <x:v>48</x:v>
      </x:c>
      <x:c r="B52" s="283" t="n">
        <x:v>349</x:v>
      </x:c>
      <x:c r="C52" s="283" t="str">
        <x:f>IF(AND(A52&lt;='定義與範圍'!$B$7,B52&lt;='定義與範圍'!$B$7),"是","")</x:f>
        <x:v>是</x:v>
      </x:c>
      <x:c r="D52" s="283" t="str">
        <x:v>高活動＋高失衡</x:v>
      </x:c>
      <x:c r="E52" s="283" t="str">
        <x:v>捷運淡水站(中正鼻頭街口)</x:v>
      </x:c>
      <x:c r="F52" s="283" t="str">
        <x:v>淡水區</x:v>
      </x:c>
      <x:c r="G52" s="283" t="n">
        <x:v>14</x:v>
      </x:c>
      <x:c r="H52" s="288" t="n">
        <x:v>76.6</x:v>
      </x:c>
      <x:c r="I52" s="286" t="n">
        <x:v>0.1827380952380952</x:v>
      </x:c>
      <x:c r="J52" s="286" t="n">
        <x:v>0.4504347826086956</x:v>
      </x:c>
      <x:c r="K52" s="288" t="n">
        <x:v>102.25806451612904</x:v>
      </x:c>
      <x:c r="L52" s="286" t="n">
        <x:v>0.2050691244239631</x:v>
      </x:c>
      <x:c r="M52" s="283" t="n">
        <x:v>53</x:v>
      </x:c>
      <x:c r="N52" s="283" t="n">
        <x:v>8160</x:v>
      </x:c>
      <x:c r="O52" s="283" t="str"/>
    </x:row>
    <x:row r="53" ht="27" customHeight="1">
      <x:c r="A53" s="284" t="n">
        <x:v>49</x:v>
      </x:c>
      <x:c r="B53" s="284" t="n">
        <x:v>565</x:v>
      </x:c>
      <x:c r="C53" s="284" t="str">
        <x:f>IF(AND(A53&lt;='定義與範圍'!$B$7,B53&lt;='定義與範圍'!$B$7),"是","")</x:f>
      </x:c>
      <x:c r="D53" s="284" t="str">
        <x:v>僅高失衡</x:v>
      </x:c>
      <x:c r="E53" s="284" t="str">
        <x:v>三民翠華街口</x:v>
      </x:c>
      <x:c r="F53" s="284" t="str">
        <x:v>板橋區</x:v>
      </x:c>
      <x:c r="G53" s="284" t="n">
        <x:v>10</x:v>
      </x:c>
      <x:c r="H53" s="287" t="n">
        <x:v>60.391666666666666</x:v>
      </x:c>
      <x:c r="I53" s="285" t="n">
        <x:v>0.181547619047619</x:v>
      </x:c>
      <x:c r="J53" s="285" t="n">
        <x:v>0.5038260869565218</x:v>
      </x:c>
      <x:c r="K53" s="287" t="n">
        <x:v>71.93548387096774</x:v>
      </x:c>
      <x:c r="L53" s="285" t="n">
        <x:v>0.2096774193548387</x:v>
      </x:c>
      <x:c r="M53" s="284" t="n">
        <x:v>50</x:v>
      </x:c>
      <x:c r="N53" s="284" t="n">
        <x:v>6510</x:v>
      </x:c>
      <x:c r="O53" s="284" t="str"/>
    </x:row>
    <x:row r="54" ht="27" customHeight="1">
      <x:c r="A54" s="283" t="n">
        <x:v>50</x:v>
      </x:c>
      <x:c r="B54" s="283" t="n">
        <x:v>566</x:v>
      </x:c>
      <x:c r="C54" s="283" t="str">
        <x:f>IF(AND(A54&lt;='定義與範圍'!$B$7,B54&lt;='定義與範圍'!$B$7),"是","")</x:f>
      </x:c>
      <x:c r="D54" s="283" t="str">
        <x:v>僅高失衡</x:v>
      </x:c>
      <x:c r="E54" s="283" t="str">
        <x:v>黃城公園(中榮街)</x:v>
      </x:c>
      <x:c r="F54" s="283" t="str">
        <x:v>新莊區</x:v>
      </x:c>
      <x:c r="G54" s="283" t="n">
        <x:v>11</x:v>
      </x:c>
      <x:c r="H54" s="288" t="n">
        <x:v>60.34166666666667</x:v>
      </x:c>
      <x:c r="I54" s="286" t="n">
        <x:v>0.1803571428571428</x:v>
      </x:c>
      <x:c r="J54" s="286" t="n">
        <x:v>0.4914782608695652</x:v>
      </x:c>
      <x:c r="K54" s="288" t="n">
        <x:v>74.74193548387096</x:v>
      </x:c>
      <x:c r="L54" s="286" t="n">
        <x:v>0.1774193548387097</x:v>
      </x:c>
      <x:c r="M54" s="283" t="n">
        <x:v>46</x:v>
      </x:c>
      <x:c r="N54" s="283" t="n">
        <x:v>6780</x:v>
      </x:c>
      <x:c r="O54" s="283" t="str"/>
    </x:row>
    <x:row r="55" ht="27" customHeight="1">
      <x:c r="A55" s="284" t="n">
        <x:v>51</x:v>
      </x:c>
      <x:c r="B55" s="284" t="n">
        <x:v>672</x:v>
      </x:c>
      <x:c r="C55" s="284" t="str">
        <x:f>IF(AND(A55&lt;='定義與範圍'!$B$7,B55&lt;='定義與範圍'!$B$7),"是","")</x:f>
      </x:c>
      <x:c r="D55" s="284" t="str">
        <x:v>僅高失衡</x:v>
      </x:c>
      <x:c r="E55" s="284" t="str">
        <x:v>寶中路97巷口</x:v>
      </x:c>
      <x:c r="F55" s="284" t="str">
        <x:v>新店區</x:v>
      </x:c>
      <x:c r="G55" s="284" t="n">
        <x:v>13</x:v>
      </x:c>
      <x:c r="H55" s="287" t="n">
        <x:v>53.34166666666667</x:v>
      </x:c>
      <x:c r="I55" s="285" t="n">
        <x:v>0.1797619047619047</x:v>
      </x:c>
      <x:c r="J55" s="285" t="n">
        <x:v>0.4631304347826087</x:v>
      </x:c>
      <x:c r="K55" s="287" t="n">
        <x:v>71.06451612903226</x:v>
      </x:c>
      <x:c r="L55" s="285" t="n">
        <x:v>0.1820276497695852</x:v>
      </x:c>
      <x:c r="M55" s="284" t="n">
        <x:v>46</x:v>
      </x:c>
      <x:c r="N55" s="284" t="n">
        <x:v>6000</x:v>
      </x:c>
      <x:c r="O55" s="284" t="str"/>
    </x:row>
    <x:row r="56" ht="27" customHeight="1">
      <x:c r="A56" s="283" t="n">
        <x:v>52</x:v>
      </x:c>
      <x:c r="B56" s="283" t="n">
        <x:v>569</x:v>
      </x:c>
      <x:c r="C56" s="283" t="str">
        <x:f>IF(AND(A56&lt;='定義與範圍'!$B$7,B56&lt;='定義與範圍'!$B$7),"是","")</x:f>
      </x:c>
      <x:c r="D56" s="283" t="str">
        <x:v>僅高失衡</x:v>
      </x:c>
      <x:c r="E56" s="283" t="str">
        <x:v>仁愛仁和街口</x:v>
      </x:c>
      <x:c r="F56" s="283" t="str">
        <x:v>三重區</x:v>
      </x:c>
      <x:c r="G56" s="283" t="n">
        <x:v>15</x:v>
      </x:c>
      <x:c r="H56" s="288" t="n">
        <x:v>60.266666666666666</x:v>
      </x:c>
      <x:c r="I56" s="286" t="n">
        <x:v>0.1785714285714285</x:v>
      </x:c>
      <x:c r="J56" s="286" t="n">
        <x:v>0.5012173913043478</x:v>
      </x:c>
      <x:c r="K56" s="288" t="n">
        <x:v>72.90322580645162</x:v>
      </x:c>
      <x:c r="L56" s="286" t="n">
        <x:v>0.2073732718894009</x:v>
      </x:c>
      <x:c r="M56" s="283" t="n">
        <x:v>56</x:v>
      </x:c>
      <x:c r="N56" s="283" t="n">
        <x:v>7230</x:v>
      </x:c>
      <x:c r="O56" s="283" t="str"/>
    </x:row>
    <x:row r="57" ht="27" customHeight="1">
      <x:c r="A57" s="284" t="n">
        <x:v>53</x:v>
      </x:c>
      <x:c r="B57" s="284" t="n">
        <x:v>729</x:v>
      </x:c>
      <x:c r="C57" s="284" t="str">
        <x:f>IF(AND(A57&lt;='定義與範圍'!$B$7,B57&lt;='定義與範圍'!$B$7),"是","")</x:f>
      </x:c>
      <x:c r="D57" s="284" t="str">
        <x:v>僅高失衡</x:v>
      </x:c>
      <x:c r="E57" s="284" t="str">
        <x:v>三重社會福利服務中心</x:v>
      </x:c>
      <x:c r="F57" s="284" t="str">
        <x:v>三重區</x:v>
      </x:c>
      <x:c r="G57" s="284" t="n">
        <x:v>11</x:v>
      </x:c>
      <x:c r="H57" s="287" t="n">
        <x:v>50.61666666666667</x:v>
      </x:c>
      <x:c r="I57" s="285" t="n">
        <x:v>0.1779761904761904</x:v>
      </x:c>
      <x:c r="J57" s="285" t="n">
        <x:v>0.448</x:v>
      </x:c>
      <x:c r="K57" s="287" t="n">
        <x:v>63.2258064516129</x:v>
      </x:c>
      <x:c r="L57" s="285" t="n">
        <x:v>0.1774193548387097</x:v>
      </x:c>
      <x:c r="M57" s="284" t="n">
        <x:v>48</x:v>
      </x:c>
      <x:c r="N57" s="284" t="n">
        <x:v>6690</x:v>
      </x:c>
      <x:c r="O57" s="284" t="str"/>
    </x:row>
    <x:row r="58" ht="27" customHeight="1">
      <x:c r="A58" s="283" t="n">
        <x:v>54</x:v>
      </x:c>
      <x:c r="B58" s="283" t="n">
        <x:v>40</x:v>
      </x:c>
      <x:c r="C58" s="283" t="str">
        <x:f>IF(AND(A58&lt;='定義與範圍'!$B$7,B58&lt;='定義與範圍'!$B$7),"是","")</x:f>
        <x:v>是</x:v>
      </x:c>
      <x:c r="D58" s="283" t="str">
        <x:v>高活動＋高失衡</x:v>
      </x:c>
      <x:c r="E58" s="283" t="str">
        <x:v>師大林口校區誠樓前</x:v>
      </x:c>
      <x:c r="F58" s="283" t="str">
        <x:v>林口區</x:v>
      </x:c>
      <x:c r="G58" s="283" t="n">
        <x:v>29</x:v>
      </x:c>
      <x:c r="H58" s="288" t="n">
        <x:v>174.83333333333334</x:v>
      </x:c>
      <x:c r="I58" s="286" t="n">
        <x:v>0.175595238095238</x:v>
      </x:c>
      <x:c r="J58" s="286" t="n">
        <x:v>0.6739130434782609</x:v>
      </x:c>
      <x:c r="K58" s="288" t="n">
        <x:v>201.3548387096774</x:v>
      </x:c>
      <x:c r="L58" s="286" t="n">
        <x:v>0.0921658986175115</x:v>
      </x:c>
      <x:c r="M58" s="283" t="n">
        <x:v>18</x:v>
      </x:c>
      <x:c r="N58" s="283" t="n">
        <x:v>3090</x:v>
      </x:c>
      <x:c r="O58" s="283" t="str"/>
    </x:row>
    <x:row r="59" ht="27" customHeight="1">
      <x:c r="A59" s="284" t="n">
        <x:v>55</x:v>
      </x:c>
      <x:c r="B59" s="284" t="n">
        <x:v>861</x:v>
      </x:c>
      <x:c r="C59" s="284" t="str">
        <x:f>IF(AND(A59&lt;='定義與範圍'!$B$7,B59&lt;='定義與範圍'!$B$7),"是","")</x:f>
      </x:c>
      <x:c r="D59" s="284" t="str">
        <x:v>僅高失衡</x:v>
      </x:c>
      <x:c r="E59" s="284" t="str">
        <x:v>青雲路411巷口(樂晴市樂郡區社區)</x:v>
      </x:c>
      <x:c r="F59" s="284" t="str">
        <x:v>土城區</x:v>
      </x:c>
      <x:c r="G59" s="284" t="n">
        <x:v>39</x:v>
      </x:c>
      <x:c r="H59" s="287" t="n">
        <x:v>42.458333333333336</x:v>
      </x:c>
      <x:c r="I59" s="285" t="n">
        <x:v>0.175595238095238</x:v>
      </x:c>
      <x:c r="J59" s="285" t="n">
        <x:v>0.3248695652173913</x:v>
      </x:c>
      <x:c r="K59" s="287" t="n">
        <x:v>55.354838709677416</x:v>
      </x:c>
      <x:c r="L59" s="285" t="n">
        <x:v>0.1866359447004608</x:v>
      </x:c>
      <x:c r="M59" s="284" t="n">
        <x:v>33</x:v>
      </x:c>
      <x:c r="N59" s="284" t="n">
        <x:v>3300</x:v>
      </x:c>
      <x:c r="O59" s="284" t="str"/>
    </x:row>
    <x:row r="60" ht="27" customHeight="1">
      <x:c r="A60" s="283" t="n">
        <x:v>56</x:v>
      </x:c>
      <x:c r="B60" s="283" t="n">
        <x:v>400</x:v>
      </x:c>
      <x:c r="C60" s="283" t="str">
        <x:f>IF(AND(A60&lt;='定義與範圍'!$B$7,B60&lt;='定義與範圍'!$B$7),"是","")</x:f>
      </x:c>
      <x:c r="D60" s="283" t="str">
        <x:v>僅高失衡</x:v>
      </x:c>
      <x:c r="E60" s="283" t="str">
        <x:v>貴子路36巷3弄口</x:v>
      </x:c>
      <x:c r="F60" s="283" t="str">
        <x:v>泰山區</x:v>
      </x:c>
      <x:c r="G60" s="283" t="n">
        <x:v>12</x:v>
      </x:c>
      <x:c r="H60" s="288" t="n">
        <x:v>72.11666666666666</x:v>
      </x:c>
      <x:c r="I60" s="286" t="n">
        <x:v>0.1738095238095238</x:v>
      </x:c>
      <x:c r="J60" s="286" t="n">
        <x:v>0.5213913043478261</x:v>
      </x:c>
      <x:c r="K60" s="288" t="n">
        <x:v>99.41935483870968</x:v>
      </x:c>
      <x:c r="L60" s="286" t="n">
        <x:v>0.2027649769585253</x:v>
      </x:c>
      <x:c r="M60" s="283" t="n">
        <x:v>42</x:v>
      </x:c>
      <x:c r="N60" s="283" t="n">
        <x:v>6090</x:v>
      </x:c>
      <x:c r="O60" s="283" t="str"/>
    </x:row>
    <x:row r="61" ht="27" customHeight="1">
      <x:c r="A61" s="284" t="n">
        <x:v>57</x:v>
      </x:c>
      <x:c r="B61" s="284" t="n">
        <x:v>474</x:v>
      </x:c>
      <x:c r="C61" s="284" t="str">
        <x:f>IF(AND(A61&lt;='定義與範圍'!$B$7,B61&lt;='定義與範圍'!$B$7),"是","")</x:f>
      </x:c>
      <x:c r="D61" s="284" t="str">
        <x:v>僅高失衡</x:v>
      </x:c>
      <x:c r="E61" s="284" t="str">
        <x:v>建中街90巷口</x:v>
      </x:c>
      <x:c r="F61" s="284" t="str">
        <x:v>新莊區</x:v>
      </x:c>
      <x:c r="G61" s="284" t="n">
        <x:v>12</x:v>
      </x:c>
      <x:c r="H61" s="287" t="n">
        <x:v>66.61666666666666</x:v>
      </x:c>
      <x:c r="I61" s="285" t="n">
        <x:v>0.1738095238095238</x:v>
      </x:c>
      <x:c r="J61" s="285" t="n">
        <x:v>0.4937391304347826</x:v>
      </x:c>
      <x:c r="K61" s="287" t="n">
        <x:v>82.7741935483871</x:v>
      </x:c>
      <x:c r="L61" s="285" t="n">
        <x:v>0.1612903225806451</x:v>
      </x:c>
      <x:c r="M61" s="284" t="n">
        <x:v>33</x:v>
      </x:c>
      <x:c r="N61" s="284" t="n">
        <x:v>4140</x:v>
      </x:c>
      <x:c r="O61" s="284" t="str"/>
    </x:row>
    <x:row r="62" ht="27" customHeight="1">
      <x:c r="A62" s="283" t="n">
        <x:v>58</x:v>
      </x:c>
      <x:c r="B62" s="283" t="n">
        <x:v>857</x:v>
      </x:c>
      <x:c r="C62" s="283" t="str">
        <x:f>IF(AND(A62&lt;='定義與範圍'!$B$7,B62&lt;='定義與範圍'!$B$7),"是","")</x:f>
      </x:c>
      <x:c r="D62" s="283" t="str">
        <x:v>僅高失衡</x:v>
      </x:c>
      <x:c r="E62" s="283" t="str">
        <x:v>三和慈愛街口</x:v>
      </x:c>
      <x:c r="F62" s="283" t="str">
        <x:v>三重區</x:v>
      </x:c>
      <x:c r="G62" s="283" t="n">
        <x:v>11</x:v>
      </x:c>
      <x:c r="H62" s="288" t="n">
        <x:v>42.65833333333333</x:v>
      </x:c>
      <x:c r="I62" s="286" t="n">
        <x:v>0.1720238095238095</x:v>
      </x:c>
      <x:c r="J62" s="286" t="n">
        <x:v>0.4304347826086956</x:v>
      </x:c>
      <x:c r="K62" s="288" t="n">
        <x:v>53.61290322580645</x:v>
      </x:c>
      <x:c r="L62" s="286" t="n">
        <x:v>0.2096774193548387</x:v>
      </x:c>
      <x:c r="M62" s="283" t="n">
        <x:v>68</x:v>
      </x:c>
      <x:c r="N62" s="283" t="n">
        <x:v>8490</x:v>
      </x:c>
      <x:c r="O62" s="283" t="str"/>
    </x:row>
    <x:row r="63" ht="27" customHeight="1">
      <x:c r="A63" s="284" t="n">
        <x:v>59</x:v>
      </x:c>
      <x:c r="B63" s="284" t="n">
        <x:v>707</x:v>
      </x:c>
      <x:c r="C63" s="284" t="str">
        <x:f>IF(AND(A63&lt;='定義與範圍'!$B$7,B63&lt;='定義與範圍'!$B$7),"是","")</x:f>
      </x:c>
      <x:c r="D63" s="284" t="str">
        <x:v>僅高失衡</x:v>
      </x:c>
      <x:c r="E63" s="284" t="str">
        <x:v>大豐里(建國路)</x:v>
      </x:c>
      <x:c r="F63" s="284" t="str">
        <x:v>新店區</x:v>
      </x:c>
      <x:c r="G63" s="284" t="n">
        <x:v>13</x:v>
      </x:c>
      <x:c r="H63" s="287" t="n">
        <x:v>51.60833333333333</x:v>
      </x:c>
      <x:c r="I63" s="285" t="n">
        <x:v>0.1720238095238095</x:v>
      </x:c>
      <x:c r="J63" s="285" t="n">
        <x:v>0.5053913043478261</x:v>
      </x:c>
      <x:c r="K63" s="287" t="n">
        <x:v>73.48387096774194</x:v>
      </x:c>
      <x:c r="L63" s="285" t="n">
        <x:v>0.1797235023041474</x:v>
      </x:c>
      <x:c r="M63" s="284" t="n">
        <x:v>41</x:v>
      </x:c>
      <x:c r="N63" s="284" t="n">
        <x:v>5610</x:v>
      </x:c>
      <x:c r="O63" s="284" t="str"/>
    </x:row>
    <x:row r="64" ht="27" customHeight="1">
      <x:c r="A64" s="283" t="n">
        <x:v>60</x:v>
      </x:c>
      <x:c r="B64" s="283" t="n">
        <x:v>785</x:v>
      </x:c>
      <x:c r="C64" s="283" t="str">
        <x:f>IF(AND(A64&lt;='定義與範圍'!$B$7,B64&lt;='定義與範圍'!$B$7),"是","")</x:f>
      </x:c>
      <x:c r="D64" s="283" t="str">
        <x:v>僅高失衡</x:v>
      </x:c>
      <x:c r="E64" s="283" t="str">
        <x:v>寶強文化路口</x:v>
      </x:c>
      <x:c r="F64" s="283" t="str">
        <x:v>新店區</x:v>
      </x:c>
      <x:c r="G64" s="283" t="n">
        <x:v>11</x:v>
      </x:c>
      <x:c r="H64" s="288" t="n">
        <x:v>47.65</x:v>
      </x:c>
      <x:c r="I64" s="286" t="n">
        <x:v>0.1678571428571428</x:v>
      </x:c>
      <x:c r="J64" s="286" t="n">
        <x:v>0.4533913043478261</x:v>
      </x:c>
      <x:c r="K64" s="288" t="n">
        <x:v>65.51612903225806</x:v>
      </x:c>
      <x:c r="L64" s="286" t="n">
        <x:v>0.1866359447004608</x:v>
      </x:c>
      <x:c r="M64" s="283" t="n">
        <x:v>39</x:v>
      </x:c>
      <x:c r="N64" s="283" t="n">
        <x:v>6090</x:v>
      </x:c>
      <x:c r="O64" s="283" t="str"/>
    </x:row>
    <x:row r="65" ht="27" customHeight="1">
      <x:c r="A65" s="284" t="n">
        <x:v>61</x:v>
      </x:c>
      <x:c r="B65" s="284" t="n">
        <x:v>774</x:v>
      </x:c>
      <x:c r="C65" s="284" t="str">
        <x:f>IF(AND(A65&lt;='定義與範圍'!$B$7,B65&lt;='定義與範圍'!$B$7),"是","")</x:f>
      </x:c>
      <x:c r="D65" s="284" t="str">
        <x:v>僅高失衡</x:v>
      </x:c>
      <x:c r="E65" s="284" t="str">
        <x:v>師大林口校區行政大樓</x:v>
      </x:c>
      <x:c r="F65" s="284" t="str">
        <x:v>林口區</x:v>
      </x:c>
      <x:c r="G65" s="284" t="n">
        <x:v>18</x:v>
      </x:c>
      <x:c r="H65" s="287" t="n">
        <x:v>48.09166666666667</x:v>
      </x:c>
      <x:c r="I65" s="285" t="n">
        <x:v>0.1660714285714285</x:v>
      </x:c>
      <x:c r="J65" s="285" t="n">
        <x:v>0.3351304347826087</x:v>
      </x:c>
      <x:c r="K65" s="287" t="n">
        <x:v>65.35483870967742</x:v>
      </x:c>
      <x:c r="L65" s="285" t="n">
        <x:v>0.1612903225806451</x:v>
      </x:c>
      <x:c r="M65" s="284" t="n">
        <x:v>29</x:v>
      </x:c>
      <x:c r="N65" s="284" t="n">
        <x:v>3840</x:v>
      </x:c>
      <x:c r="O65" s="284" t="str"/>
    </x:row>
    <x:row r="66" ht="27" customHeight="1">
      <x:c r="A66" s="283" t="n">
        <x:v>62</x:v>
      </x:c>
      <x:c r="B66" s="283" t="n">
        <x:v>1072</x:v>
      </x:c>
      <x:c r="C66" s="283" t="str">
        <x:f>IF(AND(A66&lt;='定義與範圍'!$B$7,B66&lt;='定義與範圍'!$B$7),"是","")</x:f>
      </x:c>
      <x:c r="D66" s="283" t="str">
        <x:v>僅高失衡</x:v>
      </x:c>
      <x:c r="E66" s="283" t="str">
        <x:v>味王街</x:v>
      </x:c>
      <x:c r="F66" s="283" t="str">
        <x:v>樹林區</x:v>
      </x:c>
      <x:c r="G66" s="283" t="n">
        <x:v>26</x:v>
      </x:c>
      <x:c r="H66" s="288" t="n">
        <x:v>31.675</x:v>
      </x:c>
      <x:c r="I66" s="286" t="n">
        <x:v>0.1660714285714285</x:v>
      </x:c>
      <x:c r="J66" s="286" t="n">
        <x:v>0.2695652173913043</x:v>
      </x:c>
      <x:c r="K66" s="288" t="n">
        <x:v>61.2258064516129</x:v>
      </x:c>
      <x:c r="L66" s="286" t="n">
        <x:v>0.0921658986175115</x:v>
      </x:c>
      <x:c r="M66" s="283" t="n">
        <x:v>14</x:v>
      </x:c>
      <x:c r="N66" s="283" t="n">
        <x:v>1710</x:v>
      </x:c>
      <x:c r="O66" s="283" t="str"/>
    </x:row>
    <x:row r="67" ht="27" customHeight="1">
      <x:c r="A67" s="284" t="n">
        <x:v>63</x:v>
      </x:c>
      <x:c r="B67" s="284" t="n">
        <x:v>790</x:v>
      </x:c>
      <x:c r="C67" s="284" t="str">
        <x:f>IF(AND(A67&lt;='定義與範圍'!$B$7,B67&lt;='定義與範圍'!$B$7),"是","")</x:f>
      </x:c>
      <x:c r="D67" s="284" t="str">
        <x:v>僅高失衡</x:v>
      </x:c>
      <x:c r="E67" s="284" t="str">
        <x:v>寶中寶橋路口</x:v>
      </x:c>
      <x:c r="F67" s="284" t="str">
        <x:v>新店區</x:v>
      </x:c>
      <x:c r="G67" s="284" t="n">
        <x:v>17</x:v>
      </x:c>
      <x:c r="H67" s="287" t="n">
        <x:v>47.516666666666666</x:v>
      </x:c>
      <x:c r="I67" s="285" t="n">
        <x:v>0.1630952380952381</x:v>
      </x:c>
      <x:c r="J67" s="285" t="n">
        <x:v>0.403304347826087</x:v>
      </x:c>
      <x:c r="K67" s="287" t="n">
        <x:v>66.06451612903226</x:v>
      </x:c>
      <x:c r="L67" s="285" t="n">
        <x:v>0.1635944700460829</x:v>
      </x:c>
      <x:c r="M67" s="284" t="n">
        <x:v>36</x:v>
      </x:c>
      <x:c r="N67" s="284" t="n">
        <x:v>4710</x:v>
      </x:c>
      <x:c r="O67" s="284" t="str"/>
    </x:row>
    <x:row r="68" ht="27" customHeight="1">
      <x:c r="A68" s="283" t="n">
        <x:v>64</x:v>
      </x:c>
      <x:c r="B68" s="283" t="n">
        <x:v>564</x:v>
      </x:c>
      <x:c r="C68" s="283" t="str">
        <x:f>IF(AND(A68&lt;='定義與範圍'!$B$7,B68&lt;='定義與範圍'!$B$7),"是","")</x:f>
      </x:c>
      <x:c r="D68" s="283" t="str">
        <x:v>僅高失衡</x:v>
      </x:c>
      <x:c r="E68" s="283" t="str">
        <x:v>金城?廷街口</x:v>
      </x:c>
      <x:c r="F68" s="283" t="str">
        <x:v>土城區</x:v>
      </x:c>
      <x:c r="G68" s="283" t="n">
        <x:v>9</x:v>
      </x:c>
      <x:c r="H68" s="288" t="n">
        <x:v>60.52459016393443</x:v>
      </x:c>
      <x:c r="I68" s="286" t="n">
        <x:v>0.1615925058548009</x:v>
      </x:c>
      <x:c r="J68" s="286" t="n">
        <x:v>0.6087551299589603</x:v>
      </x:c>
      <x:c r="K68" s="288" t="n">
        <x:v>61.064516129032256</x:v>
      </x:c>
      <x:c r="L68" s="286" t="n">
        <x:v>0.1635944700460829</x:v>
      </x:c>
      <x:c r="M68" s="283" t="n">
        <x:v>33</x:v>
      </x:c>
      <x:c r="N68" s="283" t="n">
        <x:v>4380</x:v>
      </x:c>
      <x:c r="O68" s="283" t="str"/>
    </x:row>
    <x:row r="69" ht="27" customHeight="1">
      <x:c r="A69" s="284" t="n">
        <x:v>65</x:v>
      </x:c>
      <x:c r="B69" s="284" t="n">
        <x:v>903</x:v>
      </x:c>
      <x:c r="C69" s="284" t="str">
        <x:f>IF(AND(A69&lt;='定義與範圍'!$B$7,B69&lt;='定義與範圍'!$B$7),"是","")</x:f>
      </x:c>
      <x:c r="D69" s="284" t="str">
        <x:v>僅高失衡</x:v>
      </x:c>
      <x:c r="E69" s="284" t="str">
        <x:v>明德路65巷口</x:v>
      </x:c>
      <x:c r="F69" s="284" t="str">
        <x:v>新店區</x:v>
      </x:c>
      <x:c r="G69" s="284" t="n">
        <x:v>15</x:v>
      </x:c>
      <x:c r="H69" s="287" t="n">
        <x:v>40.516666666666666</x:v>
      </x:c>
      <x:c r="I69" s="285" t="n">
        <x:v>0.1613095238095238</x:v>
      </x:c>
      <x:c r="J69" s="285" t="n">
        <x:v>0.4154782608695652</x:v>
      </x:c>
      <x:c r="K69" s="287" t="n">
        <x:v>55.64516129032258</x:v>
      </x:c>
      <x:c r="L69" s="285" t="n">
        <x:v>0.1635944700460829</x:v>
      </x:c>
      <x:c r="M69" s="284" t="n">
        <x:v>39</x:v>
      </x:c>
      <x:c r="N69" s="284" t="n">
        <x:v>4650</x:v>
      </x:c>
      <x:c r="O69" s="284" t="str"/>
    </x:row>
    <x:row r="70" ht="27" customHeight="1">
      <x:c r="A70" s="283" t="n">
        <x:v>66</x:v>
      </x:c>
      <x:c r="B70" s="283" t="n">
        <x:v>946</x:v>
      </x:c>
      <x:c r="C70" s="283" t="str">
        <x:f>IF(AND(A70&lt;='定義與範圍'!$B$7,B70&lt;='定義與範圍'!$B$7),"是","")</x:f>
      </x:c>
      <x:c r="D70" s="283" t="str">
        <x:v>僅高失衡</x:v>
      </x:c>
      <x:c r="E70" s="283" t="str">
        <x:v>頂溪國小地下停車場</x:v>
      </x:c>
      <x:c r="F70" s="283" t="str">
        <x:v>永和區</x:v>
      </x:c>
      <x:c r="G70" s="283" t="n">
        <x:v>13</x:v>
      </x:c>
      <x:c r="H70" s="288" t="n">
        <x:v>37.99166666666667</x:v>
      </x:c>
      <x:c r="I70" s="286" t="n">
        <x:v>0.1589285714285714</x:v>
      </x:c>
      <x:c r="J70" s="286" t="n">
        <x:v>0.3633043478260869</x:v>
      </x:c>
      <x:c r="K70" s="288" t="n">
        <x:v>45.25806451612903</x:v>
      </x:c>
      <x:c r="L70" s="286" t="n">
        <x:v>0.1152073732718894</x:v>
      </x:c>
      <x:c r="M70" s="283" t="n">
        <x:v>33</x:v>
      </x:c>
      <x:c r="N70" s="283" t="n">
        <x:v>3990</x:v>
      </x:c>
      <x:c r="O70" s="283" t="str"/>
    </x:row>
    <x:row r="71" ht="27" customHeight="1">
      <x:c r="A71" s="284" t="n">
        <x:v>67</x:v>
      </x:c>
      <x:c r="B71" s="284" t="n">
        <x:v>551</x:v>
      </x:c>
      <x:c r="C71" s="284" t="str">
        <x:f>IF(AND(A71&lt;='定義與範圍'!$B$7,B71&lt;='定義與範圍'!$B$7),"是","")</x:f>
      </x:c>
      <x:c r="D71" s="284" t="str">
        <x:v>僅高失衡</x:v>
      </x:c>
      <x:c r="E71" s="284" t="str">
        <x:v>中誠立體停車場</x:v>
      </x:c>
      <x:c r="F71" s="284" t="str">
        <x:v>新莊區</x:v>
      </x:c>
      <x:c r="G71" s="284" t="n">
        <x:v>10</x:v>
      </x:c>
      <x:c r="H71" s="287" t="n">
        <x:v>61.675</x:v>
      </x:c>
      <x:c r="I71" s="285" t="n">
        <x:v>0.1571428571428571</x:v>
      </x:c>
      <x:c r="J71" s="285" t="n">
        <x:v>0.488695652173913</x:v>
      </x:c>
      <x:c r="K71" s="287" t="n">
        <x:v>77.03225806451613</x:v>
      </x:c>
      <x:c r="L71" s="285" t="n">
        <x:v>0.2119815668202765</x:v>
      </x:c>
      <x:c r="M71" s="284" t="n">
        <x:v>38</x:v>
      </x:c>
      <x:c r="N71" s="284" t="n">
        <x:v>5070</x:v>
      </x:c>
      <x:c r="O71" s="284" t="str"/>
    </x:row>
    <x:row r="72" ht="27" customHeight="1">
      <x:c r="A72" s="283" t="n">
        <x:v>68</x:v>
      </x:c>
      <x:c r="B72" s="283" t="n">
        <x:v>875</x:v>
      </x:c>
      <x:c r="C72" s="283" t="str">
        <x:f>IF(AND(A72&lt;='定義與範圍'!$B$7,B72&lt;='定義與範圍'!$B$7),"是","")</x:f>
      </x:c>
      <x:c r="D72" s="283" t="str">
        <x:v>僅高失衡</x:v>
      </x:c>
      <x:c r="E72" s="283" t="str">
        <x:v>八德公園</x:v>
      </x:c>
      <x:c r="F72" s="283" t="str">
        <x:v>板橋區</x:v>
      </x:c>
      <x:c r="G72" s="283" t="n">
        <x:v>14</x:v>
      </x:c>
      <x:c r="H72" s="288" t="n">
        <x:v>41.8</x:v>
      </x:c>
      <x:c r="I72" s="286" t="n">
        <x:v>0.1571428571428571</x:v>
      </x:c>
      <x:c r="J72" s="286" t="n">
        <x:v>0.3859130434782609</x:v>
      </x:c>
      <x:c r="K72" s="288" t="n">
        <x:v>57.483870967741936</x:v>
      </x:c>
      <x:c r="L72" s="286" t="n">
        <x:v>0.1658986175115207</x:v>
      </x:c>
      <x:c r="M72" s="283" t="n">
        <x:v>40</x:v>
      </x:c>
      <x:c r="N72" s="283" t="n">
        <x:v>5250</x:v>
      </x:c>
      <x:c r="O72" s="283" t="str"/>
    </x:row>
    <x:row r="73" ht="27" customHeight="1">
      <x:c r="A73" s="284" t="n">
        <x:v>69</x:v>
      </x:c>
      <x:c r="B73" s="284" t="n">
        <x:v>983</x:v>
      </x:c>
      <x:c r="C73" s="284" t="str">
        <x:f>IF(AND(A73&lt;='定義與範圍'!$B$7,B73&lt;='定義與範圍'!$B$7),"是","")</x:f>
      </x:c>
      <x:c r="D73" s="284" t="str">
        <x:v>僅高失衡</x:v>
      </x:c>
      <x:c r="E73" s="284" t="str">
        <x:v>龍安福營路口</x:v>
      </x:c>
      <x:c r="F73" s="284" t="str">
        <x:v>新莊區</x:v>
      </x:c>
      <x:c r="G73" s="284" t="n">
        <x:v>15</x:v>
      </x:c>
      <x:c r="H73" s="287" t="n">
        <x:v>36.29166666666666</x:v>
      </x:c>
      <x:c r="I73" s="285" t="n">
        <x:v>0.1571428571428571</x:v>
      </x:c>
      <x:c r="J73" s="285" t="n">
        <x:v>0.3735652173913043</x:v>
      </x:c>
      <x:c r="K73" s="287" t="n">
        <x:v>55.64516129032258</x:v>
      </x:c>
      <x:c r="L73" s="285" t="n">
        <x:v>0.1820276497695852</x:v>
      </x:c>
      <x:c r="M73" s="284" t="n">
        <x:v>43</x:v>
      </x:c>
      <x:c r="N73" s="284" t="n">
        <x:v>5580</x:v>
      </x:c>
      <x:c r="O73" s="284" t="str"/>
    </x:row>
    <x:row r="74" ht="27" customHeight="1">
      <x:c r="A74" s="283" t="n">
        <x:v>70</x:v>
      </x:c>
      <x:c r="B74" s="283" t="n">
        <x:v>617</x:v>
      </x:c>
      <x:c r="C74" s="283" t="str">
        <x:f>IF(AND(A74&lt;='定義與範圍'!$B$7,B74&lt;='定義與範圍'!$B$7),"是","")</x:f>
      </x:c>
      <x:c r="D74" s="283" t="str">
        <x:v>僅高失衡</x:v>
      </x:c>
      <x:c r="E74" s="283" t="str">
        <x:v>民治街81巷</x:v>
      </x:c>
      <x:c r="F74" s="283" t="str">
        <x:v>板橋區</x:v>
      </x:c>
      <x:c r="G74" s="283" t="n">
        <x:v>16</x:v>
      </x:c>
      <x:c r="H74" s="288" t="n">
        <x:v>57.55833333333333</x:v>
      </x:c>
      <x:c r="I74" s="286" t="n">
        <x:v>0.1571428571428571</x:v>
      </x:c>
      <x:c r="J74" s="286" t="n">
        <x:v>0.4389565217391304</x:v>
      </x:c>
      <x:c r="K74" s="288" t="n">
        <x:v>79.29032258064517</x:v>
      </x:c>
      <x:c r="L74" s="286" t="n">
        <x:v>0.2073732718894009</x:v>
      </x:c>
      <x:c r="M74" s="283" t="n">
        <x:v>33</x:v>
      </x:c>
      <x:c r="N74" s="283" t="n">
        <x:v>5100</x:v>
      </x:c>
      <x:c r="O74" s="283" t="str"/>
    </x:row>
    <x:row r="75" ht="27" customHeight="1">
      <x:c r="A75" s="284" t="n">
        <x:v>71</x:v>
      </x:c>
      <x:c r="B75" s="284" t="n">
        <x:v>314</x:v>
      </x:c>
      <x:c r="C75" s="284" t="str">
        <x:f>IF(AND(A75&lt;='定義與範圍'!$B$7,B75&lt;='定義與範圍'!$B$7),"是","")</x:f>
        <x:v>是</x:v>
      </x:c>
      <x:c r="D75" s="284" t="str">
        <x:v>高活動＋高失衡</x:v>
      </x:c>
      <x:c r="E75" s="284" t="str">
        <x:v>溪尾街196巷/仁美街口</x:v>
      </x:c>
      <x:c r="F75" s="284" t="str">
        <x:v>三重區</x:v>
      </x:c>
      <x:c r="G75" s="284" t="n">
        <x:v>18</x:v>
      </x:c>
      <x:c r="H75" s="287" t="n">
        <x:v>79.05833333333334</x:v>
      </x:c>
      <x:c r="I75" s="285" t="n">
        <x:v>0.156547619047619</x:v>
      </x:c>
      <x:c r="J75" s="285" t="n">
        <x:v>0.5373913043478261</x:v>
      </x:c>
      <x:c r="K75" s="287" t="n">
        <x:v>100.16129032258064</x:v>
      </x:c>
      <x:c r="L75" s="285" t="n">
        <x:v>0.1635944700460829</x:v>
      </x:c>
      <x:c r="M75" s="284" t="n">
        <x:v>38</x:v>
      </x:c>
      <x:c r="N75" s="284" t="n">
        <x:v>4890</x:v>
      </x:c>
      <x:c r="O75" s="284" t="str"/>
    </x:row>
    <x:row r="76" ht="27" customHeight="1">
      <x:c r="A76" s="283" t="n">
        <x:v>72</x:v>
      </x:c>
      <x:c r="B76" s="283" t="n">
        <x:v>896</x:v>
      </x:c>
      <x:c r="C76" s="283" t="str">
        <x:f>IF(AND(A76&lt;='定義與範圍'!$B$7,B76&lt;='定義與範圍'!$B$7),"是","")</x:f>
      </x:c>
      <x:c r="D76" s="283" t="str">
        <x:v>僅高失衡</x:v>
      </x:c>
      <x:c r="E76" s="283" t="str">
        <x:v>清水高中(國際路)</x:v>
      </x:c>
      <x:c r="F76" s="283" t="str">
        <x:v>土城區</x:v>
      </x:c>
      <x:c r="G76" s="283" t="n">
        <x:v>13</x:v>
      </x:c>
      <x:c r="H76" s="288" t="n">
        <x:v>40.925</x:v>
      </x:c>
      <x:c r="I76" s="286" t="n">
        <x:v>0.1559523809523809</x:v>
      </x:c>
      <x:c r="J76" s="286" t="n">
        <x:v>0.3737391304347826</x:v>
      </x:c>
      <x:c r="K76" s="288" t="n">
        <x:v>51.096774193548384</x:v>
      </x:c>
      <x:c r="L76" s="286" t="n">
        <x:v>0.1474654377880184</x:v>
      </x:c>
      <x:c r="M76" s="283" t="n">
        <x:v>27</x:v>
      </x:c>
      <x:c r="N76" s="283" t="n">
        <x:v>3120</x:v>
      </x:c>
      <x:c r="O76" s="283" t="str"/>
    </x:row>
    <x:row r="77" ht="27" customHeight="1">
      <x:c r="A77" s="284" t="n">
        <x:v>73</x:v>
      </x:c>
      <x:c r="B77" s="284" t="n">
        <x:v>621</x:v>
      </x:c>
      <x:c r="C77" s="284" t="str">
        <x:f>IF(AND(A77&lt;='定義與範圍'!$B$7,B77&lt;='定義與範圍'!$B$7),"是","")</x:f>
      </x:c>
      <x:c r="D77" s="284" t="str">
        <x:v>僅高失衡</x:v>
      </x:c>
      <x:c r="E77" s="284" t="str">
        <x:v>民權二十張路口</x:v>
      </x:c>
      <x:c r="F77" s="284" t="str">
        <x:v>新店區</x:v>
      </x:c>
      <x:c r="G77" s="284" t="n">
        <x:v>14</x:v>
      </x:c>
      <x:c r="H77" s="287" t="n">
        <x:v>57.075</x:v>
      </x:c>
      <x:c r="I77" s="285" t="n">
        <x:v>0.1559523809523809</x:v>
      </x:c>
      <x:c r="J77" s="285" t="n">
        <x:v>0.4344347826086956</x:v>
      </x:c>
      <x:c r="K77" s="287" t="n">
        <x:v>65.16129032258064</x:v>
      </x:c>
      <x:c r="L77" s="285" t="n">
        <x:v>0.1036866359447004</x:v>
      </x:c>
      <x:c r="M77" s="284" t="n">
        <x:v>65</x:v>
      </x:c>
      <x:c r="N77" s="284" t="n">
        <x:v>8850</x:v>
      </x:c>
      <x:c r="O77" s="284" t="str"/>
    </x:row>
    <x:row r="78" ht="27" customHeight="1">
      <x:c r="A78" s="283" t="n">
        <x:v>74</x:v>
      </x:c>
      <x:c r="B78" s="283" t="n">
        <x:v>379</x:v>
      </x:c>
      <x:c r="C78" s="283" t="str">
        <x:f>IF(AND(A78&lt;='定義與範圍'!$B$7,B78&lt;='定義與範圍'!$B$7),"是","")</x:f>
      </x:c>
      <x:c r="D78" s="283" t="str">
        <x:v>僅高失衡</x:v>
      </x:c>
      <x:c r="E78" s="283" t="str">
        <x:v>仁愛仁政街145巷口</x:v>
      </x:c>
      <x:c r="F78" s="283" t="str">
        <x:v>三重區</x:v>
      </x:c>
      <x:c r="G78" s="283" t="n">
        <x:v>18</x:v>
      </x:c>
      <x:c r="H78" s="288" t="n">
        <x:v>73.775</x:v>
      </x:c>
      <x:c r="I78" s="286" t="n">
        <x:v>0.1547619047619047</x:v>
      </x:c>
      <x:c r="J78" s="286" t="n">
        <x:v>0.4972173913043478</x:v>
      </x:c>
      <x:c r="K78" s="288" t="n">
        <x:v>105.90322580645162</x:v>
      </x:c>
      <x:c r="L78" s="286" t="n">
        <x:v>0.184331797235023</x:v>
      </x:c>
      <x:c r="M78" s="283" t="n">
        <x:v>39</x:v>
      </x:c>
      <x:c r="N78" s="283" t="n">
        <x:v>5340</x:v>
      </x:c>
      <x:c r="O78" s="283" t="str"/>
    </x:row>
    <x:row r="79" ht="27" customHeight="1">
      <x:c r="A79" s="284" t="n">
        <x:v>75</x:v>
      </x:c>
      <x:c r="B79" s="284" t="n">
        <x:v>901</x:v>
      </x:c>
      <x:c r="C79" s="284" t="str">
        <x:f>IF(AND(A79&lt;='定義與範圍'!$B$7,B79&lt;='定義與範圍'!$B$7),"是","")</x:f>
      </x:c>
      <x:c r="D79" s="284" t="str">
        <x:v>僅高失衡</x:v>
      </x:c>
      <x:c r="E79" s="284" t="str">
        <x:v>全球傳動科技公司</x:v>
      </x:c>
      <x:c r="F79" s="284" t="str">
        <x:v>樹林區</x:v>
      </x:c>
      <x:c r="G79" s="284" t="n">
        <x:v>20</x:v>
      </x:c>
      <x:c r="H79" s="287" t="n">
        <x:v>40.55833333333333</x:v>
      </x:c>
      <x:c r="I79" s="285" t="n">
        <x:v>0.1541666666666666</x:v>
      </x:c>
      <x:c r="J79" s="285" t="n">
        <x:v>0.2862608695652174</x:v>
      </x:c>
      <x:c r="K79" s="287" t="n">
        <x:v>62.16129032258065</x:v>
      </x:c>
      <x:c r="L79" s="285" t="n">
        <x:v>0.1105990783410138</x:v>
      </x:c>
      <x:c r="M79" s="284" t="n">
        <x:v>28</x:v>
      </x:c>
      <x:c r="N79" s="284" t="n">
        <x:v>2940</x:v>
      </x:c>
      <x:c r="O79" s="284" t="str"/>
    </x:row>
    <x:row r="80" ht="27" customHeight="1">
      <x:c r="A80" s="283" t="n">
        <x:v>76</x:v>
      </x:c>
      <x:c r="B80" s="283" t="n">
        <x:v>97</x:v>
      </x:c>
      <x:c r="C80" s="283" t="str">
        <x:f>IF(AND(A80&lt;='定義與範圍'!$B$7,B80&lt;='定義與範圍'!$B$7),"是","")</x:f>
        <x:v>是</x:v>
      </x:c>
      <x:c r="D80" s="283" t="str">
        <x:v>高活動＋高失衡</x:v>
      </x:c>
      <x:c r="E80" s="283" t="str">
        <x:v>致理科技大學</x:v>
      </x:c>
      <x:c r="F80" s="283" t="str">
        <x:v>板橋區</x:v>
      </x:c>
      <x:c r="G80" s="283" t="n">
        <x:v>31</x:v>
      </x:c>
      <x:c r="H80" s="288" t="n">
        <x:v>126.71666666666668</x:v>
      </x:c>
      <x:c r="I80" s="286" t="n">
        <x:v>0.1535714285714285</x:v>
      </x:c>
      <x:c r="J80" s="286" t="n">
        <x:v>0.6313043478260869</x:v>
      </x:c>
      <x:c r="K80" s="288" t="n">
        <x:v>154.93548387096774</x:v>
      </x:c>
      <x:c r="L80" s="286" t="n">
        <x:v>0.1359447004608295</x:v>
      </x:c>
      <x:c r="M80" s="283" t="n">
        <x:v>28</x:v>
      </x:c>
      <x:c r="N80" s="283" t="n">
        <x:v>3570</x:v>
      </x:c>
      <x:c r="O80" s="283" t="str"/>
    </x:row>
    <x:row r="81" ht="27" customHeight="1">
      <x:c r="A81" s="284" t="n">
        <x:v>77</x:v>
      </x:c>
      <x:c r="B81" s="284" t="n">
        <x:v>622</x:v>
      </x:c>
      <x:c r="C81" s="284" t="str">
        <x:f>IF(AND(A81&lt;='定義與範圍'!$B$7,B81&lt;='定義與範圍'!$B$7),"是","")</x:f>
      </x:c>
      <x:c r="D81" s="284" t="str">
        <x:v>僅高失衡</x:v>
      </x:c>
      <x:c r="E81" s="284" t="str">
        <x:v>俊興三龍街口</x:v>
      </x:c>
      <x:c r="F81" s="284" t="str">
        <x:v>樹林區</x:v>
      </x:c>
      <x:c r="G81" s="284" t="n">
        <x:v>21</x:v>
      </x:c>
      <x:c r="H81" s="287" t="n">
        <x:v>57.03333333333333</x:v>
      </x:c>
      <x:c r="I81" s="285" t="n">
        <x:v>0.1529761904761905</x:v>
      </x:c>
      <x:c r="J81" s="285" t="n">
        <x:v>0.4473043478260869</x:v>
      </x:c>
      <x:c r="K81" s="287" t="n">
        <x:v>73.06451612903226</x:v>
      </x:c>
      <x:c r="L81" s="285" t="n">
        <x:v>0.108294930875576</x:v>
      </x:c>
      <x:c r="M81" s="284" t="n">
        <x:v>17</x:v>
      </x:c>
      <x:c r="N81" s="284" t="n">
        <x:v>2070</x:v>
      </x:c>
      <x:c r="O81" s="284" t="str"/>
    </x:row>
    <x:row r="82" ht="27" customHeight="1">
      <x:c r="A82" s="283" t="n">
        <x:v>78</x:v>
      </x:c>
      <x:c r="B82" s="283" t="n">
        <x:v>496</x:v>
      </x:c>
      <x:c r="C82" s="283" t="str">
        <x:f>IF(AND(A82&lt;='定義與範圍'!$B$7,B82&lt;='定義與範圍'!$B$7),"是","")</x:f>
      </x:c>
      <x:c r="D82" s="283" t="str">
        <x:v>僅高失衡</x:v>
      </x:c>
      <x:c r="E82" s="283" t="str">
        <x:v>保安保福路二段口</x:v>
      </x:c>
      <x:c r="F82" s="283" t="str">
        <x:v>永和區</x:v>
      </x:c>
      <x:c r="G82" s="283" t="n">
        <x:v>14</x:v>
      </x:c>
      <x:c r="H82" s="288" t="n">
        <x:v>65.36666666666666</x:v>
      </x:c>
      <x:c r="I82" s="286" t="n">
        <x:v>0.1523809523809524</x:v>
      </x:c>
      <x:c r="J82" s="286" t="n">
        <x:v>0.4989565217391304</x:v>
      </x:c>
      <x:c r="K82" s="288" t="n">
        <x:v>82.41935483870968</x:v>
      </x:c>
      <x:c r="L82" s="286" t="n">
        <x:v>0.1774193548387097</x:v>
      </x:c>
      <x:c r="M82" s="283" t="n">
        <x:v>41</x:v>
      </x:c>
      <x:c r="N82" s="283" t="n">
        <x:v>5760</x:v>
      </x:c>
      <x:c r="O82" s="283" t="str"/>
    </x:row>
    <x:row r="83" ht="27" customHeight="1">
      <x:c r="A83" s="284" t="n">
        <x:v>79</x:v>
      </x:c>
      <x:c r="B83" s="284" t="n">
        <x:v>733</x:v>
      </x:c>
      <x:c r="C83" s="284" t="str">
        <x:f>IF(AND(A83&lt;='定義與範圍'!$B$7,B83&lt;='定義與範圍'!$B$7),"是","")</x:f>
      </x:c>
      <x:c r="D83" s="284" t="str">
        <x:v>僅高失衡</x:v>
      </x:c>
      <x:c r="E83" s="284" t="str">
        <x:v>?寮公園</x:v>
      </x:c>
      <x:c r="F83" s="284" t="str">
        <x:v>樹林區</x:v>
      </x:c>
      <x:c r="G83" s="284" t="n">
        <x:v>12</x:v>
      </x:c>
      <x:c r="H83" s="287" t="n">
        <x:v>50.36065573770492</x:v>
      </x:c>
      <x:c r="I83" s="285" t="n">
        <x:v>0.1522248243559719</x:v>
      </x:c>
      <x:c r="J83" s="285" t="n">
        <x:v>0.5492476060191519</x:v>
      </x:c>
      <x:c r="K83" s="287" t="n">
        <x:v>45.83870967741935</x:v>
      </x:c>
      <x:c r="L83" s="285" t="n">
        <x:v>0.184331797235023</x:v>
      </x:c>
      <x:c r="M83" s="284" t="n">
        <x:v>25</x:v>
      </x:c>
      <x:c r="N83" s="284" t="n">
        <x:v>3840</x:v>
      </x:c>
      <x:c r="O83" s="284" t="str"/>
    </x:row>
    <x:row r="84" ht="27" customHeight="1">
      <x:c r="A84" s="283" t="n">
        <x:v>80</x:v>
      </x:c>
      <x:c r="B84" s="283" t="n">
        <x:v>910</x:v>
      </x:c>
      <x:c r="C84" s="283" t="str">
        <x:f>IF(AND(A84&lt;='定義與範圍'!$B$7,B84&lt;='定義與範圍'!$B$7),"是","")</x:f>
      </x:c>
      <x:c r="D84" s="283" t="str">
        <x:v>僅高失衡</x:v>
      </x:c>
      <x:c r="E84" s="283" t="str">
        <x:v>文聖國小(松柏街50巷)</x:v>
      </x:c>
      <x:c r="F84" s="283" t="str">
        <x:v>板橋區</x:v>
      </x:c>
      <x:c r="G84" s="283" t="n">
        <x:v>12</x:v>
      </x:c>
      <x:c r="H84" s="288" t="n">
        <x:v>40.04166666666666</x:v>
      </x:c>
      <x:c r="I84" s="286" t="n">
        <x:v>0.1517857142857142</x:v>
      </x:c>
      <x:c r="J84" s="286" t="n">
        <x:v>0.4151304347826087</x:v>
      </x:c>
      <x:c r="K84" s="288" t="n">
        <x:v>56.32258064516129</x:v>
      </x:c>
      <x:c r="L84" s="286" t="n">
        <x:v>0.2235023041474654</x:v>
      </x:c>
      <x:c r="M84" s="283" t="n">
        <x:v>45</x:v>
      </x:c>
      <x:c r="N84" s="283" t="n">
        <x:v>5910</x:v>
      </x:c>
      <x:c r="O84" s="283" t="str"/>
    </x:row>
    <x:row r="85" ht="27" customHeight="1">
      <x:c r="A85" s="284" t="n">
        <x:v>81</x:v>
      </x:c>
      <x:c r="B85" s="284" t="n">
        <x:v>392</x:v>
      </x:c>
      <x:c r="C85" s="284" t="str">
        <x:f>IF(AND(A85&lt;='定義與範圍'!$B$7,B85&lt;='定義與範圍'!$B$7),"是","")</x:f>
      </x:c>
      <x:c r="D85" s="284" t="str">
        <x:v>僅高失衡</x:v>
      </x:c>
      <x:c r="E85" s="284" t="str">
        <x:v>大學學成路口</x:v>
      </x:c>
      <x:c r="F85" s="284" t="str">
        <x:v>三峽區</x:v>
      </x:c>
      <x:c r="G85" s="284" t="n">
        <x:v>11</x:v>
      </x:c>
      <x:c r="H85" s="287" t="n">
        <x:v>72.79166666666667</x:v>
      </x:c>
      <x:c r="I85" s="285" t="n">
        <x:v>0.1511904761904761</x:v>
      </x:c>
      <x:c r="J85" s="285" t="n">
        <x:v>0.5370434782608695</x:v>
      </x:c>
      <x:c r="K85" s="287" t="n">
        <x:v>95.80645161290325</x:v>
      </x:c>
      <x:c r="L85" s="285" t="n">
        <x:v>0.1497695852534562</x:v>
      </x:c>
      <x:c r="M85" s="284" t="n">
        <x:v>43</x:v>
      </x:c>
      <x:c r="N85" s="284" t="n">
        <x:v>5970</x:v>
      </x:c>
      <x:c r="O85" s="284" t="str"/>
    </x:row>
    <x:row r="86" ht="27" customHeight="1">
      <x:c r="A86" s="283" t="n">
        <x:v>82</x:v>
      </x:c>
      <x:c r="B86" s="283" t="n">
        <x:v>469</x:v>
      </x:c>
      <x:c r="C86" s="283" t="str">
        <x:f>IF(AND(A86&lt;='定義與範圍'!$B$7,B86&lt;='定義與範圍'!$B$7),"是","")</x:f>
      </x:c>
      <x:c r="D86" s="283" t="str">
        <x:v>僅高失衡</x:v>
      </x:c>
      <x:c r="E86" s="283" t="str">
        <x:v>民族路225巷</x:v>
      </x:c>
      <x:c r="F86" s="283" t="str">
        <x:v>板橋區</x:v>
      </x:c>
      <x:c r="G86" s="283" t="n">
        <x:v>13</x:v>
      </x:c>
      <x:c r="H86" s="288" t="n">
        <x:v>66.83333333333333</x:v>
      </x:c>
      <x:c r="I86" s="286" t="n">
        <x:v>0.15</x:v>
      </x:c>
      <x:c r="J86" s="286" t="n">
        <x:v>0.5158260869565218</x:v>
      </x:c>
      <x:c r="K86" s="288" t="n">
        <x:v>86.29032258064517</x:v>
      </x:c>
      <x:c r="L86" s="286" t="n">
        <x:v>0.1543778801843318</x:v>
      </x:c>
      <x:c r="M86" s="283" t="n">
        <x:v>35</x:v>
      </x:c>
      <x:c r="N86" s="283" t="n">
        <x:v>5340</x:v>
      </x:c>
      <x:c r="O86" s="283" t="str"/>
    </x:row>
    <x:row r="87" ht="27" customHeight="1">
      <x:c r="A87" s="284" t="n">
        <x:v>83</x:v>
      </x:c>
      <x:c r="B87" s="284" t="n">
        <x:v>282</x:v>
      </x:c>
      <x:c r="C87" s="284" t="str">
        <x:f>IF(AND(A87&lt;='定義與範圍'!$B$7,B87&lt;='定義與範圍'!$B$7),"是","")</x:f>
        <x:v>是</x:v>
      </x:c>
      <x:c r="D87" s="284" t="str">
        <x:v>高活動＋高失衡</x:v>
      </x:c>
      <x:c r="E87" s="284" t="str">
        <x:v>中山路二段90巷</x:v>
      </x:c>
      <x:c r="F87" s="284" t="str">
        <x:v>板橋區</x:v>
      </x:c>
      <x:c r="G87" s="284" t="n">
        <x:v>13</x:v>
      </x:c>
      <x:c r="H87" s="287" t="n">
        <x:v>83.04166666666667</x:v>
      </x:c>
      <x:c r="I87" s="285" t="n">
        <x:v>0.1494047619047619</x:v>
      </x:c>
      <x:c r="J87" s="285" t="n">
        <x:v>0.5866086956521739</x:v>
      </x:c>
      <x:c r="K87" s="287" t="n">
        <x:v>99.41935483870968</x:v>
      </x:c>
      <x:c r="L87" s="285" t="n">
        <x:v>0.1497695852534562</x:v>
      </x:c>
      <x:c r="M87" s="284" t="n">
        <x:v>27</x:v>
      </x:c>
      <x:c r="N87" s="284" t="n">
        <x:v>4950</x:v>
      </x:c>
      <x:c r="O87" s="284" t="str"/>
    </x:row>
    <x:row r="88" ht="27" customHeight="1">
      <x:c r="A88" s="283" t="n">
        <x:v>84</x:v>
      </x:c>
      <x:c r="B88" s="283" t="n">
        <x:v>401</x:v>
      </x:c>
      <x:c r="C88" s="283" t="str">
        <x:f>IF(AND(A88&lt;='定義與範圍'!$B$7,B88&lt;='定義與範圍'!$B$7),"是","")</x:f>
      </x:c>
      <x:c r="D88" s="283" t="str">
        <x:v>僅高失衡</x:v>
      </x:c>
      <x:c r="E88" s="283" t="str">
        <x:v>淡江大學(水源街)</x:v>
      </x:c>
      <x:c r="F88" s="283" t="str">
        <x:v>淡水區</x:v>
      </x:c>
      <x:c r="G88" s="283" t="n">
        <x:v>29</x:v>
      </x:c>
      <x:c r="H88" s="288" t="n">
        <x:v>72.11666666666666</x:v>
      </x:c>
      <x:c r="I88" s="286" t="n">
        <x:v>0.1494047619047619</x:v>
      </x:c>
      <x:c r="J88" s="286" t="n">
        <x:v>0.4577452517860254</x:v>
      </x:c>
      <x:c r="K88" s="288" t="n">
        <x:v>93.03225806451611</x:v>
      </x:c>
      <x:c r="L88" s="286" t="n">
        <x:v>0.195852534562212</x:v>
      </x:c>
      <x:c r="M88" s="283" t="n">
        <x:v>42</x:v>
      </x:c>
      <x:c r="N88" s="283" t="n">
        <x:v>5160</x:v>
      </x:c>
      <x:c r="O88" s="283" t="str"/>
    </x:row>
    <x:row r="89" ht="27" customHeight="1">
      <x:c r="A89" s="284" t="n">
        <x:v>85</x:v>
      </x:c>
      <x:c r="B89" s="284" t="n">
        <x:v>936</x:v>
      </x:c>
      <x:c r="C89" s="284" t="str">
        <x:f>IF(AND(A89&lt;='定義與範圍'!$B$7,B89&lt;='定義與範圍'!$B$7),"是","")</x:f>
      </x:c>
      <x:c r="D89" s="284" t="str">
        <x:v>僅高失衡</x:v>
      </x:c>
      <x:c r="E89" s="284" t="str">
        <x:v>松柏街50巷90弄口</x:v>
      </x:c>
      <x:c r="F89" s="284" t="str">
        <x:v>板橋區</x:v>
      </x:c>
      <x:c r="G89" s="284" t="n">
        <x:v>12</x:v>
      </x:c>
      <x:c r="H89" s="287" t="n">
        <x:v>38.59166666666667</x:v>
      </x:c>
      <x:c r="I89" s="285" t="n">
        <x:v>0.1488095238095238</x:v>
      </x:c>
      <x:c r="J89" s="285" t="n">
        <x:v>0.3864347826086956</x:v>
      </x:c>
      <x:c r="K89" s="287" t="n">
        <x:v>57.61290322580645</x:v>
      </x:c>
      <x:c r="L89" s="285" t="n">
        <x:v>0.2258064516129032</x:v>
      </x:c>
      <x:c r="M89" s="284" t="n">
        <x:v>41</x:v>
      </x:c>
      <x:c r="N89" s="284" t="n">
        <x:v>5550</x:v>
      </x:c>
      <x:c r="O89" s="284" t="str"/>
    </x:row>
    <x:row r="90" ht="27" customHeight="1">
      <x:c r="A90" s="283" t="n">
        <x:v>86</x:v>
      </x:c>
      <x:c r="B90" s="283" t="n">
        <x:v>882</x:v>
      </x:c>
      <x:c r="C90" s="283" t="str">
        <x:f>IF(AND(A90&lt;='定義與範圍'!$B$7,B90&lt;='定義與範圍'!$B$7),"是","")</x:f>
      </x:c>
      <x:c r="D90" s="283" t="str">
        <x:v>僅高失衡</x:v>
      </x:c>
      <x:c r="E90" s="283" t="str">
        <x:v>寶橋路29巷</x:v>
      </x:c>
      <x:c r="F90" s="283" t="str">
        <x:v>新店區</x:v>
      </x:c>
      <x:c r="G90" s="283" t="n">
        <x:v>10</x:v>
      </x:c>
      <x:c r="H90" s="288" t="n">
        <x:v>41.38333333333333</x:v>
      </x:c>
      <x:c r="I90" s="286" t="n">
        <x:v>0.1476190476190476</x:v>
      </x:c>
      <x:c r="J90" s="286" t="n">
        <x:v>0.417391304347826</x:v>
      </x:c>
      <x:c r="K90" s="288" t="n">
        <x:v>55.935483870967744</x:v>
      </x:c>
      <x:c r="L90" s="286" t="n">
        <x:v>0.1912442396313364</x:v>
      </x:c>
      <x:c r="M90" s="283" t="n">
        <x:v>72</x:v>
      </x:c>
      <x:c r="N90" s="283" t="n">
        <x:v>9180</x:v>
      </x:c>
      <x:c r="O90" s="283" t="str"/>
    </x:row>
    <x:row r="91" ht="27" customHeight="1">
      <x:c r="A91" s="284" t="n">
        <x:v>87</x:v>
      </x:c>
      <x:c r="B91" s="284" t="n">
        <x:v>570</x:v>
      </x:c>
      <x:c r="C91" s="284" t="str">
        <x:f>IF(AND(A91&lt;='定義與範圍'!$B$7,B91&lt;='定義與範圍'!$B$7),"是","")</x:f>
      </x:c>
      <x:c r="D91" s="284" t="str">
        <x:v>僅高失衡</x:v>
      </x:c>
      <x:c r="E91" s="284" t="str">
        <x:v>大豐公園停車場</x:v>
      </x:c>
      <x:c r="F91" s="284" t="str">
        <x:v>新店區</x:v>
      </x:c>
      <x:c r="G91" s="284" t="n">
        <x:v>15</x:v>
      </x:c>
      <x:c r="H91" s="287" t="n">
        <x:v>60.266666666666666</x:v>
      </x:c>
      <x:c r="I91" s="285" t="n">
        <x:v>0.1458333333333333</x:v>
      </x:c>
      <x:c r="J91" s="285" t="n">
        <x:v>0.4603478260869565</x:v>
      </x:c>
      <x:c r="K91" s="287" t="n">
        <x:v>85.41935483870968</x:v>
      </x:c>
      <x:c r="L91" s="285" t="n">
        <x:v>0.1313364055299539</x:v>
      </x:c>
      <x:c r="M91" s="284" t="n">
        <x:v>33</x:v>
      </x:c>
      <x:c r="N91" s="284" t="n">
        <x:v>4440</x:v>
      </x:c>
      <x:c r="O91" s="284" t="str"/>
    </x:row>
    <x:row r="92" ht="27" customHeight="1">
      <x:c r="A92" s="283" t="n">
        <x:v>88</x:v>
      </x:c>
      <x:c r="B92" s="283" t="n">
        <x:v>387</x:v>
      </x:c>
      <x:c r="C92" s="283" t="str">
        <x:f>IF(AND(A92&lt;='定義與範圍'!$B$7,B92&lt;='定義與範圍'!$B$7),"是","")</x:f>
      </x:c>
      <x:c r="D92" s="283" t="str">
        <x:v>僅高失衡</x:v>
      </x:c>
      <x:c r="E92" s="283" t="str">
        <x:v>民德路口</x:v>
      </x:c>
      <x:c r="F92" s="283" t="str">
        <x:v>中和區</x:v>
      </x:c>
      <x:c r="G92" s="283" t="n">
        <x:v>15</x:v>
      </x:c>
      <x:c r="H92" s="288" t="n">
        <x:v>73.15833333333333</x:v>
      </x:c>
      <x:c r="I92" s="286" t="n">
        <x:v>0.1458333333333333</x:v>
      </x:c>
      <x:c r="J92" s="286" t="n">
        <x:v>0.5066086956521739</x:v>
      </x:c>
      <x:c r="K92" s="288" t="n">
        <x:v>95.09677419354838</x:v>
      </x:c>
      <x:c r="L92" s="286" t="n">
        <x:v>0.1566820276497695</x:v>
      </x:c>
      <x:c r="M92" s="283" t="n">
        <x:v>25</x:v>
      </x:c>
      <x:c r="N92" s="283" t="n">
        <x:v>3660</x:v>
      </x:c>
      <x:c r="O92" s="283" t="str"/>
    </x:row>
    <x:row r="93" ht="27" customHeight="1">
      <x:c r="A93" s="284" t="n">
        <x:v>89</x:v>
      </x:c>
      <x:c r="B93" s="284" t="n">
        <x:v>817</x:v>
      </x:c>
      <x:c r="C93" s="284" t="str">
        <x:f>IF(AND(A93&lt;='定義與範圍'!$B$7,B93&lt;='定義與範圍'!$B$7),"是","")</x:f>
      </x:c>
      <x:c r="D93" s="284" t="str">
        <x:v>僅高失衡</x:v>
      </x:c>
      <x:c r="E93" s="284" t="str">
        <x:v>力行新村</x:v>
      </x:c>
      <x:c r="F93" s="284" t="str">
        <x:v>板橋區</x:v>
      </x:c>
      <x:c r="G93" s="284" t="n">
        <x:v>12</x:v>
      </x:c>
      <x:c r="H93" s="287" t="n">
        <x:v>46.225</x:v>
      </x:c>
      <x:c r="I93" s="285" t="n">
        <x:v>0.1452380952380952</x:v>
      </x:c>
      <x:c r="J93" s="285" t="n">
        <x:v>0.4013913043478261</x:v>
      </x:c>
      <x:c r="K93" s="287" t="n">
        <x:v>61.903225806451616</x:v>
      </x:c>
      <x:c r="L93" s="285" t="n">
        <x:v>0.1751152073732718</x:v>
      </x:c>
      <x:c r="M93" s="284" t="n">
        <x:v>42</x:v>
      </x:c>
      <x:c r="N93" s="284" t="n">
        <x:v>4710</x:v>
      </x:c>
      <x:c r="O93" s="284" t="str"/>
    </x:row>
    <x:row r="94" ht="27" customHeight="1">
      <x:c r="A94" s="283" t="n">
        <x:v>90</x:v>
      </x:c>
      <x:c r="B94" s="283" t="n">
        <x:v>556</x:v>
      </x:c>
      <x:c r="C94" s="283" t="str">
        <x:f>IF(AND(A94&lt;='定義與範圍'!$B$7,B94&lt;='定義與範圍'!$B$7),"是","")</x:f>
      </x:c>
      <x:c r="D94" s="283" t="str">
        <x:v>僅高失衡</x:v>
      </x:c>
      <x:c r="E94" s="283" t="str">
        <x:v>保福保福路二段133巷口</x:v>
      </x:c>
      <x:c r="F94" s="283" t="str">
        <x:v>永和區</x:v>
      </x:c>
      <x:c r="G94" s="283" t="n">
        <x:v>14</x:v>
      </x:c>
      <x:c r="H94" s="288" t="n">
        <x:v>61.41666666666666</x:v>
      </x:c>
      <x:c r="I94" s="286" t="n">
        <x:v>0.1452380952380952</x:v>
      </x:c>
      <x:c r="J94" s="286" t="n">
        <x:v>0.4772173913043478</x:v>
      </x:c>
      <x:c r="K94" s="288" t="n">
        <x:v>79.61290322580645</x:v>
      </x:c>
      <x:c r="L94" s="286" t="n">
        <x:v>0.140552995391705</x:v>
      </x:c>
      <x:c r="M94" s="283" t="n">
        <x:v>38</x:v>
      </x:c>
      <x:c r="N94" s="283" t="n">
        <x:v>5130</x:v>
      </x:c>
      <x:c r="O94" s="283" t="str"/>
    </x:row>
    <x:row r="95" ht="27" customHeight="1">
      <x:c r="A95" s="284" t="n">
        <x:v>91</x:v>
      </x:c>
      <x:c r="B95" s="284" t="n">
        <x:v>810</x:v>
      </x:c>
      <x:c r="C95" s="284" t="str">
        <x:f>IF(AND(A95&lt;='定義與範圍'!$B$7,B95&lt;='定義與範圍'!$B$7),"是","")</x:f>
      </x:c>
      <x:c r="D95" s="284" t="str">
        <x:v>僅高失衡</x:v>
      </x:c>
      <x:c r="E95" s="284" t="str">
        <x:v>寶高路120巷口</x:v>
      </x:c>
      <x:c r="F95" s="284" t="str">
        <x:v>新店區</x:v>
      </x:c>
      <x:c r="G95" s="284" t="n">
        <x:v>14</x:v>
      </x:c>
      <x:c r="H95" s="287" t="n">
        <x:v>46.49166666666667</x:v>
      </x:c>
      <x:c r="I95" s="285" t="n">
        <x:v>0.1452380952380952</x:v>
      </x:c>
      <x:c r="J95" s="285" t="n">
        <x:v>0.3987826086956522</x:v>
      </x:c>
      <x:c r="K95" s="287" t="n">
        <x:v>58.67741935483871</x:v>
      </x:c>
      <x:c r="L95" s="285" t="n">
        <x:v>0.1751152073732718</x:v>
      </x:c>
      <x:c r="M95" s="284" t="n">
        <x:v>53</x:v>
      </x:c>
      <x:c r="N95" s="284" t="n">
        <x:v>5940</x:v>
      </x:c>
      <x:c r="O95" s="284" t="str"/>
    </x:row>
    <x:row r="96" ht="27" customHeight="1">
      <x:c r="A96" s="283" t="n">
        <x:v>92</x:v>
      </x:c>
      <x:c r="B96" s="283" t="n">
        <x:v>96</x:v>
      </x:c>
      <x:c r="C96" s="283" t="str">
        <x:f>IF(AND(A96&lt;='定義與範圍'!$B$7,B96&lt;='定義與範圍'!$B$7),"是","")</x:f>
        <x:v>是</x:v>
      </x:c>
      <x:c r="D96" s="283" t="str">
        <x:v>高活動＋高失衡</x:v>
      </x:c>
      <x:c r="E96" s="283" t="str">
        <x:v>浮洲合宜住宅(樂群路)</x:v>
      </x:c>
      <x:c r="F96" s="283" t="str">
        <x:v>板橋區</x:v>
      </x:c>
      <x:c r="G96" s="283" t="n">
        <x:v>48</x:v>
      </x:c>
      <x:c r="H96" s="288" t="n">
        <x:v>128.26666666666668</x:v>
      </x:c>
      <x:c r="I96" s="286" t="n">
        <x:v>0.1452380952380952</x:v>
      </x:c>
      <x:c r="J96" s="286" t="n">
        <x:v>0.5699130434782609</x:v>
      </x:c>
      <x:c r="K96" s="288" t="n">
        <x:v>156.67741935483872</x:v>
      </x:c>
      <x:c r="L96" s="286" t="n">
        <x:v>0.1635944700460829</x:v>
      </x:c>
      <x:c r="M96" s="283" t="n">
        <x:v>35</x:v>
      </x:c>
      <x:c r="N96" s="283" t="n">
        <x:v>4980</x:v>
      </x:c>
      <x:c r="O96" s="283" t="str"/>
    </x:row>
    <x:row r="97" ht="27" customHeight="1">
      <x:c r="A97" s="284" t="n">
        <x:v>93</x:v>
      </x:c>
      <x:c r="B97" s="284" t="n">
        <x:v>737</x:v>
      </x:c>
      <x:c r="C97" s="284" t="str">
        <x:f>IF(AND(A97&lt;='定義與範圍'!$B$7,B97&lt;='定義與範圍'!$B$7),"是","")</x:f>
      </x:c>
      <x:c r="D97" s="284" t="str">
        <x:v>僅高失衡</x:v>
      </x:c>
      <x:c r="E97" s="284" t="str">
        <x:v>新民街120巷</x:v>
      </x:c>
      <x:c r="F97" s="284" t="str">
        <x:v>淡水區</x:v>
      </x:c>
      <x:c r="G97" s="284" t="n">
        <x:v>15</x:v>
      </x:c>
      <x:c r="H97" s="287" t="n">
        <x:v>49.85</x:v>
      </x:c>
      <x:c r="I97" s="285" t="n">
        <x:v>0.1446428571428571</x:v>
      </x:c>
      <x:c r="J97" s="285" t="n">
        <x:v>0.4109565217391304</x:v>
      </x:c>
      <x:c r="K97" s="287" t="n">
        <x:v>68.61290322580645</x:v>
      </x:c>
      <x:c r="L97" s="285" t="n">
        <x:v>0.2096774193548387</x:v>
      </x:c>
      <x:c r="M97" s="284" t="n">
        <x:v>49</x:v>
      </x:c>
      <x:c r="N97" s="284" t="n">
        <x:v>7200</x:v>
      </x:c>
      <x:c r="O97" s="284" t="str"/>
    </x:row>
    <x:row r="98" ht="27" customHeight="1">
      <x:c r="A98" s="283" t="n">
        <x:v>94</x:v>
      </x:c>
      <x:c r="B98" s="283" t="n">
        <x:v>648</x:v>
      </x:c>
      <x:c r="C98" s="283" t="str">
        <x:f>IF(AND(A98&lt;='定義與範圍'!$B$7,B98&lt;='定義與範圍'!$B$7),"是","")</x:f>
      </x:c>
      <x:c r="D98" s="283" t="str">
        <x:v>僅高失衡</x:v>
      </x:c>
      <x:c r="E98" s="283" t="str">
        <x:v>龍安成德街口</x:v>
      </x:c>
      <x:c r="F98" s="283" t="str">
        <x:v>新莊區</x:v>
      </x:c>
      <x:c r="G98" s="283" t="n">
        <x:v>12</x:v>
      </x:c>
      <x:c r="H98" s="288" t="n">
        <x:v>55.21666666666667</x:v>
      </x:c>
      <x:c r="I98" s="286" t="n">
        <x:v>0.1434523809523809</x:v>
      </x:c>
      <x:c r="J98" s="286" t="n">
        <x:v>0.4681739130434783</x:v>
      </x:c>
      <x:c r="K98" s="288" t="n">
        <x:v>78</x:v>
      </x:c>
      <x:c r="L98" s="286" t="n">
        <x:v>0.1774193548387097</x:v>
      </x:c>
      <x:c r="M98" s="283" t="n">
        <x:v>30</x:v>
      </x:c>
      <x:c r="N98" s="283" t="n">
        <x:v>4080</x:v>
      </x:c>
      <x:c r="O98" s="283" t="str"/>
    </x:row>
    <x:row r="99" ht="27" customHeight="1">
      <x:c r="A99" s="284" t="n">
        <x:v>95</x:v>
      </x:c>
      <x:c r="B99" s="284" t="n">
        <x:v>876</x:v>
      </x:c>
      <x:c r="C99" s="284" t="str">
        <x:f>IF(AND(A99&lt;='定義與範圍'!$B$7,B99&lt;='定義與範圍'!$B$7),"是","")</x:f>
      </x:c>
      <x:c r="D99" s="284" t="str">
        <x:v>僅高失衡</x:v>
      </x:c>
      <x:c r="E99" s="284" t="str">
        <x:v>金城路三段156號前</x:v>
      </x:c>
      <x:c r="F99" s="284" t="str">
        <x:v>土城區</x:v>
      </x:c>
      <x:c r="G99" s="284" t="n">
        <x:v>15</x:v>
      </x:c>
      <x:c r="H99" s="287" t="n">
        <x:v>41.7</x:v>
      </x:c>
      <x:c r="I99" s="285" t="n">
        <x:v>0.1428571428571428</x:v>
      </x:c>
      <x:c r="J99" s="285" t="n">
        <x:v>0.3820869565217391</x:v>
      </x:c>
      <x:c r="K99" s="287" t="n">
        <x:v>54.516129032258064</x:v>
      </x:c>
      <x:c r="L99" s="285" t="n">
        <x:v>0.1774193548387097</x:v>
      </x:c>
      <x:c r="M99" s="284" t="n">
        <x:v>54</x:v>
      </x:c>
      <x:c r="N99" s="284" t="n">
        <x:v>5490</x:v>
      </x:c>
      <x:c r="O99" s="284" t="str"/>
    </x:row>
    <x:row r="100" ht="27" customHeight="1">
      <x:c r="A100" s="283" t="n">
        <x:v>96</x:v>
      </x:c>
      <x:c r="B100" s="283" t="n">
        <x:v>67</x:v>
      </x:c>
      <x:c r="C100" s="283" t="str">
        <x:f>IF(AND(A100&lt;='定義與範圍'!$B$7,B100&lt;='定義與範圍'!$B$7),"是","")</x:f>
        <x:v>是</x:v>
      </x:c>
      <x:c r="D100" s="283" t="str">
        <x:v>高活動＋高失衡</x:v>
      </x:c>
      <x:c r="E100" s="283" t="str">
        <x:v>清和里(青雲路)</x:v>
      </x:c>
      <x:c r="F100" s="283" t="str">
        <x:v>土城區</x:v>
      </x:c>
      <x:c r="G100" s="283" t="n">
        <x:v>37</x:v>
      </x:c>
      <x:c r="H100" s="288" t="n">
        <x:v>147.00833333333333</x:v>
      </x:c>
      <x:c r="I100" s="286" t="n">
        <x:v>0.1428571428571428</x:v>
      </x:c>
      <x:c r="J100" s="286" t="n">
        <x:v>0.5965217391304348</x:v>
      </x:c>
      <x:c r="K100" s="288" t="n">
        <x:v>153.4193548387097</x:v>
      </x:c>
      <x:c r="L100" s="286" t="n">
        <x:v>0.1382488479262673</x:v>
      </x:c>
      <x:c r="M100" s="283" t="n">
        <x:v>24</x:v>
      </x:c>
      <x:c r="N100" s="283" t="n">
        <x:v>3090</x:v>
      </x:c>
      <x:c r="O100" s="283" t="str"/>
    </x:row>
    <x:row r="101" ht="27" customHeight="1">
      <x:c r="A101" s="284" t="n">
        <x:v>97</x:v>
      </x:c>
      <x:c r="B101" s="284" t="n">
        <x:v>941</x:v>
      </x:c>
      <x:c r="C101" s="284" t="str">
        <x:f>IF(AND(A101&lt;='定義與範圍'!$B$7,B101&lt;='定義與範圍'!$B$7),"是","")</x:f>
      </x:c>
      <x:c r="D101" s="284" t="str">
        <x:v>僅高失衡</x:v>
      </x:c>
      <x:c r="E101" s="284" t="str">
        <x:v>青雲路434巷口</x:v>
      </x:c>
      <x:c r="F101" s="284" t="str">
        <x:v>土城區</x:v>
      </x:c>
      <x:c r="G101" s="284" t="n">
        <x:v>18</x:v>
      </x:c>
      <x:c r="H101" s="287" t="n">
        <x:v>38.4</x:v>
      </x:c>
      <x:c r="I101" s="285" t="n">
        <x:v>0.1422619047619047</x:v>
      </x:c>
      <x:c r="J101" s="285" t="n">
        <x:v>0.3723478260869565</x:v>
      </x:c>
      <x:c r="K101" s="287" t="n">
        <x:v>51.064516129032256</x:v>
      </x:c>
      <x:c r="L101" s="285" t="n">
        <x:v>0.1705069124423963</x:v>
      </x:c>
      <x:c r="M101" s="284" t="n">
        <x:v>37</x:v>
      </x:c>
      <x:c r="N101" s="284" t="n">
        <x:v>3960</x:v>
      </x:c>
      <x:c r="O101" s="284" t="str"/>
    </x:row>
    <x:row r="102" ht="27" customHeight="1">
      <x:c r="A102" s="283" t="n">
        <x:v>98</x:v>
      </x:c>
      <x:c r="B102" s="283" t="n">
        <x:v>803</x:v>
      </x:c>
      <x:c r="C102" s="283" t="str">
        <x:f>IF(AND(A102&lt;='定義與範圍'!$B$7,B102&lt;='定義與範圍'!$B$7),"是","")</x:f>
      </x:c>
      <x:c r="D102" s="283" t="str">
        <x:v>僅高失衡</x:v>
      </x:c>
      <x:c r="E102" s="283" t="str">
        <x:v>雙鳳公園</x:v>
      </x:c>
      <x:c r="F102" s="283" t="str">
        <x:v>新莊區</x:v>
      </x:c>
      <x:c r="G102" s="283" t="n">
        <x:v>11</x:v>
      </x:c>
      <x:c r="H102" s="288" t="n">
        <x:v>46.85833333333333</x:v>
      </x:c>
      <x:c r="I102" s="286" t="n">
        <x:v>0.1416666666666666</x:v>
      </x:c>
      <x:c r="J102" s="286" t="n">
        <x:v>0.3673043478260869</x:v>
      </x:c>
      <x:c r="K102" s="288" t="n">
        <x:v>61.61290322580645</x:v>
      </x:c>
      <x:c r="L102" s="286" t="n">
        <x:v>0.195852534562212</x:v>
      </x:c>
      <x:c r="M102" s="283" t="n">
        <x:v>39</x:v>
      </x:c>
      <x:c r="N102" s="283" t="n">
        <x:v>4830</x:v>
      </x:c>
      <x:c r="O102" s="283" t="str"/>
    </x:row>
    <x:row r="103" ht="27" customHeight="1">
      <x:c r="A103" s="284" t="n">
        <x:v>99</x:v>
      </x:c>
      <x:c r="B103" s="284" t="n">
        <x:v>239</x:v>
      </x:c>
      <x:c r="C103" s="284" t="str">
        <x:f>IF(AND(A103&lt;='定義與範圍'!$B$7,B103&lt;='定義與範圍'!$B$7),"是","")</x:f>
        <x:v>是</x:v>
      </x:c>
      <x:c r="D103" s="284" t="str">
        <x:v>高活動＋高失衡</x:v>
      </x:c>
      <x:c r="E103" s="284" t="str">
        <x:v>中正路145巷口</x:v>
      </x:c>
      <x:c r="F103" s="284" t="str">
        <x:v>板橋區</x:v>
      </x:c>
      <x:c r="G103" s="284" t="n">
        <x:v>18</x:v>
      </x:c>
      <x:c r="H103" s="287" t="n">
        <x:v>88.31666666666666</x:v>
      </x:c>
      <x:c r="I103" s="285" t="n">
        <x:v>0.1416666666666666</x:v>
      </x:c>
      <x:c r="J103" s="285" t="n">
        <x:v>0.5511304347826087</x:v>
      </x:c>
      <x:c r="K103" s="287" t="n">
        <x:v>109.4516129032258</x:v>
      </x:c>
      <x:c r="L103" s="285" t="n">
        <x:v>0.1797235023041474</x:v>
      </x:c>
      <x:c r="M103" s="284" t="n">
        <x:v>30</x:v>
      </x:c>
      <x:c r="N103" s="284" t="n">
        <x:v>4440</x:v>
      </x:c>
      <x:c r="O103" s="284" t="str"/>
    </x:row>
    <x:row r="104" ht="27" customHeight="1">
      <x:c r="A104" s="283" t="n">
        <x:v>100</x:v>
      </x:c>
      <x:c r="B104" s="283" t="n">
        <x:v>521</x:v>
      </x:c>
      <x:c r="C104" s="283" t="str">
        <x:f>IF(AND(A104&lt;='定義與範圍'!$B$7,B104&lt;='定義與範圍'!$B$7),"是","")</x:f>
      </x:c>
      <x:c r="D104" s="283" t="str">
        <x:v>僅高失衡</x:v>
      </x:c>
      <x:c r="E104" s="283" t="str">
        <x:v>延和廣場</x:v>
      </x:c>
      <x:c r="F104" s="283" t="str">
        <x:v>土城區</x:v>
      </x:c>
      <x:c r="G104" s="283" t="n">
        <x:v>19</x:v>
      </x:c>
      <x:c r="H104" s="288" t="n">
        <x:v>63.49166666666667</x:v>
      </x:c>
      <x:c r="I104" s="286" t="n">
        <x:v>0.1410714285714285</x:v>
      </x:c>
      <x:c r="J104" s="286" t="n">
        <x:v>0.4883478260869565</x:v>
      </x:c>
      <x:c r="K104" s="288" t="n">
        <x:v>85.12903225806451</x:v>
      </x:c>
      <x:c r="L104" s="286" t="n">
        <x:v>0.1290322580645161</x:v>
      </x:c>
      <x:c r="M104" s="283" t="n">
        <x:v>27</x:v>
      </x:c>
      <x:c r="N104" s="283" t="n">
        <x:v>3630</x:v>
      </x:c>
      <x:c r="O104" s="283" t="str"/>
    </x:row>
    <x:row r="105" ht="27" customHeight="1">
      <x:c r="A105" s="284" t="n">
        <x:v>101</x:v>
      </x:c>
      <x:c r="B105" s="284" t="n">
        <x:v>768</x:v>
      </x:c>
      <x:c r="C105" s="284" t="str">
        <x:f>IF(AND(A105&lt;='定義與範圍'!$B$7,B105&lt;='定義與範圍'!$B$7),"是","")</x:f>
      </x:c>
      <x:c r="D105" s="284" t="str">
        <x:v>僅高失衡</x:v>
      </x:c>
      <x:c r="E105" s="284" t="str">
        <x:v>介壽街/文化路一段188巷9弄口</x:v>
      </x:c>
      <x:c r="F105" s="284" t="str">
        <x:v>板橋區</x:v>
      </x:c>
      <x:c r="G105" s="284" t="n">
        <x:v>16</x:v>
      </x:c>
      <x:c r="H105" s="287" t="n">
        <x:v>48.54166666666666</x:v>
      </x:c>
      <x:c r="I105" s="285" t="n">
        <x:v>0.1404761904761904</x:v>
      </x:c>
      <x:c r="J105" s="285" t="n">
        <x:v>0.4351304347826087</x:v>
      </x:c>
      <x:c r="K105" s="287" t="n">
        <x:v>69.80645161290323</x:v>
      </x:c>
      <x:c r="L105" s="285" t="n">
        <x:v>0.1474654377880184</x:v>
      </x:c>
      <x:c r="M105" s="284" t="n">
        <x:v>27</x:v>
      </x:c>
      <x:c r="N105" s="284" t="n">
        <x:v>4830</x:v>
      </x:c>
      <x:c r="O105" s="284" t="str"/>
    </x:row>
    <x:row r="106" ht="27" customHeight="1">
      <x:c r="A106" s="283" t="n">
        <x:v>102</x:v>
      </x:c>
      <x:c r="B106" s="283" t="n">
        <x:v>487</x:v>
      </x:c>
      <x:c r="C106" s="283" t="str">
        <x:f>IF(AND(A106&lt;='定義與範圍'!$B$7,B106&lt;='定義與範圍'!$B$7),"是","")</x:f>
      </x:c>
      <x:c r="D106" s="283" t="str">
        <x:v>僅高失衡</x:v>
      </x:c>
      <x:c r="E106" s="283" t="str">
        <x:v>捷運迴龍站(2號出口)</x:v>
      </x:c>
      <x:c r="F106" s="283" t="str">
        <x:v>新莊區</x:v>
      </x:c>
      <x:c r="G106" s="283" t="n">
        <x:v>11</x:v>
      </x:c>
      <x:c r="H106" s="288" t="n">
        <x:v>65.9</x:v>
      </x:c>
      <x:c r="I106" s="286" t="n">
        <x:v>0.1380952380952381</x:v>
      </x:c>
      <x:c r="J106" s="286" t="n">
        <x:v>0.5413913043478261</x:v>
      </x:c>
      <x:c r="K106" s="288" t="n">
        <x:v>80.2258064516129</x:v>
      </x:c>
      <x:c r="L106" s="286" t="n">
        <x:v>0.1267281105990783</x:v>
      </x:c>
      <x:c r="M106" s="283" t="n">
        <x:v>40</x:v>
      </x:c>
      <x:c r="N106" s="283" t="n">
        <x:v>4950</x:v>
      </x:c>
      <x:c r="O106" s="283" t="str"/>
    </x:row>
    <x:row r="107" ht="27" customHeight="1">
      <x:c r="A107" s="284" t="n">
        <x:v>103</x:v>
      </x:c>
      <x:c r="B107" s="284" t="n">
        <x:v>862</x:v>
      </x:c>
      <x:c r="C107" s="284" t="str">
        <x:f>IF(AND(A107&lt;='定義與範圍'!$B$7,B107&lt;='定義與範圍'!$B$7),"是","")</x:f>
      </x:c>
      <x:c r="D107" s="284" t="str">
        <x:v>僅高失衡</x:v>
      </x:c>
      <x:c r="E107" s="284" t="str">
        <x:v>中興檳榔路口</x:v>
      </x:c>
      <x:c r="F107" s="284" t="str">
        <x:v>新店區</x:v>
      </x:c>
      <x:c r="G107" s="284" t="n">
        <x:v>13</x:v>
      </x:c>
      <x:c r="H107" s="287" t="n">
        <x:v>42.425</x:v>
      </x:c>
      <x:c r="I107" s="285" t="n">
        <x:v>0.1375</x:v>
      </x:c>
      <x:c r="J107" s="285" t="n">
        <x:v>0.3850434782608695</x:v>
      </x:c>
      <x:c r="K107" s="287" t="n">
        <x:v>63.64516129032258</x:v>
      </x:c>
      <x:c r="L107" s="285" t="n">
        <x:v>0.2050691244239631</x:v>
      </x:c>
      <x:c r="M107" s="284" t="n">
        <x:v>40</x:v>
      </x:c>
      <x:c r="N107" s="284" t="n">
        <x:v>5670</x:v>
      </x:c>
      <x:c r="O107" s="284" t="str"/>
    </x:row>
    <x:row r="108" ht="27" customHeight="1">
      <x:c r="A108" s="283" t="n">
        <x:v>104</x:v>
      </x:c>
      <x:c r="B108" s="283" t="n">
        <x:v>598</x:v>
      </x:c>
      <x:c r="C108" s="283" t="str">
        <x:f>IF(AND(A108&lt;='定義與範圍'!$B$7,B108&lt;='定義與範圍'!$B$7),"是","")</x:f>
      </x:c>
      <x:c r="D108" s="283" t="str">
        <x:v>僅高失衡</x:v>
      </x:c>
      <x:c r="E108" s="283" t="str">
        <x:v>華福公園</x:v>
      </x:c>
      <x:c r="F108" s="283" t="str">
        <x:v>中和區</x:v>
      </x:c>
      <x:c r="G108" s="283" t="n">
        <x:v>16</x:v>
      </x:c>
      <x:c r="H108" s="288" t="n">
        <x:v>59.03333333333333</x:v>
      </x:c>
      <x:c r="I108" s="286" t="n">
        <x:v>0.1375</x:v>
      </x:c>
      <x:c r="J108" s="286" t="n">
        <x:v>0.452695652173913</x:v>
      </x:c>
      <x:c r="K108" s="288" t="n">
        <x:v>77.93548387096774</x:v>
      </x:c>
      <x:c r="L108" s="286" t="n">
        <x:v>0.1705069124423963</x:v>
      </x:c>
      <x:c r="M108" s="283" t="n">
        <x:v>38</x:v>
      </x:c>
      <x:c r="N108" s="283" t="n">
        <x:v>4500</x:v>
      </x:c>
      <x:c r="O108" s="283" t="str"/>
    </x:row>
    <x:row r="109" ht="27" customHeight="1">
      <x:c r="A109" s="284" t="n">
        <x:v>105</x:v>
      </x:c>
      <x:c r="B109" s="284" t="n">
        <x:v>492</x:v>
      </x:c>
      <x:c r="C109" s="284" t="str">
        <x:f>IF(AND(A109&lt;='定義與範圍'!$B$7,B109&lt;='定義與範圍'!$B$7),"是","")</x:f>
      </x:c>
      <x:c r="D109" s="284" t="str">
        <x:v>僅高失衡</x:v>
      </x:c>
      <x:c r="E109" s="284" t="str">
        <x:v>湳雅夜市停車場</x:v>
      </x:c>
      <x:c r="F109" s="284" t="str">
        <x:v>板橋區</x:v>
      </x:c>
      <x:c r="G109" s="284" t="n">
        <x:v>10</x:v>
      </x:c>
      <x:c r="H109" s="287" t="n">
        <x:v>65.54166666666667</x:v>
      </x:c>
      <x:c r="I109" s="285" t="n">
        <x:v>0.1369047619047619</x:v>
      </x:c>
      <x:c r="J109" s="285" t="n">
        <x:v>0.5408695652173913</x:v>
      </x:c>
      <x:c r="K109" s="287" t="n">
        <x:v>85.12903225806451</x:v>
      </x:c>
      <x:c r="L109" s="285" t="n">
        <x:v>0.1313364055299539</x:v>
      </x:c>
      <x:c r="M109" s="284" t="n">
        <x:v>32</x:v>
      </x:c>
      <x:c r="N109" s="284" t="n">
        <x:v>5580</x:v>
      </x:c>
      <x:c r="O109" s="284" t="str"/>
    </x:row>
    <x:row r="110" ht="27" customHeight="1">
      <x:c r="A110" s="283" t="n">
        <x:v>106</x:v>
      </x:c>
      <x:c r="B110" s="283" t="n">
        <x:v>411</x:v>
      </x:c>
      <x:c r="C110" s="283" t="str">
        <x:f>IF(AND(A110&lt;='定義與範圍'!$B$7,B110&lt;='定義與範圍'!$B$7),"是","")</x:f>
      </x:c>
      <x:c r="D110" s="283" t="str">
        <x:v>僅高失衡</x:v>
      </x:c>
      <x:c r="E110" s="283" t="str">
        <x:v>忠孝國中地下停車場</x:v>
      </x:c>
      <x:c r="F110" s="283" t="str">
        <x:v>板橋區</x:v>
      </x:c>
      <x:c r="G110" s="283" t="n">
        <x:v>20</x:v>
      </x:c>
      <x:c r="H110" s="288" t="n">
        <x:v>70.78333333333333</x:v>
      </x:c>
      <x:c r="I110" s="286" t="n">
        <x:v>0.1369047619047619</x:v>
      </x:c>
      <x:c r="J110" s="286" t="n">
        <x:v>0.480695652173913</x:v>
      </x:c>
      <x:c r="K110" s="288" t="n">
        <x:v>87.83870967741936</x:v>
      </x:c>
      <x:c r="L110" s="286" t="n">
        <x:v>0.1497695852534562</x:v>
      </x:c>
      <x:c r="M110" s="283" t="n">
        <x:v>46</x:v>
      </x:c>
      <x:c r="N110" s="283" t="n">
        <x:v>5550</x:v>
      </x:c>
      <x:c r="O110" s="283" t="str"/>
    </x:row>
    <x:row r="111" ht="27" customHeight="1">
      <x:c r="A111" s="284" t="n">
        <x:v>107</x:v>
      </x:c>
      <x:c r="B111" s="284" t="n">
        <x:v>549</x:v>
      </x:c>
      <x:c r="C111" s="284" t="str">
        <x:f>IF(AND(A111&lt;='定義與範圍'!$B$7,B111&lt;='定義與範圍'!$B$7),"是","")</x:f>
      </x:c>
      <x:c r="D111" s="284" t="str">
        <x:v>僅高失衡</x:v>
      </x:c>
      <x:c r="E111" s="284" t="str">
        <x:v>中央路二段180巷</x:v>
      </x:c>
      <x:c r="F111" s="284" t="str">
        <x:v>土城區</x:v>
      </x:c>
      <x:c r="G111" s="284" t="n">
        <x:v>15</x:v>
      </x:c>
      <x:c r="H111" s="287" t="n">
        <x:v>61.84166666666667</x:v>
      </x:c>
      <x:c r="I111" s="285" t="n">
        <x:v>0.1363095238095238</x:v>
      </x:c>
      <x:c r="J111" s="285" t="n">
        <x:v>0.4405217391304348</x:v>
      </x:c>
      <x:c r="K111" s="287" t="n">
        <x:v>78.90322580645162</x:v>
      </x:c>
      <x:c r="L111" s="285" t="n">
        <x:v>0.1244239631336405</x:v>
      </x:c>
      <x:c r="M111" s="284" t="n">
        <x:v>21</x:v>
      </x:c>
      <x:c r="N111" s="284" t="n">
        <x:v>3270</x:v>
      </x:c>
      <x:c r="O111" s="284" t="str"/>
    </x:row>
    <x:row r="112" ht="27" customHeight="1">
      <x:c r="A112" s="283" t="n">
        <x:v>108</x:v>
      </x:c>
      <x:c r="B112" s="283" t="n">
        <x:v>244</x:v>
      </x:c>
      <x:c r="C112" s="283" t="str">
        <x:f>IF(AND(A112&lt;='定義與範圍'!$B$7,B112&lt;='定義與範圍'!$B$7),"是","")</x:f>
        <x:v>是</x:v>
      </x:c>
      <x:c r="D112" s="283" t="str">
        <x:v>高活動＋高失衡</x:v>
      </x:c>
      <x:c r="E112" s="283" t="str">
        <x:v>港德攤集區(中正路236巷)</x:v>
      </x:c>
      <x:c r="F112" s="283" t="str">
        <x:v>板橋區</x:v>
      </x:c>
      <x:c r="G112" s="283" t="n">
        <x:v>20</x:v>
      </x:c>
      <x:c r="H112" s="288" t="n">
        <x:v>87.64835164835165</x:v>
      </x:c>
      <x:c r="I112" s="286" t="n">
        <x:v>0.1357927786499215</x:v>
      </x:c>
      <x:c r="J112" s="286" t="n">
        <x:v>0.539343886212434</x:v>
      </x:c>
      <x:c r="K112" s="288" t="n">
        <x:v>119.16129032258064</x:v>
      </x:c>
      <x:c r="L112" s="286" t="n">
        <x:v>0.1313364055299539</x:v>
      </x:c>
      <x:c r="M112" s="283" t="n">
        <x:v>38</x:v>
      </x:c>
      <x:c r="N112" s="283" t="n">
        <x:v>5310</x:v>
      </x:c>
      <x:c r="O112" s="283" t="str"/>
    </x:row>
    <x:row r="113" ht="27" customHeight="1">
      <x:c r="A113" s="284" t="n">
        <x:v>109</x:v>
      </x:c>
      <x:c r="B113" s="284" t="n">
        <x:v>1252</x:v>
      </x:c>
      <x:c r="C113" s="284" t="str">
        <x:f>IF(AND(A113&lt;='定義與範圍'!$B$7,B113&lt;='定義與範圍'!$B$7),"是","")</x:f>
      </x:c>
      <x:c r="D113" s="284" t="str">
        <x:v>僅高失衡</x:v>
      </x:c>
      <x:c r="E113" s="284" t="str">
        <x:v>明德平面停車場</x:v>
      </x:c>
      <x:c r="F113" s="284" t="str">
        <x:v>土城區</x:v>
      </x:c>
      <x:c r="G113" s="284" t="n">
        <x:v>10</x:v>
      </x:c>
      <x:c r="H113" s="287" t="n">
        <x:v>22.75</x:v>
      </x:c>
      <x:c r="I113" s="285" t="n">
        <x:v>0.1351190476190476</x:v>
      </x:c>
      <x:c r="J113" s="285" t="n">
        <x:v>0.2779130434782608</x:v>
      </x:c>
      <x:c r="K113" s="287" t="n">
        <x:v>32.54838709677419</x:v>
      </x:c>
      <x:c r="L113" s="285" t="n">
        <x:v>0.2050691244239631</x:v>
      </x:c>
      <x:c r="M113" s="284" t="n">
        <x:v>42</x:v>
      </x:c>
      <x:c r="N113" s="284" t="n">
        <x:v>4080</x:v>
      </x:c>
      <x:c r="O113" s="284" t="str"/>
    </x:row>
    <x:row r="114" ht="27" customHeight="1">
      <x:c r="A114" s="283" t="n">
        <x:v>110</x:v>
      </x:c>
      <x:c r="B114" s="283" t="n">
        <x:v>610</x:v>
      </x:c>
      <x:c r="C114" s="283" t="str">
        <x:f>IF(AND(A114&lt;='定義與範圍'!$B$7,B114&lt;='定義與範圍'!$B$7),"是","")</x:f>
      </x:c>
      <x:c r="D114" s="283" t="str">
        <x:v>僅高失衡</x:v>
      </x:c>
      <x:c r="E114" s="283" t="str">
        <x:v>台北醫院(民樂街)</x:v>
      </x:c>
      <x:c r="F114" s="283" t="str">
        <x:v>新莊區</x:v>
      </x:c>
      <x:c r="G114" s="283" t="n">
        <x:v>11</x:v>
      </x:c>
      <x:c r="H114" s="288" t="n">
        <x:v>58</x:v>
      </x:c>
      <x:c r="I114" s="286" t="n">
        <x:v>0.1345238095238095</x:v>
      </x:c>
      <x:c r="J114" s="286" t="n">
        <x:v>0.4994782608695652</x:v>
      </x:c>
      <x:c r="K114" s="288" t="n">
        <x:v>74.09677419354838</x:v>
      </x:c>
      <x:c r="L114" s="286" t="n">
        <x:v>0.1912442396313364</x:v>
      </x:c>
      <x:c r="M114" s="283" t="n">
        <x:v>44</x:v>
      </x:c>
      <x:c r="N114" s="283" t="n">
        <x:v>6570</x:v>
      </x:c>
      <x:c r="O114" s="283" t="str"/>
    </x:row>
    <x:row r="115" ht="27" customHeight="1">
      <x:c r="A115" s="284" t="n">
        <x:v>111</x:v>
      </x:c>
      <x:c r="B115" s="284" t="n">
        <x:v>664</x:v>
      </x:c>
      <x:c r="C115" s="284" t="str">
        <x:f>IF(AND(A115&lt;='定義與範圍'!$B$7,B115&lt;='定義與範圍'!$B$7),"是","")</x:f>
      </x:c>
      <x:c r="D115" s="284" t="str">
        <x:v>僅高失衡</x:v>
      </x:c>
      <x:c r="E115" s="284" t="str">
        <x:v>江翠國中活動中心地下停車場</x:v>
      </x:c>
      <x:c r="F115" s="284" t="str">
        <x:v>板橋區</x:v>
      </x:c>
      <x:c r="G115" s="284" t="n">
        <x:v>19</x:v>
      </x:c>
      <x:c r="H115" s="287" t="n">
        <x:v>53.93333333333333</x:v>
      </x:c>
      <x:c r="I115" s="285" t="n">
        <x:v>0.1345238095238095</x:v>
      </x:c>
      <x:c r="J115" s="285" t="n">
        <x:v>0.4518260869565217</x:v>
      </x:c>
      <x:c r="K115" s="287" t="n">
        <x:v>70.83870967741936</x:v>
      </x:c>
      <x:c r="L115" s="285" t="n">
        <x:v>0.1566820276497695</x:v>
      </x:c>
      <x:c r="M115" s="284" t="n">
        <x:v>43</x:v>
      </x:c>
      <x:c r="N115" s="284" t="n">
        <x:v>5310</x:v>
      </x:c>
      <x:c r="O115" s="284" t="str"/>
    </x:row>
    <x:row r="116" ht="27" customHeight="1">
      <x:c r="A116" s="283" t="n">
        <x:v>112</x:v>
      </x:c>
      <x:c r="B116" s="283" t="n">
        <x:v>271</x:v>
      </x:c>
      <x:c r="C116" s="283" t="str">
        <x:f>IF(AND(A116&lt;='定義與範圍'!$B$7,B116&lt;='定義與範圍'!$B$7),"是","")</x:f>
        <x:v>是</x:v>
      </x:c>
      <x:c r="D116" s="283" t="str">
        <x:v>高活動＋高失衡</x:v>
      </x:c>
      <x:c r="E116" s="283" t="str">
        <x:v>光復高中</x:v>
      </x:c>
      <x:c r="F116" s="283" t="str">
        <x:v>板橋區</x:v>
      </x:c>
      <x:c r="G116" s="283" t="n">
        <x:v>37</x:v>
      </x:c>
      <x:c r="H116" s="288" t="n">
        <x:v>84.1311475409836</x:v>
      </x:c>
      <x:c r="I116" s="286" t="n">
        <x:v>0.1334894613583138</x:v>
      </x:c>
      <x:c r="J116" s="286" t="n">
        <x:v>0.5861833105335157</x:v>
      </x:c>
      <x:c r="K116" s="288" t="n">
        <x:v>86.12903225806451</x:v>
      </x:c>
      <x:c r="L116" s="286" t="n">
        <x:v>0.1336405529953917</x:v>
      </x:c>
      <x:c r="M116" s="283" t="n">
        <x:v>23</x:v>
      </x:c>
      <x:c r="N116" s="283" t="n">
        <x:v>2430</x:v>
      </x:c>
      <x:c r="O116" s="283" t="str"/>
    </x:row>
    <x:row r="117" ht="27" customHeight="1">
      <x:c r="A117" s="284" t="n">
        <x:v>113</x:v>
      </x:c>
      <x:c r="B117" s="284" t="n">
        <x:v>612</x:v>
      </x:c>
      <x:c r="C117" s="284" t="str">
        <x:f>IF(AND(A117&lt;='定義與範圍'!$B$7,B117&lt;='定義與範圍'!$B$7),"是","")</x:f>
      </x:c>
      <x:c r="D117" s="284" t="str">
        <x:v>僅高失衡</x:v>
      </x:c>
      <x:c r="E117" s="284" t="str">
        <x:v>中正思源路口(東北側)</x:v>
      </x:c>
      <x:c r="F117" s="284" t="str">
        <x:v>新莊區</x:v>
      </x:c>
      <x:c r="G117" s="284" t="n">
        <x:v>45</x:v>
      </x:c>
      <x:c r="H117" s="287" t="n">
        <x:v>58</x:v>
      </x:c>
      <x:c r="I117" s="285" t="n">
        <x:v>0.1333333333333333</x:v>
      </x:c>
      <x:c r="J117" s="285" t="n">
        <x:v>0.3387826086956522</x:v>
      </x:c>
      <x:c r="K117" s="287" t="n">
        <x:v>69.48387096774194</x:v>
      </x:c>
      <x:c r="L117" s="285" t="n">
        <x:v>0.2004608294930875</x:v>
      </x:c>
      <x:c r="M117" s="284" t="n">
        <x:v>55</x:v>
      </x:c>
      <x:c r="N117" s="284" t="n">
        <x:v>8430</x:v>
      </x:c>
      <x:c r="O117" s="284" t="str"/>
    </x:row>
    <x:row r="118" ht="27" customHeight="1">
      <x:c r="A118" s="283" t="n">
        <x:v>114</x:v>
      </x:c>
      <x:c r="B118" s="283" t="n">
        <x:v>615</x:v>
      </x:c>
      <x:c r="C118" s="283" t="str">
        <x:f>IF(AND(A118&lt;='定義與範圍'!$B$7,B118&lt;='定義與範圍'!$B$7),"是","")</x:f>
      </x:c>
      <x:c r="D118" s="283" t="str">
        <x:v>僅高失衡</x:v>
      </x:c>
      <x:c r="E118" s="283" t="str">
        <x:v>重慶路89巷</x:v>
      </x:c>
      <x:c r="F118" s="283" t="str">
        <x:v>板橋區</x:v>
      </x:c>
      <x:c r="G118" s="283" t="n">
        <x:v>13</x:v>
      </x:c>
      <x:c r="H118" s="288" t="n">
        <x:v>57.75833333333333</x:v>
      </x:c>
      <x:c r="I118" s="286" t="n">
        <x:v>0.1327380952380952</x:v>
      </x:c>
      <x:c r="J118" s="286" t="n">
        <x:v>0.4932173913043478</x:v>
      </x:c>
      <x:c r="K118" s="288" t="n">
        <x:v>77.80645161290323</x:v>
      </x:c>
      <x:c r="L118" s="286" t="n">
        <x:v>0.1382488479262673</x:v>
      </x:c>
      <x:c r="M118" s="283" t="n">
        <x:v>51</x:v>
      </x:c>
      <x:c r="N118" s="283" t="n">
        <x:v>7050</x:v>
      </x:c>
      <x:c r="O118" s="283" t="str"/>
    </x:row>
    <x:row r="119" ht="27" customHeight="1">
      <x:c r="A119" s="284" t="n">
        <x:v>115</x:v>
      </x:c>
      <x:c r="B119" s="284" t="n">
        <x:v>438</x:v>
      </x:c>
      <x:c r="C119" s="284" t="str">
        <x:f>IF(AND(A119&lt;='定義與範圍'!$B$7,B119&lt;='定義與範圍'!$B$7),"是","")</x:f>
      </x:c>
      <x:c r="D119" s="284" t="str">
        <x:v>僅高失衡</x:v>
      </x:c>
      <x:c r="E119" s="284" t="str">
        <x:v>石雕公園</x:v>
      </x:c>
      <x:c r="F119" s="284" t="str">
        <x:v>板橋區</x:v>
      </x:c>
      <x:c r="G119" s="284" t="n">
        <x:v>34</x:v>
      </x:c>
      <x:c r="H119" s="287" t="n">
        <x:v>69.09166666666667</x:v>
      </x:c>
      <x:c r="I119" s="285" t="n">
        <x:v>0.1321428571428571</x:v>
      </x:c>
      <x:c r="J119" s="285" t="n">
        <x:v>0.4410434782608696</x:v>
      </x:c>
      <x:c r="K119" s="287" t="n">
        <x:v>93</x:v>
      </x:c>
      <x:c r="L119" s="285" t="n">
        <x:v>0.1612903225806451</x:v>
      </x:c>
      <x:c r="M119" s="284" t="n">
        <x:v>33</x:v>
      </x:c>
      <x:c r="N119" s="284" t="n">
        <x:v>4590</x:v>
      </x:c>
      <x:c r="O119" s="284" t="str"/>
    </x:row>
    <x:row r="120" ht="27" customHeight="1">
      <x:c r="A120" s="283" t="n">
        <x:v>116</x:v>
      </x:c>
      <x:c r="B120" s="283" t="n">
        <x:v>708</x:v>
      </x:c>
      <x:c r="C120" s="283" t="str">
        <x:f>IF(AND(A120&lt;='定義與範圍'!$B$7,B120&lt;='定義與範圍'!$B$7),"是","")</x:f>
      </x:c>
      <x:c r="D120" s="283" t="str">
        <x:v>僅高失衡</x:v>
      </x:c>
      <x:c r="E120" s="283" t="str">
        <x:v>福民市民活動中心</x:v>
      </x:c>
      <x:c r="F120" s="283" t="str">
        <x:v>新店區</x:v>
      </x:c>
      <x:c r="G120" s="283" t="n">
        <x:v>15</x:v>
      </x:c>
      <x:c r="H120" s="288" t="n">
        <x:v>51.575</x:v>
      </x:c>
      <x:c r="I120" s="286" t="n">
        <x:v>0.131547619047619</x:v>
      </x:c>
      <x:c r="J120" s="286" t="n">
        <x:v>0.4434782608695652</x:v>
      </x:c>
      <x:c r="K120" s="288" t="n">
        <x:v>69.80645161290323</x:v>
      </x:c>
      <x:c r="L120" s="286" t="n">
        <x:v>0.1451612903225806</x:v>
      </x:c>
      <x:c r="M120" s="283" t="n">
        <x:v>31</x:v>
      </x:c>
      <x:c r="N120" s="283" t="n">
        <x:v>5580</x:v>
      </x:c>
      <x:c r="O120" s="283" t="str"/>
    </x:row>
    <x:row r="121" ht="27" customHeight="1">
      <x:c r="A121" s="284" t="n">
        <x:v>117</x:v>
      </x:c>
      <x:c r="B121" s="284" t="n">
        <x:v>813</x:v>
      </x:c>
      <x:c r="C121" s="284" t="str">
        <x:f>IF(AND(A121&lt;='定義與範圍'!$B$7,B121&lt;='定義與範圍'!$B$7),"是","")</x:f>
      </x:c>
      <x:c r="D121" s="284" t="str">
        <x:v>僅高失衡</x:v>
      </x:c>
      <x:c r="E121" s="284" t="str">
        <x:v>自強臨時平面停車場</x:v>
      </x:c>
      <x:c r="F121" s="284" t="str">
        <x:v>三重區</x:v>
      </x:c>
      <x:c r="G121" s="284" t="n">
        <x:v>21</x:v>
      </x:c>
      <x:c r="H121" s="287" t="n">
        <x:v>46.31666666666667</x:v>
      </x:c>
      <x:c r="I121" s="285" t="n">
        <x:v>0.131547619047619</x:v>
      </x:c>
      <x:c r="J121" s="285" t="n">
        <x:v>0.4041739130434783</x:v>
      </x:c>
      <x:c r="K121" s="287" t="n">
        <x:v>56.12903225806452</x:v>
      </x:c>
      <x:c r="L121" s="285" t="n">
        <x:v>0.1129032258064516</x:v>
      </x:c>
      <x:c r="M121" s="284" t="n">
        <x:v>27</x:v>
      </x:c>
      <x:c r="N121" s="284" t="n">
        <x:v>3030</x:v>
      </x:c>
      <x:c r="O121" s="284" t="str"/>
    </x:row>
    <x:row r="122" ht="27" customHeight="1">
      <x:c r="A122" s="283" t="n">
        <x:v>118</x:v>
      </x:c>
      <x:c r="B122" s="283" t="n">
        <x:v>491</x:v>
      </x:c>
      <x:c r="C122" s="283" t="str">
        <x:f>IF(AND(A122&lt;='定義與範圍'!$B$7,B122&lt;='定義與範圍'!$B$7),"是","")</x:f>
      </x:c>
      <x:c r="D122" s="283" t="str">
        <x:v>僅高失衡</x:v>
      </x:c>
      <x:c r="E122" s="283" t="str">
        <x:v>八德立體停車場</x:v>
      </x:c>
      <x:c r="F122" s="283" t="str">
        <x:v>新莊區</x:v>
      </x:c>
      <x:c r="G122" s="283" t="n">
        <x:v>14</x:v>
      </x:c>
      <x:c r="H122" s="288" t="n">
        <x:v>65.60833333333333</x:v>
      </x:c>
      <x:c r="I122" s="286" t="n">
        <x:v>0.1303571428571428</x:v>
      </x:c>
      <x:c r="J122" s="286" t="n">
        <x:v>0.4961739130434782</x:v>
      </x:c>
      <x:c r="K122" s="288" t="n">
        <x:v>86.16129032258064</x:v>
      </x:c>
      <x:c r="L122" s="286" t="n">
        <x:v>0.1635944700460829</x:v>
      </x:c>
      <x:c r="M122" s="283" t="n">
        <x:v>31</x:v>
      </x:c>
      <x:c r="N122" s="283" t="n">
        <x:v>4410</x:v>
      </x:c>
      <x:c r="O122" s="283" t="str"/>
    </x:row>
    <x:row r="123" ht="27" customHeight="1">
      <x:c r="A123" s="284" t="n">
        <x:v>119</x:v>
      </x:c>
      <x:c r="B123" s="284" t="n">
        <x:v>348</x:v>
      </x:c>
      <x:c r="C123" s="284" t="str">
        <x:f>IF(AND(A123&lt;='定義與範圍'!$B$7,B123&lt;='定義與範圍'!$B$7),"是","")</x:f>
        <x:v>是</x:v>
      </x:c>
      <x:c r="D123" s="284" t="str">
        <x:v>高活動＋高失衡</x:v>
      </x:c>
      <x:c r="E123" s="284" t="str">
        <x:v>文化路一段212巷口</x:v>
      </x:c>
      <x:c r="F123" s="284" t="str">
        <x:v>板橋區</x:v>
      </x:c>
      <x:c r="G123" s="284" t="n">
        <x:v>20</x:v>
      </x:c>
      <x:c r="H123" s="287" t="n">
        <x:v>76.65</x:v>
      </x:c>
      <x:c r="I123" s="285" t="n">
        <x:v>0.1303571428571428</x:v>
      </x:c>
      <x:c r="J123" s="285" t="n">
        <x:v>0.4982608695652173</x:v>
      </x:c>
      <x:c r="K123" s="287" t="n">
        <x:v>105.48387096774194</x:v>
      </x:c>
      <x:c r="L123" s="285" t="n">
        <x:v>0.140552995391705</x:v>
      </x:c>
      <x:c r="M123" s="284" t="n">
        <x:v>34</x:v>
      </x:c>
      <x:c r="N123" s="284" t="n">
        <x:v>4740</x:v>
      </x:c>
      <x:c r="O123" s="284" t="str"/>
    </x:row>
    <x:row r="124" ht="27" customHeight="1">
      <x:c r="A124" s="283" t="n">
        <x:v>120</x:v>
      </x:c>
      <x:c r="B124" s="283" t="n">
        <x:v>1012</x:v>
      </x:c>
      <x:c r="C124" s="283" t="str">
        <x:f>IF(AND(A124&lt;='定義與範圍'!$B$7,B124&lt;='定義與範圍'!$B$7),"是","")</x:f>
      </x:c>
      <x:c r="D124" s="283" t="str">
        <x:v>僅高失衡</x:v>
      </x:c>
      <x:c r="E124" s="283" t="str">
        <x:v>淡水行政中心</x:v>
      </x:c>
      <x:c r="F124" s="283" t="str">
        <x:v>淡水區</x:v>
      </x:c>
      <x:c r="G124" s="283" t="n">
        <x:v>10</x:v>
      </x:c>
      <x:c r="H124" s="288" t="n">
        <x:v>34.925</x:v>
      </x:c>
      <x:c r="I124" s="286" t="n">
        <x:v>0.1297619047619047</x:v>
      </x:c>
      <x:c r="J124" s="286" t="n">
        <x:v>0.3372173913043478</x:v>
      </x:c>
      <x:c r="K124" s="288" t="n">
        <x:v>47.064516129032256</x:v>
      </x:c>
      <x:c r="L124" s="286" t="n">
        <x:v>0.195852534562212</x:v>
      </x:c>
      <x:c r="M124" s="283" t="n">
        <x:v>55</x:v>
      </x:c>
      <x:c r="N124" s="283" t="n">
        <x:v>7680</x:v>
      </x:c>
      <x:c r="O124" s="283" t="str"/>
    </x:row>
    <x:row r="125" ht="27" customHeight="1">
      <x:c r="A125" s="284" t="n">
        <x:v>121</x:v>
      </x:c>
      <x:c r="B125" s="284" t="n">
        <x:v>628</x:v>
      </x:c>
      <x:c r="C125" s="284" t="str">
        <x:f>IF(AND(A125&lt;='定義與範圍'!$B$7,B125&lt;='定義與範圍'!$B$7),"是","")</x:f>
      </x:c>
      <x:c r="D125" s="284" t="str">
        <x:v>僅高失衡</x:v>
      </x:c>
      <x:c r="E125" s="284" t="str">
        <x:v>福和國中(永利路)</x:v>
      </x:c>
      <x:c r="F125" s="284" t="str">
        <x:v>永和區</x:v>
      </x:c>
      <x:c r="G125" s="284" t="n">
        <x:v>22</x:v>
      </x:c>
      <x:c r="H125" s="287" t="n">
        <x:v>56.66666666666666</x:v>
      </x:c>
      <x:c r="I125" s="285" t="n">
        <x:v>0.1297619047619047</x:v>
      </x:c>
      <x:c r="J125" s="285" t="n">
        <x:v>0.4307826086956521</x:v>
      </x:c>
      <x:c r="K125" s="287" t="n">
        <x:v>79.58064516129032</x:v>
      </x:c>
      <x:c r="L125" s="285" t="n">
        <x:v>0.1313364055299539</x:v>
      </x:c>
      <x:c r="M125" s="284" t="n">
        <x:v>20</x:v>
      </x:c>
      <x:c r="N125" s="284" t="n">
        <x:v>2910</x:v>
      </x:c>
      <x:c r="O125" s="284" t="str"/>
    </x:row>
    <x:row r="126" ht="27" customHeight="1">
      <x:c r="A126" s="283" t="n">
        <x:v>122</x:v>
      </x:c>
      <x:c r="B126" s="283" t="n">
        <x:v>123</x:v>
      </x:c>
      <x:c r="C126" s="283" t="str">
        <x:f>IF(AND(A126&lt;='定義與範圍'!$B$7,B126&lt;='定義與範圍'!$B$7),"是","")</x:f>
        <x:v>是</x:v>
      </x:c>
      <x:c r="D126" s="283" t="str">
        <x:v>高活動＋高失衡</x:v>
      </x:c>
      <x:c r="E126" s="283" t="str">
        <x:v>仁愛路40巷口</x:v>
      </x:c>
      <x:c r="F126" s="283" t="str">
        <x:v>永和區</x:v>
      </x:c>
      <x:c r="G126" s="283" t="n">
        <x:v>23</x:v>
      </x:c>
      <x:c r="H126" s="288" t="n">
        <x:v>112.85</x:v>
      </x:c>
      <x:c r="I126" s="286" t="n">
        <x:v>0.1297619047619047</x:v>
      </x:c>
      <x:c r="J126" s="286" t="n">
        <x:v>0.5198260869565218</x:v>
      </x:c>
      <x:c r="K126" s="288" t="n">
        <x:v>137.7741935483871</x:v>
      </x:c>
      <x:c r="L126" s="286" t="n">
        <x:v>0.1152073732718894</x:v>
      </x:c>
      <x:c r="M126" s="283" t="n">
        <x:v>53</x:v>
      </x:c>
      <x:c r="N126" s="283" t="n">
        <x:v>6630</x:v>
      </x:c>
      <x:c r="O126" s="283" t="str"/>
    </x:row>
    <x:row r="127" ht="27" customHeight="1">
      <x:c r="A127" s="284" t="n">
        <x:v>123</x:v>
      </x:c>
      <x:c r="B127" s="284" t="n">
        <x:v>511</x:v>
      </x:c>
      <x:c r="C127" s="284" t="str">
        <x:f>IF(AND(A127&lt;='定義與範圍'!$B$7,B127&lt;='定義與範圍'!$B$7),"是","")</x:f>
      </x:c>
      <x:c r="D127" s="284" t="str">
        <x:v>僅高失衡</x:v>
      </x:c>
      <x:c r="E127" s="284" t="str">
        <x:v>長榮龍濱路口</x:v>
      </x:c>
      <x:c r="F127" s="284" t="str">
        <x:v>三重區</x:v>
      </x:c>
      <x:c r="G127" s="284" t="n">
        <x:v>19</x:v>
      </x:c>
      <x:c r="H127" s="287" t="n">
        <x:v>64.16666666666667</x:v>
      </x:c>
      <x:c r="I127" s="285" t="n">
        <x:v>0.1284013605442177</x:v>
      </x:c>
      <x:c r="J127" s="285" t="n">
        <x:v>0.5288127173373075</x:v>
      </x:c>
      <x:c r="K127" s="287" t="n">
        <x:v>78.3225806451613</x:v>
      </x:c>
      <x:c r="L127" s="285" t="n">
        <x:v>0.1451612903225806</x:v>
      </x:c>
      <x:c r="M127" s="284" t="n">
        <x:v>40</x:v>
      </x:c>
      <x:c r="N127" s="284" t="n">
        <x:v>5010</x:v>
      </x:c>
      <x:c r="O127" s="284" t="str"/>
    </x:row>
    <x:row r="128" ht="27" customHeight="1">
      <x:c r="A128" s="283" t="n">
        <x:v>124</x:v>
      </x:c>
      <x:c r="B128" s="283" t="n">
        <x:v>1022</x:v>
      </x:c>
      <x:c r="C128" s="283" t="str">
        <x:f>IF(AND(A128&lt;='定義與範圍'!$B$7,B128&lt;='定義與範圍'!$B$7),"是","")</x:f>
      </x:c>
      <x:c r="D128" s="283" t="str">
        <x:v>僅高失衡</x:v>
      </x:c>
      <x:c r="E128" s="283" t="str">
        <x:v>台水新莊服務所</x:v>
      </x:c>
      <x:c r="F128" s="283" t="str">
        <x:v>新莊區</x:v>
      </x:c>
      <x:c r="G128" s="283" t="n">
        <x:v>36</x:v>
      </x:c>
      <x:c r="H128" s="288" t="n">
        <x:v>34.53333333333333</x:v>
      </x:c>
      <x:c r="I128" s="286" t="n">
        <x:v>0.1273809523809523</x:v>
      </x:c>
      <x:c r="J128" s="286" t="n">
        <x:v>0.2958260869565217</x:v>
      </x:c>
      <x:c r="K128" s="288" t="n">
        <x:v>54.193548387096776</x:v>
      </x:c>
      <x:c r="L128" s="286" t="n">
        <x:v>0.1497695852534562</x:v>
      </x:c>
      <x:c r="M128" s="283" t="n">
        <x:v>43</x:v>
      </x:c>
      <x:c r="N128" s="283" t="n">
        <x:v>7920</x:v>
      </x:c>
      <x:c r="O128" s="283" t="str"/>
    </x:row>
    <x:row r="129" ht="27" customHeight="1">
      <x:c r="A129" s="284" t="n">
        <x:v>125</x:v>
      </x:c>
      <x:c r="B129" s="284" t="n">
        <x:v>162</x:v>
      </x:c>
      <x:c r="C129" s="284" t="str">
        <x:f>IF(AND(A129&lt;='定義與範圍'!$B$7,B129&lt;='定義與範圍'!$B$7),"是","")</x:f>
        <x:v>是</x:v>
      </x:c>
      <x:c r="D129" s="284" t="str">
        <x:v>高活動＋高失衡</x:v>
      </x:c>
      <x:c r="E129" s="284" t="str">
        <x:v>廣福派出所</x:v>
      </x:c>
      <x:c r="F129" s="284" t="str">
        <x:v>土城區</x:v>
      </x:c>
      <x:c r="G129" s="284" t="n">
        <x:v>43</x:v>
      </x:c>
      <x:c r="H129" s="287" t="n">
        <x:v>103.34166666666668</x:v>
      </x:c>
      <x:c r="I129" s="285" t="n">
        <x:v>0.1273809523809523</x:v>
      </x:c>
      <x:c r="J129" s="285" t="n">
        <x:v>0.5429565217391304</x:v>
      </x:c>
      <x:c r="K129" s="287" t="n">
        <x:v>134.4516129032258</x:v>
      </x:c>
      <x:c r="L129" s="285" t="n">
        <x:v>0.1198156682027649</x:v>
      </x:c>
      <x:c r="M129" s="284" t="n">
        <x:v>26</x:v>
      </x:c>
      <x:c r="N129" s="284" t="n">
        <x:v>3210</x:v>
      </x:c>
      <x:c r="O129" s="284" t="str"/>
    </x:row>
    <x:row r="130" ht="27" customHeight="1">
      <x:c r="A130" s="283" t="n">
        <x:v>126</x:v>
      </x:c>
      <x:c r="B130" s="283" t="n">
        <x:v>1090</x:v>
      </x:c>
      <x:c r="C130" s="283" t="str">
        <x:f>IF(AND(A130&lt;='定義與範圍'!$B$7,B130&lt;='定義與範圍'!$B$7),"是","")</x:f>
      </x:c>
      <x:c r="D130" s="283" t="str">
        <x:v>僅高失衡</x:v>
      </x:c>
      <x:c r="E130" s="283" t="str">
        <x:v>廣停一機車停車場</x:v>
      </x:c>
      <x:c r="F130" s="283" t="str">
        <x:v>新莊區</x:v>
      </x:c>
      <x:c r="G130" s="283" t="n">
        <x:v>15</x:v>
      </x:c>
      <x:c r="H130" s="288" t="n">
        <x:v>30.991666666666667</x:v>
      </x:c>
      <x:c r="I130" s="286" t="n">
        <x:v>0.1267857142857142</x:v>
      </x:c>
      <x:c r="J130" s="286" t="n">
        <x:v>0.2598260869565217</x:v>
      </x:c>
      <x:c r="K130" s="288" t="n">
        <x:v>44.45161290322581</x:v>
      </x:c>
      <x:c r="L130" s="286" t="n">
        <x:v>0.1589861751152073</x:v>
      </x:c>
      <x:c r="M130" s="283" t="n">
        <x:v>51</x:v>
      </x:c>
      <x:c r="N130" s="283" t="n">
        <x:v>7470</x:v>
      </x:c>
      <x:c r="O130" s="283" t="str"/>
    </x:row>
    <x:row r="131" ht="27" customHeight="1">
      <x:c r="A131" s="284" t="n">
        <x:v>127</x:v>
      </x:c>
      <x:c r="B131" s="284" t="n">
        <x:v>787</x:v>
      </x:c>
      <x:c r="C131" s="284" t="str">
        <x:f>IF(AND(A131&lt;='定義與範圍'!$B$7,B131&lt;='定義與範圍'!$B$7),"是","")</x:f>
      </x:c>
      <x:c r="D131" s="284" t="str">
        <x:v>僅高失衡</x:v>
      </x:c>
      <x:c r="E131" s="284" t="str">
        <x:v>國立空中大學(中正路174巷口)</x:v>
      </x:c>
      <x:c r="F131" s="284" t="str">
        <x:v>蘆洲區</x:v>
      </x:c>
      <x:c r="G131" s="284" t="n">
        <x:v>15</x:v>
      </x:c>
      <x:c r="H131" s="287" t="n">
        <x:v>47.60833333333333</x:v>
      </x:c>
      <x:c r="I131" s="285" t="n">
        <x:v>0.1261904761904762</x:v>
      </x:c>
      <x:c r="J131" s="285" t="n">
        <x:v>0.4248695652173913</x:v>
      </x:c>
      <x:c r="K131" s="287" t="n">
        <x:v>66.09677419354838</x:v>
      </x:c>
      <x:c r="L131" s="285" t="n">
        <x:v>0.1635944700460829</x:v>
      </x:c>
      <x:c r="M131" s="284" t="n">
        <x:v>27</x:v>
      </x:c>
      <x:c r="N131" s="284" t="n">
        <x:v>4020</x:v>
      </x:c>
      <x:c r="O131" s="284" t="str"/>
    </x:row>
    <x:row r="132" ht="27" customHeight="1">
      <x:c r="A132" s="283" t="n">
        <x:v>128</x:v>
      </x:c>
      <x:c r="B132" s="283" t="n">
        <x:v>579</x:v>
      </x:c>
      <x:c r="C132" s="283" t="str">
        <x:f>IF(AND(A132&lt;='定義與範圍'!$B$7,B132&lt;='定義與範圍'!$B$7),"是","")</x:f>
      </x:c>
      <x:c r="D132" s="283" t="str">
        <x:v>僅高失衡</x:v>
      </x:c>
      <x:c r="E132" s="283" t="str">
        <x:v>莒光德光路口</x:v>
      </x:c>
      <x:c r="F132" s="283" t="str">
        <x:v>中和區</x:v>
      </x:c>
      <x:c r="G132" s="283" t="n">
        <x:v>15</x:v>
      </x:c>
      <x:c r="H132" s="288" t="n">
        <x:v>59.75833333333333</x:v>
      </x:c>
      <x:c r="I132" s="286" t="n">
        <x:v>0.1261904761904762</x:v>
      </x:c>
      <x:c r="J132" s="286" t="n">
        <x:v>0.4255652173913044</x:v>
      </x:c>
      <x:c r="K132" s="288" t="n">
        <x:v>84.6774193548387</x:v>
      </x:c>
      <x:c r="L132" s="286" t="n">
        <x:v>0.1451612903225806</x:v>
      </x:c>
      <x:c r="M132" s="283" t="n">
        <x:v>24</x:v>
      </x:c>
      <x:c r="N132" s="283" t="n">
        <x:v>3690</x:v>
      </x:c>
      <x:c r="O132" s="283" t="str"/>
    </x:row>
    <x:row r="133" ht="27" customHeight="1">
      <x:c r="A133" s="284" t="n">
        <x:v>129</x:v>
      </x:c>
      <x:c r="B133" s="284" t="n">
        <x:v>468</x:v>
      </x:c>
      <x:c r="C133" s="284" t="str">
        <x:f>IF(AND(A133&lt;='定義與範圍'!$B$7,B133&lt;='定義與範圍'!$B$7),"是","")</x:f>
      </x:c>
      <x:c r="D133" s="284" t="str">
        <x:v>僅高失衡</x:v>
      </x:c>
      <x:c r="E133" s="284" t="str">
        <x:v>中信停車場(中興街)</x:v>
      </x:c>
      <x:c r="F133" s="284" t="str">
        <x:v>永和區</x:v>
      </x:c>
      <x:c r="G133" s="284" t="n">
        <x:v>17</x:v>
      </x:c>
      <x:c r="H133" s="287" t="n">
        <x:v>66.91666666666667</x:v>
      </x:c>
      <x:c r="I133" s="285" t="n">
        <x:v>0.1261904761904762</x:v>
      </x:c>
      <x:c r="J133" s="285" t="n">
        <x:v>0.5090434782608696</x:v>
      </x:c>
      <x:c r="K133" s="287" t="n">
        <x:v>91.83870967741936</x:v>
      </x:c>
      <x:c r="L133" s="285" t="n">
        <x:v>0.1428571428571428</x:v>
      </x:c>
      <x:c r="M133" s="284" t="n">
        <x:v>34</x:v>
      </x:c>
      <x:c r="N133" s="284" t="n">
        <x:v>4680</x:v>
      </x:c>
      <x:c r="O133" s="284" t="str"/>
    </x:row>
    <x:row r="134" ht="27" customHeight="1">
      <x:c r="A134" s="283" t="n">
        <x:v>130</x:v>
      </x:c>
      <x:c r="B134" s="283" t="n">
        <x:v>585</x:v>
      </x:c>
      <x:c r="C134" s="283" t="str">
        <x:f>IF(AND(A134&lt;='定義與範圍'!$B$7,B134&lt;='定義與範圍'!$B$7),"是","")</x:f>
      </x:c>
      <x:c r="D134" s="283" t="str">
        <x:v>僅高失衡</x:v>
      </x:c>
      <x:c r="E134" s="283" t="str">
        <x:v>漢生東路193巷口</x:v>
      </x:c>
      <x:c r="F134" s="283" t="str">
        <x:v>板橋區</x:v>
      </x:c>
      <x:c r="G134" s="283" t="n">
        <x:v>19</x:v>
      </x:c>
      <x:c r="H134" s="288" t="n">
        <x:v>59.53333333333333</x:v>
      </x:c>
      <x:c r="I134" s="286" t="n">
        <x:v>0.1261904761904762</x:v>
      </x:c>
      <x:c r="J134" s="286" t="n">
        <x:v>0.4805217391304348</x:v>
      </x:c>
      <x:c r="K134" s="288" t="n">
        <x:v>69.83870967741936</x:v>
      </x:c>
      <x:c r="L134" s="286" t="n">
        <x:v>0.1589861751152073</x:v>
      </x:c>
      <x:c r="M134" s="283" t="n">
        <x:v>33</x:v>
      </x:c>
      <x:c r="N134" s="283" t="n">
        <x:v>4230</x:v>
      </x:c>
      <x:c r="O134" s="283" t="str"/>
    </x:row>
    <x:row r="135" ht="27" customHeight="1">
      <x:c r="A135" s="284" t="n">
        <x:v>131</x:v>
      </x:c>
      <x:c r="B135" s="284" t="n">
        <x:v>1126</x:v>
      </x:c>
      <x:c r="C135" s="284" t="str">
        <x:f>IF(AND(A135&lt;='定義與範圍'!$B$7,B135&lt;='定義與範圍'!$B$7),"是","")</x:f>
      </x:c>
      <x:c r="D135" s="284" t="str">
        <x:v>僅高失衡</x:v>
      </x:c>
      <x:c r="E135" s="284" t="str">
        <x:v>明德青和街口</x:v>
      </x:c>
      <x:c r="F135" s="284" t="str">
        <x:v>土城區</x:v>
      </x:c>
      <x:c r="G135" s="284" t="n">
        <x:v>31</x:v>
      </x:c>
      <x:c r="H135" s="287" t="n">
        <x:v>29.225</x:v>
      </x:c>
      <x:c r="I135" s="285" t="n">
        <x:v>0.1261904761904762</x:v>
      </x:c>
      <x:c r="J135" s="285" t="n">
        <x:v>0.296</x:v>
      </x:c>
      <x:c r="K135" s="287" t="n">
        <x:v>45.61290322580645</x:v>
      </x:c>
      <x:c r="L135" s="285" t="n">
        <x:v>0.1313364055299539</x:v>
      </x:c>
      <x:c r="M135" s="284" t="n">
        <x:v>22</x:v>
      </x:c>
      <x:c r="N135" s="284" t="n">
        <x:v>2700</x:v>
      </x:c>
      <x:c r="O135" s="284" t="str"/>
    </x:row>
    <x:row r="136" ht="27" customHeight="1">
      <x:c r="A136" s="283" t="n">
        <x:v>132</x:v>
      </x:c>
      <x:c r="B136" s="283" t="n">
        <x:v>428</x:v>
      </x:c>
      <x:c r="C136" s="283" t="str">
        <x:f>IF(AND(A136&lt;='定義與範圍'!$B$7,B136&lt;='定義與範圍'!$B$7),"是","")</x:f>
      </x:c>
      <x:c r="D136" s="283" t="str">
        <x:v>僅高失衡</x:v>
      </x:c>
      <x:c r="E136" s="283" t="str">
        <x:v>五工五五權路口</x:v>
      </x:c>
      <x:c r="F136" s="283" t="str">
        <x:v>五股區</x:v>
      </x:c>
      <x:c r="G136" s="283" t="n">
        <x:v>18</x:v>
      </x:c>
      <x:c r="H136" s="288" t="n">
        <x:v>69.55</x:v>
      </x:c>
      <x:c r="I136" s="286" t="n">
        <x:v>0.125</x:v>
      </x:c>
      <x:c r="J136" s="286" t="n">
        <x:v>0.4060869565217391</x:v>
      </x:c>
      <x:c r="K136" s="288" t="n">
        <x:v>84.12903225806451</x:v>
      </x:c>
      <x:c r="L136" s="286" t="n">
        <x:v>0.1059907834101382</x:v>
      </x:c>
      <x:c r="M136" s="283" t="n">
        <x:v>18</x:v>
      </x:c>
      <x:c r="N136" s="283" t="n">
        <x:v>3000</x:v>
      </x:c>
      <x:c r="O136" s="283" t="str"/>
    </x:row>
    <x:row r="137" ht="27" customHeight="1">
      <x:c r="A137" s="284" t="n">
        <x:v>133</x:v>
      </x:c>
      <x:c r="B137" s="284" t="n">
        <x:v>1028</x:v>
      </x:c>
      <x:c r="C137" s="284" t="str">
        <x:f>IF(AND(A137&lt;='定義與範圍'!$B$7,B137&lt;='定義與範圍'!$B$7),"是","")</x:f>
      </x:c>
      <x:c r="D137" s="284" t="str">
        <x:v>僅高失衡</x:v>
      </x:c>
      <x:c r="E137" s="284" t="str">
        <x:v>中正保安街三段口</x:v>
      </x:c>
      <x:c r="F137" s="284" t="str">
        <x:v>樹林區</x:v>
      </x:c>
      <x:c r="G137" s="284" t="n">
        <x:v>11</x:v>
      </x:c>
      <x:c r="H137" s="287" t="n">
        <x:v>34.34166666666667</x:v>
      </x:c>
      <x:c r="I137" s="285" t="n">
        <x:v>0.1244047619047619</x:v>
      </x:c>
      <x:c r="J137" s="285" t="n">
        <x:v>0.3587826086956521</x:v>
      </x:c>
      <x:c r="K137" s="287" t="n">
        <x:v>47.58064516129032</x:v>
      </x:c>
      <x:c r="L137" s="285" t="n">
        <x:v>0.1313364055299539</x:v>
      </x:c>
      <x:c r="M137" s="284" t="n">
        <x:v>38</x:v>
      </x:c>
      <x:c r="N137" s="284" t="n">
        <x:v>4380</x:v>
      </x:c>
      <x:c r="O137" s="284" t="str"/>
    </x:row>
    <x:row r="138" ht="27" customHeight="1">
      <x:c r="A138" s="283" t="n">
        <x:v>134</x:v>
      </x:c>
      <x:c r="B138" s="283" t="n">
        <x:v>855</x:v>
      </x:c>
      <x:c r="C138" s="283" t="str">
        <x:f>IF(AND(A138&lt;='定義與範圍'!$B$7,B138&lt;='定義與範圍'!$B$7),"是","")</x:f>
      </x:c>
      <x:c r="D138" s="283" t="str">
        <x:v>僅高失衡</x:v>
      </x:c>
      <x:c r="E138" s="283" t="str">
        <x:v>三信集英路口</x:v>
      </x:c>
      <x:c r="F138" s="283" t="str">
        <x:v>三重區</x:v>
      </x:c>
      <x:c r="G138" s="283" t="n">
        <x:v>13</x:v>
      </x:c>
      <x:c r="H138" s="288" t="n">
        <x:v>42.85833333333333</x:v>
      </x:c>
      <x:c r="I138" s="286" t="n">
        <x:v>0.1238095238095238</x:v>
      </x:c>
      <x:c r="J138" s="286" t="n">
        <x:v>0.4088695652173913</x:v>
      </x:c>
      <x:c r="K138" s="288" t="n">
        <x:v>57.61290322580645</x:v>
      </x:c>
      <x:c r="L138" s="286" t="n">
        <x:v>0.1589861751152073</x:v>
      </x:c>
      <x:c r="M138" s="283" t="n">
        <x:v>40</x:v>
      </x:c>
      <x:c r="N138" s="283" t="n">
        <x:v>4380</x:v>
      </x:c>
      <x:c r="O138" s="283" t="str"/>
    </x:row>
    <x:row r="139" ht="27" customHeight="1">
      <x:c r="A139" s="284" t="n">
        <x:v>135</x:v>
      </x:c>
      <x:c r="B139" s="284" t="n">
        <x:v>478</x:v>
      </x:c>
      <x:c r="C139" s="284" t="str">
        <x:f>IF(AND(A139&lt;='定義與範圍'!$B$7,B139&lt;='定義與範圍'!$B$7),"是","")</x:f>
      </x:c>
      <x:c r="D139" s="284" t="str">
        <x:v>僅高失衡</x:v>
      </x:c>
      <x:c r="E139" s="284" t="str">
        <x:v>中正路242巷口</x:v>
      </x:c>
      <x:c r="F139" s="284" t="str">
        <x:v>永和區</x:v>
      </x:c>
      <x:c r="G139" s="284" t="n">
        <x:v>13</x:v>
      </x:c>
      <x:c r="H139" s="287" t="n">
        <x:v>66.39166666666667</x:v>
      </x:c>
      <x:c r="I139" s="285" t="n">
        <x:v>0.1238095238095238</x:v>
      </x:c>
      <x:c r="J139" s="285" t="n">
        <x:v>0.5259130434782608</x:v>
      </x:c>
      <x:c r="K139" s="287" t="n">
        <x:v>97.74193548387096</x:v>
      </x:c>
      <x:c r="L139" s="285" t="n">
        <x:v>0.1036866359447004</x:v>
      </x:c>
      <x:c r="M139" s="284" t="n">
        <x:v>21</x:v>
      </x:c>
      <x:c r="N139" s="284" t="n">
        <x:v>3990</x:v>
      </x:c>
      <x:c r="O139" s="284" t="str"/>
    </x:row>
    <x:row r="140" ht="27" customHeight="1">
      <x:c r="A140" s="283" t="n">
        <x:v>136</x:v>
      </x:c>
      <x:c r="B140" s="283" t="n">
        <x:v>1057</x:v>
      </x:c>
      <x:c r="C140" s="283" t="str">
        <x:f>IF(AND(A140&lt;='定義與範圍'!$B$7,B140&lt;='定義與範圍'!$B$7),"是","")</x:f>
      </x:c>
      <x:c r="D140" s="283" t="str">
        <x:v>僅高失衡</x:v>
      </x:c>
      <x:c r="E140" s="283" t="str">
        <x:v>員林平面停車場</x:v>
      </x:c>
      <x:c r="F140" s="283" t="str">
        <x:v>土城區</x:v>
      </x:c>
      <x:c r="G140" s="283" t="n">
        <x:v>9</x:v>
      </x:c>
      <x:c r="H140" s="288" t="n">
        <x:v>32.475</x:v>
      </x:c>
      <x:c r="I140" s="286" t="n">
        <x:v>0.1232142857142857</x:v>
      </x:c>
      <x:c r="J140" s="286" t="n">
        <x:v>0.3405217391304347</x:v>
      </x:c>
      <x:c r="K140" s="288" t="n">
        <x:v>43.193548387096776</x:v>
      </x:c>
      <x:c r="L140" s="286" t="n">
        <x:v>0.1774193548387097</x:v>
      </x:c>
      <x:c r="M140" s="283" t="n">
        <x:v>41</x:v>
      </x:c>
      <x:c r="N140" s="283" t="n">
        <x:v>4950</x:v>
      </x:c>
      <x:c r="O140" s="283" t="str"/>
    </x:row>
    <x:row r="141" ht="27" customHeight="1">
      <x:c r="A141" s="284" t="n">
        <x:v>137</x:v>
      </x:c>
      <x:c r="B141" s="284" t="n">
        <x:v>545</x:v>
      </x:c>
      <x:c r="C141" s="284" t="str">
        <x:f>IF(AND(A141&lt;='定義與範圍'!$B$7,B141&lt;='定義與範圍'!$B$7),"是","")</x:f>
      </x:c>
      <x:c r="D141" s="284" t="str">
        <x:v>僅高失衡</x:v>
      </x:c>
      <x:c r="E141" s="284" t="str">
        <x:v>中正路347巷口</x:v>
      </x:c>
      <x:c r="F141" s="284" t="str">
        <x:v>新莊區</x:v>
      </x:c>
      <x:c r="G141" s="284" t="n">
        <x:v>13</x:v>
      </x:c>
      <x:c r="H141" s="287" t="n">
        <x:v>61.93333333333333</x:v>
      </x:c>
      <x:c r="I141" s="285" t="n">
        <x:v>0.1214285714285714</x:v>
      </x:c>
      <x:c r="J141" s="285" t="n">
        <x:v>0.4655652173913043</x:v>
      </x:c>
      <x:c r="K141" s="287" t="n">
        <x:v>81.25806451612904</x:v>
      </x:c>
      <x:c r="L141" s="285" t="n">
        <x:v>0.1728110599078341</x:v>
      </x:c>
      <x:c r="M141" s="284" t="n">
        <x:v>32</x:v>
      </x:c>
      <x:c r="N141" s="284" t="n">
        <x:v>4080</x:v>
      </x:c>
      <x:c r="O141" s="284" t="str"/>
    </x:row>
    <x:row r="142" ht="27" customHeight="1">
      <x:c r="A142" s="283" t="n">
        <x:v>138</x:v>
      </x:c>
      <x:c r="B142" s="283" t="n">
        <x:v>608</x:v>
      </x:c>
      <x:c r="C142" s="283" t="str">
        <x:f>IF(AND(A142&lt;='定義與範圍'!$B$7,B142&lt;='定義與範圍'!$B$7),"是","")</x:f>
      </x:c>
      <x:c r="D142" s="283" t="str">
        <x:v>僅高失衡</x:v>
      </x:c>
      <x:c r="E142" s="283" t="str">
        <x:v>中正路883巷口</x:v>
      </x:c>
      <x:c r="F142" s="283" t="str">
        <x:v>新莊區</x:v>
      </x:c>
      <x:c r="G142" s="283" t="n">
        <x:v>14</x:v>
      </x:c>
      <x:c r="H142" s="288" t="n">
        <x:v>58.24166666666667</x:v>
      </x:c>
      <x:c r="I142" s="286" t="n">
        <x:v>0.1214285714285714</x:v>
      </x:c>
      <x:c r="J142" s="286" t="n">
        <x:v>0.4292173913043478</x:v>
      </x:c>
      <x:c r="K142" s="288" t="n">
        <x:v>77.58064516129032</x:v>
      </x:c>
      <x:c r="L142" s="286" t="n">
        <x:v>0.1198156682027649</x:v>
      </x:c>
      <x:c r="M142" s="283" t="n">
        <x:v>31</x:v>
      </x:c>
      <x:c r="N142" s="283" t="n">
        <x:v>3480</x:v>
      </x:c>
      <x:c r="O142" s="283" t="str"/>
    </x:row>
    <x:row r="143" ht="27" customHeight="1">
      <x:c r="A143" s="284" t="n">
        <x:v>139</x:v>
      </x:c>
      <x:c r="B143" s="284" t="n">
        <x:v>453</x:v>
      </x:c>
      <x:c r="C143" s="284" t="str">
        <x:f>IF(AND(A143&lt;='定義與範圍'!$B$7,B143&lt;='定義與範圍'!$B$7),"是","")</x:f>
      </x:c>
      <x:c r="D143" s="284" t="str">
        <x:v>僅高失衡</x:v>
      </x:c>
      <x:c r="E143" s="284" t="str">
        <x:v>保平永和路一段口</x:v>
      </x:c>
      <x:c r="F143" s="284" t="str">
        <x:v>永和區</x:v>
      </x:c>
      <x:c r="G143" s="284" t="n">
        <x:v>14</x:v>
      </x:c>
      <x:c r="H143" s="287" t="n">
        <x:v>67.9</x:v>
      </x:c>
      <x:c r="I143" s="285" t="n">
        <x:v>0.1214285714285714</x:v>
      </x:c>
      <x:c r="J143" s="285" t="n">
        <x:v>0.528695652173913</x:v>
      </x:c>
      <x:c r="K143" s="287" t="n">
        <x:v>88.45161290322581</x:v>
      </x:c>
      <x:c r="L143" s="285" t="n">
        <x:v>0.1451612903225806</x:v>
      </x:c>
      <x:c r="M143" s="284" t="n">
        <x:v>28</x:v>
      </x:c>
      <x:c r="N143" s="284" t="n">
        <x:v>4920</x:v>
      </x:c>
      <x:c r="O143" s="284" t="str"/>
    </x:row>
    <x:row r="144" ht="27" customHeight="1">
      <x:c r="A144" s="283" t="n">
        <x:v>140</x:v>
      </x:c>
      <x:c r="B144" s="283" t="n">
        <x:v>259</x:v>
      </x:c>
      <x:c r="C144" s="283" t="str">
        <x:f>IF(AND(A144&lt;='定義與範圍'!$B$7,B144&lt;='定義與範圍'!$B$7),"是","")</x:f>
        <x:v>是</x:v>
      </x:c>
      <x:c r="D144" s="283" t="str">
        <x:v>高活動＋高失衡</x:v>
      </x:c>
      <x:c r="E144" s="283" t="str">
        <x:v>華夏科技大學(華新街)</x:v>
      </x:c>
      <x:c r="F144" s="283" t="str">
        <x:v>中和區</x:v>
      </x:c>
      <x:c r="G144" s="283" t="n">
        <x:v>16</x:v>
      </x:c>
      <x:c r="H144" s="288" t="n">
        <x:v>85.75</x:v>
      </x:c>
      <x:c r="I144" s="286" t="n">
        <x:v>0.1214285714285714</x:v>
      </x:c>
      <x:c r="J144" s="286" t="n">
        <x:v>0.5459130434782609</x:v>
      </x:c>
      <x:c r="K144" s="288" t="n">
        <x:v>101.51612903225806</x:v>
      </x:c>
      <x:c r="L144" s="286" t="n">
        <x:v>0.1382488479262673</x:v>
      </x:c>
      <x:c r="M144" s="283" t="n">
        <x:v>43</x:v>
      </x:c>
      <x:c r="N144" s="283" t="n">
        <x:v>6210</x:v>
      </x:c>
      <x:c r="O144" s="283" t="str"/>
    </x:row>
    <x:row r="145" ht="27" customHeight="1">
      <x:c r="A145" s="284" t="n">
        <x:v>141</x:v>
      </x:c>
      <x:c r="B145" s="284" t="n">
        <x:v>1047</x:v>
      </x:c>
      <x:c r="C145" s="284" t="str">
        <x:f>IF(AND(A145&lt;='定義與範圍'!$B$7,B145&lt;='定義與範圍'!$B$7),"是","")</x:f>
      </x:c>
      <x:c r="D145" s="284" t="str">
        <x:v>僅高失衡</x:v>
      </x:c>
      <x:c r="E145" s="284" t="str">
        <x:v>十四張歷史公園(南側)</x:v>
      </x:c>
      <x:c r="F145" s="284" t="str">
        <x:v>新店區</x:v>
      </x:c>
      <x:c r="G145" s="284" t="n">
        <x:v>20</x:v>
      </x:c>
      <x:c r="H145" s="287" t="n">
        <x:v>33.4</x:v>
      </x:c>
      <x:c r="I145" s="285" t="n">
        <x:v>0.1214285714285714</x:v>
      </x:c>
      <x:c r="J145" s="285" t="n">
        <x:v>0.3415652173913043</x:v>
      </x:c>
      <x:c r="K145" s="287" t="n">
        <x:v>52.29032258064516</x:v>
      </x:c>
      <x:c r="L145" s="285" t="n">
        <x:v>0.1221198156682027</x:v>
      </x:c>
      <x:c r="M145" s="284" t="n">
        <x:v>31</x:v>
      </x:c>
      <x:c r="N145" s="284" t="n">
        <x:v>3810</x:v>
      </x:c>
      <x:c r="O145" s="284" t="str"/>
    </x:row>
    <x:row r="146" ht="27" customHeight="1">
      <x:c r="A146" s="283" t="n">
        <x:v>142</x:v>
      </x:c>
      <x:c r="B146" s="283" t="n">
        <x:v>460</x:v>
      </x:c>
      <x:c r="C146" s="283" t="str">
        <x:f>IF(AND(A146&lt;='定義與範圍'!$B$7,B146&lt;='定義與範圍'!$B$7),"是","")</x:f>
      </x:c>
      <x:c r="D146" s="283" t="str">
        <x:v>僅高失衡</x:v>
      </x:c>
      <x:c r="E146" s="283" t="str">
        <x:v>雙十萬板路口</x:v>
      </x:c>
      <x:c r="F146" s="283" t="str">
        <x:v>板橋區</x:v>
      </x:c>
      <x:c r="G146" s="283" t="n">
        <x:v>26</x:v>
      </x:c>
      <x:c r="H146" s="288" t="n">
        <x:v>67.475</x:v>
      </x:c>
      <x:c r="I146" s="286" t="n">
        <x:v>0.1208333333333333</x:v>
      </x:c>
      <x:c r="J146" s="286" t="n">
        <x:v>0.4984347826086956</x:v>
      </x:c>
      <x:c r="K146" s="288" t="n">
        <x:v>88.25806451612904</x:v>
      </x:c>
      <x:c r="L146" s="286" t="n">
        <x:v>0.1751152073732718</x:v>
      </x:c>
      <x:c r="M146" s="283" t="n">
        <x:v>47</x:v>
      </x:c>
      <x:c r="N146" s="283" t="n">
        <x:v>5760</x:v>
      </x:c>
      <x:c r="O146" s="283" t="str"/>
    </x:row>
    <x:row r="147" ht="27" customHeight="1">
      <x:c r="A147" s="284" t="n">
        <x:v>143</x:v>
      </x:c>
      <x:c r="B147" s="284" t="n">
        <x:v>420</x:v>
      </x:c>
      <x:c r="C147" s="284" t="str">
        <x:f>IF(AND(A147&lt;='定義與範圍'!$B$7,B147&lt;='定義與範圍'!$B$7),"是","")</x:f>
      </x:c>
      <x:c r="D147" s="284" t="str">
        <x:v>僅高失衡</x:v>
      </x:c>
      <x:c r="E147" s="284" t="str">
        <x:v>板新中山路一段口</x:v>
      </x:c>
      <x:c r="F147" s="284" t="str">
        <x:v>板橋區</x:v>
      </x:c>
      <x:c r="G147" s="284" t="n">
        <x:v>15</x:v>
      </x:c>
      <x:c r="H147" s="287" t="n">
        <x:v>69.88333333333334</x:v>
      </x:c>
      <x:c r="I147" s="285" t="n">
        <x:v>0.1202380952380952</x:v>
      </x:c>
      <x:c r="J147" s="285" t="n">
        <x:v>0.5493913043478261</x:v>
      </x:c>
      <x:c r="K147" s="287" t="n">
        <x:v>93.2258064516129</x:v>
      </x:c>
      <x:c r="L147" s="285" t="n">
        <x:v>0.0990783410138248</x:v>
      </x:c>
      <x:c r="M147" s="284" t="n">
        <x:v>24</x:v>
      </x:c>
      <x:c r="N147" s="284" t="n">
        <x:v>3810</x:v>
      </x:c>
      <x:c r="O147" s="284" t="str"/>
    </x:row>
    <x:row r="148" ht="27" customHeight="1">
      <x:c r="A148" s="283" t="n">
        <x:v>144</x:v>
      </x:c>
      <x:c r="B148" s="283" t="n">
        <x:v>602</x:v>
      </x:c>
      <x:c r="C148" s="283" t="str">
        <x:f>IF(AND(A148&lt;='定義與範圍'!$B$7,B148&lt;='定義與範圍'!$B$7),"是","")</x:f>
      </x:c>
      <x:c r="D148" s="283" t="str">
        <x:v>僅高失衡</x:v>
      </x:c>
      <x:c r="E148" s="283" t="str">
        <x:v>後埔國小(實踐路/重慶路155巷口)</x:v>
      </x:c>
      <x:c r="F148" s="283" t="str">
        <x:v>板橋區</x:v>
      </x:c>
      <x:c r="G148" s="283" t="n">
        <x:v>24</x:v>
      </x:c>
      <x:c r="H148" s="288" t="n">
        <x:v>58.825</x:v>
      </x:c>
      <x:c r="I148" s="286" t="n">
        <x:v>0.1202380952380952</x:v>
      </x:c>
      <x:c r="J148" s="286" t="n">
        <x:v>0.4198260869565217</x:v>
      </x:c>
      <x:c r="K148" s="288" t="n">
        <x:v>82.12903225806451</x:v>
      </x:c>
      <x:c r="L148" s="286" t="n">
        <x:v>0.1313364055299539</x:v>
      </x:c>
      <x:c r="M148" s="283" t="n">
        <x:v>37</x:v>
      </x:c>
      <x:c r="N148" s="283" t="n">
        <x:v>4290</x:v>
      </x:c>
      <x:c r="O148" s="283" t="str"/>
    </x:row>
    <x:row r="149" ht="27" customHeight="1">
      <x:c r="A149" s="284" t="n">
        <x:v>145</x:v>
      </x:c>
      <x:c r="B149" s="284" t="n">
        <x:v>514</x:v>
      </x:c>
      <x:c r="C149" s="284" t="str">
        <x:f>IF(AND(A149&lt;='定義與範圍'!$B$7,B149&lt;='定義與範圍'!$B$7),"是","")</x:f>
      </x:c>
      <x:c r="D149" s="284" t="str">
        <x:v>僅高失衡</x:v>
      </x:c>
      <x:c r="E149" s="284" t="str">
        <x:v>莒光路136巷口</x:v>
      </x:c>
      <x:c r="F149" s="284" t="str">
        <x:v>中和區</x:v>
      </x:c>
      <x:c r="G149" s="284" t="n">
        <x:v>15</x:v>
      </x:c>
      <x:c r="H149" s="287" t="n">
        <x:v>64</x:v>
      </x:c>
      <x:c r="I149" s="285" t="n">
        <x:v>0.1196428571428571</x:v>
      </x:c>
      <x:c r="J149" s="285" t="n">
        <x:v>0.4951304347826087</x:v>
      </x:c>
      <x:c r="K149" s="287" t="n">
        <x:v>88.48387096774194</x:v>
      </x:c>
      <x:c r="L149" s="285" t="n">
        <x:v>0.1612903225806451</x:v>
      </x:c>
      <x:c r="M149" s="284" t="n">
        <x:v>31</x:v>
      </x:c>
      <x:c r="N149" s="284" t="n">
        <x:v>4470</x:v>
      </x:c>
      <x:c r="O149" s="284" t="str"/>
    </x:row>
    <x:row r="150" ht="27" customHeight="1">
      <x:c r="A150" s="283" t="n">
        <x:v>146</x:v>
      </x:c>
      <x:c r="B150" s="283" t="n">
        <x:v>843</x:v>
      </x:c>
      <x:c r="C150" s="283" t="str">
        <x:f>IF(AND(A150&lt;='定義與範圍'!$B$7,B150&lt;='定義與範圍'!$B$7),"是","")</x:f>
      </x:c>
      <x:c r="D150" s="283" t="str">
        <x:v>僅高失衡</x:v>
      </x:c>
      <x:c r="E150" s="283" t="str">
        <x:v>長安街251巷</x:v>
      </x:c>
      <x:c r="F150" s="283" t="str">
        <x:v>板橋區</x:v>
      </x:c>
      <x:c r="G150" s="283" t="n">
        <x:v>16</x:v>
      </x:c>
      <x:c r="H150" s="288" t="n">
        <x:v>43.625</x:v>
      </x:c>
      <x:c r="I150" s="286" t="n">
        <x:v>0.1196428571428571</x:v>
      </x:c>
      <x:c r="J150" s="286" t="n">
        <x:v>0.3827826086956521</x:v>
      </x:c>
      <x:c r="K150" s="288" t="n">
        <x:v>50.2258064516129</x:v>
      </x:c>
      <x:c r="L150" s="286" t="n">
        <x:v>0.1290322580645161</x:v>
      </x:c>
      <x:c r="M150" s="283" t="n">
        <x:v>29</x:v>
      </x:c>
      <x:c r="N150" s="283" t="n">
        <x:v>3600</x:v>
      </x:c>
      <x:c r="O150" s="283" t="str"/>
    </x:row>
    <x:row r="151" ht="27" customHeight="1">
      <x:c r="A151" s="284" t="n">
        <x:v>147</x:v>
      </x:c>
      <x:c r="B151" s="284" t="n">
        <x:v>1070</x:v>
      </x:c>
      <x:c r="C151" s="284" t="str">
        <x:f>IF(AND(A151&lt;='定義與範圍'!$B$7,B151&lt;='定義與範圍'!$B$7),"是","")</x:f>
      </x:c>
      <x:c r="D151" s="284" t="str">
        <x:v>僅高失衡</x:v>
      </x:c>
      <x:c r="E151" s="284" t="str">
        <x:v>光復興德路口(東南側)</x:v>
      </x:c>
      <x:c r="F151" s="284" t="str">
        <x:v>三重區</x:v>
      </x:c>
      <x:c r="G151" s="284" t="n">
        <x:v>18</x:v>
      </x:c>
      <x:c r="H151" s="287" t="n">
        <x:v>31.85</x:v>
      </x:c>
      <x:c r="I151" s="285" t="n">
        <x:v>0.1196428571428571</x:v>
      </x:c>
      <x:c r="J151" s="285" t="n">
        <x:v>0.2742608695652174</x:v>
      </x:c>
      <x:c r="K151" s="287" t="n">
        <x:v>38.25806451612903</x:v>
      </x:c>
      <x:c r="L151" s="285" t="n">
        <x:v>0.108294930875576</x:v>
      </x:c>
      <x:c r="M151" s="284" t="n">
        <x:v>25</x:v>
      </x:c>
      <x:c r="N151" s="284" t="n">
        <x:v>4950</x:v>
      </x:c>
      <x:c r="O151" s="284" t="str"/>
    </x:row>
    <x:row r="152" ht="27" customHeight="1">
      <x:c r="A152" s="283" t="n">
        <x:v>148</x:v>
      </x:c>
      <x:c r="B152" s="283" t="n">
        <x:v>295</x:v>
      </x:c>
      <x:c r="C152" s="283" t="str">
        <x:f>IF(AND(A152&lt;='定義與範圍'!$B$7,B152&lt;='定義與範圍'!$B$7),"是","")</x:f>
        <x:v>是</x:v>
      </x:c>
      <x:c r="D152" s="283" t="str">
        <x:v>高活動＋高失衡</x:v>
      </x:c>
      <x:c r="E152" s="283" t="str">
        <x:v>碧華公園(集勇街)</x:v>
      </x:c>
      <x:c r="F152" s="283" t="str">
        <x:v>三重區</x:v>
      </x:c>
      <x:c r="G152" s="283" t="n">
        <x:v>36</x:v>
      </x:c>
      <x:c r="H152" s="288" t="n">
        <x:v>81.85</x:v>
      </x:c>
      <x:c r="I152" s="286" t="n">
        <x:v>0.1184523809523809</x:v>
      </x:c>
      <x:c r="J152" s="286" t="n">
        <x:v>0.4516521739130434</x:v>
      </x:c>
      <x:c r="K152" s="288" t="n">
        <x:v>107.87096774193547</x:v>
      </x:c>
      <x:c r="L152" s="286" t="n">
        <x:v>0.0391705069124423</x:v>
      </x:c>
      <x:c r="M152" s="283" t="n">
        <x:v>8</x:v>
      </x:c>
      <x:c r="N152" s="283" t="n">
        <x:v>1230</x:v>
      </x:c>
      <x:c r="O152" s="283" t="str"/>
    </x:row>
    <x:row r="153" ht="27" customHeight="1">
      <x:c r="A153" s="284" t="n">
        <x:v>149</x:v>
      </x:c>
      <x:c r="B153" s="284" t="n">
        <x:v>878</x:v>
      </x:c>
      <x:c r="C153" s="284" t="str">
        <x:f>IF(AND(A153&lt;='定義與範圍'!$B$7,B153&lt;='定義與範圍'!$B$7),"是","")</x:f>
      </x:c>
      <x:c r="D153" s="284" t="str">
        <x:v>僅高失衡</x:v>
      </x:c>
      <x:c r="E153" s="284" t="str">
        <x:v>國慶學成路口</x:v>
      </x:c>
      <x:c r="F153" s="284" t="str">
        <x:v>三峽區</x:v>
      </x:c>
      <x:c r="G153" s="284" t="n">
        <x:v>10</x:v>
      </x:c>
      <x:c r="H153" s="287" t="n">
        <x:v>41.55</x:v>
      </x:c>
      <x:c r="I153" s="285" t="n">
        <x:v>0.1178571428571428</x:v>
      </x:c>
      <x:c r="J153" s="285" t="n">
        <x:v>0.4106086956521739</x:v>
      </x:c>
      <x:c r="K153" s="287" t="n">
        <x:v>61.354838709677416</x:v>
      </x:c>
      <x:c r="L153" s="285" t="n">
        <x:v>0.1635944700460829</x:v>
      </x:c>
      <x:c r="M153" s="284" t="n">
        <x:v>34</x:v>
      </x:c>
      <x:c r="N153" s="284" t="n">
        <x:v>5280</x:v>
      </x:c>
      <x:c r="O153" s="284" t="str"/>
    </x:row>
    <x:row r="154" ht="27" customHeight="1">
      <x:c r="A154" s="283" t="n">
        <x:v>150</x:v>
      </x:c>
      <x:c r="B154" s="283" t="n">
        <x:v>415</x:v>
      </x:c>
      <x:c r="C154" s="283" t="str">
        <x:f>IF(AND(A154&lt;='定義與範圍'!$B$7,B154&lt;='定義與範圍'!$B$7),"是","")</x:f>
      </x:c>
      <x:c r="D154" s="283" t="str">
        <x:v>僅高失衡</x:v>
      </x:c>
      <x:c r="E154" s="283" t="str">
        <x:v>圓通綠廊</x:v>
      </x:c>
      <x:c r="F154" s="283" t="str">
        <x:v>中和區</x:v>
      </x:c>
      <x:c r="G154" s="283" t="n">
        <x:v>13</x:v>
      </x:c>
      <x:c r="H154" s="288" t="n">
        <x:v>70.325</x:v>
      </x:c>
      <x:c r="I154" s="286" t="n">
        <x:v>0.1178571428571428</x:v>
      </x:c>
      <x:c r="J154" s="286" t="n">
        <x:v>0.5048695652173913</x:v>
      </x:c>
      <x:c r="K154" s="288" t="n">
        <x:v>87.6774193548387</x:v>
      </x:c>
      <x:c r="L154" s="286" t="n">
        <x:v>0.1497695852534562</x:v>
      </x:c>
      <x:c r="M154" s="283" t="n">
        <x:v>24</x:v>
      </x:c>
      <x:c r="N154" s="283" t="n">
        <x:v>3630</x:v>
      </x:c>
      <x:c r="O154" s="283" t="str"/>
    </x:row>
    <x:row r="155" ht="27" customHeight="1">
      <x:c r="A155" s="284" t="n">
        <x:v>151</x:v>
      </x:c>
      <x:c r="B155" s="284" t="n">
        <x:v>600</x:v>
      </x:c>
      <x:c r="C155" s="284" t="str">
        <x:f>IF(AND(A155&lt;='定義與範圍'!$B$7,B155&lt;='定義與範圍'!$B$7),"是","")</x:f>
      </x:c>
      <x:c r="D155" s="284" t="str">
        <x:v>僅高失衡</x:v>
      </x:c>
      <x:c r="E155" s="284" t="str">
        <x:v>光復路一段15巷口</x:v>
      </x:c>
      <x:c r="F155" s="284" t="str">
        <x:v>三重區</x:v>
      </x:c>
      <x:c r="G155" s="284" t="n">
        <x:v>17</x:v>
      </x:c>
      <x:c r="H155" s="287" t="n">
        <x:v>58.88333333333333</x:v>
      </x:c>
      <x:c r="I155" s="285" t="n">
        <x:v>0.1178571428571428</x:v>
      </x:c>
      <x:c r="J155" s="285" t="n">
        <x:v>0.4565217391304347</x:v>
      </x:c>
      <x:c r="K155" s="287" t="n">
        <x:v>87.3225806451613</x:v>
      </x:c>
      <x:c r="L155" s="285" t="n">
        <x:v>0.076036866359447</x:v>
      </x:c>
      <x:c r="M155" s="284" t="n">
        <x:v>32</x:v>
      </x:c>
      <x:c r="N155" s="284" t="n">
        <x:v>4440</x:v>
      </x:c>
      <x:c r="O155" s="284" t="str"/>
    </x:row>
    <x:row r="156" ht="27" customHeight="1">
      <x:c r="A156" s="283" t="n">
        <x:v>152</x:v>
      </x:c>
      <x:c r="B156" s="283" t="n">
        <x:v>834</x:v>
      </x:c>
      <x:c r="C156" s="283" t="str">
        <x:f>IF(AND(A156&lt;='定義與範圍'!$B$7,B156&lt;='定義與範圍'!$B$7),"是","")</x:f>
      </x:c>
      <x:c r="D156" s="283" t="str">
        <x:v>僅高失衡</x:v>
      </x:c>
      <x:c r="E156" s="283" t="str">
        <x:v>國家檔案館</x:v>
      </x:c>
      <x:c r="F156" s="283" t="str">
        <x:v>林口區</x:v>
      </x:c>
      <x:c r="G156" s="283" t="n">
        <x:v>17</x:v>
      </x:c>
      <x:c r="H156" s="288" t="n">
        <x:v>44.3</x:v>
      </x:c>
      <x:c r="I156" s="286" t="n">
        <x:v>0.1178571428571428</x:v>
      </x:c>
      <x:c r="J156" s="286" t="n">
        <x:v>0.2866086956521739</x:v>
      </x:c>
      <x:c r="K156" s="288" t="n">
        <x:v>60.61290322580645</x:v>
      </x:c>
      <x:c r="L156" s="286" t="n">
        <x:v>0.0806451612903225</x:v>
      </x:c>
      <x:c r="M156" s="283" t="n">
        <x:v>13</x:v>
      </x:c>
      <x:c r="N156" s="283" t="n">
        <x:v>1950</x:v>
      </x:c>
      <x:c r="O156" s="283" t="str"/>
    </x:row>
    <x:row r="157" ht="27" customHeight="1">
      <x:c r="A157" s="284" t="n">
        <x:v>153</x:v>
      </x:c>
      <x:c r="B157" s="284" t="n">
        <x:v>870</x:v>
      </x:c>
      <x:c r="C157" s="284" t="str">
        <x:f>IF(AND(A157&lt;='定義與範圍'!$B$7,B157&lt;='定義與範圍'!$B$7),"是","")</x:f>
      </x:c>
      <x:c r="D157" s="284" t="str">
        <x:v>僅高失衡</x:v>
      </x:c>
      <x:c r="E157" s="284" t="str">
        <x:v>三民地下停車場</x:v>
      </x:c>
      <x:c r="F157" s="284" t="str">
        <x:v>新店區</x:v>
      </x:c>
      <x:c r="G157" s="284" t="n">
        <x:v>24</x:v>
      </x:c>
      <x:c r="H157" s="287" t="n">
        <x:v>41.958333333333336</x:v>
      </x:c>
      <x:c r="I157" s="285" t="n">
        <x:v>0.1178571428571428</x:v>
      </x:c>
      <x:c r="J157" s="285" t="n">
        <x:v>0.3996521739130435</x:v>
      </x:c>
      <x:c r="K157" s="287" t="n">
        <x:v>68.03225806451613</x:v>
      </x:c>
      <x:c r="L157" s="285" t="n">
        <x:v>0.140552995391705</x:v>
      </x:c>
      <x:c r="M157" s="284" t="n">
        <x:v>34</x:v>
      </x:c>
      <x:c r="N157" s="284" t="n">
        <x:v>4170</x:v>
      </x:c>
      <x:c r="O157" s="284" t="str"/>
    </x:row>
    <x:row r="158" ht="27" customHeight="1">
      <x:c r="A158" s="283" t="n">
        <x:v>154</x:v>
      </x:c>
      <x:c r="B158" s="283" t="n">
        <x:v>512</x:v>
      </x:c>
      <x:c r="C158" s="283" t="str">
        <x:f>IF(AND(A158&lt;='定義與範圍'!$B$7,B158&lt;='定義與範圍'!$B$7),"是","")</x:f>
      </x:c>
      <x:c r="D158" s="283" t="str">
        <x:v>僅高失衡</x:v>
      </x:c>
      <x:c r="E158" s="283" t="str">
        <x:v>金城裕民路口(金城舞社區)</x:v>
      </x:c>
      <x:c r="F158" s="283" t="str">
        <x:v>土城區</x:v>
      </x:c>
      <x:c r="G158" s="283" t="n">
        <x:v>40</x:v>
      </x:c>
      <x:c r="H158" s="288" t="n">
        <x:v>64.15</x:v>
      </x:c>
      <x:c r="I158" s="286" t="n">
        <x:v>0.1178571428571428</x:v>
      </x:c>
      <x:c r="J158" s="286" t="n">
        <x:v>0.4220869565217391</x:v>
      </x:c>
      <x:c r="K158" s="288" t="n">
        <x:v>79.80645161290323</x:v>
      </x:c>
      <x:c r="L158" s="286" t="n">
        <x:v>0.1382488479262673</x:v>
      </x:c>
      <x:c r="M158" s="283" t="n">
        <x:v>36</x:v>
      </x:c>
      <x:c r="N158" s="283" t="n">
        <x:v>4050</x:v>
      </x:c>
      <x:c r="O158" s="283" t="str"/>
    </x:row>
    <x:row r="159" ht="27" customHeight="1">
      <x:c r="A159" s="284" t="n">
        <x:v>155</x:v>
      </x:c>
      <x:c r="B159" s="284" t="n">
        <x:v>539</x:v>
      </x:c>
      <x:c r="C159" s="284" t="str">
        <x:f>IF(AND(A159&lt;='定義與範圍'!$B$7,B159&lt;='定義與範圍'!$B$7),"是","")</x:f>
      </x:c>
      <x:c r="D159" s="284" t="str">
        <x:v>僅高失衡</x:v>
      </x:c>
      <x:c r="E159" s="284" t="str">
        <x:v>新莊運動公園地下停車場</x:v>
      </x:c>
      <x:c r="F159" s="284" t="str">
        <x:v>新莊區</x:v>
      </x:c>
      <x:c r="G159" s="284" t="n">
        <x:v>14</x:v>
      </x:c>
      <x:c r="H159" s="287" t="n">
        <x:v>62.625</x:v>
      </x:c>
      <x:c r="I159" s="285" t="n">
        <x:v>0.1172619047619047</x:v>
      </x:c>
      <x:c r="J159" s="285" t="n">
        <x:v>0.4777391304347826</x:v>
      </x:c>
      <x:c r="K159" s="287" t="n">
        <x:v>85.58064516129032</x:v>
      </x:c>
      <x:c r="L159" s="285" t="n">
        <x:v>0.152073732718894</x:v>
      </x:c>
      <x:c r="M159" s="284" t="n">
        <x:v>26</x:v>
      </x:c>
      <x:c r="N159" s="284" t="n">
        <x:v>3690</x:v>
      </x:c>
      <x:c r="O159" s="284" t="str"/>
    </x:row>
    <x:row r="160" ht="27" customHeight="1">
      <x:c r="A160" s="283" t="n">
        <x:v>156</x:v>
      </x:c>
      <x:c r="B160" s="283" t="n">
        <x:v>41</x:v>
      </x:c>
      <x:c r="C160" s="283" t="str">
        <x:f>IF(AND(A160&lt;='定義與範圍'!$B$7,B160&lt;='定義與範圍'!$B$7),"是","")</x:f>
        <x:v>是</x:v>
      </x:c>
      <x:c r="D160" s="283" t="str">
        <x:v>高活動＋高失衡</x:v>
      </x:c>
      <x:c r="E160" s="283" t="str">
        <x:v>中正民權路口</x:v>
      </x:c>
      <x:c r="F160" s="283" t="str">
        <x:v>新店區</x:v>
      </x:c>
      <x:c r="G160" s="283" t="n">
        <x:v>92</x:v>
      </x:c>
      <x:c r="H160" s="288" t="n">
        <x:v>173.8</x:v>
      </x:c>
      <x:c r="I160" s="286" t="n">
        <x:v>0.1166666666666666</x:v>
      </x:c>
      <x:c r="J160" s="286" t="n">
        <x:v>0.5544347826086956</x:v>
      </x:c>
      <x:c r="K160" s="288" t="n">
        <x:v>225.0967741935484</x:v>
      </x:c>
      <x:c r="L160" s="286" t="n">
        <x:v>0.1013824884792626</x:v>
      </x:c>
      <x:c r="M160" s="283" t="n">
        <x:v>21</x:v>
      </x:c>
      <x:c r="N160" s="283" t="n">
        <x:v>2730</x:v>
      </x:c>
      <x:c r="O160" s="283" t="str"/>
    </x:row>
    <x:row r="161" ht="27" customHeight="1">
      <x:c r="A161" s="284" t="n">
        <x:v>157</x:v>
      </x:c>
      <x:c r="B161" s="284" t="n">
        <x:v>522</x:v>
      </x:c>
      <x:c r="C161" s="284" t="str">
        <x:f>IF(AND(A161&lt;='定義與範圍'!$B$7,B161&lt;='定義與範圍'!$B$7),"是","")</x:f>
      </x:c>
      <x:c r="D161" s="284" t="str">
        <x:v>僅高失衡</x:v>
      </x:c>
      <x:c r="E161" s="284" t="str">
        <x:v>新北市立圖書館新莊中港分館</x:v>
      </x:c>
      <x:c r="F161" s="284" t="str">
        <x:v>新莊區</x:v>
      </x:c>
      <x:c r="G161" s="284" t="n">
        <x:v>13</x:v>
      </x:c>
      <x:c r="H161" s="287" t="n">
        <x:v>63.48333333333333</x:v>
      </x:c>
      <x:c r="I161" s="285" t="n">
        <x:v>0.1166666666666666</x:v>
      </x:c>
      <x:c r="J161" s="285" t="n">
        <x:v>0.4681739130434783</x:v>
      </x:c>
      <x:c r="K161" s="287" t="n">
        <x:v>81.38709677419355</x:v>
      </x:c>
      <x:c r="L161" s="285" t="n">
        <x:v>0.0714285714285714</x:v>
      </x:c>
      <x:c r="M161" s="284" t="n">
        <x:v>8</x:v>
      </x:c>
      <x:c r="N161" s="284" t="n">
        <x:v>1860</x:v>
      </x:c>
      <x:c r="O161" s="284" t="str"/>
    </x:row>
    <x:row r="162" ht="27" customHeight="1">
      <x:c r="A162" s="283" t="n">
        <x:v>158</x:v>
      </x:c>
      <x:c r="B162" s="283" t="n">
        <x:v>913</x:v>
      </x:c>
      <x:c r="C162" s="283" t="str">
        <x:f>IF(AND(A162&lt;='定義與範圍'!$B$7,B162&lt;='定義與範圍'!$B$7),"是","")</x:f>
      </x:c>
      <x:c r="D162" s="283" t="str">
        <x:v>僅高失衡</x:v>
      </x:c>
      <x:c r="E162" s="283" t="str">
        <x:v>安民街停車場</x:v>
      </x:c>
      <x:c r="F162" s="283" t="str">
        <x:v>新店區</x:v>
      </x:c>
      <x:c r="G162" s="283" t="n">
        <x:v>16</x:v>
      </x:c>
      <x:c r="H162" s="288" t="n">
        <x:v>39.90833333333333</x:v>
      </x:c>
      <x:c r="I162" s="286" t="n">
        <x:v>0.1160714285714285</x:v>
      </x:c>
      <x:c r="J162" s="286" t="n">
        <x:v>0.3933913043478261</x:v>
      </x:c>
      <x:c r="K162" s="288" t="n">
        <x:v>59.64516129032258</x:v>
      </x:c>
      <x:c r="L162" s="286" t="n">
        <x:v>0.0668202764976958</x:v>
      </x:c>
      <x:c r="M162" s="283" t="n">
        <x:v>22</x:v>
      </x:c>
      <x:c r="N162" s="283" t="n">
        <x:v>2790</x:v>
      </x:c>
      <x:c r="O162" s="283" t="str"/>
    </x:row>
    <x:row r="163" ht="27" customHeight="1">
      <x:c r="A163" s="284" t="n">
        <x:v>159</x:v>
      </x:c>
      <x:c r="B163" s="284" t="n">
        <x:v>541</x:v>
      </x:c>
      <x:c r="C163" s="284" t="str">
        <x:f>IF(AND(A163&lt;='定義與範圍'!$B$7,B163&lt;='定義與範圍'!$B$7),"是","")</x:f>
      </x:c>
      <x:c r="D163" s="284" t="str">
        <x:v>僅高失衡</x:v>
      </x:c>
      <x:c r="E163" s="284" t="str">
        <x:v>台灣科技總部</x:v>
      </x:c>
      <x:c r="F163" s="284" t="str">
        <x:v>新店區</x:v>
      </x:c>
      <x:c r="G163" s="284" t="n">
        <x:v>11</x:v>
      </x:c>
      <x:c r="H163" s="287" t="n">
        <x:v>62.4</x:v>
      </x:c>
      <x:c r="I163" s="285" t="n">
        <x:v>0.1154761904761904</x:v>
      </x:c>
      <x:c r="J163" s="285" t="n">
        <x:v>0.5354782608695652</x:v>
      </x:c>
      <x:c r="K163" s="287" t="n">
        <x:v>73.3225806451613</x:v>
      </x:c>
      <x:c r="L163" s="285" t="n">
        <x:v>0.1359447004608295</x:v>
      </x:c>
      <x:c r="M163" s="284" t="n">
        <x:v>48</x:v>
      </x:c>
      <x:c r="N163" s="284" t="n">
        <x:v>6480</x:v>
      </x:c>
      <x:c r="O163" s="284" t="str"/>
    </x:row>
    <x:row r="164" ht="27" customHeight="1">
      <x:c r="A164" s="283" t="n">
        <x:v>160</x:v>
      </x:c>
      <x:c r="B164" s="283" t="n">
        <x:v>591</x:v>
      </x:c>
      <x:c r="C164" s="283" t="str">
        <x:f>IF(AND(A164&lt;='定義與範圍'!$B$7,B164&lt;='定義與範圍'!$B$7),"是","")</x:f>
      </x:c>
      <x:c r="D164" s="283" t="str">
        <x:v>僅高失衡</x:v>
      </x:c>
      <x:c r="E164" s="283" t="str">
        <x:v>新北市政府板橋分局沙崙派出所</x:v>
      </x:c>
      <x:c r="F164" s="283" t="str">
        <x:v>板橋區</x:v>
      </x:c>
      <x:c r="G164" s="283" t="n">
        <x:v>16</x:v>
      </x:c>
      <x:c r="H164" s="288" t="n">
        <x:v>59.34166666666667</x:v>
      </x:c>
      <x:c r="I164" s="286" t="n">
        <x:v>0.1142857142857142</x:v>
      </x:c>
      <x:c r="J164" s="286" t="n">
        <x:v>0.4459130434782609</x:v>
      </x:c>
      <x:c r="K164" s="288" t="n">
        <x:v>80.16129032258064</x:v>
      </x:c>
      <x:c r="L164" s="286" t="n">
        <x:v>0.1198156682027649</x:v>
      </x:c>
      <x:c r="M164" s="283" t="n">
        <x:v>18</x:v>
      </x:c>
      <x:c r="N164" s="283" t="n">
        <x:v>2730</x:v>
      </x:c>
      <x:c r="O164" s="283" t="str"/>
    </x:row>
    <x:row r="165" ht="27" customHeight="1">
      <x:c r="A165" s="284" t="n">
        <x:v>161</x:v>
      </x:c>
      <x:c r="B165" s="284" t="n">
        <x:v>1233</x:v>
      </x:c>
      <x:c r="C165" s="284" t="str">
        <x:f>IF(AND(A165&lt;='定義與範圍'!$B$7,B165&lt;='定義與範圍'!$B$7),"是","")</x:f>
      </x:c>
      <x:c r="D165" s="284" t="str">
        <x:v>僅高失衡</x:v>
      </x:c>
      <x:c r="E165" s="284" t="str">
        <x:v>土城綜合球場</x:v>
      </x:c>
      <x:c r="F165" s="284" t="str">
        <x:v>土城區</x:v>
      </x:c>
      <x:c r="G165" s="284" t="n">
        <x:v>30</x:v>
      </x:c>
      <x:c r="H165" s="287" t="n">
        <x:v>23.758333333333333</x:v>
      </x:c>
      <x:c r="I165" s="285" t="n">
        <x:v>0.1142857142857142</x:v>
      </x:c>
      <x:c r="J165" s="285" t="n">
        <x:v>0.2227826086956521</x:v>
      </x:c>
      <x:c r="K165" s="287" t="n">
        <x:v>36.935483870967744</x:v>
      </x:c>
      <x:c r="L165" s="285" t="n">
        <x:v>0.1059907834101382</x:v>
      </x:c>
      <x:c r="M165" s="284" t="n">
        <x:v>24</x:v>
      </x:c>
      <x:c r="N165" s="284" t="n">
        <x:v>2670</x:v>
      </x:c>
      <x:c r="O165" s="284" t="str"/>
    </x:row>
    <x:row r="166" ht="27" customHeight="1">
      <x:c r="A166" s="283" t="n">
        <x:v>162</x:v>
      </x:c>
      <x:c r="B166" s="283" t="n">
        <x:v>289</x:v>
      </x:c>
      <x:c r="C166" s="283" t="str">
        <x:f>IF(AND(A166&lt;='定義與範圍'!$B$7,B166&lt;='定義與範圍'!$B$7),"是","")</x:f>
        <x:v>是</x:v>
      </x:c>
      <x:c r="D166" s="283" t="str">
        <x:v>高活動＋高失衡</x:v>
      </x:c>
      <x:c r="E166" s="283" t="str">
        <x:v>板橋和平公園</x:v>
      </x:c>
      <x:c r="F166" s="283" t="str">
        <x:v>板橋區</x:v>
      </x:c>
      <x:c r="G166" s="283" t="n">
        <x:v>54</x:v>
      </x:c>
      <x:c r="H166" s="288" t="n">
        <x:v>82.43333333333334</x:v>
      </x:c>
      <x:c r="I166" s="286" t="n">
        <x:v>0.1136904761904761</x:v>
      </x:c>
      <x:c r="J166" s="286" t="n">
        <x:v>0.4873043478260869</x:v>
      </x:c>
      <x:c r="K166" s="288" t="n">
        <x:v>97.35483870967742</x:v>
      </x:c>
      <x:c r="L166" s="286" t="n">
        <x:v>0.1036866359447004</x:v>
      </x:c>
      <x:c r="M166" s="283" t="n">
        <x:v>19</x:v>
      </x:c>
      <x:c r="N166" s="283" t="n">
        <x:v>2550</x:v>
      </x:c>
      <x:c r="O166" s="283" t="str"/>
    </x:row>
    <x:row r="167" ht="27" customHeight="1">
      <x:c r="A167" s="284" t="n">
        <x:v>163</x:v>
      </x:c>
      <x:c r="B167" s="284" t="n">
        <x:v>894</x:v>
      </x:c>
      <x:c r="C167" s="284" t="str">
        <x:f>IF(AND(A167&lt;='定義與範圍'!$B$7,B167&lt;='定義與範圍'!$B$7),"是","")</x:f>
      </x:c>
      <x:c r="D167" s="284" t="str">
        <x:v>僅高失衡</x:v>
      </x:c>
      <x:c r="E167" s="284" t="str">
        <x:v>民生路二段/文化路一段286巷口</x:v>
      </x:c>
      <x:c r="F167" s="284" t="str">
        <x:v>板橋區</x:v>
      </x:c>
      <x:c r="G167" s="284" t="n">
        <x:v>13</x:v>
      </x:c>
      <x:c r="H167" s="287" t="n">
        <x:v>40.94166666666667</x:v>
      </x:c>
      <x:c r="I167" s="285" t="n">
        <x:v>0.1130952380952381</x:v>
      </x:c>
      <x:c r="J167" s="285" t="n">
        <x:v>0.3852173913043478</x:v>
      </x:c>
      <x:c r="K167" s="287" t="n">
        <x:v>53.74193548387097</x:v>
      </x:c>
      <x:c r="L167" s="285" t="n">
        <x:v>0.1336405529953917</x:v>
      </x:c>
      <x:c r="M167" s="284" t="n">
        <x:v>52</x:v>
      </x:c>
      <x:c r="N167" s="284" t="n">
        <x:v>7560</x:v>
      </x:c>
      <x:c r="O167" s="284" t="str"/>
    </x:row>
    <x:row r="168" ht="27" customHeight="1">
      <x:c r="A168" s="283" t="n">
        <x:v>164</x:v>
      </x:c>
      <x:c r="B168" s="283" t="n">
        <x:v>1152</x:v>
      </x:c>
      <x:c r="C168" s="283" t="str">
        <x:f>IF(AND(A168&lt;='定義與範圍'!$B$7,B168&lt;='定義與範圍'!$B$7),"是","")</x:f>
      </x:c>
      <x:c r="D168" s="283" t="str">
        <x:v>僅高失衡</x:v>
      </x:c>
      <x:c r="E168" s="283" t="str">
        <x:v>光復街/中山路二段412巷口</x:v>
      </x:c>
      <x:c r="F168" s="283" t="str">
        <x:v>板橋區</x:v>
      </x:c>
      <x:c r="G168" s="283" t="n">
        <x:v>15</x:v>
      </x:c>
      <x:c r="H168" s="288" t="n">
        <x:v>27.73333333333333</x:v>
      </x:c>
      <x:c r="I168" s="286" t="n">
        <x:v>0.1125</x:v>
      </x:c>
      <x:c r="J168" s="286" t="n">
        <x:v>0.3052173913043478</x:v>
      </x:c>
      <x:c r="K168" s="288" t="n">
        <x:v>42.516129032258064</x:v>
      </x:c>
      <x:c r="L168" s="286" t="n">
        <x:v>0.1221198156682027</x:v>
      </x:c>
      <x:c r="M168" s="283" t="n">
        <x:v>23</x:v>
      </x:c>
      <x:c r="N168" s="283" t="n">
        <x:v>2700</x:v>
      </x:c>
      <x:c r="O168" s="283" t="str"/>
    </x:row>
    <x:row r="169" ht="27" customHeight="1">
      <x:c r="A169" s="284" t="n">
        <x:v>165</x:v>
      </x:c>
      <x:c r="B169" s="284" t="n">
        <x:v>502</x:v>
      </x:c>
      <x:c r="C169" s="284" t="str">
        <x:f>IF(AND(A169&lt;='定義與範圍'!$B$7,B169&lt;='定義與範圍'!$B$7),"是","")</x:f>
      </x:c>
      <x:c r="D169" s="284" t="str">
        <x:v>僅高失衡</x:v>
      </x:c>
      <x:c r="E169" s="284" t="str">
        <x:v>國光街圓環小公園</x:v>
      </x:c>
      <x:c r="F169" s="284" t="str">
        <x:v>中和區</x:v>
      </x:c>
      <x:c r="G169" s="284" t="n">
        <x:v>16</x:v>
      </x:c>
      <x:c r="H169" s="287" t="n">
        <x:v>64.60833333333333</x:v>
      </x:c>
      <x:c r="I169" s="285" t="n">
        <x:v>0.1125</x:v>
      </x:c>
      <x:c r="J169" s="285" t="n">
        <x:v>0.4586086956521739</x:v>
      </x:c>
      <x:c r="K169" s="287" t="n">
        <x:v>86.38709677419355</x:v>
      </x:c>
      <x:c r="L169" s="285" t="n">
        <x:v>0.1059907834101382</x:v>
      </x:c>
      <x:c r="M169" s="284" t="n">
        <x:v>30</x:v>
      </x:c>
      <x:c r="N169" s="284" t="n">
        <x:v>3630</x:v>
      </x:c>
      <x:c r="O169" s="284" t="str"/>
    </x:row>
    <x:row r="170" ht="27" customHeight="1">
      <x:c r="A170" s="283" t="n">
        <x:v>166</x:v>
      </x:c>
      <x:c r="B170" s="283" t="n">
        <x:v>546</x:v>
      </x:c>
      <x:c r="C170" s="283" t="str">
        <x:f>IF(AND(A170&lt;='定義與範圍'!$B$7,B170&lt;='定義與範圍'!$B$7),"是","")</x:f>
      </x:c>
      <x:c r="D170" s="283" t="str">
        <x:v>僅高失衡</x:v>
      </x:c>
      <x:c r="E170" s="283" t="str">
        <x:v>三俊街65巷口</x:v>
      </x:c>
      <x:c r="F170" s="283" t="str">
        <x:v>樹林區</x:v>
      </x:c>
      <x:c r="G170" s="283" t="n">
        <x:v>15</x:v>
      </x:c>
      <x:c r="H170" s="288" t="n">
        <x:v>61.925</x:v>
      </x:c>
      <x:c r="I170" s="286" t="n">
        <x:v>0.1119047619047619</x:v>
      </x:c>
      <x:c r="J170" s="286" t="n">
        <x:v>0.4893913043478261</x:v>
      </x:c>
      <x:c r="K170" s="288" t="n">
        <x:v>85.70967741935483</x:v>
      </x:c>
      <x:c r="L170" s="286" t="n">
        <x:v>0.0990783410138248</x:v>
      </x:c>
      <x:c r="M170" s="283" t="n">
        <x:v>10</x:v>
      </x:c>
      <x:c r="N170" s="283" t="n">
        <x:v>1950</x:v>
      </x:c>
      <x:c r="O170" s="283" t="str"/>
    </x:row>
    <x:row r="171" ht="27" customHeight="1">
      <x:c r="A171" s="284" t="n">
        <x:v>167</x:v>
      </x:c>
      <x:c r="B171" s="284" t="n">
        <x:v>562</x:v>
      </x:c>
      <x:c r="C171" s="284" t="str">
        <x:f>IF(AND(A171&lt;='定義與範圍'!$B$7,B171&lt;='定義與範圍'!$B$7),"是","")</x:f>
      </x:c>
      <x:c r="D171" s="284" t="str">
        <x:v>僅高失衡</x:v>
      </x:c>
      <x:c r="E171" s="284" t="str">
        <x:v>中正路465巷</x:v>
      </x:c>
      <x:c r="F171" s="284" t="str">
        <x:v>永和區</x:v>
      </x:c>
      <x:c r="G171" s="284" t="n">
        <x:v>17</x:v>
      </x:c>
      <x:c r="H171" s="287" t="n">
        <x:v>60.641666666666666</x:v>
      </x:c>
      <x:c r="I171" s="285" t="n">
        <x:v>0.1119047619047619</x:v>
      </x:c>
      <x:c r="J171" s="285" t="n">
        <x:v>0.4704347826086956</x:v>
      </x:c>
      <x:c r="K171" s="287" t="n">
        <x:v>88.45161290322581</x:v>
      </x:c>
      <x:c r="L171" s="285" t="n">
        <x:v>0.0967741935483871</x:v>
      </x:c>
      <x:c r="M171" s="284" t="n">
        <x:v>18</x:v>
      </x:c>
      <x:c r="N171" s="284" t="n">
        <x:v>2850</x:v>
      </x:c>
      <x:c r="O171" s="284" t="str"/>
    </x:row>
    <x:row r="172" ht="27" customHeight="1">
      <x:c r="A172" s="283" t="n">
        <x:v>168</x:v>
      </x:c>
      <x:c r="B172" s="283" t="n">
        <x:v>443</x:v>
      </x:c>
      <x:c r="C172" s="283" t="str">
        <x:f>IF(AND(A172&lt;='定義與範圍'!$B$7,B172&lt;='定義與範圍'!$B$7),"是","")</x:f>
      </x:c>
      <x:c r="D172" s="283" t="str">
        <x:v>僅高失衡</x:v>
      </x:c>
      <x:c r="E172" s="283" t="str">
        <x:v>林口郵局</x:v>
      </x:c>
      <x:c r="F172" s="283" t="str">
        <x:v>林口區</x:v>
      </x:c>
      <x:c r="G172" s="283" t="n">
        <x:v>25</x:v>
      </x:c>
      <x:c r="H172" s="288" t="n">
        <x:v>68.675</x:v>
      </x:c>
      <x:c r="I172" s="286" t="n">
        <x:v>0.1119047619047619</x:v>
      </x:c>
      <x:c r="J172" s="286" t="n">
        <x:v>0.4422608695652174</x:v>
      </x:c>
      <x:c r="K172" s="288" t="n">
        <x:v>106.38709677419357</x:v>
      </x:c>
      <x:c r="L172" s="286" t="n">
        <x:v>0.0737327188940092</x:v>
      </x:c>
      <x:c r="M172" s="283" t="n">
        <x:v>15</x:v>
      </x:c>
      <x:c r="N172" s="283" t="n">
        <x:v>1980</x:v>
      </x:c>
      <x:c r="O172" s="283" t="str"/>
    </x:row>
    <x:row r="173" ht="27" customHeight="1">
      <x:c r="A173" s="284" t="n">
        <x:v>169</x:v>
      </x:c>
      <x:c r="B173" s="284" t="n">
        <x:v>299</x:v>
      </x:c>
      <x:c r="C173" s="284" t="str">
        <x:f>IF(AND(A173&lt;='定義與範圍'!$B$7,B173&lt;='定義與範圍'!$B$7),"是","")</x:f>
        <x:v>是</x:v>
      </x:c>
      <x:c r="D173" s="284" t="str">
        <x:v>高活動＋高失衡</x:v>
      </x:c>
      <x:c r="E173" s="284" t="str">
        <x:v>莊敬公園</x:v>
      </x:c>
      <x:c r="F173" s="284" t="str">
        <x:v>板橋區</x:v>
      </x:c>
      <x:c r="G173" s="284" t="n">
        <x:v>50</x:v>
      </x:c>
      <x:c r="H173" s="287" t="n">
        <x:v>81.00833333333334</x:v>
      </x:c>
      <x:c r="I173" s="285" t="n">
        <x:v>0.1119047619047619</x:v>
      </x:c>
      <x:c r="J173" s="285" t="n">
        <x:v>0.4965217391304348</x:v>
      </x:c>
      <x:c r="K173" s="287" t="n">
        <x:v>93.3225806451613</x:v>
      </x:c>
      <x:c r="L173" s="285" t="n">
        <x:v>0.1221198156682027</x:v>
      </x:c>
      <x:c r="M173" s="284" t="n">
        <x:v>32</x:v>
      </x:c>
      <x:c r="N173" s="284" t="n">
        <x:v>4230</x:v>
      </x:c>
      <x:c r="O173" s="284" t="str"/>
    </x:row>
    <x:row r="174" ht="27" customHeight="1">
      <x:c r="A174" s="283" t="n">
        <x:v>170</x:v>
      </x:c>
      <x:c r="B174" s="283" t="n">
        <x:v>1064</x:v>
      </x:c>
      <x:c r="C174" s="283" t="str">
        <x:f>IF(AND(A174&lt;='定義與範圍'!$B$7,B174&lt;='定義與範圍'!$B$7),"是","")</x:f>
      </x:c>
      <x:c r="D174" s="283" t="str">
        <x:v>僅高失衡</x:v>
      </x:c>
      <x:c r="E174" s="283" t="str">
        <x:v>仁信段平面停車場</x:v>
      </x:c>
      <x:c r="F174" s="283" t="str">
        <x:v>三重區</x:v>
      </x:c>
      <x:c r="G174" s="283" t="n">
        <x:v>12</x:v>
      </x:c>
      <x:c r="H174" s="288" t="n">
        <x:v>32.24166666666667</x:v>
      </x:c>
      <x:c r="I174" s="286" t="n">
        <x:v>0.1107142857142857</x:v>
      </x:c>
      <x:c r="J174" s="286" t="n">
        <x:v>0.3394782608695652</x:v>
      </x:c>
      <x:c r="K174" s="288" t="n">
        <x:v>42.2258064516129</x:v>
      </x:c>
      <x:c r="L174" s="286" t="n">
        <x:v>0.1013824884792626</x:v>
      </x:c>
      <x:c r="M174" s="283" t="n">
        <x:v>26</x:v>
      </x:c>
      <x:c r="N174" s="283" t="n">
        <x:v>3180</x:v>
      </x:c>
      <x:c r="O174" s="283" t="str"/>
    </x:row>
    <x:row r="175" ht="27" customHeight="1">
      <x:c r="A175" s="284" t="n">
        <x:v>171</x:v>
      </x:c>
      <x:c r="B175" s="284" t="n">
        <x:v>362</x:v>
      </x:c>
      <x:c r="C175" s="284" t="str">
        <x:f>IF(AND(A175&lt;='定義與範圍'!$B$7,B175&lt;='定義與範圍'!$B$7),"是","")</x:f>
        <x:v>是</x:v>
      </x:c>
      <x:c r="D175" s="284" t="str">
        <x:v>高活動＋高失衡</x:v>
      </x:c>
      <x:c r="E175" s="284" t="str">
        <x:v>清水高中</x:v>
      </x:c>
      <x:c r="F175" s="284" t="str">
        <x:v>土城區</x:v>
      </x:c>
      <x:c r="G175" s="284" t="n">
        <x:v>46</x:v>
      </x:c>
      <x:c r="H175" s="287" t="n">
        <x:v>75.38333333333334</x:v>
      </x:c>
      <x:c r="I175" s="285" t="n">
        <x:v>0.1107142857142857</x:v>
      </x:c>
      <x:c r="J175" s="285" t="n">
        <x:v>0.4151304347826087</x:v>
      </x:c>
      <x:c r="K175" s="287" t="n">
        <x:v>101.48387096774194</x:v>
      </x:c>
      <x:c r="L175" s="285" t="n">
        <x:v>0.1036866359447004</x:v>
      </x:c>
      <x:c r="M175" s="284" t="n">
        <x:v>14</x:v>
      </x:c>
      <x:c r="N175" s="284" t="n">
        <x:v>2100</x:v>
      </x:c>
      <x:c r="O175" s="284" t="str"/>
    </x:row>
    <x:row r="176" ht="27" customHeight="1">
      <x:c r="A176" s="283" t="n">
        <x:v>172</x:v>
      </x:c>
      <x:c r="B176" s="283" t="n">
        <x:v>788</x:v>
      </x:c>
      <x:c r="C176" s="283" t="str">
        <x:f>IF(AND(A176&lt;='定義與範圍'!$B$7,B176&lt;='定義與範圍'!$B$7),"是","")</x:f>
      </x:c>
      <x:c r="D176" s="283" t="str">
        <x:v>僅高失衡</x:v>
      </x:c>
      <x:c r="E176" s="283" t="str">
        <x:v>中山路一段17巷口</x:v>
      </x:c>
      <x:c r="F176" s="283" t="str">
        <x:v>永和區</x:v>
      </x:c>
      <x:c r="G176" s="283" t="n">
        <x:v>11</x:v>
      </x:c>
      <x:c r="H176" s="288" t="n">
        <x:v>47.6</x:v>
      </x:c>
      <x:c r="I176" s="286" t="n">
        <x:v>0.1101190476190476</x:v>
      </x:c>
      <x:c r="J176" s="286" t="n">
        <x:v>0.464</x:v>
      </x:c>
      <x:c r="K176" s="288" t="n">
        <x:v>67.80645161290323</x:v>
      </x:c>
      <x:c r="L176" s="286" t="n">
        <x:v>0.1336405529953917</x:v>
      </x:c>
      <x:c r="M176" s="283" t="n">
        <x:v>32</x:v>
      </x:c>
      <x:c r="N176" s="283" t="n">
        <x:v>4800</x:v>
      </x:c>
      <x:c r="O176" s="283" t="str"/>
    </x:row>
    <x:row r="177" ht="27" customHeight="1">
      <x:c r="A177" s="284" t="n">
        <x:v>173</x:v>
      </x:c>
      <x:c r="B177" s="284" t="n">
        <x:v>867</x:v>
      </x:c>
      <x:c r="C177" s="284" t="str">
        <x:f>IF(AND(A177&lt;='定義與範圍'!$B$7,B177&lt;='定義與範圍'!$B$7),"是","")</x:f>
      </x:c>
      <x:c r="D177" s="284" t="str">
        <x:v>僅高失衡</x:v>
      </x:c>
      <x:c r="E177" s="284" t="str">
        <x:v>延吉街291巷口</x:v>
      </x:c>
      <x:c r="F177" s="284" t="str">
        <x:v>土城區</x:v>
      </x:c>
      <x:c r="G177" s="284" t="n">
        <x:v>10</x:v>
      </x:c>
      <x:c r="H177" s="287" t="n">
        <x:v>42.16666666666666</x:v>
      </x:c>
      <x:c r="I177" s="285" t="n">
        <x:v>0.1095238095238095</x:v>
      </x:c>
      <x:c r="J177" s="285" t="n">
        <x:v>0.4177391304347826</x:v>
      </x:c>
      <x:c r="K177" s="287" t="n">
        <x:v>56.935483870967744</x:v>
      </x:c>
      <x:c r="L177" s="285" t="n">
        <x:v>0.1382488479262673</x:v>
      </x:c>
      <x:c r="M177" s="284" t="n">
        <x:v>34</x:v>
      </x:c>
      <x:c r="N177" s="284" t="n">
        <x:v>4710</x:v>
      </x:c>
      <x:c r="O177" s="284" t="str"/>
    </x:row>
    <x:row r="178" ht="27" customHeight="1">
      <x:c r="A178" s="283" t="n">
        <x:v>174</x:v>
      </x:c>
      <x:c r="B178" s="283" t="n">
        <x:v>952</x:v>
      </x:c>
      <x:c r="C178" s="283" t="str">
        <x:f>IF(AND(A178&lt;='定義與範圍'!$B$7,B178&lt;='定義與範圍'!$B$7),"是","")</x:f>
      </x:c>
      <x:c r="D178" s="283" t="str">
        <x:v>僅高失衡</x:v>
      </x:c>
      <x:c r="E178" s="283" t="str">
        <x:v>北新路二段228巷口</x:v>
      </x:c>
      <x:c r="F178" s="283" t="str">
        <x:v>新店區</x:v>
      </x:c>
      <x:c r="G178" s="283" t="n">
        <x:v>12</x:v>
      </x:c>
      <x:c r="H178" s="288" t="n">
        <x:v>37.775</x:v>
      </x:c>
      <x:c r="I178" s="286" t="n">
        <x:v>0.1095238095238095</x:v>
      </x:c>
      <x:c r="J178" s="286" t="n">
        <x:v>0.3866086956521739</x:v>
      </x:c>
      <x:c r="K178" s="288" t="n">
        <x:v>62</x:v>
      </x:c>
      <x:c r="L178" s="286" t="n">
        <x:v>0.1774193548387097</x:v>
      </x:c>
      <x:c r="M178" s="283" t="n">
        <x:v>44</x:v>
      </x:c>
      <x:c r="N178" s="283" t="n">
        <x:v>6780</x:v>
      </x:c>
      <x:c r="O178" s="283" t="str"/>
    </x:row>
    <x:row r="179" ht="27" customHeight="1">
      <x:c r="A179" s="284" t="n">
        <x:v>175</x:v>
      </x:c>
      <x:c r="B179" s="284" t="n">
        <x:v>296</x:v>
      </x:c>
      <x:c r="C179" s="284" t="str">
        <x:f>IF(AND(A179&lt;='定義與範圍'!$B$7,B179&lt;='定義與範圍'!$B$7),"是","")</x:f>
        <x:v>是</x:v>
      </x:c>
      <x:c r="D179" s="284" t="str">
        <x:v>高活動＋高失衡</x:v>
      </x:c>
      <x:c r="E179" s="284" t="str">
        <x:v>仁愛路306巷18弄口</x:v>
      </x:c>
      <x:c r="F179" s="284" t="str">
        <x:v>永和區</x:v>
      </x:c>
      <x:c r="G179" s="284" t="n">
        <x:v>13</x:v>
      </x:c>
      <x:c r="H179" s="287" t="n">
        <x:v>81.29166666666667</x:v>
      </x:c>
      <x:c r="I179" s="285" t="n">
        <x:v>0.1095238095238095</x:v>
      </x:c>
      <x:c r="J179" s="285" t="n">
        <x:v>0.5453913043478261</x:v>
      </x:c>
      <x:c r="K179" s="287" t="n">
        <x:v>96.96774193548389</x:v>
      </x:c>
      <x:c r="L179" s="285" t="n">
        <x:v>0.152073732718894</x:v>
      </x:c>
      <x:c r="M179" s="284" t="n">
        <x:v>32</x:v>
      </x:c>
      <x:c r="N179" s="284" t="n">
        <x:v>5460</x:v>
      </x:c>
      <x:c r="O179" s="284" t="str"/>
    </x:row>
    <x:row r="180" ht="27" customHeight="1">
      <x:c r="A180" s="283" t="n">
        <x:v>176</x:v>
      </x:c>
      <x:c r="B180" s="283" t="n">
        <x:v>1313</x:v>
      </x:c>
      <x:c r="C180" s="283" t="str">
        <x:f>IF(AND(A180&lt;='定義與範圍'!$B$7,B180&lt;='定義與範圍'!$B$7),"是","")</x:f>
      </x:c>
      <x:c r="D180" s="283" t="str">
        <x:v>僅高失衡</x:v>
      </x:c>
      <x:c r="E180" s="283" t="str">
        <x:v>吉安停車場</x:v>
      </x:c>
      <x:c r="F180" s="283" t="str">
        <x:v>新店區</x:v>
      </x:c>
      <x:c r="G180" s="283" t="n">
        <x:v>14</x:v>
      </x:c>
      <x:c r="H180" s="288" t="n">
        <x:v>17.766666666666666</x:v>
      </x:c>
      <x:c r="I180" s="286" t="n">
        <x:v>0.1089285714285714</x:v>
      </x:c>
      <x:c r="J180" s="286" t="n">
        <x:v>0.2222608695652174</x:v>
      </x:c>
      <x:c r="K180" s="288" t="n">
        <x:v>28.096774193548388</x:v>
      </x:c>
      <x:c r="L180" s="286" t="n">
        <x:v>0.1728110599078341</x:v>
      </x:c>
      <x:c r="M180" s="283" t="n">
        <x:v>29</x:v>
      </x:c>
      <x:c r="N180" s="283" t="n">
        <x:v>3390</x:v>
      </x:c>
      <x:c r="O180" s="283" t="str"/>
    </x:row>
    <x:row r="181" ht="27" customHeight="1">
      <x:c r="A181" s="284" t="n">
        <x:v>177</x:v>
      </x:c>
      <x:c r="B181" s="284" t="n">
        <x:v>444</x:v>
      </x:c>
      <x:c r="C181" s="284" t="str">
        <x:f>IF(AND(A181&lt;='定義與範圍'!$B$7,B181&lt;='定義與範圍'!$B$7),"是","")</x:f>
      </x:c>
      <x:c r="D181" s="284" t="str">
        <x:v>僅高失衡</x:v>
      </x:c>
      <x:c r="E181" s="284" t="str">
        <x:v>土城國中</x:v>
      </x:c>
      <x:c r="F181" s="284" t="str">
        <x:v>土城區</x:v>
      </x:c>
      <x:c r="G181" s="284" t="n">
        <x:v>50</x:v>
      </x:c>
      <x:c r="H181" s="287" t="n">
        <x:v>68.66666666666667</x:v>
      </x:c>
      <x:c r="I181" s="285" t="n">
        <x:v>0.1089285714285714</x:v>
      </x:c>
      <x:c r="J181" s="285" t="n">
        <x:v>0.3631304347826087</x:v>
      </x:c>
      <x:c r="K181" s="287" t="n">
        <x:v>92.48387096774194</x:v>
      </x:c>
      <x:c r="L181" s="285" t="n">
        <x:v>0.1751152073732718</x:v>
      </x:c>
      <x:c r="M181" s="284" t="n">
        <x:v>22</x:v>
      </x:c>
      <x:c r="N181" s="284" t="n">
        <x:v>2520</x:v>
      </x:c>
      <x:c r="O181" s="284" t="str"/>
    </x:row>
    <x:row r="182" ht="27" customHeight="1">
      <x:c r="A182" s="283" t="n">
        <x:v>178</x:v>
      </x:c>
      <x:c r="B182" s="283" t="n">
        <x:v>486</x:v>
      </x:c>
      <x:c r="C182" s="283" t="str">
        <x:f>IF(AND(A182&lt;='定義與範圍'!$B$7,B182&lt;='定義與範圍'!$B$7),"是","")</x:f>
      </x:c>
      <x:c r="D182" s="283" t="str">
        <x:v>僅高失衡</x:v>
      </x:c>
      <x:c r="E182" s="283" t="str">
        <x:v>福祥永和路口</x:v>
      </x:c>
      <x:c r="F182" s="283" t="str">
        <x:v>中和區</x:v>
      </x:c>
      <x:c r="G182" s="283" t="n">
        <x:v>11</x:v>
      </x:c>
      <x:c r="H182" s="288" t="n">
        <x:v>65.95</x:v>
      </x:c>
      <x:c r="I182" s="286" t="n">
        <x:v>0.1083333333333333</x:v>
      </x:c>
      <x:c r="J182" s="286" t="n">
        <x:v>0.5434782608695652</x:v>
      </x:c>
      <x:c r="K182" s="288" t="n">
        <x:v>86.16129032258064</x:v>
      </x:c>
      <x:c r="L182" s="286" t="n">
        <x:v>0.1198156682027649</x:v>
      </x:c>
      <x:c r="M182" s="283" t="n">
        <x:v>24</x:v>
      </x:c>
      <x:c r="N182" s="283" t="n">
        <x:v>4710</x:v>
      </x:c>
      <x:c r="O182" s="283" t="str"/>
    </x:row>
    <x:row r="183" ht="27" customHeight="1">
      <x:c r="A183" s="284" t="n">
        <x:v>179</x:v>
      </x:c>
      <x:c r="B183" s="284" t="n">
        <x:v>883</x:v>
      </x:c>
      <x:c r="C183" s="284" t="str">
        <x:f>IF(AND(A183&lt;='定義與範圍'!$B$7,B183&lt;='定義與範圍'!$B$7),"是","")</x:f>
      </x:c>
      <x:c r="D183" s="284" t="str">
        <x:v>僅高失衡</x:v>
      </x:c>
      <x:c r="E183" s="284" t="str">
        <x:v>臺北大學商學院(尋鳶大道)</x:v>
      </x:c>
      <x:c r="F183" s="284" t="str">
        <x:v>三峽區</x:v>
      </x:c>
      <x:c r="G183" s="284" t="n">
        <x:v>11</x:v>
      </x:c>
      <x:c r="H183" s="287" t="n">
        <x:v>41.30833333333333</x:v>
      </x:c>
      <x:c r="I183" s="285" t="n">
        <x:v>0.1083333333333333</x:v>
      </x:c>
      <x:c r="J183" s="285" t="n">
        <x:v>0.3540869565217391</x:v>
      </x:c>
      <x:c r="K183" s="287" t="n">
        <x:v>68.12903225806451</x:v>
      </x:c>
      <x:c r="L183" s="285" t="n">
        <x:v>0.1290322580645161</x:v>
      </x:c>
      <x:c r="M183" s="284" t="n">
        <x:v>28</x:v>
      </x:c>
      <x:c r="N183" s="284" t="n">
        <x:v>3870</x:v>
      </x:c>
      <x:c r="O183" s="284" t="str"/>
    </x:row>
    <x:row r="184" ht="27" customHeight="1">
      <x:c r="A184" s="283" t="n">
        <x:v>180</x:v>
      </x:c>
      <x:c r="B184" s="283" t="n">
        <x:v>297</x:v>
      </x:c>
      <x:c r="C184" s="283" t="str">
        <x:f>IF(AND(A184&lt;='定義與範圍'!$B$7,B184&lt;='定義與範圍'!$B$7),"是","")</x:f>
        <x:v>是</x:v>
      </x:c>
      <x:c r="D184" s="283" t="str">
        <x:v>高活動＋高失衡</x:v>
      </x:c>
      <x:c r="E184" s="283" t="str">
        <x:v>南雅西路二段145巷</x:v>
      </x:c>
      <x:c r="F184" s="283" t="str">
        <x:v>板橋區</x:v>
      </x:c>
      <x:c r="G184" s="283" t="n">
        <x:v>18</x:v>
      </x:c>
      <x:c r="H184" s="288" t="n">
        <x:v>81.25</x:v>
      </x:c>
      <x:c r="I184" s="286" t="n">
        <x:v>0.1083333333333333</x:v>
      </x:c>
      <x:c r="J184" s="286" t="n">
        <x:v>0.5013913043478261</x:v>
      </x:c>
      <x:c r="K184" s="288" t="n">
        <x:v>103.70967741935485</x:v>
      </x:c>
      <x:c r="L184" s="286" t="n">
        <x:v>0.1036866359447004</x:v>
      </x:c>
      <x:c r="M184" s="283" t="n">
        <x:v>22</x:v>
      </x:c>
      <x:c r="N184" s="283" t="n">
        <x:v>3060</x:v>
      </x:c>
      <x:c r="O184" s="283" t="str"/>
    </x:row>
    <x:row r="185" ht="27" customHeight="1">
      <x:c r="A185" s="284" t="n">
        <x:v>181</x:v>
      </x:c>
      <x:c r="B185" s="284" t="n">
        <x:v>889</x:v>
      </x:c>
      <x:c r="C185" s="284" t="str">
        <x:f>IF(AND(A185&lt;='定義與範圍'!$B$7,B185&lt;='定義與範圍'!$B$7),"是","")</x:f>
      </x:c>
      <x:c r="D185" s="284" t="str">
        <x:v>僅高失衡</x:v>
      </x:c>
      <x:c r="E185" s="284" t="str">
        <x:v>正義國小地下停車場</x:v>
      </x:c>
      <x:c r="F185" s="284" t="str">
        <x:v>三重區</x:v>
      </x:c>
      <x:c r="G185" s="284" t="n">
        <x:v>13</x:v>
      </x:c>
      <x:c r="H185" s="287" t="n">
        <x:v>41.1</x:v>
      </x:c>
      <x:c r="I185" s="285" t="n">
        <x:v>0.1077380952380952</x:v>
      </x:c>
      <x:c r="J185" s="285" t="n">
        <x:v>0.3994782608695652</x:v>
      </x:c>
      <x:c r="K185" s="287" t="n">
        <x:v>63.193548387096776</x:v>
      </x:c>
      <x:c r="L185" s="285" t="n">
        <x:v>0.1313364055299539</x:v>
      </x:c>
      <x:c r="M185" s="284" t="n">
        <x:v>28</x:v>
      </x:c>
      <x:c r="N185" s="284" t="n">
        <x:v>3810</x:v>
      </x:c>
      <x:c r="O185" s="284" t="str"/>
    </x:row>
    <x:row r="186" ht="27" customHeight="1">
      <x:c r="A186" s="283" t="n">
        <x:v>182</x:v>
      </x:c>
      <x:c r="B186" s="283" t="n">
        <x:v>953</x:v>
      </x:c>
      <x:c r="C186" s="283" t="str">
        <x:f>IF(AND(A186&lt;='定義與範圍'!$B$7,B186&lt;='定義與範圍'!$B$7),"是","")</x:f>
      </x:c>
      <x:c r="D186" s="283" t="str">
        <x:v>僅高失衡</x:v>
      </x:c>
      <x:c r="E186" s="283" t="str">
        <x:v>中正路144巷口</x:v>
      </x:c>
      <x:c r="F186" s="283" t="str">
        <x:v>新店區</x:v>
      </x:c>
      <x:c r="G186" s="283" t="n">
        <x:v>15</x:v>
      </x:c>
      <x:c r="H186" s="288" t="n">
        <x:v>37.675</x:v>
      </x:c>
      <x:c r="I186" s="286" t="n">
        <x:v>0.1077380952380952</x:v>
      </x:c>
      <x:c r="J186" s="286" t="n">
        <x:v>0.3918260869565217</x:v>
      </x:c>
      <x:c r="K186" s="288" t="n">
        <x:v>59.2258064516129</x:v>
      </x:c>
      <x:c r="L186" s="286" t="n">
        <x:v>0.1474654377880184</x:v>
      </x:c>
      <x:c r="M186" s="283" t="n">
        <x:v>35</x:v>
      </x:c>
      <x:c r="N186" s="283" t="n">
        <x:v>3900</x:v>
      </x:c>
      <x:c r="O186" s="283" t="str"/>
    </x:row>
    <x:row r="187" ht="27" customHeight="1">
      <x:c r="A187" s="284" t="n">
        <x:v>183</x:v>
      </x:c>
      <x:c r="B187" s="284" t="n">
        <x:v>676</x:v>
      </x:c>
      <x:c r="C187" s="284" t="str">
        <x:f>IF(AND(A187&lt;='定義與範圍'!$B$7,B187&lt;='定義與範圍'!$B$7),"是","")</x:f>
      </x:c>
      <x:c r="D187" s="284" t="str">
        <x:v>僅高失衡</x:v>
      </x:c>
      <x:c r="E187" s="284" t="str">
        <x:v>林口高中(四維路)</x:v>
      </x:c>
      <x:c r="F187" s="284" t="str">
        <x:v>林口區</x:v>
      </x:c>
      <x:c r="G187" s="284" t="n">
        <x:v>23</x:v>
      </x:c>
      <x:c r="H187" s="287" t="n">
        <x:v>53.141666666666666</x:v>
      </x:c>
      <x:c r="I187" s="285" t="n">
        <x:v>0.1077380952380952</x:v>
      </x:c>
      <x:c r="J187" s="285" t="n">
        <x:v>0.4010434782608695</x:v>
      </x:c>
      <x:c r="K187" s="287" t="n">
        <x:v>75.58064516129032</x:v>
      </x:c>
      <x:c r="L187" s="285" t="n">
        <x:v>0.0944700460829493</x:v>
      </x:c>
      <x:c r="M187" s="284" t="n">
        <x:v>15</x:v>
      </x:c>
      <x:c r="N187" s="284" t="n">
        <x:v>2130</x:v>
      </x:c>
      <x:c r="O187" s="284" t="str"/>
    </x:row>
    <x:row r="188" ht="27" customHeight="1">
      <x:c r="A188" s="283" t="n">
        <x:v>184</x:v>
      </x:c>
      <x:c r="B188" s="283" t="n">
        <x:v>797</x:v>
      </x:c>
      <x:c r="C188" s="283" t="str">
        <x:f>IF(AND(A188&lt;='定義與範圍'!$B$7,B188&lt;='定義與範圍'!$B$7),"是","")</x:f>
      </x:c>
      <x:c r="D188" s="283" t="str">
        <x:v>僅高失衡</x:v>
      </x:c>
      <x:c r="E188" s="283" t="str">
        <x:v>師大林口校區正樓後</x:v>
      </x:c>
      <x:c r="F188" s="283" t="str">
        <x:v>林口區</x:v>
      </x:c>
      <x:c r="G188" s="283" t="n">
        <x:v>27</x:v>
      </x:c>
      <x:c r="H188" s="288" t="n">
        <x:v>47.10833333333333</x:v>
      </x:c>
      <x:c r="I188" s="286" t="n">
        <x:v>0.1077380952380952</x:v>
      </x:c>
      <x:c r="J188" s="286" t="n">
        <x:v>0.2210434782608695</x:v>
      </x:c>
      <x:c r="K188" s="288" t="n">
        <x:v>67.3225806451613</x:v>
      </x:c>
      <x:c r="L188" s="286" t="n">
        <x:v>0.0806451612903225</x:v>
      </x:c>
      <x:c r="M188" s="283" t="n">
        <x:v>16</x:v>
      </x:c>
      <x:c r="N188" s="283" t="n">
        <x:v>1800</x:v>
      </x:c>
      <x:c r="O188" s="283" t="str"/>
    </x:row>
    <x:row r="189" ht="27" customHeight="1">
      <x:c r="A189" s="284" t="n">
        <x:v>185</x:v>
      </x:c>
      <x:c r="B189" s="284" t="n">
        <x:v>143</x:v>
      </x:c>
      <x:c r="C189" s="284" t="str">
        <x:f>IF(AND(A189&lt;='定義與範圍'!$B$7,B189&lt;='定義與範圍'!$B$7),"是","")</x:f>
        <x:v>是</x:v>
      </x:c>
      <x:c r="D189" s="284" t="str">
        <x:v>高活動＋高失衡</x:v>
      </x:c>
      <x:c r="E189" s="284" t="str">
        <x:v>新莊田徑場</x:v>
      </x:c>
      <x:c r="F189" s="284" t="str">
        <x:v>新莊區</x:v>
      </x:c>
      <x:c r="G189" s="284" t="n">
        <x:v>42</x:v>
      </x:c>
      <x:c r="H189" s="287" t="n">
        <x:v>107.775</x:v>
      </x:c>
      <x:c r="I189" s="285" t="n">
        <x:v>0.1077380952380952</x:v>
      </x:c>
      <x:c r="J189" s="285" t="n">
        <x:v>0.5353043478260869</x:v>
      </x:c>
      <x:c r="K189" s="287" t="n">
        <x:v>141.03225806451613</x:v>
      </x:c>
      <x:c r="L189" s="285" t="n">
        <x:v>0.1797235023041474</x:v>
      </x:c>
      <x:c r="M189" s="284" t="n">
        <x:v>28</x:v>
      </x:c>
      <x:c r="N189" s="284" t="n">
        <x:v>4470</x:v>
      </x:c>
      <x:c r="O189" s="284" t="str"/>
    </x:row>
    <x:row r="190" ht="27" customHeight="1">
      <x:c r="A190" s="283" t="n">
        <x:v>186</x:v>
      </x:c>
      <x:c r="B190" s="283" t="n">
        <x:v>403</x:v>
      </x:c>
      <x:c r="C190" s="283" t="str">
        <x:f>IF(AND(A190&lt;='定義與範圍'!$B$7,B190&lt;='定義與範圍'!$B$7),"是","")</x:f>
      </x:c>
      <x:c r="D190" s="283" t="str">
        <x:v>僅高失衡</x:v>
      </x:c>
      <x:c r="E190" s="283" t="str">
        <x:v>浮洲合宜住宅(合安一路)</x:v>
      </x:c>
      <x:c r="F190" s="283" t="str">
        <x:v>板橋區</x:v>
      </x:c>
      <x:c r="G190" s="283" t="n">
        <x:v>34</x:v>
      </x:c>
      <x:c r="H190" s="288" t="n">
        <x:v>71.57291666666667</x:v>
      </x:c>
      <x:c r="I190" s="286" t="n">
        <x:v>0.1073059360730593</x:v>
      </x:c>
      <x:c r="J190" s="286" t="n">
        <x:v>0.4268537074148296</x:v>
      </x:c>
      <x:c r="K190" s="288" t="n">
        <x:v>92.6774193548387</x:v>
      </x:c>
      <x:c r="L190" s="286" t="n">
        <x:v>0.1129032258064516</x:v>
      </x:c>
      <x:c r="M190" s="283" t="n">
        <x:v>26</x:v>
      </x:c>
      <x:c r="N190" s="283" t="n">
        <x:v>3360</x:v>
      </x:c>
      <x:c r="O190" s="283" t="str"/>
    </x:row>
    <x:row r="191" ht="27" customHeight="1">
      <x:c r="A191" s="284" t="n">
        <x:v>187</x:v>
      </x:c>
      <x:c r="B191" s="284" t="n">
        <x:v>926</x:v>
      </x:c>
      <x:c r="C191" s="284" t="str">
        <x:f>IF(AND(A191&lt;='定義與範圍'!$B$7,B191&lt;='定義與範圍'!$B$7),"是","")</x:f>
      </x:c>
      <x:c r="D191" s="284" t="str">
        <x:v>僅高失衡</x:v>
      </x:c>
      <x:c r="E191" s="284" t="str">
        <x:v>林口社區運動公園</x:v>
      </x:c>
      <x:c r="F191" s="284" t="str">
        <x:v>林口區</x:v>
      </x:c>
      <x:c r="G191" s="284" t="n">
        <x:v>30</x:v>
      </x:c>
      <x:c r="H191" s="287" t="n">
        <x:v>39.06666666666667</x:v>
      </x:c>
      <x:c r="I191" s="285" t="n">
        <x:v>0.1071428571428571</x:v>
      </x:c>
      <x:c r="J191" s="285" t="n">
        <x:v>0.3297391304347826</x:v>
      </x:c>
      <x:c r="K191" s="287" t="n">
        <x:v>67.45161290322581</x:v>
      </x:c>
      <x:c r="L191" s="285" t="n">
        <x:v>0.1175115207373272</x:v>
      </x:c>
      <x:c r="M191" s="284" t="n">
        <x:v>28</x:v>
      </x:c>
      <x:c r="N191" s="284" t="n">
        <x:v>3540</x:v>
      </x:c>
      <x:c r="O191" s="284" t="str"/>
    </x:row>
    <x:row r="192" ht="27" customHeight="1">
      <x:c r="A192" s="283" t="n">
        <x:v>188</x:v>
      </x:c>
      <x:c r="B192" s="283" t="n">
        <x:v>685</x:v>
      </x:c>
      <x:c r="C192" s="283" t="str">
        <x:f>IF(AND(A192&lt;='定義與範圍'!$B$7,B192&lt;='定義與範圍'!$B$7),"是","")</x:f>
      </x:c>
      <x:c r="D192" s="283" t="str">
        <x:v>僅高失衡</x:v>
      </x:c>
      <x:c r="E192" s="283" t="str">
        <x:v>汐止國民運動中心</x:v>
      </x:c>
      <x:c r="F192" s="283" t="str">
        <x:v>汐止區</x:v>
      </x:c>
      <x:c r="G192" s="283" t="n">
        <x:v>12</x:v>
      </x:c>
      <x:c r="H192" s="288" t="n">
        <x:v>52.81666666666667</x:v>
      </x:c>
      <x:c r="I192" s="286" t="n">
        <x:v>0.106547619047619</x:v>
      </x:c>
      <x:c r="J192" s="286" t="n">
        <x:v>0.4521739130434782</x:v>
      </x:c>
      <x:c r="K192" s="288" t="n">
        <x:v>73.58064516129032</x:v>
      </x:c>
      <x:c r="L192" s="286" t="n">
        <x:v>0.0967741935483871</x:v>
      </x:c>
      <x:c r="M192" s="283" t="n">
        <x:v>26</x:v>
      </x:c>
      <x:c r="N192" s="283" t="n">
        <x:v>4080</x:v>
      </x:c>
      <x:c r="O192" s="283" t="str"/>
    </x:row>
    <x:row r="193" ht="27" customHeight="1">
      <x:c r="A193" s="284" t="n">
        <x:v>189</x:v>
      </x:c>
      <x:c r="B193" s="284" t="n">
        <x:v>342</x:v>
      </x:c>
      <x:c r="C193" s="284" t="str">
        <x:f>IF(AND(A193&lt;='定義與範圍'!$B$7,B193&lt;='定義與範圍'!$B$7),"是","")</x:f>
        <x:v>是</x:v>
      </x:c>
      <x:c r="D193" s="284" t="str">
        <x:v>高活動＋高失衡</x:v>
      </x:c>
      <x:c r="E193" s="284" t="str">
        <x:v>瓊泰市民活動中心</x:v>
      </x:c>
      <x:c r="F193" s="284" t="str">
        <x:v>新莊區</x:v>
      </x:c>
      <x:c r="G193" s="284" t="n">
        <x:v>15</x:v>
      </x:c>
      <x:c r="H193" s="287" t="n">
        <x:v>77.1</x:v>
      </x:c>
      <x:c r="I193" s="285" t="n">
        <x:v>0.106547619047619</x:v>
      </x:c>
      <x:c r="J193" s="285" t="n">
        <x:v>0.4852173913043478</x:v>
      </x:c>
      <x:c r="K193" s="287" t="n">
        <x:v>104.80645161290325</x:v>
      </x:c>
      <x:c r="L193" s="285" t="n">
        <x:v>0.1175115207373272</x:v>
      </x:c>
      <x:c r="M193" s="284" t="n">
        <x:v>21</x:v>
      </x:c>
      <x:c r="N193" s="284" t="n">
        <x:v>2640</x:v>
      </x:c>
      <x:c r="O193" s="284" t="str"/>
    </x:row>
    <x:row r="194" ht="27" customHeight="1">
      <x:c r="A194" s="283" t="n">
        <x:v>190</x:v>
      </x:c>
      <x:c r="B194" s="283" t="n">
        <x:v>465</x:v>
      </x:c>
      <x:c r="C194" s="283" t="str">
        <x:f>IF(AND(A194&lt;='定義與範圍'!$B$7,B194&lt;='定義與範圍'!$B$7),"是","")</x:f>
      </x:c>
      <x:c r="D194" s="283" t="str">
        <x:v>僅高失衡</x:v>
      </x:c>
      <x:c r="E194" s="283" t="str">
        <x:v>遠東世紀廣場C棟</x:v>
      </x:c>
      <x:c r="F194" s="283" t="str">
        <x:v>中和區</x:v>
      </x:c>
      <x:c r="G194" s="283" t="n">
        <x:v>26</x:v>
      </x:c>
      <x:c r="H194" s="288" t="n">
        <x:v>67.06666666666666</x:v>
      </x:c>
      <x:c r="I194" s="286" t="n">
        <x:v>0.106547619047619</x:v>
      </x:c>
      <x:c r="J194" s="286" t="n">
        <x:v>0.4299130434782608</x:v>
      </x:c>
      <x:c r="K194" s="288" t="n">
        <x:v>86.87096774193549</x:v>
      </x:c>
      <x:c r="L194" s="286" t="n">
        <x:v>0.0668202764976958</x:v>
      </x:c>
      <x:c r="M194" s="283" t="n">
        <x:v>15</x:v>
      </x:c>
      <x:c r="N194" s="283" t="n">
        <x:v>1980</x:v>
      </x:c>
      <x:c r="O194" s="283" t="str"/>
    </x:row>
    <x:row r="195" ht="27" customHeight="1">
      <x:c r="A195" s="284" t="n">
        <x:v>191</x:v>
      </x:c>
      <x:c r="B195" s="284" t="n">
        <x:v>231</x:v>
      </x:c>
      <x:c r="C195" s="284" t="str">
        <x:f>IF(AND(A195&lt;='定義與範圍'!$B$7,B195&lt;='定義與範圍'!$B$7),"是","")</x:f>
        <x:v>是</x:v>
      </x:c>
      <x:c r="D195" s="284" t="str">
        <x:v>高活動＋高失衡</x:v>
      </x:c>
      <x:c r="E195" s="284" t="str">
        <x:v>民生中山路口</x:v>
      </x:c>
      <x:c r="F195" s="284" t="str">
        <x:v>板橋區</x:v>
      </x:c>
      <x:c r="G195" s="284" t="n">
        <x:v>29</x:v>
      </x:c>
      <x:c r="H195" s="287" t="n">
        <x:v>89.04166666666667</x:v>
      </x:c>
      <x:c r="I195" s="285" t="n">
        <x:v>0.106547619047619</x:v>
      </x:c>
      <x:c r="J195" s="285" t="n">
        <x:v>0.5389565217391304</x:v>
      </x:c>
      <x:c r="K195" s="287" t="n">
        <x:v>109.58064516129032</x:v>
      </x:c>
      <x:c r="L195" s="285" t="n">
        <x:v>0.1290322580645161</x:v>
      </x:c>
      <x:c r="M195" s="284" t="n">
        <x:v>27</x:v>
      </x:c>
      <x:c r="N195" s="284" t="n">
        <x:v>3570</x:v>
      </x:c>
      <x:c r="O195" s="284" t="str"/>
    </x:row>
    <x:row r="196" ht="27" customHeight="1">
      <x:c r="A196" s="283" t="n">
        <x:v>192</x:v>
      </x:c>
      <x:c r="B196" s="283" t="n">
        <x:v>222</x:v>
      </x:c>
      <x:c r="C196" s="283" t="str">
        <x:f>IF(AND(A196&lt;='定義與範圍'!$B$7,B196&lt;='定義與範圍'!$B$7),"是","")</x:f>
        <x:v>是</x:v>
      </x:c>
      <x:c r="D196" s="283" t="str">
        <x:v>高活動＋高失衡</x:v>
      </x:c>
      <x:c r="E196" s="283" t="str">
        <x:v>埤墘公園</x:v>
      </x:c>
      <x:c r="F196" s="283" t="str">
        <x:v>板橋區</x:v>
      </x:c>
      <x:c r="G196" s="283" t="n">
        <x:v>37</x:v>
      </x:c>
      <x:c r="H196" s="288" t="n">
        <x:v>90.20833333333331</x:v>
      </x:c>
      <x:c r="I196" s="286" t="n">
        <x:v>0.106547619047619</x:v>
      </x:c>
      <x:c r="J196" s="286" t="n">
        <x:v>0.5273043478260869</x:v>
      </x:c>
      <x:c r="K196" s="288" t="n">
        <x:v>109.64516129032258</x:v>
      </x:c>
      <x:c r="L196" s="286" t="n">
        <x:v>0.1751152073732718</x:v>
      </x:c>
      <x:c r="M196" s="283" t="n">
        <x:v>35</x:v>
      </x:c>
      <x:c r="N196" s="283" t="n">
        <x:v>4140</x:v>
      </x:c>
      <x:c r="O196" s="283" t="str"/>
    </x:row>
    <x:row r="197" ht="27" customHeight="1">
      <x:c r="A197" s="284" t="n">
        <x:v>193</x:v>
      </x:c>
      <x:c r="B197" s="284" t="n">
        <x:v>927</x:v>
      </x:c>
      <x:c r="C197" s="284" t="str">
        <x:f>IF(AND(A197&lt;='定義與範圍'!$B$7,B197&lt;='定義與範圍'!$B$7),"是","")</x:f>
      </x:c>
      <x:c r="D197" s="284" t="str">
        <x:v>僅高失衡</x:v>
      </x:c>
      <x:c r="E197" s="284" t="str">
        <x:v>潭底溝休憩廣場</x:v>
      </x:c>
      <x:c r="F197" s="284" t="str">
        <x:v>新莊區</x:v>
      </x:c>
      <x:c r="G197" s="284" t="n">
        <x:v>10</x:v>
      </x:c>
      <x:c r="H197" s="287" t="n">
        <x:v>39.04166666666666</x:v>
      </x:c>
      <x:c r="I197" s="285" t="n">
        <x:v>0.1059523809523809</x:v>
      </x:c>
      <x:c r="J197" s="285" t="n">
        <x:v>0.3859130434782609</x:v>
      </x:c>
      <x:c r="K197" s="287" t="n">
        <x:v>55.29032258064516</x:v>
      </x:c>
      <x:c r="L197" s="285" t="n">
        <x:v>0.108294930875576</x:v>
      </x:c>
      <x:c r="M197" s="284" t="n">
        <x:v>24</x:v>
      </x:c>
      <x:c r="N197" s="284" t="n">
        <x:v>3690</x:v>
      </x:c>
      <x:c r="O197" s="284" t="str"/>
    </x:row>
    <x:row r="198" ht="27" customHeight="1">
      <x:c r="A198" s="283" t="n">
        <x:v>194</x:v>
      </x:c>
      <x:c r="B198" s="283" t="n">
        <x:v>265</x:v>
      </x:c>
      <x:c r="C198" s="283" t="str">
        <x:f>IF(AND(A198&lt;='定義與範圍'!$B$7,B198&lt;='定義與範圍'!$B$7),"是","")</x:f>
        <x:v>是</x:v>
      </x:c>
      <x:c r="D198" s="283" t="str">
        <x:v>高活動＋高失衡</x:v>
      </x:c>
      <x:c r="E198" s="283" t="str">
        <x:v>中山國中</x:v>
      </x:c>
      <x:c r="F198" s="283" t="str">
        <x:v>板橋區</x:v>
      </x:c>
      <x:c r="G198" s="283" t="n">
        <x:v>34</x:v>
      </x:c>
      <x:c r="H198" s="288" t="n">
        <x:v>84.99166666666666</x:v>
      </x:c>
      <x:c r="I198" s="286" t="n">
        <x:v>0.1059523809523809</x:v>
      </x:c>
      <x:c r="J198" s="286" t="n">
        <x:v>0.4961739130434782</x:v>
      </x:c>
      <x:c r="K198" s="288" t="n">
        <x:v>112.03225806451611</x:v>
      </x:c>
      <x:c r="L198" s="286" t="n">
        <x:v>0.1290322580645161</x:v>
      </x:c>
      <x:c r="M198" s="283" t="n">
        <x:v>24</x:v>
      </x:c>
      <x:c r="N198" s="283" t="n">
        <x:v>3330</x:v>
      </x:c>
      <x:c r="O198" s="283" t="str"/>
    </x:row>
    <x:row r="199" ht="27" customHeight="1">
      <x:c r="A199" s="284" t="n">
        <x:v>195</x:v>
      </x:c>
      <x:c r="B199" s="284" t="n">
        <x:v>360</x:v>
      </x:c>
      <x:c r="C199" s="284" t="str">
        <x:f>IF(AND(A199&lt;='定義與範圍'!$B$7,B199&lt;='定義與範圍'!$B$7),"是","")</x:f>
        <x:v>是</x:v>
      </x:c>
      <x:c r="D199" s="284" t="str">
        <x:v>高活動＋高失衡</x:v>
      </x:c>
      <x:c r="E199" s="284" t="str">
        <x:v>頂溪國小</x:v>
      </x:c>
      <x:c r="F199" s="284" t="str">
        <x:v>永和區</x:v>
      </x:c>
      <x:c r="G199" s="284" t="n">
        <x:v>44</x:v>
      </x:c>
      <x:c r="H199" s="287" t="n">
        <x:v>75.44166666666666</x:v>
      </x:c>
      <x:c r="I199" s="285" t="n">
        <x:v>0.1059523809523809</x:v>
      </x:c>
      <x:c r="J199" s="285" t="n">
        <x:v>0.5034782608695653</x:v>
      </x:c>
      <x:c r="K199" s="287" t="n">
        <x:v>98.48387096774194</x:v>
      </x:c>
      <x:c r="L199" s="285" t="n">
        <x:v>0.0852534562211981</x:v>
      </x:c>
      <x:c r="M199" s="284" t="n">
        <x:v>21</x:v>
      </x:c>
      <x:c r="N199" s="284" t="n">
        <x:v>2610</x:v>
      </x:c>
      <x:c r="O199" s="284" t="str"/>
    </x:row>
    <x:row r="200" ht="27" customHeight="1">
      <x:c r="A200" s="283" t="n">
        <x:v>196</x:v>
      </x:c>
      <x:c r="B200" s="283" t="n">
        <x:v>1046</x:v>
      </x:c>
      <x:c r="C200" s="283" t="str">
        <x:f>IF(AND(A200&lt;='定義與範圍'!$B$7,B200&lt;='定義與範圍'!$B$7),"是","")</x:f>
      </x:c>
      <x:c r="D200" s="283" t="str">
        <x:v>僅高失衡</x:v>
      </x:c>
      <x:c r="E200" s="283" t="str">
        <x:v>中正北重陽路口</x:v>
      </x:c>
      <x:c r="F200" s="283" t="str">
        <x:v>三重區</x:v>
      </x:c>
      <x:c r="G200" s="283" t="n">
        <x:v>12</x:v>
      </x:c>
      <x:c r="H200" s="288" t="n">
        <x:v>33.40833333333333</x:v>
      </x:c>
      <x:c r="I200" s="286" t="n">
        <x:v>0.1053571428571428</x:v>
      </x:c>
      <x:c r="J200" s="286" t="n">
        <x:v>0.380695652173913</x:v>
      </x:c>
      <x:c r="K200" s="288" t="n">
        <x:v>46.41935483870968</x:v>
      </x:c>
      <x:c r="L200" s="286" t="n">
        <x:v>0.1221198156682027</x:v>
      </x:c>
      <x:c r="M200" s="283" t="n">
        <x:v>22</x:v>
      </x:c>
      <x:c r="N200" s="283" t="n">
        <x:v>2730</x:v>
      </x:c>
      <x:c r="O200" s="283" t="str"/>
    </x:row>
    <x:row r="201" ht="27" customHeight="1">
      <x:c r="A201" s="284" t="n">
        <x:v>197</x:v>
      </x:c>
      <x:c r="B201" s="284" t="n">
        <x:v>267</x:v>
      </x:c>
      <x:c r="C201" s="284" t="str">
        <x:f>IF(AND(A201&lt;='定義與範圍'!$B$7,B201&lt;='定義與範圍'!$B$7),"是","")</x:f>
        <x:v>是</x:v>
      </x:c>
      <x:c r="D201" s="284" t="str">
        <x:v>高活動＋高失衡</x:v>
      </x:c>
      <x:c r="E201" s="284" t="str">
        <x:v>僑中二街92巷口</x:v>
      </x:c>
      <x:c r="F201" s="284" t="str">
        <x:v>板橋區</x:v>
      </x:c>
      <x:c r="G201" s="284" t="n">
        <x:v>21</x:v>
      </x:c>
      <x:c r="H201" s="287" t="n">
        <x:v>84.85</x:v>
      </x:c>
      <x:c r="I201" s="285" t="n">
        <x:v>0.1053571428571428</x:v>
      </x:c>
      <x:c r="J201" s="285" t="n">
        <x:v>0.5088695652173914</x:v>
      </x:c>
      <x:c r="K201" s="287" t="n">
        <x:v>113.06451612903226</x:v>
      </x:c>
      <x:c r="L201" s="285" t="n">
        <x:v>0.0299539170506912</x:v>
      </x:c>
      <x:c r="M201" s="284" t="n">
        <x:v>8</x:v>
      </x:c>
      <x:c r="N201" s="284" t="n">
        <x:v>1350</x:v>
      </x:c>
      <x:c r="O201" s="284" t="str"/>
    </x:row>
    <x:row r="202" ht="27" customHeight="1">
      <x:c r="A202" s="283" t="n">
        <x:v>198</x:v>
      </x:c>
      <x:c r="B202" s="283" t="n">
        <x:v>544</x:v>
      </x:c>
      <x:c r="C202" s="283" t="str">
        <x:f>IF(AND(A202&lt;='定義與範圍'!$B$7,B202&lt;='定義與範圍'!$B$7),"是","")</x:f>
      </x:c>
      <x:c r="D202" s="283" t="str">
        <x:v>僅高失衡</x:v>
      </x:c>
      <x:c r="E202" s="283" t="str">
        <x:v>秀山公園(北側)</x:v>
      </x:c>
      <x:c r="F202" s="283" t="str">
        <x:v>中和區</x:v>
      </x:c>
      <x:c r="G202" s="283" t="n">
        <x:v>14</x:v>
      </x:c>
      <x:c r="H202" s="288" t="n">
        <x:v>62.025</x:v>
      </x:c>
      <x:c r="I202" s="286" t="n">
        <x:v>0.1047619047619047</x:v>
      </x:c>
      <x:c r="J202" s="286" t="n">
        <x:v>0.4516521739130434</x:v>
      </x:c>
      <x:c r="K202" s="288" t="n">
        <x:v>90.6774193548387</x:v>
      </x:c>
      <x:c r="L202" s="286" t="n">
        <x:v>0.076036866359447</x:v>
      </x:c>
      <x:c r="M202" s="283" t="n">
        <x:v>24</x:v>
      </x:c>
      <x:c r="N202" s="283" t="n">
        <x:v>3390</x:v>
      </x:c>
      <x:c r="O202" s="283" t="str"/>
    </x:row>
    <x:row r="203" ht="27" customHeight="1">
      <x:c r="A203" s="284" t="n">
        <x:v>199</x:v>
      </x:c>
      <x:c r="B203" s="284" t="n">
        <x:v>1217</x:v>
      </x:c>
      <x:c r="C203" s="284" t="str">
        <x:f>IF(AND(A203&lt;='定義與範圍'!$B$7,B203&lt;='定義與範圍'!$B$7),"是","")</x:f>
      </x:c>
      <x:c r="D203" s="284" t="str">
        <x:v>僅高失衡</x:v>
      </x:c>
      <x:c r="E203" s="284" t="str">
        <x:v>裕華街</x:v>
      </x:c>
      <x:c r="F203" s="284" t="str">
        <x:v>土城區</x:v>
      </x:c>
      <x:c r="G203" s="284" t="n">
        <x:v>15</x:v>
      </x:c>
      <x:c r="H203" s="287" t="n">
        <x:v>25</x:v>
      </x:c>
      <x:c r="I203" s="285" t="n">
        <x:v>0.1047619047619047</x:v>
      </x:c>
      <x:c r="J203" s="285" t="n">
        <x:v>0.2462608695652174</x:v>
      </x:c>
      <x:c r="K203" s="287" t="n">
        <x:v>33.935483870967744</x:v>
      </x:c>
      <x:c r="L203" s="285" t="n">
        <x:v>0.0990783410138248</x:v>
      </x:c>
      <x:c r="M203" s="284" t="n">
        <x:v>19</x:v>
      </x:c>
      <x:c r="N203" s="284" t="n">
        <x:v>1950</x:v>
      </x:c>
      <x:c r="O203" s="284" t="str"/>
    </x:row>
    <x:row r="204" ht="27" customHeight="1">
      <x:c r="A204" s="283" t="n">
        <x:v>200</x:v>
      </x:c>
      <x:c r="B204" s="283" t="n">
        <x:v>809</x:v>
      </x:c>
      <x:c r="C204" s="283" t="str">
        <x:f>IF(AND(A204&lt;='定義與範圍'!$B$7,B204&lt;='定義與範圍'!$B$7),"是","")</x:f>
      </x:c>
      <x:c r="D204" s="283" t="str">
        <x:v>僅高失衡</x:v>
      </x:c>
      <x:c r="E204" s="283" t="str">
        <x:v>中興文化路口(東南側)</x:v>
      </x:c>
      <x:c r="F204" s="283" t="str">
        <x:v>新店區</x:v>
      </x:c>
      <x:c r="G204" s="283" t="n">
        <x:v>19</x:v>
      </x:c>
      <x:c r="H204" s="288" t="n">
        <x:v>46.516666666666666</x:v>
      </x:c>
      <x:c r="I204" s="286" t="n">
        <x:v>0.1047619047619047</x:v>
      </x:c>
      <x:c r="J204" s="286" t="n">
        <x:v>0.4220869565217391</x:v>
      </x:c>
      <x:c r="K204" s="288" t="n">
        <x:v>67.29032258064517</x:v>
      </x:c>
      <x:c r="L204" s="286" t="n">
        <x:v>0.1336405529953917</x:v>
      </x:c>
      <x:c r="M204" s="283" t="n">
        <x:v>21</x:v>
      </x:c>
      <x:c r="N204" s="283" t="n">
        <x:v>3480</x:v>
      </x:c>
      <x:c r="O204" s="283" t="str"/>
    </x:row>
    <x:row r="205" ht="27" customHeight="1">
      <x:c r="A205" s="284" t="n">
        <x:v>201</x:v>
      </x:c>
      <x:c r="B205" s="284" t="n">
        <x:v>973</x:v>
      </x:c>
      <x:c r="C205" s="284" t="str">
        <x:f>IF(AND(A205&lt;='定義與範圍'!$B$7,B205&lt;='定義與範圍'!$B$7),"是","")</x:f>
      </x:c>
      <x:c r="D205" s="284" t="str">
        <x:v>僅高失衡</x:v>
      </x:c>
      <x:c r="E205" s="284" t="str">
        <x:v>中興福德三路口</x:v>
      </x:c>
      <x:c r="F205" s="284" t="str">
        <x:v>汐止區</x:v>
      </x:c>
      <x:c r="G205" s="284" t="n">
        <x:v>10</x:v>
      </x:c>
      <x:c r="H205" s="287" t="n">
        <x:v>36.66666666666666</x:v>
      </x:c>
      <x:c r="I205" s="285" t="n">
        <x:v>0.1041666666666666</x:v>
      </x:c>
      <x:c r="J205" s="285" t="n">
        <x:v>0.368</x:v>
      </x:c>
      <x:c r="K205" s="287" t="n">
        <x:v>56.193548387096776</x:v>
      </x:c>
      <x:c r="L205" s="285" t="n">
        <x:v>0.1059907834101382</x:v>
      </x:c>
      <x:c r="M205" s="284" t="n">
        <x:v>22</x:v>
      </x:c>
      <x:c r="N205" s="284" t="n">
        <x:v>2760</x:v>
      </x:c>
      <x:c r="O205" s="284" t="str"/>
    </x:row>
    <x:row r="206" ht="27" customHeight="1">
      <x:c r="A206" s="283" t="n">
        <x:v>202</x:v>
      </x:c>
      <x:c r="B206" s="283" t="n">
        <x:v>700</x:v>
      </x:c>
      <x:c r="C206" s="283" t="str">
        <x:f>IF(AND(A206&lt;='定義與範圍'!$B$7,B206&lt;='定義與範圍'!$B$7),"是","")</x:f>
      </x:c>
      <x:c r="D206" s="283" t="str">
        <x:v>僅高失衡</x:v>
      </x:c>
      <x:c r="E206" s="283" t="str">
        <x:v>水源路29巷/光華街口</x:v>
      </x:c>
      <x:c r="F206" s="283" t="str">
        <x:v>中和區</x:v>
      </x:c>
      <x:c r="G206" s="283" t="n">
        <x:v>11</x:v>
      </x:c>
      <x:c r="H206" s="288" t="n">
        <x:v>51.775</x:v>
      </x:c>
      <x:c r="I206" s="286" t="n">
        <x:v>0.1041666666666666</x:v>
      </x:c>
      <x:c r="J206" s="286" t="n">
        <x:v>0.4667826086956522</x:v>
      </x:c>
      <x:c r="K206" s="288" t="n">
        <x:v>65.54838709677419</x:v>
      </x:c>
      <x:c r="L206" s="286" t="n">
        <x:v>0.1152073732718894</x:v>
      </x:c>
      <x:c r="M206" s="283" t="n">
        <x:v>24</x:v>
      </x:c>
      <x:c r="N206" s="283" t="n">
        <x:v>3390</x:v>
      </x:c>
      <x:c r="O206" s="283" t="str"/>
    </x:row>
    <x:row r="207" ht="27" customHeight="1">
      <x:c r="A207" s="284" t="n">
        <x:v>203</x:v>
      </x:c>
      <x:c r="B207" s="284" t="n">
        <x:v>895</x:v>
      </x:c>
      <x:c r="C207" s="284" t="str">
        <x:f>IF(AND(A207&lt;='定義與範圍'!$B$7,B207&lt;='定義與範圍'!$B$7),"是","")</x:f>
      </x:c>
      <x:c r="D207" s="284" t="str">
        <x:v>僅高失衡</x:v>
      </x:c>
      <x:c r="E207" s="284" t="str">
        <x:v>信義和平路口</x:v>
      </x:c>
      <x:c r="F207" s="284" t="str">
        <x:v>板橋區</x:v>
      </x:c>
      <x:c r="G207" s="284" t="n">
        <x:v>15</x:v>
      </x:c>
      <x:c r="H207" s="287" t="n">
        <x:v>40.94166666666667</x:v>
      </x:c>
      <x:c r="I207" s="285" t="n">
        <x:v>0.1041666666666666</x:v>
      </x:c>
      <x:c r="J207" s="285" t="n">
        <x:v>0.392</x:v>
      </x:c>
      <x:c r="K207" s="287" t="n">
        <x:v>51.03225806451613</x:v>
      </x:c>
      <x:c r="L207" s="285" t="n">
        <x:v>0.0506912442396313</x:v>
      </x:c>
      <x:c r="M207" s="284" t="n">
        <x:v>11</x:v>
      </x:c>
      <x:c r="N207" s="284" t="n">
        <x:v>1560</x:v>
      </x:c>
      <x:c r="O207" s="284" t="str"/>
    </x:row>
    <x:row r="208" ht="27" customHeight="1">
      <x:c r="A208" s="283" t="n">
        <x:v>204</x:v>
      </x:c>
      <x:c r="B208" s="283" t="n">
        <x:v>657</x:v>
      </x:c>
      <x:c r="C208" s="283" t="str">
        <x:f>IF(AND(A208&lt;='定義與範圍'!$B$7,B208&lt;='定義與範圍'!$B$7),"是","")</x:f>
      </x:c>
      <x:c r="D208" s="283" t="str">
        <x:v>僅高失衡</x:v>
      </x:c>
      <x:c r="E208" s="283" t="str">
        <x:v>樹林藝文綜合行政大樓停車場</x:v>
      </x:c>
      <x:c r="F208" s="283" t="str">
        <x:v>樹林區</x:v>
      </x:c>
      <x:c r="G208" s="283" t="n">
        <x:v>18</x:v>
      </x:c>
      <x:c r="H208" s="288" t="n">
        <x:v>54.38333333333333</x:v>
      </x:c>
      <x:c r="I208" s="286" t="n">
        <x:v>0.1041666666666666</x:v>
      </x:c>
      <x:c r="J208" s="286" t="n">
        <x:v>0.4233043478260869</x:v>
      </x:c>
      <x:c r="K208" s="288" t="n">
        <x:v>80.38709677419355</x:v>
      </x:c>
      <x:c r="L208" s="286" t="n">
        <x:v>0.0990783410138248</x:v>
      </x:c>
      <x:c r="M208" s="283" t="n">
        <x:v>25</x:v>
      </x:c>
      <x:c r="N208" s="283" t="n">
        <x:v>4050</x:v>
      </x:c>
      <x:c r="O208" s="283" t="str"/>
    </x:row>
    <x:row r="209" ht="27" customHeight="1">
      <x:c r="A209" s="284" t="n">
        <x:v>205</x:v>
      </x:c>
      <x:c r="B209" s="284" t="n">
        <x:v>526</x:v>
      </x:c>
      <x:c r="C209" s="284" t="str">
        <x:f>IF(AND(A209&lt;='定義與範圍'!$B$7,B209&lt;='定義與範圍'!$B$7),"是","")</x:f>
      </x:c>
      <x:c r="D209" s="284" t="str">
        <x:v>僅高失衡</x:v>
      </x:c>
      <x:c r="E209" s="284" t="str">
        <x:v>豐年陸橋</x:v>
      </x:c>
      <x:c r="F209" s="284" t="str">
        <x:v>新莊區</x:v>
      </x:c>
      <x:c r="G209" s="284" t="n">
        <x:v>18</x:v>
      </x:c>
      <x:c r="H209" s="287" t="n">
        <x:v>63.35833333333333</x:v>
      </x:c>
      <x:c r="I209" s="285" t="n">
        <x:v>0.1041666666666666</x:v>
      </x:c>
      <x:c r="J209" s="285" t="n">
        <x:v>0.4460869565217391</x:v>
      </x:c>
      <x:c r="K209" s="287" t="n">
        <x:v>83.41935483870968</x:v>
      </x:c>
      <x:c r="L209" s="285" t="n">
        <x:v>0.1059907834101382</x:v>
      </x:c>
      <x:c r="M209" s="284" t="n">
        <x:v>21</x:v>
      </x:c>
      <x:c r="N209" s="284" t="n">
        <x:v>2580</x:v>
      </x:c>
      <x:c r="O209" s="284" t="str"/>
    </x:row>
    <x:row r="210" ht="27" customHeight="1">
      <x:c r="A210" s="283" t="n">
        <x:v>206</x:v>
      </x:c>
      <x:c r="B210" s="283" t="n">
        <x:v>558</x:v>
      </x:c>
      <x:c r="C210" s="283" t="str">
        <x:f>IF(AND(A210&lt;='定義與範圍'!$B$7,B210&lt;='定義與範圍'!$B$7),"是","")</x:f>
      </x:c>
      <x:c r="D210" s="283" t="str">
        <x:v>僅高失衡</x:v>
      </x:c>
      <x:c r="E210" s="283" t="str">
        <x:v>福慧新知八路口</x:v>
      </x:c>
      <x:c r="F210" s="283" t="str">
        <x:v>新莊區</x:v>
      </x:c>
      <x:c r="G210" s="283" t="n">
        <x:v>20</x:v>
      </x:c>
      <x:c r="H210" s="288" t="n">
        <x:v>61.05833333333333</x:v>
      </x:c>
      <x:c r="I210" s="286" t="n">
        <x:v>0.1041666666666666</x:v>
      </x:c>
      <x:c r="J210" s="286" t="n">
        <x:v>0.3433043478260869</x:v>
      </x:c>
      <x:c r="K210" s="288" t="n">
        <x:v>73.70967741935483</x:v>
      </x:c>
      <x:c r="L210" s="286" t="n">
        <x:v>0.0967741935483871</x:v>
      </x:c>
      <x:c r="M210" s="283" t="n">
        <x:v>34</x:v>
      </x:c>
      <x:c r="N210" s="283" t="n">
        <x:v>3900</x:v>
      </x:c>
      <x:c r="O210" s="283" t="str"/>
    </x:row>
    <x:row r="211" ht="27" customHeight="1">
      <x:c r="A211" s="284" t="n">
        <x:v>207</x:v>
      </x:c>
      <x:c r="B211" s="284" t="n">
        <x:v>1183</x:v>
      </x:c>
      <x:c r="C211" s="284" t="str">
        <x:f>IF(AND(A211&lt;='定義與範圍'!$B$7,B211&lt;='定義與範圍'!$B$7),"是","")</x:f>
      </x:c>
      <x:c r="D211" s="284" t="str">
        <x:v>僅高失衡</x:v>
      </x:c>
      <x:c r="E211" s="284" t="str">
        <x:v>烘爐地山下籃球場</x:v>
      </x:c>
      <x:c r="F211" s="284" t="str">
        <x:v>中和區</x:v>
      </x:c>
      <x:c r="G211" s="284" t="n">
        <x:v>14</x:v>
      </x:c>
      <x:c r="H211" s="287" t="n">
        <x:v>26.33333333333333</x:v>
      </x:c>
      <x:c r="I211" s="285" t="n">
        <x:v>0.1035714285714285</x:v>
      </x:c>
      <x:c r="J211" s="285" t="n">
        <x:v>0.271304347826087</x:v>
      </x:c>
      <x:c r="K211" s="287" t="n">
        <x:v>35.225806451612904</x:v>
      </x:c>
      <x:c r="L211" s="285" t="n">
        <x:v>0.076036866359447</x:v>
      </x:c>
      <x:c r="M211" s="284" t="n">
        <x:v>14</x:v>
      </x:c>
      <x:c r="N211" s="284" t="n">
        <x:v>2070</x:v>
      </x:c>
      <x:c r="O211" s="284" t="str"/>
    </x:row>
    <x:row r="212" ht="27" customHeight="1">
      <x:c r="A212" s="283" t="n">
        <x:v>208</x:v>
      </x:c>
      <x:c r="B212" s="283" t="n">
        <x:v>227</x:v>
      </x:c>
      <x:c r="C212" s="283" t="str">
        <x:f>IF(AND(A212&lt;='定義與範圍'!$B$7,B212&lt;='定義與範圍'!$B$7),"是","")</x:f>
        <x:v>是</x:v>
      </x:c>
      <x:c r="D212" s="283" t="str">
        <x:v>高活動＋高失衡</x:v>
      </x:c>
      <x:c r="E212" s="283" t="str">
        <x:v>廣福國小</x:v>
      </x:c>
      <x:c r="F212" s="283" t="str">
        <x:v>土城區</x:v>
      </x:c>
      <x:c r="G212" s="283" t="n">
        <x:v>20</x:v>
      </x:c>
      <x:c r="H212" s="288" t="n">
        <x:v>89.48333333333333</x:v>
      </x:c>
      <x:c r="I212" s="286" t="n">
        <x:v>0.1029761904761904</x:v>
      </x:c>
      <x:c r="J212" s="286" t="n">
        <x:v>0.5271304347826087</x:v>
      </x:c>
      <x:c r="K212" s="288" t="n">
        <x:v>116.2258064516129</x:v>
      </x:c>
      <x:c r="L212" s="286" t="n">
        <x:v>0.1198156682027649</x:v>
      </x:c>
      <x:c r="M212" s="283" t="n">
        <x:v>28</x:v>
      </x:c>
      <x:c r="N212" s="283" t="n">
        <x:v>4230</x:v>
      </x:c>
      <x:c r="O212" s="283" t="str"/>
    </x:row>
    <x:row r="213" ht="27" customHeight="1">
      <x:c r="A213" s="284" t="n">
        <x:v>209</x:v>
      </x:c>
      <x:c r="B213" s="284" t="n">
        <x:v>1153</x:v>
      </x:c>
      <x:c r="C213" s="284" t="str">
        <x:f>IF(AND(A213&lt;='定義與範圍'!$B$7,B213&lt;='定義與範圍'!$B$7),"是","")</x:f>
      </x:c>
      <x:c r="D213" s="284" t="str">
        <x:v>僅高失衡</x:v>
      </x:c>
      <x:c r="E213" s="284" t="str">
        <x:v>國家檔案館(文化一路)</x:v>
      </x:c>
      <x:c r="F213" s="284" t="str">
        <x:v>林口區</x:v>
      </x:c>
      <x:c r="G213" s="284" t="n">
        <x:v>25</x:v>
      </x:c>
      <x:c r="H213" s="287" t="n">
        <x:v>27.716666666666665</x:v>
      </x:c>
      <x:c r="I213" s="285" t="n">
        <x:v>0.1029761904761904</x:v>
      </x:c>
      <x:c r="J213" s="285" t="n">
        <x:v>0.2264347826086956</x:v>
      </x:c>
      <x:c r="K213" s="287" t="n">
        <x:v>42.774193548387096</x:v>
      </x:c>
      <x:c r="L213" s="285" t="n">
        <x:v>0.0184331797235023</x:v>
      </x:c>
      <x:c r="M213" s="284" t="n">
        <x:v>3</x:v>
      </x:c>
      <x:c r="N213" s="284" t="n">
        <x:v>360</x:v>
      </x:c>
      <x:c r="O213" s="284" t="str"/>
    </x:row>
    <x:row r="214" ht="27" customHeight="1">
      <x:c r="A214" s="283" t="n">
        <x:v>210</x:v>
      </x:c>
      <x:c r="B214" s="283" t="n">
        <x:v>1157</x:v>
      </x:c>
      <x:c r="C214" s="283" t="str">
        <x:f>IF(AND(A214&lt;='定義與範圍'!$B$7,B214&lt;='定義與範圍'!$B$7),"是","")</x:f>
      </x:c>
      <x:c r="D214" s="283" t="str">
        <x:v>僅高失衡</x:v>
      </x:c>
      <x:c r="E214" s="283" t="str">
        <x:v>輕軌竿蓁林站</x:v>
      </x:c>
      <x:c r="F214" s="283" t="str">
        <x:v>淡水區</x:v>
      </x:c>
      <x:c r="G214" s="283" t="n">
        <x:v>10</x:v>
      </x:c>
      <x:c r="H214" s="288" t="n">
        <x:v>27.375</x:v>
      </x:c>
      <x:c r="I214" s="286" t="n">
        <x:v>0.1023809523809523</x:v>
      </x:c>
      <x:c r="J214" s="286" t="n">
        <x:v>0.2615652173913043</x:v>
      </x:c>
      <x:c r="K214" s="288" t="n">
        <x:v>39.774193548387096</x:v>
      </x:c>
      <x:c r="L214" s="286" t="n">
        <x:v>0.1336405529953917</x:v>
      </x:c>
      <x:c r="M214" s="283" t="n">
        <x:v>33</x:v>
      </x:c>
      <x:c r="N214" s="283" t="n">
        <x:v>4260</x:v>
      </x:c>
      <x:c r="O214" s="283" t="str"/>
    </x:row>
    <x:row r="215" ht="27" customHeight="1">
      <x:c r="A215" s="284" t="n">
        <x:v>211</x:v>
      </x:c>
      <x:c r="B215" s="284" t="n">
        <x:v>281</x:v>
      </x:c>
      <x:c r="C215" s="284" t="str">
        <x:f>IF(AND(A215&lt;='定義與範圍'!$B$7,B215&lt;='定義與範圍'!$B$7),"是","")</x:f>
        <x:v>是</x:v>
      </x:c>
      <x:c r="D215" s="284" t="str">
        <x:v>高活動＋高失衡</x:v>
      </x:c>
      <x:c r="E215" s="284" t="str">
        <x:v>昌盛橋</x:v>
      </x:c>
      <x:c r="F215" s="284" t="str">
        <x:v>新莊區</x:v>
      </x:c>
      <x:c r="G215" s="284" t="n">
        <x:v>20</x:v>
      </x:c>
      <x:c r="H215" s="287" t="n">
        <x:v>83.09166666666667</x:v>
      </x:c>
      <x:c r="I215" s="285" t="n">
        <x:v>0.1023809523809523</x:v>
      </x:c>
      <x:c r="J215" s="285" t="n">
        <x:v>0.5412173913043479</x:v>
      </x:c>
      <x:c r="K215" s="287" t="n">
        <x:v>110.64516129032258</x:v>
      </x:c>
      <x:c r="L215" s="285" t="n">
        <x:v>0.1129032258064516</x:v>
      </x:c>
      <x:c r="M215" s="284" t="n">
        <x:v>23</x:v>
      </x:c>
      <x:c r="N215" s="284" t="n">
        <x:v>3390</x:v>
      </x:c>
      <x:c r="O215" s="284" t="str"/>
    </x:row>
    <x:row r="216" ht="27" customHeight="1">
      <x:c r="A216" s="283" t="n">
        <x:v>212</x:v>
      </x:c>
      <x:c r="B216" s="283" t="n">
        <x:v>726</x:v>
      </x:c>
      <x:c r="C216" s="283" t="str">
        <x:f>IF(AND(A216&lt;='定義與範圍'!$B$7,B216&lt;='定義與範圍'!$B$7),"是","")</x:f>
      </x:c>
      <x:c r="D216" s="283" t="str">
        <x:v>僅高失衡</x:v>
      </x:c>
      <x:c r="E216" s="283" t="str">
        <x:v>雙和公園</x:v>
      </x:c>
      <x:c r="F216" s="283" t="str">
        <x:v>永和區</x:v>
      </x:c>
      <x:c r="G216" s="283" t="n">
        <x:v>11</x:v>
      </x:c>
      <x:c r="H216" s="288" t="n">
        <x:v>50.958333333333336</x:v>
      </x:c>
      <x:c r="I216" s="286" t="n">
        <x:v>0.1017857142857142</x:v>
      </x:c>
      <x:c r="J216" s="286" t="n">
        <x:v>0.4554782608695652</x:v>
      </x:c>
      <x:c r="K216" s="288" t="n">
        <x:v>68.54838709677419</x:v>
      </x:c>
      <x:c r="L216" s="286" t="n">
        <x:v>0.1198156682027649</x:v>
      </x:c>
      <x:c r="M216" s="283" t="n">
        <x:v>29</x:v>
      </x:c>
      <x:c r="N216" s="283" t="n">
        <x:v>3720</x:v>
      </x:c>
      <x:c r="O216" s="283" t="str"/>
    </x:row>
    <x:row r="217" ht="27" customHeight="1">
      <x:c r="A217" s="284" t="n">
        <x:v>213</x:v>
      </x:c>
      <x:c r="B217" s="284" t="n">
        <x:v>538</x:v>
      </x:c>
      <x:c r="C217" s="284" t="str">
        <x:f>IF(AND(A217&lt;='定義與範圍'!$B$7,B217&lt;='定義與範圍'!$B$7),"是","")</x:f>
      </x:c>
      <x:c r="D217" s="284" t="str">
        <x:v>僅高失衡</x:v>
      </x:c>
      <x:c r="E217" s="284" t="str">
        <x:v>永和國中(國中路)</x:v>
      </x:c>
      <x:c r="F217" s="284" t="str">
        <x:v>永和區</x:v>
      </x:c>
      <x:c r="G217" s="284" t="n">
        <x:v>15</x:v>
      </x:c>
      <x:c r="H217" s="287" t="n">
        <x:v>62.641666666666666</x:v>
      </x:c>
      <x:c r="I217" s="285" t="n">
        <x:v>0.1011904761904761</x:v>
      </x:c>
      <x:c r="J217" s="285" t="n">
        <x:v>0.4714782608695652</x:v>
      </x:c>
      <x:c r="K217" s="287" t="n">
        <x:v>90.03225806451613</x:v>
      </x:c>
      <x:c r="L217" s="285" t="n">
        <x:v>0.0806451612903225</x:v>
      </x:c>
      <x:c r="M217" s="284" t="n">
        <x:v>25</x:v>
      </x:c>
      <x:c r="N217" s="284" t="n">
        <x:v>3150</x:v>
      </x:c>
      <x:c r="O217" s="284" t="str"/>
    </x:row>
    <x:row r="218" ht="27" customHeight="1">
      <x:c r="A218" s="283" t="n">
        <x:v>214</x:v>
      </x:c>
      <x:c r="B218" s="283" t="n">
        <x:v>623</x:v>
      </x:c>
      <x:c r="C218" s="283" t="str">
        <x:f>IF(AND(A218&lt;='定義與範圍'!$B$7,B218&lt;='定義與範圍'!$B$7),"是","")</x:f>
      </x:c>
      <x:c r="D218" s="283" t="str">
        <x:v>僅高失衡</x:v>
      </x:c>
      <x:c r="E218" s="283" t="str">
        <x:v>福德二街35號</x:v>
      </x:c>
      <x:c r="F218" s="283" t="str">
        <x:v>新莊區</x:v>
      </x:c>
      <x:c r="G218" s="283" t="n">
        <x:v>15</x:v>
      </x:c>
      <x:c r="H218" s="288" t="n">
        <x:v>56.96666666666667</x:v>
      </x:c>
      <x:c r="I218" s="286" t="n">
        <x:v>0.1011904761904761</x:v>
      </x:c>
      <x:c r="J218" s="286" t="n">
        <x:v>0.4073043478260869</x:v>
      </x:c>
      <x:c r="K218" s="288" t="n">
        <x:v>80.2258064516129</x:v>
      </x:c>
      <x:c r="L218" s="286" t="n">
        <x:v>0.0944700460829493</x:v>
      </x:c>
      <x:c r="M218" s="283" t="n">
        <x:v>16</x:v>
      </x:c>
      <x:c r="N218" s="283" t="n">
        <x:v>2880</x:v>
      </x:c>
      <x:c r="O218" s="283" t="str"/>
    </x:row>
    <x:row r="219" ht="27" customHeight="1">
      <x:c r="A219" s="284" t="n">
        <x:v>215</x:v>
      </x:c>
      <x:c r="B219" s="284" t="n">
        <x:v>887</x:v>
      </x:c>
      <x:c r="C219" s="284" t="str">
        <x:f>IF(AND(A219&lt;='定義與範圍'!$B$7,B219&lt;='定義與範圍'!$B$7),"是","")</x:f>
      </x:c>
      <x:c r="D219" s="284" t="str">
        <x:v>僅高失衡</x:v>
      </x:c>
      <x:c r="E219" s="284" t="str">
        <x:v>三重環河陸橋</x:v>
      </x:c>
      <x:c r="F219" s="284" t="str">
        <x:v>三重區</x:v>
      </x:c>
      <x:c r="G219" s="284" t="n">
        <x:v>16</x:v>
      </x:c>
      <x:c r="H219" s="287" t="n">
        <x:v>41.16666666666666</x:v>
      </x:c>
      <x:c r="I219" s="285" t="n">
        <x:v>0.1011904761904761</x:v>
      </x:c>
      <x:c r="J219" s="285" t="n">
        <x:v>0.3426086956521739</x:v>
      </x:c>
      <x:c r="K219" s="287" t="n">
        <x:v>69.16129032258064</x:v>
      </x:c>
      <x:c r="L219" s="285" t="n">
        <x:v>0.0921658986175115</x:v>
      </x:c>
      <x:c r="M219" s="284" t="n">
        <x:v>22</x:v>
      </x:c>
      <x:c r="N219" s="284" t="n">
        <x:v>2820</x:v>
      </x:c>
      <x:c r="O219" s="284" t="str"/>
    </x:row>
    <x:row r="220" ht="27" customHeight="1">
      <x:c r="A220" s="283" t="n">
        <x:v>216</x:v>
      </x:c>
      <x:c r="B220" s="283" t="n">
        <x:v>245</x:v>
      </x:c>
      <x:c r="C220" s="283" t="str">
        <x:f>IF(AND(A220&lt;='定義與範圍'!$B$7,B220&lt;='定義與範圍'!$B$7),"是","")</x:f>
        <x:v>是</x:v>
      </x:c>
      <x:c r="D220" s="283" t="str">
        <x:v>高活動＋高失衡</x:v>
      </x:c>
      <x:c r="E220" s="283" t="str">
        <x:v>中興街180巷口</x:v>
      </x:c>
      <x:c r="F220" s="283" t="str">
        <x:v>中和區</x:v>
      </x:c>
      <x:c r="G220" s="283" t="n">
        <x:v>18</x:v>
      </x:c>
      <x:c r="H220" s="288" t="n">
        <x:v>87.54166666666667</x:v>
      </x:c>
      <x:c r="I220" s="286" t="n">
        <x:v>0.1011904761904761</x:v>
      </x:c>
      <x:c r="J220" s="286" t="n">
        <x:v>0.5173913043478261</x:v>
      </x:c>
      <x:c r="K220" s="288" t="n">
        <x:v>119.12903225806453</x:v>
      </x:c>
      <x:c r="L220" s="286" t="n">
        <x:v>0.1451612903225806</x:v>
      </x:c>
      <x:c r="M220" s="283" t="n">
        <x:v>44</x:v>
      </x:c>
      <x:c r="N220" s="283" t="n">
        <x:v>5070</x:v>
      </x:c>
      <x:c r="O220" s="283" t="str"/>
    </x:row>
    <x:row r="221" ht="27" customHeight="1">
      <x:c r="A221" s="284" t="n">
        <x:v>217</x:v>
      </x:c>
      <x:c r="B221" s="284" t="n">
        <x:v>650</x:v>
      </x:c>
      <x:c r="C221" s="284" t="str">
        <x:f>IF(AND(A221&lt;='定義與範圍'!$B$7,B221&lt;='定義與範圍'!$B$7),"是","")</x:f>
      </x:c>
      <x:c r="D221" s="284" t="str">
        <x:v>僅高失衡</x:v>
      </x:c>
      <x:c r="E221" s="284" t="str">
        <x:v>裕民路口(清水路)</x:v>
      </x:c>
      <x:c r="F221" s="284" t="str">
        <x:v>土城區</x:v>
      </x:c>
      <x:c r="G221" s="284" t="n">
        <x:v>34</x:v>
      </x:c>
      <x:c r="H221" s="287" t="n">
        <x:v>55.18333333333333</x:v>
      </x:c>
      <x:c r="I221" s="285" t="n">
        <x:v>0.1011904761904761</x:v>
      </x:c>
      <x:c r="J221" s="285" t="n">
        <x:v>0.3925217391304348</x:v>
      </x:c>
      <x:c r="K221" s="287" t="n">
        <x:v>64.93548387096774</x:v>
      </x:c>
      <x:c r="L221" s="285" t="n">
        <x:v>0.1359447004608295</x:v>
      </x:c>
      <x:c r="M221" s="284" t="n">
        <x:v>29</x:v>
      </x:c>
      <x:c r="N221" s="284" t="n">
        <x:v>3450</x:v>
      </x:c>
      <x:c r="O221" s="284" t="str"/>
    </x:row>
    <x:row r="222" ht="27" customHeight="1">
      <x:c r="A222" s="283" t="n">
        <x:v>218</x:v>
      </x:c>
      <x:c r="B222" s="283" t="n">
        <x:v>332</x:v>
      </x:c>
      <x:c r="C222" s="283" t="str">
        <x:f>IF(AND(A222&lt;='定義與範圍'!$B$7,B222&lt;='定義與範圍'!$B$7),"是","")</x:f>
        <x:v>是</x:v>
      </x:c>
      <x:c r="D222" s="283" t="str">
        <x:v>高活動＋高失衡</x:v>
      </x:c>
      <x:c r="E222" s="283" t="str">
        <x:v>江翠國中</x:v>
      </x:c>
      <x:c r="F222" s="283" t="str">
        <x:v>板橋區</x:v>
      </x:c>
      <x:c r="G222" s="283" t="n">
        <x:v>36</x:v>
      </x:c>
      <x:c r="H222" s="288" t="n">
        <x:v>77.85833333333333</x:v>
      </x:c>
      <x:c r="I222" s="286" t="n">
        <x:v>0.1011904761904761</x:v>
      </x:c>
      <x:c r="J222" s="286" t="n">
        <x:v>0.4709565217391304</x:v>
      </x:c>
      <x:c r="K222" s="288" t="n">
        <x:v>110.25806451612904</x:v>
      </x:c>
      <x:c r="L222" s="286" t="n">
        <x:v>0.1313364055299539</x:v>
      </x:c>
      <x:c r="M222" s="283" t="n">
        <x:v>25</x:v>
      </x:c>
      <x:c r="N222" s="283" t="n">
        <x:v>3240</x:v>
      </x:c>
      <x:c r="O222" s="283" t="str"/>
    </x:row>
    <x:row r="223" ht="27" customHeight="1">
      <x:c r="A223" s="284" t="n">
        <x:v>219</x:v>
      </x:c>
      <x:c r="B223" s="284" t="n">
        <x:v>150</x:v>
      </x:c>
      <x:c r="C223" s="284" t="str">
        <x:f>IF(AND(A223&lt;='定義與範圍'!$B$7,B223&lt;='定義與範圍'!$B$7),"是","")</x:f>
        <x:v>是</x:v>
      </x:c>
      <x:c r="D223" s="284" t="str">
        <x:v>高活動＋高失衡</x:v>
      </x:c>
      <x:c r="E223" s="284" t="str">
        <x:v>板橋重慶公園</x:v>
      </x:c>
      <x:c r="F223" s="284" t="str">
        <x:v>板橋區</x:v>
      </x:c>
      <x:c r="G223" s="284" t="n">
        <x:v>38</x:v>
      </x:c>
      <x:c r="H223" s="287" t="n">
        <x:v>105.91666666666669</x:v>
      </x:c>
      <x:c r="I223" s="285" t="n">
        <x:v>0.1011904761904761</x:v>
      </x:c>
      <x:c r="J223" s="285" t="n">
        <x:v>0.5514782608695652</x:v>
      </x:c>
      <x:c r="K223" s="287" t="n">
        <x:v>131.80645161290323</x:v>
      </x:c>
      <x:c r="L223" s="285" t="n">
        <x:v>0.0783410138248847</x:v>
      </x:c>
      <x:c r="M223" s="284" t="n">
        <x:v>16</x:v>
      </x:c>
      <x:c r="N223" s="284" t="n">
        <x:v>2670</x:v>
      </x:c>
      <x:c r="O223" s="284" t="str"/>
    </x:row>
    <x:row r="224" ht="27" customHeight="1">
      <x:c r="A224" s="283" t="n">
        <x:v>220</x:v>
      </x:c>
      <x:c r="B224" s="283" t="n">
        <x:v>793</x:v>
      </x:c>
      <x:c r="C224" s="283" t="str">
        <x:f>IF(AND(A224&lt;='定義與範圍'!$B$7,B224&lt;='定義與範圍'!$B$7),"是","")</x:f>
      </x:c>
      <x:c r="D224" s="283" t="str">
        <x:v>僅高失衡</x:v>
      </x:c>
      <x:c r="E224" s="283" t="str">
        <x:v>三民永豐街口</x:v>
      </x:c>
      <x:c r="F224" s="283" t="str">
        <x:v>板橋區</x:v>
      </x:c>
      <x:c r="G224" s="283" t="n">
        <x:v>13</x:v>
      </x:c>
      <x:c r="H224" s="288" t="n">
        <x:v>47.35833333333333</x:v>
      </x:c>
      <x:c r="I224" s="286" t="n">
        <x:v>0.1005952380952381</x:v>
      </x:c>
      <x:c r="J224" s="286" t="n">
        <x:v>0.4436521739130434</x:v>
      </x:c>
      <x:c r="K224" s="288" t="n">
        <x:v>73.7741935483871</x:v>
      </x:c>
      <x:c r="L224" s="286" t="n">
        <x:v>0.1129032258064516</x:v>
      </x:c>
      <x:c r="M224" s="283" t="n">
        <x:v>21</x:v>
      </x:c>
      <x:c r="N224" s="283" t="n">
        <x:v>3810</x:v>
      </x:c>
      <x:c r="O224" s="283" t="str"/>
    </x:row>
    <x:row r="225" ht="27" customHeight="1">
      <x:c r="A225" s="284" t="n">
        <x:v>221</x:v>
      </x:c>
      <x:c r="B225" s="284" t="n">
        <x:v>924</x:v>
      </x:c>
      <x:c r="C225" s="284" t="str">
        <x:f>IF(AND(A225&lt;='定義與範圍'!$B$7,B225&lt;='定義與範圍'!$B$7),"是","")</x:f>
      </x:c>
      <x:c r="D225" s="284" t="str">
        <x:v>僅高失衡</x:v>
      </x:c>
      <x:c r="E225" s="284" t="str">
        <x:v>元富一街/仁義街79巷口</x:v>
      </x:c>
      <x:c r="F225" s="284" t="str">
        <x:v>三重區</x:v>
      </x:c>
      <x:c r="G225" s="284" t="n">
        <x:v>15</x:v>
      </x:c>
      <x:c r="H225" s="287" t="n">
        <x:v>39.31666666666667</x:v>
      </x:c>
      <x:c r="I225" s="285" t="n">
        <x:v>0.1005952380952381</x:v>
      </x:c>
      <x:c r="J225" s="285" t="n">
        <x:v>0.352695652173913</x:v>
      </x:c>
      <x:c r="K225" s="287" t="n">
        <x:v>52.64516129032258</x:v>
      </x:c>
      <x:c r="L225" s="285" t="n">
        <x:v>0.1313364055299539</x:v>
      </x:c>
      <x:c r="M225" s="284" t="n">
        <x:v>31</x:v>
      </x:c>
      <x:c r="N225" s="284" t="n">
        <x:v>3600</x:v>
      </x:c>
      <x:c r="O225" s="284" t="str"/>
    </x:row>
    <x:row r="226" ht="27" customHeight="1">
      <x:c r="A226" s="283" t="n">
        <x:v>222</x:v>
      </x:c>
      <x:c r="B226" s="283" t="n">
        <x:v>839</x:v>
      </x:c>
      <x:c r="C226" s="283" t="str">
        <x:f>IF(AND(A226&lt;='定義與範圍'!$B$7,B226&lt;='定義與範圍'!$B$7),"是","")</x:f>
      </x:c>
      <x:c r="D226" s="283" t="str">
        <x:v>僅高失衡</x:v>
      </x:c>
      <x:c r="E226" s="283" t="str">
        <x:v>文化二路一段68巷口</x:v>
      </x:c>
      <x:c r="F226" s="283" t="str">
        <x:v>林口區</x:v>
      </x:c>
      <x:c r="G226" s="283" t="n">
        <x:v>21</x:v>
      </x:c>
      <x:c r="H226" s="288" t="n">
        <x:v>44.025</x:v>
      </x:c>
      <x:c r="I226" s="286" t="n">
        <x:v>0.1005952380952381</x:v>
      </x:c>
      <x:c r="J226" s="286" t="n">
        <x:v>0.3490434782608695</x:v>
      </x:c>
      <x:c r="K226" s="288" t="n">
        <x:v>67.38709677419355</x:v>
      </x:c>
      <x:c r="L226" s="286" t="n">
        <x:v>0.1013824884792626</x:v>
      </x:c>
      <x:c r="M226" s="283" t="n">
        <x:v>37</x:v>
      </x:c>
      <x:c r="N226" s="283" t="n">
        <x:v>4770</x:v>
      </x:c>
      <x:c r="O226" s="283" t="str"/>
    </x:row>
    <x:row r="227" ht="27" customHeight="1">
      <x:c r="A227" s="284" t="n">
        <x:v>223</x:v>
      </x:c>
      <x:c r="B227" s="284" t="n">
        <x:v>629</x:v>
      </x:c>
      <x:c r="C227" s="284" t="str">
        <x:f>IF(AND(A227&lt;='定義與範圍'!$B$7,B227&lt;='定義與範圍'!$B$7),"是","")</x:f>
      </x:c>
      <x:c r="D227" s="284" t="str">
        <x:v>僅高失衡</x:v>
      </x:c>
      <x:c r="E227" s="284" t="str">
        <x:v>莊敬路25巷口</x:v>
      </x:c>
      <x:c r="F227" s="284" t="str">
        <x:v>板橋區</x:v>
      </x:c>
      <x:c r="G227" s="284" t="n">
        <x:v>23</x:v>
      </x:c>
      <x:c r="H227" s="287" t="n">
        <x:v>56.625</x:v>
      </x:c>
      <x:c r="I227" s="285" t="n">
        <x:v>0.1005952380952381</x:v>
      </x:c>
      <x:c r="J227" s="285" t="n">
        <x:v>0.4104347826086956</x:v>
      </x:c>
      <x:c r="K227" s="287" t="n">
        <x:v>84.12903225806451</x:v>
      </x:c>
      <x:c r="L227" s="285" t="n">
        <x:v>0.064516129032258</x:v>
      </x:c>
      <x:c r="M227" s="284" t="n">
        <x:v>14</x:v>
      </x:c>
      <x:c r="N227" s="284" t="n">
        <x:v>1950</x:v>
      </x:c>
      <x:c r="O227" s="284" t="str"/>
    </x:row>
    <x:row r="228" ht="27" customHeight="1">
      <x:c r="A228" s="283" t="n">
        <x:v>224</x:v>
      </x:c>
      <x:c r="B228" s="283" t="n">
        <x:v>434</x:v>
      </x:c>
      <x:c r="C228" s="283" t="str">
        <x:f>IF(AND(A228&lt;='定義與範圍'!$B$7,B228&lt;='定義與範圍'!$B$7),"是","")</x:f>
      </x:c>
      <x:c r="D228" s="283" t="str">
        <x:v>僅高失衡</x:v>
      </x:c>
      <x:c r="E228" s="283" t="str">
        <x:v>府中立體停車場</x:v>
      </x:c>
      <x:c r="F228" s="283" t="str">
        <x:v>板橋區</x:v>
      </x:c>
      <x:c r="G228" s="283" t="n">
        <x:v>15</x:v>
      </x:c>
      <x:c r="H228" s="288" t="n">
        <x:v>69.23333333333333</x:v>
      </x:c>
      <x:c r="I228" s="286" t="n">
        <x:v>0.1</x:v>
      </x:c>
      <x:c r="J228" s="286" t="n">
        <x:v>0.496</x:v>
      </x:c>
      <x:c r="K228" s="288" t="n">
        <x:v>87.03225806451613</x:v>
      </x:c>
      <x:c r="L228" s="286" t="n">
        <x:v>0.1313364055299539</x:v>
      </x:c>
      <x:c r="M228" s="283" t="n">
        <x:v>23</x:v>
      </x:c>
      <x:c r="N228" s="283" t="n">
        <x:v>3270</x:v>
      </x:c>
      <x:c r="O228" s="283" t="str"/>
    </x:row>
    <x:row r="229" ht="27" customHeight="1">
      <x:c r="A229" s="284" t="n">
        <x:v>225</x:v>
      </x:c>
      <x:c r="B229" s="284" t="n">
        <x:v>298</x:v>
      </x:c>
      <x:c r="C229" s="284" t="str">
        <x:f>IF(AND(A229&lt;='定義與範圍'!$B$7,B229&lt;='定義與範圍'!$B$7),"是","")</x:f>
        <x:v>是</x:v>
      </x:c>
      <x:c r="D229" s="284" t="str">
        <x:v>高活動＋高失衡</x:v>
      </x:c>
      <x:c r="E229" s="284" t="str">
        <x:v>捷運幸福站(2號出口)</x:v>
      </x:c>
      <x:c r="F229" s="284" t="str">
        <x:v>新莊區</x:v>
      </x:c>
      <x:c r="G229" s="284" t="n">
        <x:v>35</x:v>
      </x:c>
      <x:c r="H229" s="287" t="n">
        <x:v>81.04166666666667</x:v>
      </x:c>
      <x:c r="I229" s="285" t="n">
        <x:v>0.1</x:v>
      </x:c>
      <x:c r="J229" s="285" t="n">
        <x:v>0.4697391304347826</x:v>
      </x:c>
      <x:c r="K229" s="287" t="n">
        <x:v>107.83870967741936</x:v>
      </x:c>
      <x:c r="L229" s="285" t="n">
        <x:v>0.1105990783410138</x:v>
      </x:c>
      <x:c r="M229" s="284" t="n">
        <x:v>44</x:v>
      </x:c>
      <x:c r="N229" s="284" t="n">
        <x:v>6270</x:v>
      </x:c>
      <x:c r="O229" s="284" t="str"/>
    </x:row>
    <x:row r="230" ht="27" customHeight="1">
      <x:c r="A230" s="283" t="n">
        <x:v>226</x:v>
      </x:c>
      <x:c r="B230" s="283" t="n">
        <x:v>1013</x:v>
      </x:c>
      <x:c r="C230" s="283" t="str">
        <x:f>IF(AND(A230&lt;='定義與範圍'!$B$7,B230&lt;='定義與範圍'!$B$7),"是","")</x:f>
      </x:c>
      <x:c r="D230" s="283" t="str">
        <x:v>僅高失衡</x:v>
      </x:c>
      <x:c r="E230" s="283" t="str">
        <x:v>淡金路38巷尾</x:v>
      </x:c>
      <x:c r="F230" s="283" t="str">
        <x:v>淡水區</x:v>
      </x:c>
      <x:c r="G230" s="283" t="n">
        <x:v>10</x:v>
      </x:c>
      <x:c r="H230" s="288" t="n">
        <x:v>34.925</x:v>
      </x:c>
      <x:c r="I230" s="286" t="n">
        <x:v>0.0994047619047619</x:v>
      </x:c>
      <x:c r="J230" s="286" t="n">
        <x:v>0.3076521739130435</x:v>
      </x:c>
      <x:c r="K230" s="288" t="n">
        <x:v>47.67741935483871</x:v>
      </x:c>
      <x:c r="L230" s="286" t="n">
        <x:v>0.1359447004608295</x:v>
      </x:c>
      <x:c r="M230" s="283" t="n">
        <x:v>50</x:v>
      </x:c>
      <x:c r="N230" s="283" t="n">
        <x:v>8640</x:v>
      </x:c>
      <x:c r="O230" s="283" t="str"/>
    </x:row>
    <x:row r="231" ht="27" customHeight="1">
      <x:c r="A231" s="284" t="n">
        <x:v>227</x:v>
      </x:c>
      <x:c r="B231" s="284" t="n">
        <x:v>618</x:v>
      </x:c>
      <x:c r="C231" s="284" t="str">
        <x:f>IF(AND(A231&lt;='定義與範圍'!$B$7,B231&lt;='定義與範圍'!$B$7),"是","")</x:f>
      </x:c>
      <x:c r="D231" s="284" t="str">
        <x:v>僅高失衡</x:v>
      </x:c>
      <x:c r="E231" s="284" t="str">
        <x:v>中山橋安街口</x:v>
      </x:c>
      <x:c r="F231" s="284" t="str">
        <x:v>中和區</x:v>
      </x:c>
      <x:c r="G231" s="284" t="n">
        <x:v>12</x:v>
      </x:c>
      <x:c r="H231" s="287" t="n">
        <x:v>57.43333333333333</x:v>
      </x:c>
      <x:c r="I231" s="285" t="n">
        <x:v>0.0994047619047619</x:v>
      </x:c>
      <x:c r="J231" s="285" t="n">
        <x:v>0.4417391304347826</x:v>
      </x:c>
      <x:c r="K231" s="287" t="n">
        <x:v>75</x:v>
      </x:c>
      <x:c r="L231" s="285" t="n">
        <x:v>0.1244239631336405</x:v>
      </x:c>
      <x:c r="M231" s="284" t="n">
        <x:v>26</x:v>
      </x:c>
      <x:c r="N231" s="284" t="n">
        <x:v>4170</x:v>
      </x:c>
      <x:c r="O231" s="284" t="str"/>
    </x:row>
    <x:row r="232" ht="27" customHeight="1">
      <x:c r="A232" s="283" t="n">
        <x:v>228</x:v>
      </x:c>
      <x:c r="B232" s="283" t="n">
        <x:v>1288</x:v>
      </x:c>
      <x:c r="C232" s="283" t="str">
        <x:f>IF(AND(A232&lt;='定義與範圍'!$B$7,B232&lt;='定義與範圍'!$B$7),"是","")</x:f>
      </x:c>
      <x:c r="D232" s="283" t="str">
        <x:v>僅高失衡</x:v>
      </x:c>
      <x:c r="E232" s="283" t="str">
        <x:v>永成市民活動中心</x:v>
      </x:c>
      <x:c r="F232" s="283" t="str">
        <x:v>永和區</x:v>
      </x:c>
      <x:c r="G232" s="283" t="n">
        <x:v>12</x:v>
      </x:c>
      <x:c r="H232" s="288" t="n">
        <x:v>20.10833333333333</x:v>
      </x:c>
      <x:c r="I232" s="286" t="n">
        <x:v>0.0994047619047619</x:v>
      </x:c>
      <x:c r="J232" s="286" t="n">
        <x:v>0.2415652173913043</x:v>
      </x:c>
      <x:c r="K232" s="288" t="n">
        <x:v>12.161290322580646</x:v>
      </x:c>
      <x:c r="L232" s="286" t="n">
        <x:v>0.1175115207373272</x:v>
      </x:c>
      <x:c r="M232" s="283" t="n">
        <x:v>7</x:v>
      </x:c>
      <x:c r="N232" s="283" t="n">
        <x:v>4080</x:v>
      </x:c>
      <x:c r="O232" s="283" t="str"/>
    </x:row>
    <x:row r="233" ht="27" customHeight="1">
      <x:c r="A233" s="284" t="n">
        <x:v>229</x:v>
      </x:c>
      <x:c r="B233" s="284" t="n">
        <x:v>893</x:v>
      </x:c>
      <x:c r="C233" s="284" t="str">
        <x:f>IF(AND(A233&lt;='定義與範圍'!$B$7,B233&lt;='定義與範圍'!$B$7),"是","")</x:f>
      </x:c>
      <x:c r="D233" s="284" t="str">
        <x:v>僅高失衡</x:v>
      </x:c>
      <x:c r="E233" s="284" t="str">
        <x:v>水碓立體停車場</x:v>
      </x:c>
      <x:c r="F233" s="284" t="str">
        <x:v>淡水區</x:v>
      </x:c>
      <x:c r="G233" s="284" t="n">
        <x:v>15</x:v>
      </x:c>
      <x:c r="H233" s="287" t="n">
        <x:v>40.958333333333336</x:v>
      </x:c>
      <x:c r="I233" s="285" t="n">
        <x:v>0.0994047619047619</x:v>
      </x:c>
      <x:c r="J233" s="285" t="n">
        <x:v>0.372695652173913</x:v>
      </x:c>
      <x:c r="K233" s="287" t="n">
        <x:v>60.29032258064516</x:v>
      </x:c>
      <x:c r="L233" s="285" t="n">
        <x:v>0.1820276497695852</x:v>
      </x:c>
      <x:c r="M233" s="284" t="n">
        <x:v>49</x:v>
      </x:c>
      <x:c r="N233" s="284" t="n">
        <x:v>5340</x:v>
      </x:c>
      <x:c r="O233" s="284" t="str"/>
    </x:row>
    <x:row r="234" ht="27" customHeight="1">
      <x:c r="A234" s="283" t="n">
        <x:v>230</x:v>
      </x:c>
      <x:c r="B234" s="283" t="n">
        <x:v>885</x:v>
      </x:c>
      <x:c r="C234" s="283" t="str">
        <x:f>IF(AND(A234&lt;='定義與範圍'!$B$7,B234&lt;='定義與範圍'!$B$7),"是","")</x:f>
      </x:c>
      <x:c r="D234" s="283" t="str">
        <x:v>僅高失衡</x:v>
      </x:c>
      <x:c r="E234" s="283" t="str">
        <x:v>懷石公園</x:v>
      </x:c>
      <x:c r="F234" s="283" t="str">
        <x:v>板橋區</x:v>
      </x:c>
      <x:c r="G234" s="283" t="n">
        <x:v>17</x:v>
      </x:c>
      <x:c r="H234" s="288" t="n">
        <x:v>41.29166666666666</x:v>
      </x:c>
      <x:c r="I234" s="286" t="n">
        <x:v>0.0994047619047619</x:v>
      </x:c>
      <x:c r="J234" s="286" t="n">
        <x:v>0.3673043478260869</x:v>
      </x:c>
      <x:c r="K234" s="288" t="n">
        <x:v>58.096774193548384</x:v>
      </x:c>
      <x:c r="L234" s="286" t="n">
        <x:v>0.1152073732718894</x:v>
      </x:c>
      <x:c r="M234" s="283" t="n">
        <x:v>31</x:v>
      </x:c>
      <x:c r="N234" s="283" t="n">
        <x:v>3270</x:v>
      </x:c>
      <x:c r="O234" s="283" t="str"/>
    </x:row>
    <x:row r="235" ht="27" customHeight="1">
      <x:c r="A235" s="284" t="n">
        <x:v>231</x:v>
      </x:c>
      <x:c r="B235" s="284" t="n">
        <x:v>694</x:v>
      </x:c>
      <x:c r="C235" s="284" t="str">
        <x:f>IF(AND(A235&lt;='定義與範圍'!$B$7,B235&lt;='定義與範圍'!$B$7),"是","")</x:f>
      </x:c>
      <x:c r="D235" s="284" t="str">
        <x:v>僅高失衡</x:v>
      </x:c>
      <x:c r="E235" s="284" t="str">
        <x:v>國家電影及視聽文化中心</x:v>
      </x:c>
      <x:c r="F235" s="284" t="str">
        <x:v>新莊區</x:v>
      </x:c>
      <x:c r="G235" s="284" t="n">
        <x:v>20</x:v>
      </x:c>
      <x:c r="H235" s="287" t="n">
        <x:v>52.00833333333333</x:v>
      </x:c>
      <x:c r="I235" s="285" t="n">
        <x:v>0.0994047619047619</x:v>
      </x:c>
      <x:c r="J235" s="285" t="n">
        <x:v>0.4113043478260869</x:v>
      </x:c>
      <x:c r="K235" s="287" t="n">
        <x:v>76.12903225806451</x:v>
      </x:c>
      <x:c r="L235" s="285" t="n">
        <x:v>0.1175115207373272</x:v>
      </x:c>
      <x:c r="M235" s="284" t="n">
        <x:v>29</x:v>
      </x:c>
      <x:c r="N235" s="284" t="n">
        <x:v>4290</x:v>
      </x:c>
      <x:c r="O235" s="284" t="str"/>
    </x:row>
    <x:row r="236" ht="27" customHeight="1">
      <x:c r="A236" s="283" t="n">
        <x:v>232</x:v>
      </x:c>
      <x:c r="B236" s="283" t="n">
        <x:v>604</x:v>
      </x:c>
      <x:c r="C236" s="283" t="str">
        <x:f>IF(AND(A236&lt;='定義與範圍'!$B$7,B236&lt;='定義與範圍'!$B$7),"是","")</x:f>
      </x:c>
      <x:c r="D236" s="283" t="str">
        <x:v>僅高失衡</x:v>
      </x:c>
      <x:c r="E236" s="283" t="str">
        <x:v>新北市立鶯歌高級工商職業學校</x:v>
      </x:c>
      <x:c r="F236" s="283" t="str">
        <x:v>鶯歌區</x:v>
      </x:c>
      <x:c r="G236" s="283" t="n">
        <x:v>56</x:v>
      </x:c>
      <x:c r="H236" s="288" t="n">
        <x:v>58.5</x:v>
      </x:c>
      <x:c r="I236" s="286" t="n">
        <x:v>0.0994047619047619</x:v>
      </x:c>
      <x:c r="J236" s="286" t="n">
        <x:v>0.2810434782608695</x:v>
      </x:c>
      <x:c r="K236" s="288" t="n">
        <x:v>91.16129032258064</x:v>
      </x:c>
      <x:c r="L236" s="286" t="n">
        <x:v>0.0714285714285714</x:v>
      </x:c>
      <x:c r="M236" s="283" t="n">
        <x:v>10</x:v>
      </x:c>
      <x:c r="N236" s="283" t="n">
        <x:v>1170</x:v>
      </x:c>
      <x:c r="O236" s="283" t="str"/>
    </x:row>
    <x:row r="237" ht="27" customHeight="1">
      <x:c r="A237" s="284" t="n">
        <x:v>233</x:v>
      </x:c>
      <x:c r="B237" s="284" t="n">
        <x:v>571</x:v>
      </x:c>
      <x:c r="C237" s="284" t="str">
        <x:f>IF(AND(A237&lt;='定義與範圍'!$B$7,B237&lt;='定義與範圍'!$B$7),"是","")</x:f>
      </x:c>
      <x:c r="D237" s="284" t="str">
        <x:v>僅高失衡</x:v>
      </x:c>
      <x:c r="E237" s="284" t="str">
        <x:v>景新國小</x:v>
      </x:c>
      <x:c r="F237" s="284" t="str">
        <x:v>中和區</x:v>
      </x:c>
      <x:c r="G237" s="284" t="n">
        <x:v>14</x:v>
      </x:c>
      <x:c r="H237" s="287" t="n">
        <x:v>60.141666666666666</x:v>
      </x:c>
      <x:c r="I237" s="285" t="n">
        <x:v>0.0988095238095238</x:v>
      </x:c>
      <x:c r="J237" s="285" t="n">
        <x:v>0.481391304347826</x:v>
      </x:c>
      <x:c r="K237" s="287" t="n">
        <x:v>80.16129032258064</x:v>
      </x:c>
      <x:c r="L237" s="285" t="n">
        <x:v>0.1336405529953917</x:v>
      </x:c>
      <x:c r="M237" s="284" t="n">
        <x:v>29</x:v>
      </x:c>
      <x:c r="N237" s="284" t="n">
        <x:v>3900</x:v>
      </x:c>
      <x:c r="O237" s="284" t="str"/>
    </x:row>
    <x:row r="238" ht="27" customHeight="1">
      <x:c r="A238" s="283" t="n">
        <x:v>234</x:v>
      </x:c>
      <x:c r="B238" s="283" t="n">
        <x:v>693</x:v>
      </x:c>
      <x:c r="C238" s="283" t="str">
        <x:f>IF(AND(A238&lt;='定義與範圍'!$B$7,B238&lt;='定義與範圍'!$B$7),"是","")</x:f>
      </x:c>
      <x:c r="D238" s="283" t="str">
        <x:v>僅高失衡</x:v>
      </x:c>
      <x:c r="E238" s="283" t="str">
        <x:v>西安市民活動中心</x:v>
      </x:c>
      <x:c r="F238" s="283" t="str">
        <x:v>板橋區</x:v>
      </x:c>
      <x:c r="G238" s="283" t="n">
        <x:v>27</x:v>
      </x:c>
      <x:c r="H238" s="288" t="n">
        <x:v>52.04166666666666</x:v>
      </x:c>
      <x:c r="I238" s="286" t="n">
        <x:v>0.0988095238095238</x:v>
      </x:c>
      <x:c r="J238" s="286" t="n">
        <x:v>0.4100869565217391</x:v>
      </x:c>
      <x:c r="K238" s="288" t="n">
        <x:v>64.16129032258064</x:v>
      </x:c>
      <x:c r="L238" s="286" t="n">
        <x:v>0.1497695852534562</x:v>
      </x:c>
      <x:c r="M238" s="283" t="n">
        <x:v>42</x:v>
      </x:c>
      <x:c r="N238" s="283" t="n">
        <x:v>4500</x:v>
      </x:c>
      <x:c r="O238" s="283" t="str"/>
    </x:row>
    <x:row r="239" ht="27" customHeight="1">
      <x:c r="A239" s="284" t="n">
        <x:v>235</x:v>
      </x:c>
      <x:c r="B239" s="284" t="n">
        <x:v>378</x:v>
      </x:c>
      <x:c r="C239" s="284" t="str">
        <x:f>IF(AND(A239&lt;='定義與範圍'!$B$7,B239&lt;='定義與範圍'!$B$7),"是","")</x:f>
      </x:c>
      <x:c r="D239" s="284" t="str">
        <x:v>僅高失衡</x:v>
      </x:c>
      <x:c r="E239" s="284" t="str">
        <x:v>安康高中</x:v>
      </x:c>
      <x:c r="F239" s="284" t="str">
        <x:v>新店區</x:v>
      </x:c>
      <x:c r="G239" s="284" t="n">
        <x:v>75</x:v>
      </x:c>
      <x:c r="H239" s="287" t="n">
        <x:v>73.79166666666667</x:v>
      </x:c>
      <x:c r="I239" s="285" t="n">
        <x:v>0.0982142857142857</x:v>
      </x:c>
      <x:c r="J239" s="285" t="n">
        <x:v>0.3751304347826087</x:v>
      </x:c>
      <x:c r="K239" s="287" t="n">
        <x:v>117.61290322580643</x:v>
      </x:c>
      <x:c r="L239" s="285" t="n">
        <x:v>0.1221198156682027</x:v>
      </x:c>
      <x:c r="M239" s="284" t="n">
        <x:v>17</x:v>
      </x:c>
      <x:c r="N239" s="284" t="n">
        <x:v>1950</x:v>
      </x:c>
      <x:c r="O239" s="284" t="str"/>
    </x:row>
    <x:row r="240" ht="27" customHeight="1">
      <x:c r="A240" s="283" t="n">
        <x:v>236</x:v>
      </x:c>
      <x:c r="B240" s="283" t="n">
        <x:v>767</x:v>
      </x:c>
      <x:c r="C240" s="283" t="str">
        <x:f>IF(AND(A240&lt;='定義與範圍'!$B$7,B240&lt;='定義與範圍'!$B$7),"是","")</x:f>
      </x:c>
      <x:c r="D240" s="283" t="str">
        <x:v>僅高失衡</x:v>
      </x:c>
      <x:c r="E240" s="283" t="str">
        <x:v>玫瑰公園</x:v>
      </x:c>
      <x:c r="F240" s="283" t="str">
        <x:v>板橋區</x:v>
      </x:c>
      <x:c r="G240" s="283" t="n">
        <x:v>14</x:v>
      </x:c>
      <x:c r="H240" s="288" t="n">
        <x:v>48.55833333333333</x:v>
      </x:c>
      <x:c r="I240" s="286" t="n">
        <x:v>0.0976190476190476</x:v>
      </x:c>
      <x:c r="J240" s="286" t="n">
        <x:v>0.4194782608695652</x:v>
      </x:c>
      <x:c r="K240" s="288" t="n">
        <x:v>66.25806451612904</x:v>
      </x:c>
      <x:c r="L240" s="286" t="n">
        <x:v>0.0967741935483871</x:v>
      </x:c>
      <x:c r="M240" s="283" t="n">
        <x:v>25</x:v>
      </x:c>
      <x:c r="N240" s="283" t="n">
        <x:v>3360</x:v>
      </x:c>
      <x:c r="O240" s="283" t="str"/>
    </x:row>
    <x:row r="241" ht="27" customHeight="1">
      <x:c r="A241" s="284" t="n">
        <x:v>237</x:v>
      </x:c>
      <x:c r="B241" s="284" t="n">
        <x:v>1162</x:v>
      </x:c>
      <x:c r="C241" s="284" t="str">
        <x:f>IF(AND(A241&lt;='定義與範圍'!$B$7,B241&lt;='定義與範圍'!$B$7),"是","")</x:f>
      </x:c>
      <x:c r="D241" s="284" t="str">
        <x:v>僅高失衡</x:v>
      </x:c>
      <x:c r="E241" s="284" t="str">
        <x:v>國家人權博物館</x:v>
      </x:c>
      <x:c r="F241" s="284" t="str">
        <x:v>新店區</x:v>
      </x:c>
      <x:c r="G241" s="284" t="n">
        <x:v>15</x:v>
      </x:c>
      <x:c r="H241" s="287" t="n">
        <x:v>27.3</x:v>
      </x:c>
      <x:c r="I241" s="285" t="n">
        <x:v>0.0976190476190476</x:v>
      </x:c>
      <x:c r="J241" s="285" t="n">
        <x:v>0.256695652173913</x:v>
      </x:c>
      <x:c r="K241" s="287" t="n">
        <x:v>36.29032258064516</x:v>
      </x:c>
      <x:c r="L241" s="285" t="n">
        <x:v>0.1198156682027649</x:v>
      </x:c>
      <x:c r="M241" s="284" t="n">
        <x:v>23</x:v>
      </x:c>
      <x:c r="N241" s="284" t="n">
        <x:v>2520</x:v>
      </x:c>
      <x:c r="O241" s="284" t="str"/>
    </x:row>
    <x:row r="242" ht="27" customHeight="1">
      <x:c r="A242" s="283" t="n">
        <x:v>238</x:v>
      </x:c>
      <x:c r="B242" s="283" t="n">
        <x:v>1201</x:v>
      </x:c>
      <x:c r="C242" s="283" t="str">
        <x:f>IF(AND(A242&lt;='定義與範圍'!$B$7,B242&lt;='定義與範圍'!$B$7),"是","")</x:f>
      </x:c>
      <x:c r="D242" s="283" t="str">
        <x:v>僅高失衡</x:v>
      </x:c>
      <x:c r="E242" s="283" t="str">
        <x:v>濱海路二段/濱海路二段202巷</x:v>
      </x:c>
      <x:c r="F242" s="283" t="str">
        <x:v>淡水區</x:v>
      </x:c>
      <x:c r="G242" s="283" t="n">
        <x:v>15</x:v>
      </x:c>
      <x:c r="H242" s="288" t="n">
        <x:v>25.6</x:v>
      </x:c>
      <x:c r="I242" s="286" t="n">
        <x:v>0.0976190476190476</x:v>
      </x:c>
      <x:c r="J242" s="286" t="n">
        <x:v>0.2584347826086957</x:v>
      </x:c>
      <x:c r="K242" s="288" t="n">
        <x:v>36.12903225806452</x:v>
      </x:c>
      <x:c r="L242" s="286" t="n">
        <x:v>0.1267281105990783</x:v>
      </x:c>
      <x:c r="M242" s="283" t="n">
        <x:v>26</x:v>
      </x:c>
      <x:c r="N242" s="283" t="n">
        <x:v>4140</x:v>
      </x:c>
      <x:c r="O242" s="283" t="str"/>
    </x:row>
    <x:row r="243" ht="27" customHeight="1">
      <x:c r="A243" s="284" t="n">
        <x:v>239</x:v>
      </x:c>
      <x:c r="B243" s="284" t="n">
        <x:v>319</x:v>
      </x:c>
      <x:c r="C243" s="284" t="str">
        <x:f>IF(AND(A243&lt;='定義與範圍'!$B$7,B243&lt;='定義與範圍'!$B$7),"是","")</x:f>
        <x:v>是</x:v>
      </x:c>
      <x:c r="D243" s="284" t="str">
        <x:v>高活動＋高失衡</x:v>
      </x:c>
      <x:c r="E243" s="284" t="str">
        <x:v>思賢國小(自由街)</x:v>
      </x:c>
      <x:c r="F243" s="284" t="str">
        <x:v>新莊區</x:v>
      </x:c>
      <x:c r="G243" s="284" t="n">
        <x:v>21</x:v>
      </x:c>
      <x:c r="H243" s="287" t="n">
        <x:v>78.58333333333333</x:v>
      </x:c>
      <x:c r="I243" s="285" t="n">
        <x:v>0.0976190476190476</x:v>
      </x:c>
      <x:c r="J243" s="285" t="n">
        <x:v>0.5106086956521739</x:v>
      </x:c>
      <x:c r="K243" s="287" t="n">
        <x:v>104.83870967741936</x:v>
      </x:c>
      <x:c r="L243" s="285" t="n">
        <x:v>0.0944700460829493</x:v>
      </x:c>
      <x:c r="M243" s="284" t="n">
        <x:v>15</x:v>
      </x:c>
      <x:c r="N243" s="284" t="n">
        <x:v>2280</x:v>
      </x:c>
      <x:c r="O243" s="284" t="str"/>
    </x:row>
    <x:row r="244" ht="27" customHeight="1">
      <x:c r="A244" s="283" t="n">
        <x:v>240</x:v>
      </x:c>
      <x:c r="B244" s="283" t="n">
        <x:v>225</x:v>
      </x:c>
      <x:c r="C244" s="283" t="str">
        <x:f>IF(AND(A244&lt;='定義與範圍'!$B$7,B244&lt;='定義與範圍'!$B$7),"是","")</x:f>
        <x:v>是</x:v>
      </x:c>
      <x:c r="D244" s="283" t="str">
        <x:v>高活動＋高失衡</x:v>
      </x:c>
      <x:c r="E244" s="283" t="str">
        <x:v>永豐公園活動中心</x:v>
      </x:c>
      <x:c r="F244" s="283" t="str">
        <x:v>板橋區</x:v>
      </x:c>
      <x:c r="G244" s="283" t="n">
        <x:v>32</x:v>
      </x:c>
      <x:c r="H244" s="288" t="n">
        <x:v>89.54166666666667</x:v>
      </x:c>
      <x:c r="I244" s="286" t="n">
        <x:v>0.0976190476190476</x:v>
      </x:c>
      <x:c r="J244" s="286" t="n">
        <x:v>0.5260869565217391</x:v>
      </x:c>
      <x:c r="K244" s="288" t="n">
        <x:v>110.29032258064515</x:v>
      </x:c>
      <x:c r="L244" s="286" t="n">
        <x:v>0.0944700460829493</x:v>
      </x:c>
      <x:c r="M244" s="283" t="n">
        <x:v>30</x:v>
      </x:c>
      <x:c r="N244" s="283" t="n">
        <x:v>3390</x:v>
      </x:c>
      <x:c r="O244" s="283" t="str"/>
    </x:row>
    <x:row r="245" ht="27" customHeight="1">
      <x:c r="A245" s="284" t="n">
        <x:v>241</x:v>
      </x:c>
      <x:c r="B245" s="284" t="n">
        <x:v>535</x:v>
      </x:c>
      <x:c r="C245" s="284" t="str">
        <x:f>IF(AND(A245&lt;='定義與範圍'!$B$7,B245&lt;='定義與範圍'!$B$7),"是","")</x:f>
      </x:c>
      <x:c r="D245" s="284" t="str">
        <x:v>僅高失衡</x:v>
      </x:c>
      <x:c r="E245" s="284" t="str">
        <x:v>忠誠里(北新路2段97巷)</x:v>
      </x:c>
      <x:c r="F245" s="284" t="str">
        <x:v>新店區</x:v>
      </x:c>
      <x:c r="G245" s="284" t="n">
        <x:v>40</x:v>
      </x:c>
      <x:c r="H245" s="287" t="n">
        <x:v>62.891666666666666</x:v>
      </x:c>
      <x:c r="I245" s="285" t="n">
        <x:v>0.0976190476190476</x:v>
      </x:c>
      <x:c r="J245" s="285" t="n">
        <x:v>0.4549565217391304</x:v>
      </x:c>
      <x:c r="K245" s="287" t="n">
        <x:v>91.41935483870968</x:v>
      </x:c>
      <x:c r="L245" s="285" t="n">
        <x:v>0.0714285714285714</x:v>
      </x:c>
      <x:c r="M245" s="284" t="n">
        <x:v>38</x:v>
      </x:c>
      <x:c r="N245" s="284" t="n">
        <x:v>4680</x:v>
      </x:c>
      <x:c r="O245" s="284" t="str"/>
    </x:row>
    <x:row r="246" ht="27" customHeight="1">
      <x:c r="A246" s="283" t="n">
        <x:v>242</x:v>
      </x:c>
      <x:c r="B246" s="283" t="n">
        <x:v>567</x:v>
      </x:c>
      <x:c r="C246" s="283" t="str">
        <x:f>IF(AND(A246&lt;='定義與範圍'!$B$7,B246&lt;='定義與範圍'!$B$7),"是","")</x:f>
      </x:c>
      <x:c r="D246" s="283" t="str">
        <x:v>僅高失衡</x:v>
      </x:c>
      <x:c r="E246" s="283" t="str">
        <x:v>正和中正路口</x:v>
      </x:c>
      <x:c r="F246" s="283" t="str">
        <x:v>蘆洲區</x:v>
      </x:c>
      <x:c r="G246" s="283" t="n">
        <x:v>12</x:v>
      </x:c>
      <x:c r="H246" s="288" t="n">
        <x:v>60.333333333333336</x:v>
      </x:c>
      <x:c r="I246" s="286" t="n">
        <x:v>0.0970238095238095</x:v>
      </x:c>
      <x:c r="J246" s="286" t="n">
        <x:v>0.5304347826086957</x:v>
      </x:c>
      <x:c r="K246" s="288" t="n">
        <x:v>80</x:v>
      </x:c>
      <x:c r="L246" s="286" t="n">
        <x:v>0.1313364055299539</x:v>
      </x:c>
      <x:c r="M246" s="283" t="n">
        <x:v>24</x:v>
      </x:c>
      <x:c r="N246" s="283" t="n">
        <x:v>4170</x:v>
      </x:c>
      <x:c r="O246" s="283" t="str"/>
    </x:row>
    <x:row r="247" ht="27" customHeight="1">
      <x:c r="A247" s="284" t="n">
        <x:v>243</x:v>
      </x:c>
      <x:c r="B247" s="284" t="n">
        <x:v>530</x:v>
      </x:c>
      <x:c r="C247" s="284" t="str">
        <x:f>IF(AND(A247&lt;='定義與範圍'!$B$7,B247&lt;='定義與範圍'!$B$7),"是","")</x:f>
      </x:c>
      <x:c r="D247" s="284" t="str">
        <x:v>僅高失衡</x:v>
      </x:c>
      <x:c r="E247" s="284" t="str">
        <x:v>景本里集會所</x:v>
      </x:c>
      <x:c r="F247" s="284" t="str">
        <x:v>中和區</x:v>
      </x:c>
      <x:c r="G247" s="284" t="n">
        <x:v>15</x:v>
      </x:c>
      <x:c r="H247" s="287" t="n">
        <x:v>63.18333333333333</x:v>
      </x:c>
      <x:c r="I247" s="285" t="n">
        <x:v>0.0970238095238095</x:v>
      </x:c>
      <x:c r="J247" s="285" t="n">
        <x:v>0.4951304347826087</x:v>
      </x:c>
      <x:c r="K247" s="287" t="n">
        <x:v>79.54838709677419</x:v>
      </x:c>
      <x:c r="L247" s="285" t="n">
        <x:v>0.152073732718894</x:v>
      </x:c>
      <x:c r="M247" s="284" t="n">
        <x:v>35</x:v>
      </x:c>
      <x:c r="N247" s="284" t="n">
        <x:v>4920</x:v>
      </x:c>
      <x:c r="O247" s="284" t="str"/>
    </x:row>
    <x:row r="248" ht="27" customHeight="1">
      <x:c r="A248" s="283" t="n">
        <x:v>244</x:v>
      </x:c>
      <x:c r="B248" s="283" t="n">
        <x:v>706</x:v>
      </x:c>
      <x:c r="C248" s="283" t="str">
        <x:f>IF(AND(A248&lt;='定義與範圍'!$B$7,B248&lt;='定義與範圍'!$B$7),"是","")</x:f>
      </x:c>
      <x:c r="D248" s="283" t="str">
        <x:v>僅高失衡</x:v>
      </x:c>
      <x:c r="E248" s="283" t="str">
        <x:v>立德青雲路口</x:v>
      </x:c>
      <x:c r="F248" s="283" t="str">
        <x:v>土城區</x:v>
      </x:c>
      <x:c r="G248" s="283" t="n">
        <x:v>40</x:v>
      </x:c>
      <x:c r="H248" s="288" t="n">
        <x:v>51.625</x:v>
      </x:c>
      <x:c r="I248" s="286" t="n">
        <x:v>0.0970238095238095</x:v>
      </x:c>
      <x:c r="J248" s="286" t="n">
        <x:v>0.4111304347826087</x:v>
      </x:c>
      <x:c r="K248" s="288" t="n">
        <x:v>63.41935483870968</x:v>
      </x:c>
      <x:c r="L248" s="286" t="n">
        <x:v>0.1336405529953917</x:v>
      </x:c>
      <x:c r="M248" s="283" t="n">
        <x:v>25</x:v>
      </x:c>
      <x:c r="N248" s="283" t="n">
        <x:v>3300</x:v>
      </x:c>
      <x:c r="O248" s="283" t="str"/>
    </x:row>
    <x:row r="249" ht="27" customHeight="1">
      <x:c r="A249" s="284" t="n">
        <x:v>245</x:v>
      </x:c>
      <x:c r="B249" s="284" t="n">
        <x:v>1118</x:v>
      </x:c>
      <x:c r="C249" s="284" t="str">
        <x:f>IF(AND(A249&lt;='定義與範圍'!$B$7,B249&lt;='定義與範圍'!$B$7),"是","")</x:f>
      </x:c>
      <x:c r="D249" s="284" t="str">
        <x:v>僅高失衡</x:v>
      </x:c>
      <x:c r="E249" s="284" t="str">
        <x:v>光復路一段99巷口</x:v>
      </x:c>
      <x:c r="F249" s="284" t="str">
        <x:v>三重區</x:v>
      </x:c>
      <x:c r="G249" s="284" t="n">
        <x:v>18</x:v>
      </x:c>
      <x:c r="H249" s="287" t="n">
        <x:v>29.475</x:v>
      </x:c>
      <x:c r="I249" s="285" t="n">
        <x:v>0.0964285714285714</x:v>
      </x:c>
      <x:c r="J249" s="285" t="n">
        <x:v>0.3198260869565217</x:v>
      </x:c>
      <x:c r="K249" s="287" t="n">
        <x:v>43.54838709677419</x:v>
      </x:c>
      <x:c r="L249" s="285" t="n">
        <x:v>0.0529953917050691</x:v>
      </x:c>
      <x:c r="M249" s="284" t="n">
        <x:v>13</x:v>
      </x:c>
      <x:c r="N249" s="284" t="n">
        <x:v>1980</x:v>
      </x:c>
      <x:c r="O249" s="284" t="str"/>
    </x:row>
    <x:row r="250" ht="27" customHeight="1">
      <x:c r="A250" s="283" t="n">
        <x:v>246</x:v>
      </x:c>
      <x:c r="B250" s="283" t="n">
        <x:v>888</x:v>
      </x:c>
      <x:c r="C250" s="283" t="str">
        <x:f>IF(AND(A250&lt;='定義與範圍'!$B$7,B250&lt;='定義與範圍'!$B$7),"是","")</x:f>
      </x:c>
      <x:c r="D250" s="283" t="str">
        <x:v>僅高失衡</x:v>
      </x:c>
      <x:c r="E250" s="283" t="str">
        <x:v>泰山高中</x:v>
      </x:c>
      <x:c r="F250" s="283" t="str">
        <x:v>泰山區</x:v>
      </x:c>
      <x:c r="G250" s="283" t="n">
        <x:v>20</x:v>
      </x:c>
      <x:c r="H250" s="288" t="n">
        <x:v>41.141666666666666</x:v>
      </x:c>
      <x:c r="I250" s="286" t="n">
        <x:v>0.0964285714285714</x:v>
      </x:c>
      <x:c r="J250" s="286" t="n">
        <x:v>0.3587826086956521</x:v>
      </x:c>
      <x:c r="K250" s="288" t="n">
        <x:v>53.96774193548387</x:v>
      </x:c>
      <x:c r="L250" s="286" t="n">
        <x:v>0.1474654377880184</x:v>
      </x:c>
      <x:c r="M250" s="283" t="n">
        <x:v>21</x:v>
      </x:c>
      <x:c r="N250" s="283" t="n">
        <x:v>2610</x:v>
      </x:c>
      <x:c r="O250" s="283" t="str"/>
    </x:row>
    <x:row r="251" ht="27" customHeight="1">
      <x:c r="A251" s="284" t="n">
        <x:v>247</x:v>
      </x:c>
      <x:c r="B251" s="284" t="n">
        <x:v>380</x:v>
      </x:c>
      <x:c r="C251" s="284" t="str">
        <x:f>IF(AND(A251&lt;='定義與範圍'!$B$7,B251&lt;='定義與範圍'!$B$7),"是","")</x:f>
      </x:c>
      <x:c r="D251" s="284" t="str">
        <x:v>僅高失衡</x:v>
      </x:c>
      <x:c r="E251" s="284" t="str">
        <x:v>金城立德路口</x:v>
      </x:c>
      <x:c r="F251" s="284" t="str">
        <x:v>土城區</x:v>
      </x:c>
      <x:c r="G251" s="284" t="n">
        <x:v>47</x:v>
      </x:c>
      <x:c r="H251" s="287" t="n">
        <x:v>73.73333333333333</x:v>
      </x:c>
      <x:c r="I251" s="285" t="n">
        <x:v>0.0964285714285714</x:v>
      </x:c>
      <x:c r="J251" s="285" t="n">
        <x:v>0.4970434782608696</x:v>
      </x:c>
      <x:c r="K251" s="287" t="n">
        <x:v>93.70967741935485</x:v>
      </x:c>
      <x:c r="L251" s="285" t="n">
        <x:v>0.0967741935483871</x:v>
      </x:c>
      <x:c r="M251" s="284" t="n">
        <x:v>15</x:v>
      </x:c>
      <x:c r="N251" s="284" t="n">
        <x:v>2040</x:v>
      </x:c>
      <x:c r="O251" s="284" t="str"/>
    </x:row>
    <x:row r="252" ht="27" customHeight="1">
      <x:c r="A252" s="283" t="n">
        <x:v>248</x:v>
      </x:c>
      <x:c r="B252" s="283" t="n">
        <x:v>311</x:v>
      </x:c>
      <x:c r="C252" s="283" t="str">
        <x:f>IF(AND(A252&lt;='定義與範圍'!$B$7,B252&lt;='定義與範圍'!$B$7),"是","")</x:f>
        <x:v>是</x:v>
      </x:c>
      <x:c r="D252" s="283" t="str">
        <x:v>高活動＋高失衡</x:v>
      </x:c>
      <x:c r="E252" s="283" t="str">
        <x:v>永和耕莘醫院</x:v>
      </x:c>
      <x:c r="F252" s="283" t="str">
        <x:v>永和區</x:v>
      </x:c>
      <x:c r="G252" s="283" t="n">
        <x:v>32</x:v>
      </x:c>
      <x:c r="H252" s="288" t="n">
        <x:v>79.275</x:v>
      </x:c>
      <x:c r="I252" s="286" t="n">
        <x:v>0.0958333333333333</x:v>
      </x:c>
      <x:c r="J252" s="286" t="n">
        <x:v>0.5234782608695652</x:v>
      </x:c>
      <x:c r="K252" s="288" t="n">
        <x:v>115.48387096774194</x:v>
      </x:c>
      <x:c r="L252" s="286" t="n">
        <x:v>0.1036866359447004</x:v>
      </x:c>
      <x:c r="M252" s="283" t="n">
        <x:v>30</x:v>
      </x:c>
      <x:c r="N252" s="283" t="n">
        <x:v>4980</x:v>
      </x:c>
      <x:c r="O252" s="283" t="str"/>
    </x:row>
    <x:row r="253" ht="27" customHeight="1">
      <x:c r="A253" s="284" t="n">
        <x:v>249</x:v>
      </x:c>
      <x:c r="B253" s="284" t="n">
        <x:v>192</x:v>
      </x:c>
      <x:c r="C253" s="284" t="str">
        <x:f>IF(AND(A253&lt;='定義與範圍'!$B$7,B253&lt;='定義與範圍'!$B$7),"是","")</x:f>
        <x:v>是</x:v>
      </x:c>
      <x:c r="D253" s="284" t="str">
        <x:v>高活動＋高失衡</x:v>
      </x:c>
      <x:c r="E253" s="284" t="str">
        <x:v>新莊體育館</x:v>
      </x:c>
      <x:c r="F253" s="284" t="str">
        <x:v>新莊區</x:v>
      </x:c>
      <x:c r="G253" s="284" t="n">
        <x:v>47</x:v>
      </x:c>
      <x:c r="H253" s="287" t="n">
        <x:v>95.25833333333334</x:v>
      </x:c>
      <x:c r="I253" s="285" t="n">
        <x:v>0.0958333333333333</x:v>
      </x:c>
      <x:c r="J253" s="285" t="n">
        <x:v>0.5008695652173913</x:v>
      </x:c>
      <x:c r="K253" s="287" t="n">
        <x:v>121.19354838709675</x:v>
      </x:c>
      <x:c r="L253" s="285" t="n">
        <x:v>0.1451612903225806</x:v>
      </x:c>
      <x:c r="M253" s="284" t="n">
        <x:v>32</x:v>
      </x:c>
      <x:c r="N253" s="284" t="n">
        <x:v>4350</x:v>
      </x:c>
      <x:c r="O253" s="284" t="str"/>
    </x:row>
    <x:row r="254" ht="27" customHeight="1">
      <x:c r="A254" s="283" t="n">
        <x:v>250</x:v>
      </x:c>
      <x:c r="B254" s="283" t="n">
        <x:v>276</x:v>
      </x:c>
      <x:c r="C254" s="283" t="str">
        <x:f>IF(AND(A254&lt;='定義與範圍'!$B$7,B254&lt;='定義與範圍'!$B$7),"是","")</x:f>
        <x:v>是</x:v>
      </x:c>
      <x:c r="D254" s="283" t="str">
        <x:v>高活動＋高失衡</x:v>
      </x:c>
      <x:c r="E254" s="283" t="str">
        <x:v>永安公園</x:v>
      </x:c>
      <x:c r="F254" s="283" t="str">
        <x:v>板橋區</x:v>
      </x:c>
      <x:c r="G254" s="283" t="n">
        <x:v>64</x:v>
      </x:c>
      <x:c r="H254" s="288" t="n">
        <x:v>83.65833333333333</x:v>
      </x:c>
      <x:c r="I254" s="286" t="n">
        <x:v>0.0952380952380952</x:v>
      </x:c>
      <x:c r="J254" s="286" t="n">
        <x:v>0.4697391304347826</x:v>
      </x:c>
      <x:c r="K254" s="288" t="n">
        <x:v>98.6774193548387</x:v>
      </x:c>
      <x:c r="L254" s="286" t="n">
        <x:v>0.1543778801843318</x:v>
      </x:c>
      <x:c r="M254" s="283" t="n">
        <x:v>27</x:v>
      </x:c>
      <x:c r="N254" s="283" t="n">
        <x:v>3630</x:v>
      </x:c>
      <x:c r="O254" s="283" t="str"/>
    </x:row>
    <x:row r="255" ht="27" customHeight="1">
      <x:c r="A255" s="284" t="n">
        <x:v>251</x:v>
      </x:c>
      <x:c r="B255" s="284" t="n">
        <x:v>979</x:v>
      </x:c>
      <x:c r="C255" s="284" t="str">
        <x:f>IF(AND(A255&lt;='定義與範圍'!$B$7,B255&lt;='定義與範圍'!$B$7),"是","")</x:f>
      </x:c>
      <x:c r="D255" s="284" t="str">
        <x:v>僅高失衡</x:v>
      </x:c>
      <x:c r="E255" s="284" t="str">
        <x:v>北新新生街口</x:v>
      </x:c>
      <x:c r="F255" s="284" t="str">
        <x:v>新店區</x:v>
      </x:c>
      <x:c r="G255" s="284" t="n">
        <x:v>12</x:v>
      </x:c>
      <x:c r="H255" s="287" t="n">
        <x:v>36.44166666666667</x:v>
      </x:c>
      <x:c r="I255" s="285" t="n">
        <x:v>0.0952380952380952</x:v>
      </x:c>
      <x:c r="J255" s="285" t="n">
        <x:v>0.388695652173913</x:v>
      </x:c>
      <x:c r="K255" s="287" t="n">
        <x:v>53.483870967741936</x:v>
      </x:c>
      <x:c r="L255" s="285" t="n">
        <x:v>0.1382488479262673</x:v>
      </x:c>
      <x:c r="M255" s="284" t="n">
        <x:v>31</x:v>
      </x:c>
      <x:c r="N255" s="284" t="n">
        <x:v>3870</x:v>
      </x:c>
      <x:c r="O255" s="284" t="str"/>
    </x:row>
    <x:row r="256" ht="27" customHeight="1">
      <x:c r="A256" s="283" t="n">
        <x:v>252</x:v>
      </x:c>
      <x:c r="B256" s="283" t="n">
        <x:v>536</x:v>
      </x:c>
      <x:c r="C256" s="283" t="str">
        <x:f>IF(AND(A256&lt;='定義與範圍'!$B$7,B256&lt;='定義與範圍'!$B$7),"是","")</x:f>
      </x:c>
      <x:c r="D256" s="283" t="str">
        <x:v>僅高失衡</x:v>
      </x:c>
      <x:c r="E256" s="283" t="str">
        <x:v>民族路314巷口</x:v>
      </x:c>
      <x:c r="F256" s="283" t="str">
        <x:v>蘆洲區</x:v>
      </x:c>
      <x:c r="G256" s="283" t="n">
        <x:v>14</x:v>
      </x:c>
      <x:c r="H256" s="288" t="n">
        <x:v>62.84166666666667</x:v>
      </x:c>
      <x:c r="I256" s="286" t="n">
        <x:v>0.0952380952380952</x:v>
      </x:c>
      <x:c r="J256" s="286" t="n">
        <x:v>0.5071304347826087</x:v>
      </x:c>
      <x:c r="K256" s="288" t="n">
        <x:v>83.29032258064517</x:v>
      </x:c>
      <x:c r="L256" s="286" t="n">
        <x:v>0.0921658986175115</x:v>
      </x:c>
      <x:c r="M256" s="283" t="n">
        <x:v>19</x:v>
      </x:c>
      <x:c r="N256" s="283" t="n">
        <x:v>2940</x:v>
      </x:c>
      <x:c r="O256" s="283" t="str"/>
    </x:row>
    <x:row r="257" ht="27" customHeight="1">
      <x:c r="A257" s="284" t="n">
        <x:v>253</x:v>
      </x:c>
      <x:c r="B257" s="284" t="n">
        <x:v>1277</x:v>
      </x:c>
      <x:c r="C257" s="284" t="str">
        <x:f>IF(AND(A257&lt;='定義與範圍'!$B$7,B257&lt;='定義與範圍'!$B$7),"是","")</x:f>
      </x:c>
      <x:c r="D257" s="284" t="str">
        <x:v>僅高失衡</x:v>
      </x:c>
      <x:c r="E257" s="284" t="str">
        <x:v>師大林口校區體育館前</x:v>
      </x:c>
      <x:c r="F257" s="284" t="str">
        <x:v>林口區</x:v>
      </x:c>
      <x:c r="G257" s="284" t="n">
        <x:v>16</x:v>
      </x:c>
      <x:c r="H257" s="287" t="n">
        <x:v>21.23333333333333</x:v>
      </x:c>
      <x:c r="I257" s="285" t="n">
        <x:v>0.0952380952380952</x:v>
      </x:c>
      <x:c r="J257" s="285" t="n">
        <x:v>0.1852173913043478</x:v>
      </x:c>
      <x:c r="K257" s="287" t="n">
        <x:v>40</x:v>
      </x:c>
      <x:c r="L257" s="285" t="n">
        <x:v>0.1267281105990783</x:v>
      </x:c>
      <x:c r="M257" s="284" t="n">
        <x:v>16</x:v>
      </x:c>
      <x:c r="N257" s="284" t="n">
        <x:v>2100</x:v>
      </x:c>
      <x:c r="O257" s="284" t="str"/>
    </x:row>
    <x:row r="258" ht="27" customHeight="1">
      <x:c r="A258" s="283" t="n">
        <x:v>254</x:v>
      </x:c>
      <x:c r="B258" s="283" t="n">
        <x:v>280</x:v>
      </x:c>
      <x:c r="C258" s="283" t="str">
        <x:f>IF(AND(A258&lt;='定義與範圍'!$B$7,B258&lt;='定義與範圍'!$B$7),"是","")</x:f>
        <x:v>是</x:v>
      </x:c>
      <x:c r="D258" s="283" t="str">
        <x:v>高活動＋高失衡</x:v>
      </x:c>
      <x:c r="E258" s="283" t="str">
        <x:v>寶高智慧產業園區</x:v>
      </x:c>
      <x:c r="F258" s="283" t="str">
        <x:v>新店區</x:v>
      </x:c>
      <x:c r="G258" s="283" t="n">
        <x:v>35</x:v>
      </x:c>
      <x:c r="H258" s="288" t="n">
        <x:v>83.15</x:v>
      </x:c>
      <x:c r="I258" s="286" t="n">
        <x:v>0.0952380952380952</x:v>
      </x:c>
      <x:c r="J258" s="286" t="n">
        <x:v>0.3718260869565217</x:v>
      </x:c>
      <x:c r="K258" s="288" t="n">
        <x:v>103.7741935483871</x:v>
      </x:c>
      <x:c r="L258" s="286" t="n">
        <x:v>0.1152073732718894</x:v>
      </x:c>
      <x:c r="M258" s="283" t="n">
        <x:v>27</x:v>
      </x:c>
      <x:c r="N258" s="283" t="n">
        <x:v>3540</x:v>
      </x:c>
      <x:c r="O258" s="283" t="str"/>
    </x:row>
    <x:row r="259" ht="27" customHeight="1">
      <x:c r="A259" s="284" t="n">
        <x:v>255</x:v>
      </x:c>
      <x:c r="B259" s="284" t="n">
        <x:v>301</x:v>
      </x:c>
      <x:c r="C259" s="284" t="str">
        <x:f>IF(AND(A259&lt;='定義與範圍'!$B$7,B259&lt;='定義與範圍'!$B$7),"是","")</x:f>
        <x:v>是</x:v>
      </x:c>
      <x:c r="D259" s="284" t="str">
        <x:v>高活動＋高失衡</x:v>
      </x:c>
      <x:c r="E259" s="284" t="str">
        <x:v>文化路二段182巷1弄</x:v>
      </x:c>
      <x:c r="F259" s="284" t="str">
        <x:v>板橋區</x:v>
      </x:c>
      <x:c r="G259" s="284" t="n">
        <x:v>49</x:v>
      </x:c>
      <x:c r="H259" s="287" t="n">
        <x:v>80.7</x:v>
      </x:c>
      <x:c r="I259" s="285" t="n">
        <x:v>0.0952380952380952</x:v>
      </x:c>
      <x:c r="J259" s="285" t="n">
        <x:v>0.4260869565217391</x:v>
      </x:c>
      <x:c r="K259" s="287" t="n">
        <x:v>90</x:v>
      </x:c>
      <x:c r="L259" s="285" t="n">
        <x:v>0.1267281105990783</x:v>
      </x:c>
      <x:c r="M259" s="284" t="n">
        <x:v>57</x:v>
      </x:c>
      <x:c r="N259" s="284" t="n">
        <x:v>7830</x:v>
      </x:c>
      <x:c r="O259" s="284" t="str"/>
    </x:row>
    <x:row r="260" ht="27" customHeight="1">
      <x:c r="A260" s="283" t="n">
        <x:v>256</x:v>
      </x:c>
      <x:c r="B260" s="283" t="n">
        <x:v>977</x:v>
      </x:c>
      <x:c r="C260" s="283" t="str">
        <x:f>IF(AND(A260&lt;='定義與範圍'!$B$7,B260&lt;='定義與範圍'!$B$7),"是","")</x:f>
      </x:c>
      <x:c r="D260" s="283" t="str">
        <x:v>僅高失衡</x:v>
      </x:c>
      <x:c r="E260" s="283" t="str">
        <x:v>永和勵行街口</x:v>
      </x:c>
      <x:c r="F260" s="283" t="str">
        <x:v>永和區</x:v>
      </x:c>
      <x:c r="G260" s="283" t="n">
        <x:v>10</x:v>
      </x:c>
      <x:c r="H260" s="288" t="n">
        <x:v>36.475</x:v>
      </x:c>
      <x:c r="I260" s="286" t="n">
        <x:v>0.0946428571428571</x:v>
      </x:c>
      <x:c r="J260" s="286" t="n">
        <x:v>0.4177391304347826</x:v>
      </x:c>
      <x:c r="K260" s="288" t="n">
        <x:v>48.67741935483871</x:v>
      </x:c>
      <x:c r="L260" s="286" t="n">
        <x:v>0.1244239631336405</x:v>
      </x:c>
      <x:c r="M260" s="283" t="n">
        <x:v>59</x:v>
      </x:c>
      <x:c r="N260" s="283" t="n">
        <x:v>6420</x:v>
      </x:c>
      <x:c r="O260" s="283" t="str"/>
    </x:row>
    <x:row r="261" ht="27" customHeight="1">
      <x:c r="A261" s="284" t="n">
        <x:v>257</x:v>
      </x:c>
      <x:c r="B261" s="284" t="n">
        <x:v>959</x:v>
      </x:c>
      <x:c r="C261" s="284" t="str">
        <x:f>IF(AND(A261&lt;='定義與範圍'!$B$7,B261&lt;='定義與範圍'!$B$7),"是","")</x:f>
      </x:c>
      <x:c r="D261" s="284" t="str">
        <x:v>僅高失衡</x:v>
      </x:c>
      <x:c r="E261" s="284" t="str">
        <x:v>蘆洲鷺江停車場</x:v>
      </x:c>
      <x:c r="F261" s="284" t="str">
        <x:v>蘆洲區</x:v>
      </x:c>
      <x:c r="G261" s="284" t="n">
        <x:v>12</x:v>
      </x:c>
      <x:c r="H261" s="287" t="n">
        <x:v>37.43333333333333</x:v>
      </x:c>
      <x:c r="I261" s="285" t="n">
        <x:v>0.0946428571428571</x:v>
      </x:c>
      <x:c r="J261" s="285" t="n">
        <x:v>0.3718260869565217</x:v>
      </x:c>
      <x:c r="K261" s="287" t="n">
        <x:v>53.70967741935484</x:v>
      </x:c>
      <x:c r="L261" s="285" t="n">
        <x:v>0.1244239631336405</x:v>
      </x:c>
      <x:c r="M261" s="284" t="n">
        <x:v>36</x:v>
      </x:c>
      <x:c r="N261" s="284" t="n">
        <x:v>3960</x:v>
      </x:c>
      <x:c r="O261" s="284" t="str"/>
    </x:row>
    <x:row r="262" ht="27" customHeight="1">
      <x:c r="A262" s="283" t="n">
        <x:v>258</x:v>
      </x:c>
      <x:c r="B262" s="283" t="n">
        <x:v>683</x:v>
      </x:c>
      <x:c r="C262" s="283" t="str">
        <x:f>IF(AND(A262&lt;='定義與範圍'!$B$7,B262&lt;='定義與範圍'!$B$7),"是","")</x:f>
      </x:c>
      <x:c r="D262" s="283" t="str">
        <x:v>僅高失衡</x:v>
      </x:c>
      <x:c r="E262" s="283" t="str">
        <x:v>忠孝公園路口</x:v>
      </x:c>
      <x:c r="F262" s="283" t="str">
        <x:v>林口區</x:v>
      </x:c>
      <x:c r="G262" s="283" t="n">
        <x:v>16</x:v>
      </x:c>
      <x:c r="H262" s="288" t="n">
        <x:v>52.925</x:v>
      </x:c>
      <x:c r="I262" s="286" t="n">
        <x:v>0.0946428571428571</x:v>
      </x:c>
      <x:c r="J262" s="286" t="n">
        <x:v>0.4135652173913043</x:v>
      </x:c>
      <x:c r="K262" s="288" t="n">
        <x:v>78.25806451612904</x:v>
      </x:c>
      <x:c r="L262" s="286" t="n">
        <x:v>0.0898617511520737</x:v>
      </x:c>
      <x:c r="M262" s="283" t="n">
        <x:v>21</x:v>
      </x:c>
      <x:c r="N262" s="283" t="n">
        <x:v>3120</x:v>
      </x:c>
      <x:c r="O262" s="283" t="str"/>
    </x:row>
    <x:row r="263" ht="27" customHeight="1">
      <x:c r="A263" s="284" t="n">
        <x:v>259</x:v>
      </x:c>
      <x:c r="B263" s="284" t="n">
        <x:v>273</x:v>
      </x:c>
      <x:c r="C263" s="284" t="str">
        <x:f>IF(AND(A263&lt;='定義與範圍'!$B$7,B263&lt;='定義與範圍'!$B$7),"是","")</x:f>
        <x:v>是</x:v>
      </x:c>
      <x:c r="D263" s="284" t="str">
        <x:v>高活動＋高失衡</x:v>
      </x:c>
      <x:c r="E263" s="284" t="str">
        <x:v>國隆大仁街口</x:v>
      </x:c>
      <x:c r="F263" s="284" t="str">
        <x:v>三重區</x:v>
      </x:c>
      <x:c r="G263" s="284" t="n">
        <x:v>17</x:v>
      </x:c>
      <x:c r="H263" s="287" t="n">
        <x:v>84.00833333333334</x:v>
      </x:c>
      <x:c r="I263" s="285" t="n">
        <x:v>0.0946428571428571</x:v>
      </x:c>
      <x:c r="J263" s="285" t="n">
        <x:v>0.5429565217391304</x:v>
      </x:c>
      <x:c r="K263" s="287" t="n">
        <x:v>106.51612903225806</x:v>
      </x:c>
      <x:c r="L263" s="285" t="n">
        <x:v>0.1451612903225806</x:v>
      </x:c>
      <x:c r="M263" s="284" t="n">
        <x:v>25</x:v>
      </x:c>
      <x:c r="N263" s="284" t="n">
        <x:v>3540</x:v>
      </x:c>
      <x:c r="O263" s="284" t="str"/>
    </x:row>
    <x:row r="264" ht="27" customHeight="1">
      <x:c r="A264" s="283" t="n">
        <x:v>260</x:v>
      </x:c>
      <x:c r="B264" s="283" t="n">
        <x:v>1134</x:v>
      </x:c>
      <x:c r="C264" s="283" t="str">
        <x:f>IF(AND(A264&lt;='定義與範圍'!$B$7,B264&lt;='定義與範圍'!$B$7),"是","")</x:f>
      </x:c>
      <x:c r="D264" s="283" t="str">
        <x:v>僅高失衡</x:v>
      </x:c>
      <x:c r="E264" s="283" t="str">
        <x:v>立泰里(中環路二段)</x:v>
      </x:c>
      <x:c r="F264" s="283" t="str">
        <x:v>新莊區</x:v>
      </x:c>
      <x:c r="G264" s="283" t="n">
        <x:v>25</x:v>
      </x:c>
      <x:c r="H264" s="288" t="n">
        <x:v>28.675</x:v>
      </x:c>
      <x:c r="I264" s="286" t="n">
        <x:v>0.0946428571428571</x:v>
      </x:c>
      <x:c r="J264" s="286" t="n">
        <x:v>0.3198260869565217</x:v>
      </x:c>
      <x:c r="K264" s="288" t="n">
        <x:v>46.32258064516129</x:v>
      </x:c>
      <x:c r="L264" s="286" t="n">
        <x:v>0.032258064516129</x:v>
      </x:c>
      <x:c r="M264" s="283" t="n">
        <x:v>4</x:v>
      </x:c>
      <x:c r="N264" s="283" t="n">
        <x:v>630</x:v>
      </x:c>
      <x:c r="O264" s="283" t="str"/>
    </x:row>
    <x:row r="265" ht="27" customHeight="1">
      <x:c r="A265" s="284" t="n">
        <x:v>261</x:v>
      </x:c>
      <x:c r="B265" s="284" t="n">
        <x:v>873</x:v>
      </x:c>
      <x:c r="C265" s="284" t="str">
        <x:f>IF(AND(A265&lt;='定義與範圍'!$B$7,B265&lt;='定義與範圍'!$B$7),"是","")</x:f>
      </x:c>
      <x:c r="D265" s="284" t="str">
        <x:v>僅高失衡</x:v>
      </x:c>
      <x:c r="E265" s="284" t="str">
        <x:v>明德高中</x:v>
      </x:c>
      <x:c r="F265" s="284" t="str">
        <x:v>三峽區</x:v>
      </x:c>
      <x:c r="G265" s="284" t="n">
        <x:v>52</x:v>
      </x:c>
      <x:c r="H265" s="287" t="n">
        <x:v>41.88333333333333</x:v>
      </x:c>
      <x:c r="I265" s="285" t="n">
        <x:v>0.0946428571428571</x:v>
      </x:c>
      <x:c r="J265" s="285" t="n">
        <x:v>0.2363478260869565</x:v>
      </x:c>
      <x:c r="K265" s="287" t="n">
        <x:v>67.61290322580645</x:v>
      </x:c>
      <x:c r="L265" s="285" t="n">
        <x:v>0.0691244239631336</x:v>
      </x:c>
      <x:c r="M265" s="284" t="n">
        <x:v>8</x:v>
      </x:c>
      <x:c r="N265" s="284" t="n">
        <x:v>990</x:v>
      </x:c>
      <x:c r="O265" s="284" t="str"/>
    </x:row>
    <x:row r="266" ht="27" customHeight="1">
      <x:c r="A266" s="283" t="n">
        <x:v>262</x:v>
      </x:c>
      <x:c r="B266" s="283" t="n">
        <x:v>1187</x:v>
      </x:c>
      <x:c r="C266" s="283" t="str">
        <x:f>IF(AND(A266&lt;='定義與範圍'!$B$7,B266&lt;='定義與範圍'!$B$7),"是","")</x:f>
      </x:c>
      <x:c r="D266" s="283" t="str">
        <x:v>僅高失衡</x:v>
      </x:c>
      <x:c r="E266" s="283" t="str">
        <x:v>十四張?文路口</x:v>
      </x:c>
      <x:c r="F266" s="283" t="str">
        <x:v>新店區</x:v>
      </x:c>
      <x:c r="G266" s="283" t="n">
        <x:v>15</x:v>
      </x:c>
      <x:c r="H266" s="288" t="n">
        <x:v>26.21311475409836</x:v>
      </x:c>
      <x:c r="I266" s="286" t="n">
        <x:v>0.0936768149882904</x:v>
      </x:c>
      <x:c r="J266" s="286" t="n">
        <x:v>0.3710670314637483</x:v>
      </x:c>
      <x:c r="K266" s="288" t="n">
        <x:v>25.90322580645161</x:v>
      </x:c>
      <x:c r="L266" s="286" t="n">
        <x:v>0.0599078341013824</x:v>
      </x:c>
      <x:c r="M266" s="283" t="n">
        <x:v>21</x:v>
      </x:c>
      <x:c r="N266" s="283" t="n">
        <x:v>2340</x:v>
      </x:c>
      <x:c r="O266" s="283" t="str"/>
    </x:row>
    <x:row r="267" ht="27" customHeight="1">
      <x:c r="A267" s="284" t="n">
        <x:v>263</x:v>
      </x:c>
      <x:c r="B267" s="284" t="n">
        <x:v>696</x:v>
      </x:c>
      <x:c r="C267" s="284" t="str">
        <x:f>IF(AND(A267&lt;='定義與範圍'!$B$7,B267&lt;='定義與範圍'!$B$7),"是","")</x:f>
      </x:c>
      <x:c r="D267" s="284" t="str">
        <x:v>僅高失衡</x:v>
      </x:c>
      <x:c r="E267" s="284" t="str">
        <x:v>環河民樂街59巷26弄口</x:v>
      </x:c>
      <x:c r="F267" s="284" t="str">
        <x:v>永和區</x:v>
      </x:c>
      <x:c r="G267" s="284" t="n">
        <x:v>15</x:v>
      </x:c>
      <x:c r="H267" s="287" t="n">
        <x:v>51.9</x:v>
      </x:c>
      <x:c r="I267" s="285" t="n">
        <x:v>0.0934523809523809</x:v>
      </x:c>
      <x:c r="J267" s="285" t="n">
        <x:v>0.4203478260869565</x:v>
      </x:c>
      <x:c r="K267" s="287" t="n">
        <x:v>75.06451612903226</x:v>
      </x:c>
      <x:c r="L267" s="285" t="n">
        <x:v>0.064516129032258</x:v>
      </x:c>
      <x:c r="M267" s="284" t="n">
        <x:v>17</x:v>
      </x:c>
      <x:c r="N267" s="284" t="n">
        <x:v>2580</x:v>
      </x:c>
      <x:c r="O267" s="284" t="str"/>
    </x:row>
    <x:row r="268" ht="27" customHeight="1">
      <x:c r="A268" s="283" t="n">
        <x:v>264</x:v>
      </x:c>
      <x:c r="B268" s="283" t="n">
        <x:v>462</x:v>
      </x:c>
      <x:c r="C268" s="283" t="str">
        <x:f>IF(AND(A268&lt;='定義與範圍'!$B$7,B268&lt;='定義與範圍'!$B$7),"是","")</x:f>
      </x:c>
      <x:c r="D268" s="283" t="str">
        <x:v>僅高失衡</x:v>
      </x:c>
      <x:c r="E268" s="283" t="str">
        <x:v>頂新公園</x:v>
      </x:c>
      <x:c r="F268" s="283" t="str">
        <x:v>土城區</x:v>
      </x:c>
      <x:c r="G268" s="283" t="n">
        <x:v>21</x:v>
      </x:c>
      <x:c r="H268" s="288" t="n">
        <x:v>67.36666666666666</x:v>
      </x:c>
      <x:c r="I268" s="286" t="n">
        <x:v>0.0934523809523809</x:v>
      </x:c>
      <x:c r="J268" s="286" t="n">
        <x:v>0.3612173913043478</x:v>
      </x:c>
      <x:c r="K268" s="288" t="n">
        <x:v>95.93548387096774</x:v>
      </x:c>
      <x:c r="L268" s="286" t="n">
        <x:v>0.1244239631336405</x:v>
      </x:c>
      <x:c r="M268" s="283" t="n">
        <x:v>20</x:v>
      </x:c>
      <x:c r="N268" s="283" t="n">
        <x:v>2790</x:v>
      </x:c>
      <x:c r="O268" s="283" t="str"/>
    </x:row>
    <x:row r="269" ht="27" customHeight="1">
      <x:c r="A269" s="284" t="n">
        <x:v>265</x:v>
      </x:c>
      <x:c r="B269" s="284" t="n">
        <x:v>138</x:v>
      </x:c>
      <x:c r="C269" s="284" t="str">
        <x:f>IF(AND(A269&lt;='定義與範圍'!$B$7,B269&lt;='定義與範圍'!$B$7),"是","")</x:f>
        <x:v>是</x:v>
      </x:c>
      <x:c r="D269" s="284" t="str">
        <x:v>高活動＋高失衡</x:v>
      </x:c>
      <x:c r="E269" s="284" t="str">
        <x:v>建國民權路口</x:v>
      </x:c>
      <x:c r="F269" s="284" t="str">
        <x:v>新店區</x:v>
      </x:c>
      <x:c r="G269" s="284" t="n">
        <x:v>32</x:v>
      </x:c>
      <x:c r="H269" s="287" t="n">
        <x:v>108.68333333333334</x:v>
      </x:c>
      <x:c r="I269" s="285" t="n">
        <x:v>0.0934523809523809</x:v>
      </x:c>
      <x:c r="J269" s="285" t="n">
        <x:v>0.5405217391304348</x:v>
      </x:c>
      <x:c r="K269" s="287" t="n">
        <x:v>145.70967741935485</x:v>
      </x:c>
      <x:c r="L269" s="285" t="n">
        <x:v>0.0852534562211981</x:v>
      </x:c>
      <x:c r="M269" s="284" t="n">
        <x:v>32</x:v>
      </x:c>
      <x:c r="N269" s="284" t="n">
        <x:v>3780</x:v>
      </x:c>
      <x:c r="O269" s="284" t="str"/>
    </x:row>
    <x:row r="270" ht="27" customHeight="1">
      <x:c r="A270" s="283" t="n">
        <x:v>266</x:v>
      </x:c>
      <x:c r="B270" s="283" t="n">
        <x:v>1302</x:v>
      </x:c>
      <x:c r="C270" s="283" t="str">
        <x:f>IF(AND(A270&lt;='定義與範圍'!$B$7,B270&lt;='定義與範圍'!$B$7),"是","")</x:f>
      </x:c>
      <x:c r="D270" s="283" t="str">
        <x:v>僅高失衡</x:v>
      </x:c>
      <x:c r="E270" s="283" t="str">
        <x:v>中華路12巷口</x:v>
      </x:c>
      <x:c r="F270" s="283" t="str">
        <x:v>樹林區</x:v>
      </x:c>
      <x:c r="G270" s="283" t="n">
        <x:v>20</x:v>
      </x:c>
      <x:c r="H270" s="288" t="n">
        <x:v>18.875</x:v>
      </x:c>
      <x:c r="I270" s="286" t="n">
        <x:v>0.0928571428571428</x:v>
      </x:c>
      <x:c r="J270" s="286" t="n">
        <x:v>0.1885217391304348</x:v>
      </x:c>
      <x:c r="K270" s="288" t="n">
        <x:v>31.83870967741936</x:v>
      </x:c>
      <x:c r="L270" s="286" t="n">
        <x:v>0.0990783410138248</x:v>
      </x:c>
      <x:c r="M270" s="283" t="n">
        <x:v>19</x:v>
      </x:c>
      <x:c r="N270" s="283" t="n">
        <x:v>2820</x:v>
      </x:c>
      <x:c r="O270" s="283" t="str"/>
    </x:row>
    <x:row r="271" ht="27" customHeight="1">
      <x:c r="A271" s="284" t="n">
        <x:v>267</x:v>
      </x:c>
      <x:c r="B271" s="284" t="n">
        <x:v>291</x:v>
      </x:c>
      <x:c r="C271" s="284" t="str">
        <x:f>IF(AND(A271&lt;='定義與範圍'!$B$7,B271&lt;='定義與範圍'!$B$7),"是","")</x:f>
        <x:v>是</x:v>
      </x:c>
      <x:c r="D271" s="284" t="str">
        <x:v>高活動＋高失衡</x:v>
      </x:c>
      <x:c r="E271" s="284" t="str">
        <x:v>埔墘國小</x:v>
      </x:c>
      <x:c r="F271" s="284" t="str">
        <x:v>板橋區</x:v>
      </x:c>
      <x:c r="G271" s="284" t="n">
        <x:v>34</x:v>
      </x:c>
      <x:c r="H271" s="287" t="n">
        <x:v>82.01666666666667</x:v>
      </x:c>
      <x:c r="I271" s="285" t="n">
        <x:v>0.0928571428571428</x:v>
      </x:c>
      <x:c r="J271" s="285" t="n">
        <x:v>0.5142608695652174</x:v>
      </x:c>
      <x:c r="K271" s="287" t="n">
        <x:v>98.5483870967742</x:v>
      </x:c>
      <x:c r="L271" s="285" t="n">
        <x:v>0.0898617511520737</x:v>
      </x:c>
      <x:c r="M271" s="284" t="n">
        <x:v>19</x:v>
      </x:c>
      <x:c r="N271" s="284" t="n">
        <x:v>2940</x:v>
      </x:c>
      <x:c r="O271" s="284" t="str"/>
    </x:row>
    <x:row r="272" ht="27" customHeight="1">
      <x:c r="A272" s="283" t="n">
        <x:v>268</x:v>
      </x:c>
      <x:c r="B272" s="283" t="n">
        <x:v>525</x:v>
      </x:c>
      <x:c r="C272" s="283" t="str">
        <x:f>IF(AND(A272&lt;='定義與範圍'!$B$7,B272&lt;='定義與範圍'!$B$7),"是","")</x:f>
      </x:c>
      <x:c r="D272" s="283" t="str">
        <x:v>僅高失衡</x:v>
      </x:c>
      <x:c r="E272" s="283" t="str">
        <x:v>中和自強公園</x:v>
      </x:c>
      <x:c r="F272" s="283" t="str">
        <x:v>中和區</x:v>
      </x:c>
      <x:c r="G272" s="283" t="n">
        <x:v>39</x:v>
      </x:c>
      <x:c r="H272" s="288" t="n">
        <x:v>63.4</x:v>
      </x:c>
      <x:c r="I272" s="286" t="n">
        <x:v>0.0928571428571428</x:v>
      </x:c>
      <x:c r="J272" s="286" t="n">
        <x:v>0.4351304347826087</x:v>
      </x:c>
      <x:c r="K272" s="288" t="n">
        <x:v>89.90322580645162</x:v>
      </x:c>
      <x:c r="L272" s="286" t="n">
        <x:v>0.0921658986175115</x:v>
      </x:c>
      <x:c r="M272" s="283" t="n">
        <x:v>11</x:v>
      </x:c>
      <x:c r="N272" s="283" t="n">
        <x:v>1470</x:v>
      </x:c>
      <x:c r="O272" s="283" t="str"/>
    </x:row>
    <x:row r="273" ht="27" customHeight="1">
      <x:c r="A273" s="284" t="n">
        <x:v>269</x:v>
      </x:c>
      <x:c r="B273" s="284" t="n">
        <x:v>51</x:v>
      </x:c>
      <x:c r="C273" s="284" t="str">
        <x:f>IF(AND(A273&lt;='定義與範圍'!$B$7,B273&lt;='定義與範圍'!$B$7),"是","")</x:f>
        <x:v>是</x:v>
      </x:c>
      <x:c r="D273" s="284" t="str">
        <x:v>高活動＋高失衡</x:v>
      </x:c>
      <x:c r="E273" s="284" t="str">
        <x:v>國光里(國光路)</x:v>
      </x:c>
      <x:c r="F273" s="284" t="str">
        <x:v>板橋區</x:v>
      </x:c>
      <x:c r="G273" s="284" t="n">
        <x:v>43</x:v>
      </x:c>
      <x:c r="H273" s="287" t="n">
        <x:v>159.34166666666667</x:v>
      </x:c>
      <x:c r="I273" s="285" t="n">
        <x:v>0.0928571428571428</x:v>
      </x:c>
      <x:c r="J273" s="285" t="n">
        <x:v>0.6325217391304347</x:v>
      </x:c>
      <x:c r="K273" s="287" t="n">
        <x:v>179.06451612903226</x:v>
      </x:c>
      <x:c r="L273" s="285" t="n">
        <x:v>0.0921658986175115</x:v>
      </x:c>
      <x:c r="M273" s="284" t="n">
        <x:v>17</x:v>
      </x:c>
      <x:c r="N273" s="284" t="n">
        <x:v>2850</x:v>
      </x:c>
      <x:c r="O273" s="284" t="str"/>
    </x:row>
    <x:row r="274" ht="27" customHeight="1">
      <x:c r="A274" s="283" t="n">
        <x:v>270</x:v>
      </x:c>
      <x:c r="B274" s="283" t="n">
        <x:v>172</x:v>
      </x:c>
      <x:c r="C274" s="283" t="str">
        <x:f>IF(AND(A274&lt;='定義與範圍'!$B$7,B274&lt;='定義與範圍'!$B$7),"是","")</x:f>
        <x:v>是</x:v>
      </x:c>
      <x:c r="D274" s="283" t="str">
        <x:v>高活動＋高失衡</x:v>
      </x:c>
      <x:c r="E274" s="283" t="str">
        <x:v>福和國中停車場</x:v>
      </x:c>
      <x:c r="F274" s="283" t="str">
        <x:v>永和區</x:v>
      </x:c>
      <x:c r="G274" s="283" t="n">
        <x:v>48</x:v>
      </x:c>
      <x:c r="H274" s="288" t="n">
        <x:v>100.80833333333334</x:v>
      </x:c>
      <x:c r="I274" s="286" t="n">
        <x:v>0.0928571428571428</x:v>
      </x:c>
      <x:c r="J274" s="286" t="n">
        <x:v>0.4986086956521739</x:v>
      </x:c>
      <x:c r="K274" s="288" t="n">
        <x:v>137.1290322580645</x:v>
      </x:c>
      <x:c r="L274" s="286" t="n">
        <x:v>0.1244239631336405</x:v>
      </x:c>
      <x:c r="M274" s="283" t="n">
        <x:v>10</x:v>
      </x:c>
      <x:c r="N274" s="283" t="n">
        <x:v>1980</x:v>
      </x:c>
      <x:c r="O274" s="283" t="str"/>
    </x:row>
    <x:row r="275" ht="27" customHeight="1">
      <x:c r="A275" s="284" t="n">
        <x:v>271</x:v>
      </x:c>
      <x:c r="B275" s="284" t="n">
        <x:v>769</x:v>
      </x:c>
      <x:c r="C275" s="284" t="str">
        <x:f>IF(AND(A275&lt;='定義與範圍'!$B$7,B275&lt;='定義與範圍'!$B$7),"是","")</x:f>
      </x:c>
      <x:c r="D275" s="284" t="str">
        <x:v>僅高失衡</x:v>
      </x:c>
      <x:c r="E275" s="284" t="str">
        <x:v>捷運永寧站(4號出口)</x:v>
      </x:c>
      <x:c r="F275" s="284" t="str">
        <x:v>土城區</x:v>
      </x:c>
      <x:c r="G275" s="284" t="n">
        <x:v>12</x:v>
      </x:c>
      <x:c r="H275" s="287" t="n">
        <x:v>48.45</x:v>
      </x:c>
      <x:c r="I275" s="285" t="n">
        <x:v>0.0922619047619047</x:v>
      </x:c>
      <x:c r="J275" s="285" t="n">
        <x:v>0.4250434782608696</x:v>
      </x:c>
      <x:c r="K275" s="287" t="n">
        <x:v>64.93548387096774</x:v>
      </x:c>
      <x:c r="L275" s="285" t="n">
        <x:v>0.1036866359447004</x:v>
      </x:c>
      <x:c r="M275" s="284" t="n">
        <x:v>30</x:v>
      </x:c>
      <x:c r="N275" s="284" t="n">
        <x:v>4050</x:v>
      </x:c>
      <x:c r="O275" s="284" t="str"/>
    </x:row>
    <x:row r="276" ht="27" customHeight="1">
      <x:c r="A276" s="283" t="n">
        <x:v>272</x:v>
      </x:c>
      <x:c r="B276" s="283" t="n">
        <x:v>633</x:v>
      </x:c>
      <x:c r="C276" s="283" t="str">
        <x:f>IF(AND(A276&lt;='定義與範圍'!$B$7,B276&lt;='定義與範圍'!$B$7),"是","")</x:f>
      </x:c>
      <x:c r="D276" s="283" t="str">
        <x:v>僅高失衡</x:v>
      </x:c>
      <x:c r="E276" s="283" t="str">
        <x:v>鷺江國中(長興路298巷)</x:v>
      </x:c>
      <x:c r="F276" s="283" t="str">
        <x:v>蘆洲區</x:v>
      </x:c>
      <x:c r="G276" s="283" t="n">
        <x:v>15</x:v>
      </x:c>
      <x:c r="H276" s="288" t="n">
        <x:v>56.141666666666666</x:v>
      </x:c>
      <x:c r="I276" s="286" t="n">
        <x:v>0.0922619047619047</x:v>
      </x:c>
      <x:c r="J276" s="286" t="n">
        <x:v>0.4274782608695652</x:v>
      </x:c>
      <x:c r="K276" s="288" t="n">
        <x:v>72.7741935483871</x:v>
      </x:c>
      <x:c r="L276" s="286" t="n">
        <x:v>0.1797235023041474</x:v>
      </x:c>
      <x:c r="M276" s="283" t="n">
        <x:v>41</x:v>
      </x:c>
      <x:c r="N276" s="283" t="n">
        <x:v>4740</x:v>
      </x:c>
      <x:c r="O276" s="283" t="str"/>
    </x:row>
    <x:row r="277" ht="27" customHeight="1">
      <x:c r="A277" s="284" t="n">
        <x:v>273</x:v>
      </x:c>
      <x:c r="B277" s="284" t="n">
        <x:v>393</x:v>
      </x:c>
      <x:c r="C277" s="284" t="str">
        <x:f>IF(AND(A277&lt;='定義與範圍'!$B$7,B277&lt;='定義與範圍'!$B$7),"是","")</x:f>
      </x:c>
      <x:c r="D277" s="284" t="str">
        <x:v>僅高失衡</x:v>
      </x:c>
      <x:c r="E277" s="284" t="str">
        <x:v>保平路214巷</x:v>
      </x:c>
      <x:c r="F277" s="284" t="str">
        <x:v>永和區</x:v>
      </x:c>
      <x:c r="G277" s="284" t="n">
        <x:v>25</x:v>
      </x:c>
      <x:c r="H277" s="287" t="n">
        <x:v>72.75833333333334</x:v>
      </x:c>
      <x:c r="I277" s="285" t="n">
        <x:v>0.0922619047619047</x:v>
      </x:c>
      <x:c r="J277" s="285" t="n">
        <x:v>0.5144347826086957</x:v>
      </x:c>
      <x:c r="K277" s="287" t="n">
        <x:v>103.87096774193547</x:v>
      </x:c>
      <x:c r="L277" s="285" t="n">
        <x:v>0.0737327188940092</x:v>
      </x:c>
      <x:c r="M277" s="284" t="n">
        <x:v>18</x:v>
      </x:c>
      <x:c r="N277" s="284" t="n">
        <x:v>2520</x:v>
      </x:c>
      <x:c r="O277" s="284" t="str"/>
    </x:row>
    <x:row r="278" ht="27" customHeight="1">
      <x:c r="A278" s="283" t="n">
        <x:v>274</x:v>
      </x:c>
      <x:c r="B278" s="283" t="n">
        <x:v>928</x:v>
      </x:c>
      <x:c r="C278" s="283" t="str">
        <x:f>IF(AND(A278&lt;='定義與範圍'!$B$7,B278&lt;='定義與範圍'!$B$7),"是","")</x:f>
      </x:c>
      <x:c r="D278" s="283" t="str">
        <x:v>僅高失衡</x:v>
      </x:c>
      <x:c r="E278" s="283" t="str">
        <x:v>安和市民活動中心</x:v>
      </x:c>
      <x:c r="F278" s="283" t="str">
        <x:v>新店區</x:v>
      </x:c>
      <x:c r="G278" s="283" t="n">
        <x:v>25</x:v>
      </x:c>
      <x:c r="H278" s="288" t="n">
        <x:v>39.00833333333333</x:v>
      </x:c>
      <x:c r="I278" s="286" t="n">
        <x:v>0.0922619047619047</x:v>
      </x:c>
      <x:c r="J278" s="286" t="n">
        <x:v>0.3455652173913043</x:v>
      </x:c>
      <x:c r="K278" s="288" t="n">
        <x:v>55.45161290322581</x:v>
      </x:c>
      <x:c r="L278" s="286" t="n">
        <x:v>0.0990783410138248</x:v>
      </x:c>
      <x:c r="M278" s="283" t="n">
        <x:v>20</x:v>
      </x:c>
      <x:c r="N278" s="283" t="n">
        <x:v>2970</x:v>
      </x:c>
      <x:c r="O278" s="283" t="str"/>
    </x:row>
    <x:row r="279" ht="27" customHeight="1">
      <x:c r="A279" s="284" t="n">
        <x:v>275</x:v>
      </x:c>
      <x:c r="B279" s="284" t="n">
        <x:v>175</x:v>
      </x:c>
      <x:c r="C279" s="284" t="str">
        <x:f>IF(AND(A279&lt;='定義與範圍'!$B$7,B279&lt;='定義與範圍'!$B$7),"是","")</x:f>
        <x:v>是</x:v>
      </x:c>
      <x:c r="D279" s="284" t="str">
        <x:v>高活動＋高失衡</x:v>
      </x:c>
      <x:c r="E279" s="284" t="str">
        <x:v>華江九華江一路口(匯翠社區)</x:v>
      </x:c>
      <x:c r="F279" s="284" t="str">
        <x:v>板橋區</x:v>
      </x:c>
      <x:c r="G279" s="284" t="n">
        <x:v>40</x:v>
      </x:c>
      <x:c r="H279" s="287" t="n">
        <x:v>98.425</x:v>
      </x:c>
      <x:c r="I279" s="285" t="n">
        <x:v>0.0922619047619047</x:v>
      </x:c>
      <x:c r="J279" s="285" t="n">
        <x:v>0.5059130434782608</x:v>
      </x:c>
      <x:c r="K279" s="287" t="n">
        <x:v>128.70967741935485</x:v>
      </x:c>
      <x:c r="L279" s="285" t="n">
        <x:v>0.1474654377880184</x:v>
      </x:c>
      <x:c r="M279" s="284" t="n">
        <x:v>36</x:v>
      </x:c>
      <x:c r="N279" s="284" t="n">
        <x:v>4440</x:v>
      </x:c>
      <x:c r="O279" s="284" t="str"/>
    </x:row>
    <x:row r="280" ht="27" customHeight="1">
      <x:c r="A280" s="283" t="n">
        <x:v>276</x:v>
      </x:c>
      <x:c r="B280" s="283" t="n">
        <x:v>783</x:v>
      </x:c>
      <x:c r="C280" s="283" t="str">
        <x:f>IF(AND(A280&lt;='定義與範圍'!$B$7,B280&lt;='定義與範圍'!$B$7),"是","")</x:f>
      </x:c>
      <x:c r="D280" s="283" t="str">
        <x:v>僅高失衡</x:v>
      </x:c>
      <x:c r="E280" s="283" t="str">
        <x:v>西林簡易籃球場</x:v>
      </x:c>
      <x:c r="F280" s="283" t="str">
        <x:v>林口區</x:v>
      </x:c>
      <x:c r="G280" s="283" t="n">
        <x:v>16</x:v>
      </x:c>
      <x:c r="H280" s="288" t="n">
        <x:v>47.66666666666666</x:v>
      </x:c>
      <x:c r="I280" s="286" t="n">
        <x:v>0.0916666666666666</x:v>
      </x:c>
      <x:c r="J280" s="286" t="n">
        <x:v>0.3638260869565217</x:v>
      </x:c>
      <x:c r="K280" s="288" t="n">
        <x:v>74.87096774193549</x:v>
      </x:c>
      <x:c r="L280" s="286" t="n">
        <x:v>0.0967741935483871</x:v>
      </x:c>
      <x:c r="M280" s="283" t="n">
        <x:v>18</x:v>
      </x:c>
      <x:c r="N280" s="283" t="n">
        <x:v>2910</x:v>
      </x:c>
      <x:c r="O280" s="283" t="str"/>
    </x:row>
    <x:row r="281" ht="27" customHeight="1">
      <x:c r="A281" s="284" t="n">
        <x:v>277</x:v>
      </x:c>
      <x:c r="B281" s="284" t="n">
        <x:v>119</x:v>
      </x:c>
      <x:c r="C281" s="284" t="str">
        <x:f>IF(AND(A281&lt;='定義與範圍'!$B$7,B281&lt;='定義與範圍'!$B$7),"是","")</x:f>
        <x:v>是</x:v>
      </x:c>
      <x:c r="D281" s="284" t="str">
        <x:v>高活動＋高失衡</x:v>
      </x:c>
      <x:c r="E281" s="284" t="str">
        <x:v>伊吉邦社區</x:v>
      </x:c>
      <x:c r="F281" s="284" t="str">
        <x:v>新莊區</x:v>
      </x:c>
      <x:c r="G281" s="284" t="n">
        <x:v>40</x:v>
      </x:c>
      <x:c r="H281" s="287" t="n">
        <x:v>113.71666666666668</x:v>
      </x:c>
      <x:c r="I281" s="285" t="n">
        <x:v>0.0916666666666666</x:v>
      </x:c>
      <x:c r="J281" s="285" t="n">
        <x:v>0.528</x:v>
      </x:c>
      <x:c r="K281" s="287" t="n">
        <x:v>127.80645161290325</x:v>
      </x:c>
      <x:c r="L281" s="285" t="n">
        <x:v>0.1267281105990783</x:v>
      </x:c>
      <x:c r="M281" s="284" t="n">
        <x:v>30</x:v>
      </x:c>
      <x:c r="N281" s="284" t="n">
        <x:v>3420</x:v>
      </x:c>
      <x:c r="O281" s="284" t="str"/>
    </x:row>
    <x:row r="282" ht="27" customHeight="1">
      <x:c r="A282" s="283" t="n">
        <x:v>278</x:v>
      </x:c>
      <x:c r="B282" s="283" t="n">
        <x:v>218</x:v>
      </x:c>
      <x:c r="C282" s="283" t="str">
        <x:f>IF(AND(A282&lt;='定義與範圍'!$B$7,B282&lt;='定義與範圍'!$B$7),"是","")</x:f>
        <x:v>是</x:v>
      </x:c>
      <x:c r="D282" s="283" t="str">
        <x:v>高活動＋高失衡</x:v>
      </x:c>
      <x:c r="E282" s="283" t="str">
        <x:v>文化白雲公園</x:v>
      </x:c>
      <x:c r="F282" s="283" t="str">
        <x:v>汐止區</x:v>
      </x:c>
      <x:c r="G282" s="283" t="n">
        <x:v>76</x:v>
      </x:c>
      <x:c r="H282" s="288" t="n">
        <x:v>90.8</x:v>
      </x:c>
      <x:c r="I282" s="286" t="n">
        <x:v>0.0910714285714285</x:v>
      </x:c>
      <x:c r="J282" s="286" t="n">
        <x:v>0.4601739130434782</x:v>
      </x:c>
      <x:c r="K282" s="288" t="n">
        <x:v>108.41935483870968</x:v>
      </x:c>
      <x:c r="L282" s="286" t="n">
        <x:v>0.1198156682027649</x:v>
      </x:c>
      <x:c r="M282" s="283" t="n">
        <x:v>35</x:v>
      </x:c>
      <x:c r="N282" s="283" t="n">
        <x:v>3780</x:v>
      </x:c>
      <x:c r="O282" s="283" t="str"/>
    </x:row>
    <x:row r="283" ht="27" customHeight="1">
      <x:c r="A283" s="284" t="n">
        <x:v>279</x:v>
      </x:c>
      <x:c r="B283" s="284" t="n">
        <x:v>555</x:v>
      </x:c>
      <x:c r="C283" s="284" t="str">
        <x:f>IF(AND(A283&lt;='定義與範圍'!$B$7,B283&lt;='定義與範圍'!$B$7),"是","")</x:f>
      </x:c>
      <x:c r="D283" s="284" t="str">
        <x:v>僅高失衡</x:v>
      </x:c>
      <x:c r="E283" s="284" t="str">
        <x:v>華新街143巷</x:v>
      </x:c>
      <x:c r="F283" s="284" t="str">
        <x:v>中和區</x:v>
      </x:c>
      <x:c r="G283" s="284" t="n">
        <x:v>15</x:v>
      </x:c>
      <x:c r="H283" s="287" t="n">
        <x:v>61.43333333333333</x:v>
      </x:c>
      <x:c r="I283" s="285" t="n">
        <x:v>0.0910714285714285</x:v>
      </x:c>
      <x:c r="J283" s="285" t="n">
        <x:v>0.4603478260869565</x:v>
      </x:c>
      <x:c r="K283" s="287" t="n">
        <x:v>76.35483870967742</x:v>
      </x:c>
      <x:c r="L283" s="285" t="n">
        <x:v>0.0806451612903225</x:v>
      </x:c>
      <x:c r="M283" s="284" t="n">
        <x:v>33</x:v>
      </x:c>
      <x:c r="N283" s="284" t="n">
        <x:v>3870</x:v>
      </x:c>
      <x:c r="O283" s="284" t="str"/>
    </x:row>
    <x:row r="284" ht="27" customHeight="1">
      <x:c r="A284" s="283" t="n">
        <x:v>280</x:v>
      </x:c>
      <x:c r="B284" s="283" t="n">
        <x:v>1322</x:v>
      </x:c>
      <x:c r="C284" s="283" t="str">
        <x:f>IF(AND(A284&lt;='定義與範圍'!$B$7,B284&lt;='定義與範圍'!$B$7),"是","")</x:f>
      </x:c>
      <x:c r="D284" s="283" t="str">
        <x:v>僅高失衡</x:v>
      </x:c>
      <x:c r="E284" s="283" t="str">
        <x:v>大安文化街口</x:v>
      </x:c>
      <x:c r="F284" s="283" t="str">
        <x:v>樹林區</x:v>
      </x:c>
      <x:c r="G284" s="283" t="n">
        <x:v>21</x:v>
      </x:c>
      <x:c r="H284" s="288" t="n">
        <x:v>17.225</x:v>
      </x:c>
      <x:c r="I284" s="286" t="n">
        <x:v>0.0910714285714285</x:v>
      </x:c>
      <x:c r="J284" s="286" t="n">
        <x:v>0.1928695652173913</x:v>
      </x:c>
      <x:c r="K284" s="288" t="n">
        <x:v>27.806451612903224</x:v>
      </x:c>
      <x:c r="L284" s="286" t="n">
        <x:v>0.0783410138248847</x:v>
      </x:c>
      <x:c r="M284" s="283" t="n">
        <x:v>9</x:v>
      </x:c>
      <x:c r="N284" s="283" t="n">
        <x:v>1230</x:v>
      </x:c>
      <x:c r="O284" s="283" t="str"/>
    </x:row>
    <x:row r="285" ht="27" customHeight="1">
      <x:c r="A285" s="284" t="n">
        <x:v>281</x:v>
      </x:c>
      <x:c r="B285" s="284" t="n">
        <x:v>72</x:v>
      </x:c>
      <x:c r="C285" s="284" t="str">
        <x:f>IF(AND(A285&lt;='定義與範圍'!$B$7,B285&lt;='定義與範圍'!$B$7),"是","")</x:f>
        <x:v>是</x:v>
      </x:c>
      <x:c r="D285" s="284" t="str">
        <x:v>高活動＋高失衡</x:v>
      </x:c>
      <x:c r="E285" s="284" t="str">
        <x:v>三重永豐公園</x:v>
      </x:c>
      <x:c r="F285" s="284" t="str">
        <x:v>三重區</x:v>
      </x:c>
      <x:c r="G285" s="284" t="n">
        <x:v>31</x:v>
      </x:c>
      <x:c r="H285" s="287" t="n">
        <x:v>141.025</x:v>
      </x:c>
      <x:c r="I285" s="285" t="n">
        <x:v>0.0910714285714285</x:v>
      </x:c>
      <x:c r="J285" s="285" t="n">
        <x:v>0.5659130434782609</x:v>
      </x:c>
      <x:c r="K285" s="287" t="n">
        <x:v>174</x:v>
      </x:c>
      <x:c r="L285" s="285" t="n">
        <x:v>0.1129032258064516</x:v>
      </x:c>
      <x:c r="M285" s="284" t="n">
        <x:v>32</x:v>
      </x:c>
      <x:c r="N285" s="284" t="n">
        <x:v>3570</x:v>
      </x:c>
      <x:c r="O285" s="284" t="str"/>
    </x:row>
    <x:row r="286" ht="27" customHeight="1">
      <x:c r="A286" s="283" t="n">
        <x:v>282</x:v>
      </x:c>
      <x:c r="B286" s="283" t="n">
        <x:v>212</x:v>
      </x:c>
      <x:c r="C286" s="283" t="str">
        <x:f>IF(AND(A286&lt;='定義與範圍'!$B$7,B286&lt;='定義與範圍'!$B$7),"是","")</x:f>
        <x:v>是</x:v>
      </x:c>
      <x:c r="D286" s="283" t="str">
        <x:v>高活動＋高失衡</x:v>
      </x:c>
      <x:c r="E286" s="283" t="str">
        <x:v>龍鳳公園</x:v>
      </x:c>
      <x:c r="F286" s="283" t="str">
        <x:v>新莊區</x:v>
      </x:c>
      <x:c r="G286" s="283" t="n">
        <x:v>52</x:v>
      </x:c>
      <x:c r="H286" s="288" t="n">
        <x:v>91.14166666666668</x:v>
      </x:c>
      <x:c r="I286" s="286" t="n">
        <x:v>0.0910714285714285</x:v>
      </x:c>
      <x:c r="J286" s="286" t="n">
        <x:v>0.4692173913043478</x:v>
      </x:c>
      <x:c r="K286" s="288" t="n">
        <x:v>117.4516129032258</x:v>
      </x:c>
      <x:c r="L286" s="286" t="n">
        <x:v>0.1013824884792626</x:v>
      </x:c>
      <x:c r="M286" s="283" t="n">
        <x:v>17</x:v>
      </x:c>
      <x:c r="N286" s="283" t="n">
        <x:v>1890</x:v>
      </x:c>
      <x:c r="O286" s="283" t="str"/>
    </x:row>
    <x:row r="287" ht="27" customHeight="1">
      <x:c r="A287" s="284" t="n">
        <x:v>283</x:v>
      </x:c>
      <x:c r="B287" s="284" t="n">
        <x:v>742</x:v>
      </x:c>
      <x:c r="C287" s="284" t="str">
        <x:f>IF(AND(A287&lt;='定義與範圍'!$B$7,B287&lt;='定義與範圍'!$B$7),"是","")</x:f>
      </x:c>
      <x:c r="D287" s="284" t="str">
        <x:v>僅高失衡</x:v>
      </x:c>
      <x:c r="E287" s="284" t="str">
        <x:v>金城裕民路口(中正國中)</x:v>
      </x:c>
      <x:c r="F287" s="284" t="str">
        <x:v>土城區</x:v>
      </x:c>
      <x:c r="G287" s="284" t="n">
        <x:v>54</x:v>
      </x:c>
      <x:c r="H287" s="287" t="n">
        <x:v>49.583333333333336</x:v>
      </x:c>
      <x:c r="I287" s="285" t="n">
        <x:v>0.0910714285714285</x:v>
      </x:c>
      <x:c r="J287" s="285" t="n">
        <x:v>0.4100869565217391</x:v>
      </x:c>
      <x:c r="K287" s="287" t="n">
        <x:v>72.16129032258064</x:v>
      </x:c>
      <x:c r="L287" s="285" t="n">
        <x:v>0.0921658986175115</x:v>
      </x:c>
      <x:c r="M287" s="284" t="n">
        <x:v>22</x:v>
      </x:c>
      <x:c r="N287" s="284" t="n">
        <x:v>3120</x:v>
      </x:c>
      <x:c r="O287" s="284" t="str"/>
    </x:row>
    <x:row r="288" ht="27" customHeight="1">
      <x:c r="A288" s="283" t="n">
        <x:v>284</x:v>
      </x:c>
      <x:c r="B288" s="283" t="n">
        <x:v>944</x:v>
      </x:c>
      <x:c r="C288" s="283" t="str">
        <x:f>IF(AND(A288&lt;='定義與範圍'!$B$7,B288&lt;='定義與範圍'!$B$7),"是","")</x:f>
      </x:c>
      <x:c r="D288" s="283" t="str">
        <x:v>僅高失衡</x:v>
      </x:c>
      <x:c r="E288" s="283" t="str">
        <x:v>稚匯公園(華江三路)</x:v>
      </x:c>
      <x:c r="F288" s="283" t="str">
        <x:v>板橋區</x:v>
      </x:c>
      <x:c r="G288" s="283" t="n">
        <x:v>19</x:v>
      </x:c>
      <x:c r="H288" s="288" t="n">
        <x:v>38.075</x:v>
      </x:c>
      <x:c r="I288" s="286" t="n">
        <x:v>0.0904761904761904</x:v>
      </x:c>
      <x:c r="J288" s="286" t="n">
        <x:v>0.3584347826086956</x:v>
      </x:c>
      <x:c r="K288" s="288" t="n">
        <x:v>53.74193548387097</x:v>
      </x:c>
      <x:c r="L288" s="286" t="n">
        <x:v>0.1474654377880184</x:v>
      </x:c>
      <x:c r="M288" s="283" t="n">
        <x:v>41</x:v>
      </x:c>
      <x:c r="N288" s="283" t="n">
        <x:v>4710</x:v>
      </x:c>
      <x:c r="O288" s="283" t="str"/>
    </x:row>
    <x:row r="289" ht="27" customHeight="1">
      <x:c r="A289" s="284" t="n">
        <x:v>285</x:v>
      </x:c>
      <x:c r="B289" s="284" t="n">
        <x:v>679</x:v>
      </x:c>
      <x:c r="C289" s="284" t="str">
        <x:f>IF(AND(A289&lt;='定義與範圍'!$B$7,B289&lt;='定義與範圍'!$B$7),"是","")</x:f>
      </x:c>
      <x:c r="D289" s="284" t="str">
        <x:v>僅高失衡</x:v>
      </x:c>
      <x:c r="E289" s="284" t="str">
        <x:v>光榮國中(秀江街)</x:v>
      </x:c>
      <x:c r="F289" s="284" t="str">
        <x:v>三重區</x:v>
      </x:c>
      <x:c r="G289" s="284" t="n">
        <x:v>20</x:v>
      </x:c>
      <x:c r="H289" s="287" t="n">
        <x:v>53.05833333333333</x:v>
      </x:c>
      <x:c r="I289" s="285" t="n">
        <x:v>0.0904761904761904</x:v>
      </x:c>
      <x:c r="J289" s="285" t="n">
        <x:v>0.4419130434782609</x:v>
      </x:c>
      <x:c r="K289" s="287" t="n">
        <x:v>68.90322580645162</x:v>
      </x:c>
      <x:c r="L289" s="285" t="n">
        <x:v>0.1589861751152073</x:v>
      </x:c>
      <x:c r="M289" s="284" t="n">
        <x:v>35</x:v>
      </x:c>
      <x:c r="N289" s="284" t="n">
        <x:v>5070</x:v>
      </x:c>
      <x:c r="O289" s="284" t="str"/>
    </x:row>
    <x:row r="290" ht="27" customHeight="1">
      <x:c r="A290" s="283" t="n">
        <x:v>286</x:v>
      </x:c>
      <x:c r="B290" s="283" t="n">
        <x:v>190</x:v>
      </x:c>
      <x:c r="C290" s="283" t="str">
        <x:f>IF(AND(A290&lt;='定義與範圍'!$B$7,B290&lt;='定義與範圍'!$B$7),"是","")</x:f>
        <x:v>是</x:v>
      </x:c>
      <x:c r="D290" s="283" t="str">
        <x:v>高活動＋高失衡</x:v>
      </x:c>
      <x:c r="E290" s="283" t="str">
        <x:v>龍門公園</x:v>
      </x:c>
      <x:c r="F290" s="283" t="str">
        <x:v>三重區</x:v>
      </x:c>
      <x:c r="G290" s="283" t="n">
        <x:v>48</x:v>
      </x:c>
      <x:c r="H290" s="288" t="n">
        <x:v>95.68333333333334</x:v>
      </x:c>
      <x:c r="I290" s="286" t="n">
        <x:v>0.0904761904761904</x:v>
      </x:c>
      <x:c r="J290" s="286" t="n">
        <x:v>0.5116521739130435</x:v>
      </x:c>
      <x:c r="K290" s="288" t="n">
        <x:v>109.2258064516129</x:v>
      </x:c>
      <x:c r="L290" s="286" t="n">
        <x:v>0.0921658986175115</x:v>
      </x:c>
      <x:c r="M290" s="283" t="n">
        <x:v>26</x:v>
      </x:c>
      <x:c r="N290" s="283" t="n">
        <x:v>2880</x:v>
      </x:c>
      <x:c r="O290" s="283" t="str"/>
    </x:row>
    <x:row r="291" ht="27" customHeight="1">
      <x:c r="A291" s="284" t="n">
        <x:v>287</x:v>
      </x:c>
      <x:c r="B291" s="284" t="n">
        <x:v>635</x:v>
      </x:c>
      <x:c r="C291" s="284" t="str">
        <x:f>IF(AND(A291&lt;='定義與範圍'!$B$7,B291&lt;='定義與範圍'!$B$7),"是","")</x:f>
      </x:c>
      <x:c r="D291" s="284" t="str">
        <x:v>僅高失衡</x:v>
      </x:c>
      <x:c r="E291" s="284" t="str">
        <x:v>國慶路149巷口</x:v>
      </x:c>
      <x:c r="F291" s="284" t="str">
        <x:v>板橋區</x:v>
      </x:c>
      <x:c r="G291" s="284" t="n">
        <x:v>14</x:v>
      </x:c>
      <x:c r="H291" s="287" t="n">
        <x:v>56.00833333333333</x:v>
      </x:c>
      <x:c r="I291" s="285" t="n">
        <x:v>0.0898809523809523</x:v>
      </x:c>
      <x:c r="J291" s="285" t="n">
        <x:v>0.463304347826087</x:v>
      </x:c>
      <x:c r="K291" s="287" t="n">
        <x:v>75.64516129032258</x:v>
      </x:c>
      <x:c r="L291" s="285" t="n">
        <x:v>0.1175115207373272</x:v>
      </x:c>
      <x:c r="M291" s="284" t="n">
        <x:v>27</x:v>
      </x:c>
      <x:c r="N291" s="284" t="n">
        <x:v>3960</x:v>
      </x:c>
      <x:c r="O291" s="284" t="str"/>
    </x:row>
    <x:row r="292" ht="27" customHeight="1">
      <x:c r="A292" s="283" t="n">
        <x:v>288</x:v>
      </x:c>
      <x:c r="B292" s="283" t="n">
        <x:v>507</x:v>
      </x:c>
      <x:c r="C292" s="283" t="str">
        <x:f>IF(AND(A292&lt;='定義與範圍'!$B$7,B292&lt;='定義與範圍'!$B$7),"是","")</x:f>
      </x:c>
      <x:c r="D292" s="283" t="str">
        <x:v>僅高失衡</x:v>
      </x:c>
      <x:c r="E292" s="283" t="str">
        <x:v>思賢公園(北側)</x:v>
      </x:c>
      <x:c r="F292" s="283" t="str">
        <x:v>新莊區</x:v>
      </x:c>
      <x:c r="G292" s="283" t="n">
        <x:v>18</x:v>
      </x:c>
      <x:c r="H292" s="288" t="n">
        <x:v>64.39166666666667</x:v>
      </x:c>
      <x:c r="I292" s="286" t="n">
        <x:v>0.0898809523809523</x:v>
      </x:c>
      <x:c r="J292" s="286" t="n">
        <x:v>0.4688695652173913</x:v>
      </x:c>
      <x:c r="K292" s="288" t="n">
        <x:v>96.64516129032258</x:v>
      </x:c>
      <x:c r="L292" s="286" t="n">
        <x:v>0.0852534562211981</x:v>
      </x:c>
      <x:c r="M292" s="283" t="n">
        <x:v>13</x:v>
      </x:c>
      <x:c r="N292" s="283" t="n">
        <x:v>2490</x:v>
      </x:c>
      <x:c r="O292" s="283" t="str"/>
    </x:row>
    <x:row r="293" ht="27" customHeight="1">
      <x:c r="A293" s="284" t="n">
        <x:v>289</x:v>
      </x:c>
      <x:c r="B293" s="284" t="n">
        <x:v>249</x:v>
      </x:c>
      <x:c r="C293" s="284" t="str">
        <x:f>IF(AND(A293&lt;='定義與範圍'!$B$7,B293&lt;='定義與範圍'!$B$7),"是","")</x:f>
        <x:v>是</x:v>
      </x:c>
      <x:c r="D293" s="284" t="str">
        <x:v>高活動＋高失衡</x:v>
      </x:c>
      <x:c r="E293" s="284" t="str">
        <x:v>輕軌淡江大學站</x:v>
      </x:c>
      <x:c r="F293" s="284" t="str">
        <x:v>淡水區</x:v>
      </x:c>
      <x:c r="G293" s="284" t="n">
        <x:v>40</x:v>
      </x:c>
      <x:c r="H293" s="287" t="n">
        <x:v>86.86666666666666</x:v>
      </x:c>
      <x:c r="I293" s="285" t="n">
        <x:v>0.0898809523809523</x:v>
      </x:c>
      <x:c r="J293" s="285" t="n">
        <x:v>0.4017391304347826</x:v>
      </x:c>
      <x:c r="K293" s="287" t="n">
        <x:v>122.2258064516129</x:v>
      </x:c>
      <x:c r="L293" s="285" t="n">
        <x:v>0.1866359447004608</x:v>
      </x:c>
      <x:c r="M293" s="284" t="n">
        <x:v>55</x:v>
      </x:c>
      <x:c r="N293" s="284" t="n">
        <x:v>6750</x:v>
      </x:c>
      <x:c r="O293" s="284" t="str"/>
    </x:row>
    <x:row r="294" ht="27" customHeight="1">
      <x:c r="A294" s="283" t="n">
        <x:v>290</x:v>
      </x:c>
      <x:c r="B294" s="283" t="n">
        <x:v>954</x:v>
      </x:c>
      <x:c r="C294" s="283" t="str">
        <x:f>IF(AND(A294&lt;='定義與範圍'!$B$7,B294&lt;='定義與範圍'!$B$7),"是","")</x:f>
      </x:c>
      <x:c r="D294" s="283" t="str">
        <x:v>僅高失衡</x:v>
      </x:c>
      <x:c r="E294" s="283" t="str">
        <x:v>育英建國路口</x:v>
      </x:c>
      <x:c r="F294" s="283" t="str">
        <x:v>鶯歌區</x:v>
      </x:c>
      <x:c r="G294" s="283" t="n">
        <x:v>12</x:v>
      </x:c>
      <x:c r="H294" s="288" t="n">
        <x:v>37.61666666666667</x:v>
      </x:c>
      <x:c r="I294" s="286" t="n">
        <x:v>0.0892857142857142</x:v>
      </x:c>
      <x:c r="J294" s="286" t="n">
        <x:v>0.3473043478260869</x:v>
      </x:c>
      <x:c r="K294" s="288" t="n">
        <x:v>52.483870967741936</x:v>
      </x:c>
      <x:c r="L294" s="286" t="n">
        <x:v>0.0668202764976958</x:v>
      </x:c>
      <x:c r="M294" s="283" t="n">
        <x:v>17</x:v>
      </x:c>
      <x:c r="N294" s="283" t="n">
        <x:v>2220</x:v>
      </x:c>
      <x:c r="O294" s="283" t="str"/>
    </x:row>
    <x:row r="295" ht="27" customHeight="1">
      <x:c r="A295" s="284" t="n">
        <x:v>291</x:v>
      </x:c>
      <x:c r="B295" s="284" t="n">
        <x:v>730</x:v>
      </x:c>
      <x:c r="C295" s="284" t="str">
        <x:f>IF(AND(A295&lt;='定義與範圍'!$B$7,B295&lt;='定義與範圍'!$B$7),"是","")</x:f>
      </x:c>
      <x:c r="D295" s="284" t="str">
        <x:v>僅高失衡</x:v>
      </x:c>
      <x:c r="E295" s="284" t="str">
        <x:v>九芎街90巷口</x:v>
      </x:c>
      <x:c r="F295" s="284" t="str">
        <x:v>蘆洲區</x:v>
      </x:c>
      <x:c r="G295" s="284" t="n">
        <x:v>15</x:v>
      </x:c>
      <x:c r="H295" s="287" t="n">
        <x:v>50.59166666666667</x:v>
      </x:c>
      <x:c r="I295" s="285" t="n">
        <x:v>0.0892857142857142</x:v>
      </x:c>
      <x:c r="J295" s="285" t="n">
        <x:v>0.4274782608695652</x:v>
      </x:c>
      <x:c r="K295" s="287" t="n">
        <x:v>74.19354838709677</x:v>
      </x:c>
      <x:c r="L295" s="285" t="n">
        <x:v>0.1152073732718894</x:v>
      </x:c>
      <x:c r="M295" s="284" t="n">
        <x:v>21</x:v>
      </x:c>
      <x:c r="N295" s="284" t="n">
        <x:v>3120</x:v>
      </x:c>
      <x:c r="O295" s="284" t="str"/>
    </x:row>
    <x:row r="296" ht="27" customHeight="1">
      <x:c r="A296" s="283" t="n">
        <x:v>292</x:v>
      </x:c>
      <x:c r="B296" s="283" t="n">
        <x:v>762</x:v>
      </x:c>
      <x:c r="C296" s="283" t="str">
        <x:f>IF(AND(A296&lt;='定義與範圍'!$B$7,B296&lt;='定義與範圍'!$B$7),"是","")</x:f>
      </x:c>
      <x:c r="D296" s="283" t="str">
        <x:v>僅高失衡</x:v>
      </x:c>
      <x:c r="E296" s="283" t="str">
        <x:v>十四張歷史公園(北側)</x:v>
      </x:c>
      <x:c r="F296" s="283" t="str">
        <x:v>新店區</x:v>
      </x:c>
      <x:c r="G296" s="283" t="n">
        <x:v>24</x:v>
      </x:c>
      <x:c r="H296" s="288" t="n">
        <x:v>48.69166666666667</x:v>
      </x:c>
      <x:c r="I296" s="286" t="n">
        <x:v>0.0892857142857142</x:v>
      </x:c>
      <x:c r="J296" s="286" t="n">
        <x:v>0.4031304347826087</x:v>
      </x:c>
      <x:c r="K296" s="288" t="n">
        <x:v>73.74193548387096</x:v>
      </x:c>
      <x:c r="L296" s="286" t="n">
        <x:v>0.0898617511520737</x:v>
      </x:c>
      <x:c r="M296" s="283" t="n">
        <x:v>17</x:v>
      </x:c>
      <x:c r="N296" s="283" t="n">
        <x:v>2580</x:v>
      </x:c>
      <x:c r="O296" s="283" t="str"/>
    </x:row>
    <x:row r="297" ht="27" customHeight="1">
      <x:c r="A297" s="284" t="n">
        <x:v>293</x:v>
      </x:c>
      <x:c r="B297" s="284" t="n">
        <x:v>457</x:v>
      </x:c>
      <x:c r="C297" s="284" t="str">
        <x:f>IF(AND(A297&lt;='定義與範圍'!$B$7,B297&lt;='定義與範圍'!$B$7),"是","")</x:f>
      </x:c>
      <x:c r="D297" s="284" t="str">
        <x:v>僅高失衡</x:v>
      </x:c>
      <x:c r="E297" s="284" t="str">
        <x:v>臺北大學宿舍(學成路)</x:v>
      </x:c>
      <x:c r="F297" s="284" t="str">
        <x:v>三峽區</x:v>
      </x:c>
      <x:c r="G297" s="284" t="n">
        <x:v>20</x:v>
      </x:c>
      <x:c r="H297" s="287" t="n">
        <x:v>67.56666666666666</x:v>
      </x:c>
      <x:c r="I297" s="285" t="n">
        <x:v>0.0892857142857142</x:v>
      </x:c>
      <x:c r="J297" s="285" t="n">
        <x:v>0.4643478260869565</x:v>
      </x:c>
      <x:c r="K297" s="287" t="n">
        <x:v>107.06451612903226</x:v>
      </x:c>
      <x:c r="L297" s="285" t="n">
        <x:v>0.1013824884792626</x:v>
      </x:c>
      <x:c r="M297" s="284" t="n">
        <x:v>17</x:v>
      </x:c>
      <x:c r="N297" s="284" t="n">
        <x:v>2220</x:v>
      </x:c>
      <x:c r="O297" s="284" t="str"/>
    </x:row>
    <x:row r="298" ht="27" customHeight="1">
      <x:c r="A298" s="283" t="n">
        <x:v>294</x:v>
      </x:c>
      <x:c r="B298" s="283" t="n">
        <x:v>985</x:v>
      </x:c>
      <x:c r="C298" s="283" t="str">
        <x:f>IF(AND(A298&lt;='定義與範圍'!$B$7,B298&lt;='定義與範圍'!$B$7),"是","")</x:f>
      </x:c>
      <x:c r="D298" s="283" t="str">
        <x:v>僅高失衡</x:v>
      </x:c>
      <x:c r="E298" s="283" t="str">
        <x:v>忠孝活動中心</x:v>
      </x:c>
      <x:c r="F298" s="283" t="str">
        <x:v>永和區</x:v>
      </x:c>
      <x:c r="G298" s="283" t="n">
        <x:v>28</x:v>
      </x:c>
      <x:c r="H298" s="288" t="n">
        <x:v>36.28333333333333</x:v>
      </x:c>
      <x:c r="I298" s="286" t="n">
        <x:v>0.0892857142857142</x:v>
      </x:c>
      <x:c r="J298" s="286" t="n">
        <x:v>0.3473043478260869</x:v>
      </x:c>
      <x:c r="K298" s="288" t="n">
        <x:v>62.935483870967744</x:v>
      </x:c>
      <x:c r="L298" s="286" t="n">
        <x:v>0.0714285714285714</x:v>
      </x:c>
      <x:c r="M298" s="283" t="n">
        <x:v>11</x:v>
      </x:c>
      <x:c r="N298" s="283" t="n">
        <x:v>1830</x:v>
      </x:c>
      <x:c r="O298" s="283" t="str"/>
    </x:row>
    <x:row r="299" ht="27" customHeight="1">
      <x:c r="A299" s="284" t="n">
        <x:v>295</x:v>
      </x:c>
      <x:c r="B299" s="284" t="n">
        <x:v>757</x:v>
      </x:c>
      <x:c r="C299" s="284" t="str">
        <x:f>IF(AND(A299&lt;='定義與範圍'!$B$7,B299&lt;='定義與範圍'!$B$7),"是","")</x:f>
      </x:c>
      <x:c r="D299" s="284" t="str">
        <x:v>僅高失衡</x:v>
      </x:c>
      <x:c r="E299" s="284" t="str">
        <x:v>三重重陽公園</x:v>
      </x:c>
      <x:c r="F299" s="284" t="str">
        <x:v>三重區</x:v>
      </x:c>
      <x:c r="G299" s="284" t="n">
        <x:v>15</x:v>
      </x:c>
      <x:c r="H299" s="287" t="n">
        <x:v>48.90833333333333</x:v>
      </x:c>
      <x:c r="I299" s="285" t="n">
        <x:v>0.0886904761904762</x:v>
      </x:c>
      <x:c r="J299" s="285" t="n">
        <x:v>0.4175652173913043</x:v>
      </x:c>
      <x:c r="K299" s="287" t="n">
        <x:v>69.3225806451613</x:v>
      </x:c>
      <x:c r="L299" s="285" t="n">
        <x:v>0.1658986175115207</x:v>
      </x:c>
      <x:c r="M299" s="284" t="n">
        <x:v>34</x:v>
      </x:c>
      <x:c r="N299" s="284" t="n">
        <x:v>4680</x:v>
      </x:c>
      <x:c r="O299" s="284" t="str"/>
    </x:row>
    <x:row r="300" ht="27" customHeight="1">
      <x:c r="A300" s="283" t="n">
        <x:v>296</x:v>
      </x:c>
      <x:c r="B300" s="283" t="n">
        <x:v>416</x:v>
      </x:c>
      <x:c r="C300" s="283" t="str">
        <x:f>IF(AND(A300&lt;='定義與範圍'!$B$7,B300&lt;='定義與範圍'!$B$7),"是","")</x:f>
      </x:c>
      <x:c r="D300" s="283" t="str">
        <x:v>僅高失衡</x:v>
      </x:c>
      <x:c r="E300" s="283" t="str">
        <x:v>忠孝二文化二路口</x:v>
      </x:c>
      <x:c r="F300" s="283" t="str">
        <x:v>林口區</x:v>
      </x:c>
      <x:c r="G300" s="283" t="n">
        <x:v>23</x:v>
      </x:c>
      <x:c r="H300" s="288" t="n">
        <x:v>70.31666666666666</x:v>
      </x:c>
      <x:c r="I300" s="286" t="n">
        <x:v>0.0886904761904762</x:v>
      </x:c>
      <x:c r="J300" s="286" t="n">
        <x:v>0.4295652173913043</x:v>
      </x:c>
      <x:c r="K300" s="288" t="n">
        <x:v>93.87096774193547</x:v>
      </x:c>
      <x:c r="L300" s="286" t="n">
        <x:v>0.1036866359447004</x:v>
      </x:c>
      <x:c r="M300" s="283" t="n">
        <x:v>40</x:v>
      </x:c>
      <x:c r="N300" s="283" t="n">
        <x:v>5400</x:v>
      </x:c>
      <x:c r="O300" s="283" t="str"/>
    </x:row>
    <x:row r="301" ht="27" customHeight="1">
      <x:c r="A301" s="284" t="n">
        <x:v>297</x:v>
      </x:c>
      <x:c r="B301" s="284" t="n">
        <x:v>907</x:v>
      </x:c>
      <x:c r="C301" s="284" t="str">
        <x:f>IF(AND(A301&lt;='定義與範圍'!$B$7,B301&lt;='定義與範圍'!$B$7),"是","")</x:f>
      </x:c>
      <x:c r="D301" s="284" t="str">
        <x:v>僅高失衡</x:v>
      </x:c>
      <x:c r="E301" s="284" t="str">
        <x:v>福壽昌智路口</x:v>
      </x:c>
      <x:c r="F301" s="284" t="str">
        <x:v>新莊區</x:v>
      </x:c>
      <x:c r="G301" s="284" t="n">
        <x:v>30</x:v>
      </x:c>
      <x:c r="H301" s="287" t="n">
        <x:v>40.34166666666667</x:v>
      </x:c>
      <x:c r="I301" s="285" t="n">
        <x:v>0.0886904761904762</x:v>
      </x:c>
      <x:c r="J301" s="285" t="n">
        <x:v>0.3549565217391304</x:v>
      </x:c>
      <x:c r="K301" s="287" t="n">
        <x:v>12.193548387096774</x:v>
      </x:c>
      <x:c r="L301" s="285" t="n">
        <x:v>0.7949308755760369</x:v>
      </x:c>
      <x:c r="M301" s="284" t="n">
        <x:v>8</x:v>
      </x:c>
      <x:c r="N301" s="284" t="n">
        <x:v>34380</x:v>
      </x:c>
      <x:c r="O301" s="284" t="str">
        <x:v>五月尖峰失衡率≥50%</x:v>
      </x:c>
    </x:row>
    <x:row r="302" ht="27" customHeight="1">
      <x:c r="A302" s="283" t="n">
        <x:v>298</x:v>
      </x:c>
      <x:c r="B302" s="283" t="n">
        <x:v>374</x:v>
      </x:c>
      <x:c r="C302" s="283" t="str">
        <x:f>IF(AND(A302&lt;='定義與範圍'!$B$7,B302&lt;='定義與範圍'!$B$7),"是","")</x:f>
      </x:c>
      <x:c r="D302" s="283" t="str">
        <x:v>僅高失衡</x:v>
      </x:c>
      <x:c r="E302" s="283" t="str">
        <x:v>正德國中</x:v>
      </x:c>
      <x:c r="F302" s="283" t="str">
        <x:v>淡水區</x:v>
      </x:c>
      <x:c r="G302" s="283" t="n">
        <x:v>40</x:v>
      </x:c>
      <x:c r="H302" s="288" t="n">
        <x:v>74.5</x:v>
      </x:c>
      <x:c r="I302" s="286" t="n">
        <x:v>0.0886904761904762</x:v>
      </x:c>
      <x:c r="J302" s="286" t="n">
        <x:v>0.4509565217391304</x:v>
      </x:c>
      <x:c r="K302" s="288" t="n">
        <x:v>94.51612903225806</x:v>
      </x:c>
      <x:c r="L302" s="286" t="n">
        <x:v>0.1359447004608295</x:v>
      </x:c>
      <x:c r="M302" s="283" t="n">
        <x:v>29</x:v>
      </x:c>
      <x:c r="N302" s="283" t="n">
        <x:v>3690</x:v>
      </x:c>
      <x:c r="O302" s="283" t="str"/>
    </x:row>
    <x:row r="303" ht="27" customHeight="1">
      <x:c r="A303" s="284" t="n">
        <x:v>299</x:v>
      </x:c>
      <x:c r="B303" s="284" t="n">
        <x:v>164</x:v>
      </x:c>
      <x:c r="C303" s="284" t="str">
        <x:f>IF(AND(A303&lt;='定義與範圍'!$B$7,B303&lt;='定義與範圍'!$B$7),"是","")</x:f>
        <x:v>是</x:v>
      </x:c>
      <x:c r="D303" s="284" t="str">
        <x:v>高活動＋高失衡</x:v>
      </x:c>
      <x:c r="E303" s="284" t="str">
        <x:v>學士龍山二街口(金城舞2社區)</x:v>
      </x:c>
      <x:c r="F303" s="284" t="str">
        <x:v>土城區</x:v>
      </x:c>
      <x:c r="G303" s="284" t="n">
        <x:v>31</x:v>
      </x:c>
      <x:c r="H303" s="287" t="n">
        <x:v>103.23333333333332</x:v>
      </x:c>
      <x:c r="I303" s="285" t="n">
        <x:v>0.0875</x:v>
      </x:c>
      <x:c r="J303" s="285" t="n">
        <x:v>0.5217391304347826</x:v>
      </x:c>
      <x:c r="K303" s="287" t="n">
        <x:v>121.41935483870968</x:v>
      </x:c>
      <x:c r="L303" s="285" t="n">
        <x:v>0.1290322580645161</x:v>
      </x:c>
      <x:c r="M303" s="284" t="n">
        <x:v>29</x:v>
      </x:c>
      <x:c r="N303" s="284" t="n">
        <x:v>3690</x:v>
      </x:c>
      <x:c r="O303" s="284" t="str"/>
    </x:row>
    <x:row r="304" ht="27" customHeight="1">
      <x:c r="A304" s="283" t="n">
        <x:v>300</x:v>
      </x:c>
      <x:c r="B304" s="283" t="n">
        <x:v>1100</x:v>
      </x:c>
      <x:c r="C304" s="283" t="str">
        <x:f>IF(AND(A304&lt;='定義與範圍'!$B$7,B304&lt;='定義與範圍'!$B$7),"是","")</x:f>
      </x:c>
      <x:c r="D304" s="283" t="str">
        <x:v>僅高失衡</x:v>
      </x:c>
      <x:c r="E304" s="283" t="str">
        <x:v>茄苳茄福街口</x:v>
      </x:c>
      <x:c r="F304" s="283" t="str">
        <x:v>汐止區</x:v>
      </x:c>
      <x:c r="G304" s="283" t="n">
        <x:v>15</x:v>
      </x:c>
      <x:c r="H304" s="288" t="n">
        <x:v>30.433333333333334</x:v>
      </x:c>
      <x:c r="I304" s="286" t="n">
        <x:v>0.0869047619047619</x:v>
      </x:c>
      <x:c r="J304" s="286" t="n">
        <x:v>0.3142608695652173</x:v>
      </x:c>
      <x:c r="K304" s="288" t="n">
        <x:v>48.935483870967744</x:v>
      </x:c>
      <x:c r="L304" s="286" t="n">
        <x:v>0.0852534562211981</x:v>
      </x:c>
      <x:c r="M304" s="283" t="n">
        <x:v>25</x:v>
      </x:c>
      <x:c r="N304" s="283" t="n">
        <x:v>2730</x:v>
      </x:c>
      <x:c r="O304" s="283" t="str"/>
    </x:row>
    <x:row r="305" ht="27" customHeight="1">
      <x:c r="A305" s="284" t="n">
        <x:v>301</x:v>
      </x:c>
      <x:c r="B305" s="284" t="n">
        <x:v>833</x:v>
      </x:c>
      <x:c r="C305" s="284" t="str">
        <x:f>IF(AND(A305&lt;='定義與範圍'!$B$7,B305&lt;='定義與範圍'!$B$7),"是","")</x:f>
      </x:c>
      <x:c r="D305" s="284" t="str">
        <x:v>僅高失衡</x:v>
      </x:c>
      <x:c r="E305" s="284" t="str">
        <x:v>景新立體停車場</x:v>
      </x:c>
      <x:c r="F305" s="284" t="str">
        <x:v>中和區</x:v>
      </x:c>
      <x:c r="G305" s="284" t="n">
        <x:v>12</x:v>
      </x:c>
      <x:c r="H305" s="287" t="n">
        <x:v>44.375</x:v>
      </x:c>
      <x:c r="I305" s="285" t="n">
        <x:v>0.0863095238095238</x:v>
      </x:c>
      <x:c r="J305" s="285" t="n">
        <x:v>0.4311304347826087</x:v>
      </x:c>
      <x:c r="K305" s="287" t="n">
        <x:v>59.516129032258064</x:v>
      </x:c>
      <x:c r="L305" s="285" t="n">
        <x:v>0.0852534562211981</x:v>
      </x:c>
      <x:c r="M305" s="284" t="n">
        <x:v>28</x:v>
      </x:c>
      <x:c r="N305" s="284" t="n">
        <x:v>3630</x:v>
      </x:c>
      <x:c r="O305" s="284" t="str"/>
    </x:row>
    <x:row r="306" ht="27" customHeight="1">
      <x:c r="A306" s="283" t="n">
        <x:v>302</x:v>
      </x:c>
      <x:c r="B306" s="283" t="n">
        <x:v>467</x:v>
      </x:c>
      <x:c r="C306" s="283" t="str">
        <x:f>IF(AND(A306&lt;='定義與範圍'!$B$7,B306&lt;='定義與範圍'!$B$7),"是","")</x:f>
      </x:c>
      <x:c r="D306" s="283" t="str">
        <x:v>僅高失衡</x:v>
      </x:c>
      <x:c r="E306" s="283" t="str">
        <x:v>龍濱公園</x:v>
      </x:c>
      <x:c r="F306" s="283" t="str">
        <x:v>三重區</x:v>
      </x:c>
      <x:c r="G306" s="283" t="n">
        <x:v>14</x:v>
      </x:c>
      <x:c r="H306" s="288" t="n">
        <x:v>67.01666666666667</x:v>
      </x:c>
      <x:c r="I306" s="286" t="n">
        <x:v>0.0863095238095238</x:v>
      </x:c>
      <x:c r="J306" s="286" t="n">
        <x:v>0.4965217391304348</x:v>
      </x:c>
      <x:c r="K306" s="288" t="n">
        <x:v>86.58064516129032</x:v>
      </x:c>
      <x:c r="L306" s="286" t="n">
        <x:v>0.1589861751152073</x:v>
      </x:c>
      <x:c r="M306" s="283" t="n">
        <x:v>35</x:v>
      </x:c>
      <x:c r="N306" s="283" t="n">
        <x:v>5190</x:v>
      </x:c>
      <x:c r="O306" s="283" t="str"/>
    </x:row>
    <x:row r="307" ht="27" customHeight="1">
      <x:c r="A307" s="284" t="n">
        <x:v>303</x:v>
      </x:c>
      <x:c r="B307" s="284" t="n">
        <x:v>800</x:v>
      </x:c>
      <x:c r="C307" s="284" t="str">
        <x:f>IF(AND(A307&lt;='定義與範圍'!$B$7,B307&lt;='定義與範圍'!$B$7),"是","")</x:f>
      </x:c>
      <x:c r="D307" s="284" t="str">
        <x:v>僅高失衡</x:v>
      </x:c>
      <x:c r="E307" s="284" t="str">
        <x:v>三民長榮路口</x:v>
      </x:c>
      <x:c r="F307" s="284" t="str">
        <x:v>蘆洲區</x:v>
      </x:c>
      <x:c r="G307" s="284" t="n">
        <x:v>15</x:v>
      </x:c>
      <x:c r="H307" s="287" t="n">
        <x:v>46.99166666666667</x:v>
      </x:c>
      <x:c r="I307" s="285" t="n">
        <x:v>0.0863095238095238</x:v>
      </x:c>
      <x:c r="J307" s="285" t="n">
        <x:v>0.4017391304347826</x:v>
      </x:c>
      <x:c r="K307" s="287" t="n">
        <x:v>64.6774193548387</x:v>
      </x:c>
      <x:c r="L307" s="285" t="n">
        <x:v>0.108294930875576</x:v>
      </x:c>
      <x:c r="M307" s="284" t="n">
        <x:v>38</x:v>
      </x:c>
      <x:c r="N307" s="284" t="n">
        <x:v>4650</x:v>
      </x:c>
      <x:c r="O307" s="284" t="str"/>
    </x:row>
    <x:row r="308" ht="27" customHeight="1">
      <x:c r="A308" s="283" t="n">
        <x:v>304</x:v>
      </x:c>
      <x:c r="B308" s="283" t="n">
        <x:v>807</x:v>
      </x:c>
      <x:c r="C308" s="283" t="str">
        <x:f>IF(AND(A308&lt;='定義與範圍'!$B$7,B308&lt;='定義與範圍'!$B$7),"是","")</x:f>
      </x:c>
      <x:c r="D308" s="283" t="str">
        <x:v>僅高失衡</x:v>
      </x:c>
      <x:c r="E308" s="283" t="str">
        <x:v>新民新春街口</x:v>
      </x:c>
      <x:c r="F308" s="283" t="str">
        <x:v>淡水區</x:v>
      </x:c>
      <x:c r="G308" s="283" t="n">
        <x:v>20</x:v>
      </x:c>
      <x:c r="H308" s="288" t="n">
        <x:v>46.55833333333333</x:v>
      </x:c>
      <x:c r="I308" s="286" t="n">
        <x:v>0.0863095238095238</x:v>
      </x:c>
      <x:c r="J308" s="286" t="n">
        <x:v>0.3316521739130434</x:v>
      </x:c>
      <x:c r="K308" s="288" t="n">
        <x:v>72.6774193548387</x:v>
      </x:c>
      <x:c r="L308" s="286" t="n">
        <x:v>0.2004608294930875</x:v>
      </x:c>
      <x:c r="M308" s="283" t="n">
        <x:v>44</x:v>
      </x:c>
      <x:c r="N308" s="283" t="n">
        <x:v>4860</x:v>
      </x:c>
      <x:c r="O308" s="283" t="str"/>
    </x:row>
    <x:row r="309" ht="27" customHeight="1">
      <x:c r="A309" s="284" t="n">
        <x:v>305</x:v>
      </x:c>
      <x:c r="B309" s="284" t="n">
        <x:v>75</x:v>
      </x:c>
      <x:c r="C309" s="284" t="str">
        <x:f>IF(AND(A309&lt;='定義與範圍'!$B$7,B309&lt;='定義與範圍'!$B$7),"是","")</x:f>
        <x:v>是</x:v>
      </x:c>
      <x:c r="D309" s="284" t="str">
        <x:v>高活動＋高失衡</x:v>
      </x:c>
      <x:c r="E309" s="284" t="str">
        <x:v>板橋四維公園</x:v>
      </x:c>
      <x:c r="F309" s="284" t="str">
        <x:v>板橋區</x:v>
      </x:c>
      <x:c r="G309" s="284" t="n">
        <x:v>67</x:v>
      </x:c>
      <x:c r="H309" s="287" t="n">
        <x:v>140.66666666666666</x:v>
      </x:c>
      <x:c r="I309" s="285" t="n">
        <x:v>0.0857142857142857</x:v>
      </x:c>
      <x:c r="J309" s="285" t="n">
        <x:v>0.5834782608695652</x:v>
      </x:c>
      <x:c r="K309" s="287" t="n">
        <x:v>163.90322580645162</x:v>
      </x:c>
      <x:c r="L309" s="285" t="n">
        <x:v>0.0783410138248847</x:v>
      </x:c>
      <x:c r="M309" s="284" t="n">
        <x:v>15</x:v>
      </x:c>
      <x:c r="N309" s="284" t="n">
        <x:v>2610</x:v>
      </x:c>
      <x:c r="O309" s="284" t="str"/>
    </x:row>
    <x:row r="310" ht="27" customHeight="1">
      <x:c r="A310" s="283" t="n">
        <x:v>306</x:v>
      </x:c>
      <x:c r="B310" s="283" t="n">
        <x:v>358</x:v>
      </x:c>
      <x:c r="C310" s="283" t="str">
        <x:f>IF(AND(A310&lt;='定義與範圍'!$B$7,B310&lt;='定義與範圍'!$B$7),"是","")</x:f>
        <x:v>是</x:v>
      </x:c>
      <x:c r="D310" s="283" t="str">
        <x:v>高活動＋高失衡</x:v>
      </x:c>
      <x:c r="E310" s="283" t="str">
        <x:v>光華長榮路口</x:v>
      </x:c>
      <x:c r="F310" s="283" t="str">
        <x:v>蘆洲區</x:v>
      </x:c>
      <x:c r="G310" s="283" t="n">
        <x:v>16</x:v>
      </x:c>
      <x:c r="H310" s="288" t="n">
        <x:v>75.50833333333334</x:v>
      </x:c>
      <x:c r="I310" s="286" t="n">
        <x:v>0.0857142857142857</x:v>
      </x:c>
      <x:c r="J310" s="286" t="n">
        <x:v>0.508</x:v>
      </x:c>
      <x:c r="K310" s="288" t="n">
        <x:v>95.64516129032258</x:v>
      </x:c>
      <x:c r="L310" s="286" t="n">
        <x:v>0.0875576036866359</x:v>
      </x:c>
      <x:c r="M310" s="283" t="n">
        <x:v>18</x:v>
      </x:c>
      <x:c r="N310" s="283" t="n">
        <x:v>2490</x:v>
      </x:c>
      <x:c r="O310" s="283" t="str"/>
    </x:row>
    <x:row r="311" ht="27" customHeight="1">
      <x:c r="A311" s="284" t="n">
        <x:v>307</x:v>
      </x:c>
      <x:c r="B311" s="284" t="n">
        <x:v>945</x:v>
      </x:c>
      <x:c r="C311" s="284" t="str">
        <x:f>IF(AND(A311&lt;='定義與範圍'!$B$7,B311&lt;='定義與範圍'!$B$7),"是","")</x:f>
      </x:c>
      <x:c r="D311" s="284" t="str">
        <x:v>僅高失衡</x:v>
      </x:c>
      <x:c r="E311" s="284" t="str">
        <x:v>思源路192巷口</x:v>
      </x:c>
      <x:c r="F311" s="284" t="str">
        <x:v>新莊區</x:v>
      </x:c>
      <x:c r="G311" s="284" t="n">
        <x:v>23</x:v>
      </x:c>
      <x:c r="H311" s="287" t="n">
        <x:v>38.025</x:v>
      </x:c>
      <x:c r="I311" s="285" t="n">
        <x:v>0.0857142857142857</x:v>
      </x:c>
      <x:c r="J311" s="285" t="n">
        <x:v>0.3589565217391304</x:v>
      </x:c>
      <x:c r="K311" s="287" t="n">
        <x:v>57.45161290322581</x:v>
      </x:c>
      <x:c r="L311" s="285" t="n">
        <x:v>0.0783410138248847</x:v>
      </x:c>
      <x:c r="M311" s="284" t="n">
        <x:v>21</x:v>
      </x:c>
      <x:c r="N311" s="284" t="n">
        <x:v>3150</x:v>
      </x:c>
      <x:c r="O311" s="284" t="str"/>
    </x:row>
    <x:row r="312" ht="27" customHeight="1">
      <x:c r="A312" s="283" t="n">
        <x:v>308</x:v>
      </x:c>
      <x:c r="B312" s="283" t="n">
        <x:v>63</x:v>
      </x:c>
      <x:c r="C312" s="283" t="str">
        <x:f>IF(AND(A312&lt;='定義與範圍'!$B$7,B312&lt;='定義與範圍'!$B$7),"是","")</x:f>
        <x:v>是</x:v>
      </x:c>
      <x:c r="D312" s="283" t="str">
        <x:v>高活動＋高失衡</x:v>
      </x:c>
      <x:c r="E312" s="283" t="str">
        <x:v>四維公園地下停車場</x:v>
      </x:c>
      <x:c r="F312" s="283" t="str">
        <x:v>板橋區</x:v>
      </x:c>
      <x:c r="G312" s="283" t="n">
        <x:v>93</x:v>
      </x:c>
      <x:c r="H312" s="288" t="n">
        <x:v>150.40833333333333</x:v>
      </x:c>
      <x:c r="I312" s="286" t="n">
        <x:v>0.0851190476190476</x:v>
      </x:c>
      <x:c r="J312" s="286" t="n">
        <x:v>0.571304347826087</x:v>
      </x:c>
      <x:c r="K312" s="288" t="n">
        <x:v>168.6451612903226</x:v>
      </x:c>
      <x:c r="L312" s="286" t="n">
        <x:v>0.1129032258064516</x:v>
      </x:c>
      <x:c r="M312" s="283" t="n">
        <x:v>19</x:v>
      </x:c>
      <x:c r="N312" s="283" t="n">
        <x:v>3090</x:v>
      </x:c>
      <x:c r="O312" s="283" t="str"/>
    </x:row>
    <x:row r="313" ht="27" customHeight="1">
      <x:c r="A313" s="284" t="n">
        <x:v>309</x:v>
      </x:c>
      <x:c r="B313" s="284" t="n">
        <x:v>971</x:v>
      </x:c>
      <x:c r="C313" s="284" t="str">
        <x:f>IF(AND(A313&lt;='定義與範圍'!$B$7,B313&lt;='定義與範圍'!$B$7),"是","")</x:f>
      </x:c>
      <x:c r="D313" s="284" t="str">
        <x:v>僅高失衡</x:v>
      </x:c>
      <x:c r="E313" s="284" t="str">
        <x:v>力行路二段91巷口</x:v>
      </x:c>
      <x:c r="F313" s="284" t="str">
        <x:v>三重區</x:v>
      </x:c>
      <x:c r="G313" s="284" t="n">
        <x:v>13</x:v>
      </x:c>
      <x:c r="H313" s="287" t="n">
        <x:v>36.73333333333333</x:v>
      </x:c>
      <x:c r="I313" s="285" t="n">
        <x:v>0.0851190476190476</x:v>
      </x:c>
      <x:c r="J313" s="285" t="n">
        <x:v>0.3772173913043478</x:v>
      </x:c>
      <x:c r="K313" s="287" t="n">
        <x:v>54.32258064516129</x:v>
      </x:c>
      <x:c r="L313" s="285" t="n">
        <x:v>0.0967741935483871</x:v>
      </x:c>
      <x:c r="M313" s="284" t="n">
        <x:v>29</x:v>
      </x:c>
      <x:c r="N313" s="284" t="n">
        <x:v>3570</x:v>
      </x:c>
      <x:c r="O313" s="284" t="str"/>
    </x:row>
    <x:row r="314" ht="27" customHeight="1">
      <x:c r="A314" s="283" t="n">
        <x:v>310</x:v>
      </x:c>
      <x:c r="B314" s="283" t="n">
        <x:v>789</x:v>
      </x:c>
      <x:c r="C314" s="283" t="str">
        <x:f>IF(AND(A314&lt;='定義與範圍'!$B$7,B314&lt;='定義與範圍'!$B$7),"是","")</x:f>
      </x:c>
      <x:c r="D314" s="283" t="str">
        <x:v>僅高失衡</x:v>
      </x:c>
      <x:c r="E314" s="283" t="str">
        <x:v>鄧公路30巷</x:v>
      </x:c>
      <x:c r="F314" s="283" t="str">
        <x:v>淡水區</x:v>
      </x:c>
      <x:c r="G314" s="283" t="n">
        <x:v>15</x:v>
      </x:c>
      <x:c r="H314" s="288" t="n">
        <x:v>47.55833333333333</x:v>
      </x:c>
      <x:c r="I314" s="286" t="n">
        <x:v>0.0851190476190476</x:v>
      </x:c>
      <x:c r="J314" s="286" t="n">
        <x:v>0.324</x:v>
      </x:c>
      <x:c r="K314" s="288" t="n">
        <x:v>65.41935483870968</x:v>
      </x:c>
      <x:c r="L314" s="286" t="n">
        <x:v>0.1036866359447004</x:v>
      </x:c>
      <x:c r="M314" s="283" t="n">
        <x:v>30</x:v>
      </x:c>
      <x:c r="N314" s="283" t="n">
        <x:v>4200</x:v>
      </x:c>
      <x:c r="O314" s="283" t="str"/>
    </x:row>
    <x:row r="315" ht="27" customHeight="1">
      <x:c r="A315" s="284" t="n">
        <x:v>311</x:v>
      </x:c>
      <x:c r="B315" s="284" t="n">
        <x:v>388</x:v>
      </x:c>
      <x:c r="C315" s="284" t="str">
        <x:f>IF(AND(A315&lt;='定義與範圍'!$B$7,B315&lt;='定義與範圍'!$B$7),"是","")</x:f>
      </x:c>
      <x:c r="D315" s="284" t="str">
        <x:v>僅高失衡</x:v>
      </x:c>
      <x:c r="E315" s="284" t="str">
        <x:v>中港平面停車場</x:v>
      </x:c>
      <x:c r="F315" s="284" t="str">
        <x:v>新莊區</x:v>
      </x:c>
      <x:c r="G315" s="284" t="n">
        <x:v>21</x:v>
      </x:c>
      <x:c r="H315" s="287" t="n">
        <x:v>73.14166666666667</x:v>
      </x:c>
      <x:c r="I315" s="285" t="n">
        <x:v>0.0851190476190476</x:v>
      </x:c>
      <x:c r="J315" s="285" t="n">
        <x:v>0.5093913043478261</x:v>
      </x:c>
      <x:c r="K315" s="287" t="n">
        <x:v>110.6774193548387</x:v>
      </x:c>
      <x:c r="L315" s="285" t="n">
        <x:v>0.1013824884792626</x:v>
      </x:c>
      <x:c r="M315" s="284" t="n">
        <x:v>16</x:v>
      </x:c>
      <x:c r="N315" s="284" t="n">
        <x:v>2610</x:v>
      </x:c>
      <x:c r="O315" s="284" t="str"/>
    </x:row>
    <x:row r="316" ht="27" customHeight="1">
      <x:c r="A316" s="283" t="n">
        <x:v>312</x:v>
      </x:c>
      <x:c r="B316" s="283" t="n">
        <x:v>691</x:v>
      </x:c>
      <x:c r="C316" s="283" t="str">
        <x:f>IF(AND(A316&lt;='定義與範圍'!$B$7,B316&lt;='定義與範圍'!$B$7),"是","")</x:f>
      </x:c>
      <x:c r="D316" s="283" t="str">
        <x:v>僅高失衡</x:v>
      </x:c>
      <x:c r="E316" s="283" t="str">
        <x:v>文化機車立體停車場</x:v>
      </x:c>
      <x:c r="F316" s="283" t="str">
        <x:v>淡水區</x:v>
      </x:c>
      <x:c r="G316" s="283" t="n">
        <x:v>34</x:v>
      </x:c>
      <x:c r="H316" s="288" t="n">
        <x:v>52.34166666666667</x:v>
      </x:c>
      <x:c r="I316" s="286" t="n">
        <x:v>0.0851190476190476</x:v>
      </x:c>
      <x:c r="J316" s="286" t="n">
        <x:v>0.3834782608695652</x:v>
      </x:c>
      <x:c r="K316" s="288" t="n">
        <x:v>89.48387096774194</x:v>
      </x:c>
      <x:c r="L316" s="286" t="n">
        <x:v>0.0967741935483871</x:v>
      </x:c>
      <x:c r="M316" s="283" t="n">
        <x:v>12</x:v>
      </x:c>
      <x:c r="N316" s="283" t="n">
        <x:v>1890</x:v>
      </x:c>
      <x:c r="O316" s="283" t="str"/>
    </x:row>
    <x:row r="317" ht="27" customHeight="1">
      <x:c r="A317" s="284" t="n">
        <x:v>313</x:v>
      </x:c>
      <x:c r="B317" s="284" t="n">
        <x:v>189</x:v>
      </x:c>
      <x:c r="C317" s="284" t="str">
        <x:f>IF(AND(A317&lt;='定義與範圍'!$B$7,B317&lt;='定義與範圍'!$B$7),"是","")</x:f>
        <x:v>是</x:v>
      </x:c>
      <x:c r="D317" s="284" t="str">
        <x:v>高活動＋高失衡</x:v>
      </x:c>
      <x:c r="E317" s="284" t="str">
        <x:v>中山北新春街口</x:v>
      </x:c>
      <x:c r="F317" s="284" t="str">
        <x:v>淡水區</x:v>
      </x:c>
      <x:c r="G317" s="284" t="n">
        <x:v>49</x:v>
      </x:c>
      <x:c r="H317" s="287" t="n">
        <x:v>95.80833333333334</x:v>
      </x:c>
      <x:c r="I317" s="285" t="n">
        <x:v>0.0851190476190476</x:v>
      </x:c>
      <x:c r="J317" s="285" t="n">
        <x:v>0.4521739130434782</x:v>
      </x:c>
      <x:c r="K317" s="287" t="n">
        <x:v>136.25806451612902</x:v>
      </x:c>
      <x:c r="L317" s="285" t="n">
        <x:v>0.1774193548387097</x:v>
      </x:c>
      <x:c r="M317" s="284" t="n">
        <x:v>36</x:v>
      </x:c>
      <x:c r="N317" s="284" t="n">
        <x:v>4140</x:v>
      </x:c>
      <x:c r="O317" s="284" t="str"/>
    </x:row>
    <x:row r="318" ht="27" customHeight="1">
      <x:c r="A318" s="283" t="n">
        <x:v>314</x:v>
      </x:c>
      <x:c r="B318" s="283" t="n">
        <x:v>704</x:v>
      </x:c>
      <x:c r="C318" s="283" t="str">
        <x:f>IF(AND(A318&lt;='定義與範圍'!$B$7,B318&lt;='定義與範圍'!$B$7),"是","")</x:f>
      </x:c>
      <x:c r="D318" s="283" t="str">
        <x:v>僅高失衡</x:v>
      </x:c>
      <x:c r="E318" s="283" t="str">
        <x:v>捷運土城站(1號出口)</x:v>
      </x:c>
      <x:c r="F318" s="283" t="str">
        <x:v>土城區</x:v>
      </x:c>
      <x:c r="G318" s="283" t="n">
        <x:v>10</x:v>
      </x:c>
      <x:c r="H318" s="288" t="n">
        <x:v>51.63333333333333</x:v>
      </x:c>
      <x:c r="I318" s="286" t="n">
        <x:v>0.0845238095238095</x:v>
      </x:c>
      <x:c r="J318" s="286" t="n">
        <x:v>0.4426086956521739</x:v>
      </x:c>
      <x:c r="K318" s="288" t="n">
        <x:v>71.64516129032258</x:v>
      </x:c>
      <x:c r="L318" s="286" t="n">
        <x:v>0.1336405529953917</x:v>
      </x:c>
      <x:c r="M318" s="283" t="n">
        <x:v>46</x:v>
      </x:c>
      <x:c r="N318" s="283" t="n">
        <x:v>5670</x:v>
      </x:c>
      <x:c r="O318" s="283" t="str"/>
    </x:row>
    <x:row r="319" ht="27" customHeight="1">
      <x:c r="A319" s="284" t="n">
        <x:v>315</x:v>
      </x:c>
      <x:c r="B319" s="284" t="n">
        <x:v>933</x:v>
      </x:c>
      <x:c r="C319" s="284" t="str">
        <x:f>IF(AND(A319&lt;='定義與範圍'!$B$7,B319&lt;='定義與範圍'!$B$7),"是","")</x:f>
      </x:c>
      <x:c r="D319" s="284" t="str">
        <x:v>僅高失衡</x:v>
      </x:c>
      <x:c r="E319" s="284" t="str">
        <x:v>中華愛國路口</x:v>
      </x:c>
      <x:c r="F319" s="284" t="str">
        <x:v>三峽區</x:v>
      </x:c>
      <x:c r="G319" s="284" t="n">
        <x:v>10</x:v>
      </x:c>
      <x:c r="H319" s="287" t="n">
        <x:v>38.74166666666667</x:v>
      </x:c>
      <x:c r="I319" s="285" t="n">
        <x:v>0.0845238095238095</x:v>
      </x:c>
      <x:c r="J319" s="285" t="n">
        <x:v>0.3815652173913043</x:v>
      </x:c>
      <x:c r="K319" s="287" t="n">
        <x:v>56.2258064516129</x:v>
      </x:c>
      <x:c r="L319" s="285" t="n">
        <x:v>0.1175115207373272</x:v>
      </x:c>
      <x:c r="M319" s="284" t="n">
        <x:v>18</x:v>
      </x:c>
      <x:c r="N319" s="284" t="n">
        <x:v>2730</x:v>
      </x:c>
      <x:c r="O319" s="284" t="str"/>
    </x:row>
    <x:row r="320" ht="27" customHeight="1">
      <x:c r="A320" s="283" t="n">
        <x:v>316</x:v>
      </x:c>
      <x:c r="B320" s="283" t="n">
        <x:v>1318</x:v>
      </x:c>
      <x:c r="C320" s="283" t="str">
        <x:f>IF(AND(A320&lt;='定義與範圍'!$B$7,B320&lt;='定義與範圍'!$B$7),"是","")</x:f>
      </x:c>
      <x:c r="D320" s="283" t="str">
        <x:v>僅高失衡</x:v>
      </x:c>
      <x:c r="E320" s="283" t="str">
        <x:v>山腳停車場</x:v>
      </x:c>
      <x:c r="F320" s="283" t="str">
        <x:v>泰山區</x:v>
      </x:c>
      <x:c r="G320" s="283" t="n">
        <x:v>15</x:v>
      </x:c>
      <x:c r="H320" s="288" t="n">
        <x:v>17.525</x:v>
      </x:c>
      <x:c r="I320" s="286" t="n">
        <x:v>0.0845238095238095</x:v>
      </x:c>
      <x:c r="J320" s="286" t="n">
        <x:v>0.2175652173913043</x:v>
      </x:c>
      <x:c r="K320" s="288" t="n">
        <x:v>29.774193548387096</x:v>
      </x:c>
      <x:c r="L320" s="286" t="n">
        <x:v>0.032258064516129</x:v>
      </x:c>
      <x:c r="M320" s="283" t="n">
        <x:v>8</x:v>
      </x:c>
      <x:c r="N320" s="283" t="n">
        <x:v>840</x:v>
      </x:c>
      <x:c r="O320" s="283" t="str"/>
    </x:row>
    <x:row r="321" ht="27" customHeight="1">
      <x:c r="A321" s="284" t="n">
        <x:v>317</x:v>
      </x:c>
      <x:c r="B321" s="284" t="n">
        <x:v>976</x:v>
      </x:c>
      <x:c r="C321" s="284" t="str">
        <x:f>IF(AND(A321&lt;='定義與範圍'!$B$7,B321&lt;='定義與範圍'!$B$7),"是","")</x:f>
      </x:c>
      <x:c r="D321" s="284" t="str">
        <x:v>僅高失衡</x:v>
      </x:c>
      <x:c r="E321" s="284" t="str">
        <x:v>仁義街26巷</x:v>
      </x:c>
      <x:c r="F321" s="284" t="str">
        <x:v>三重區</x:v>
      </x:c>
      <x:c r="G321" s="284" t="n">
        <x:v>17</x:v>
      </x:c>
      <x:c r="H321" s="287" t="n">
        <x:v>36.5</x:v>
      </x:c>
      <x:c r="I321" s="285" t="n">
        <x:v>0.0845238095238095</x:v>
      </x:c>
      <x:c r="J321" s="285" t="n">
        <x:v>0.3328695652173913</x:v>
      </x:c>
      <x:c r="K321" s="287" t="n">
        <x:v>51.64516129032258</x:v>
      </x:c>
      <x:c r="L321" s="285" t="n">
        <x:v>0.1059907834101382</x:v>
      </x:c>
      <x:c r="M321" s="284" t="n">
        <x:v>17</x:v>
      </x:c>
      <x:c r="N321" s="284" t="n">
        <x:v>2160</x:v>
      </x:c>
      <x:c r="O321" s="284" t="str"/>
    </x:row>
    <x:row r="322" ht="27" customHeight="1">
      <x:c r="A322" s="283" t="n">
        <x:v>318</x:v>
      </x:c>
      <x:c r="B322" s="283" t="n">
        <x:v>315</x:v>
      </x:c>
      <x:c r="C322" s="283" t="str">
        <x:f>IF(AND(A322&lt;='定義與範圍'!$B$7,B322&lt;='定義與範圍'!$B$7),"是","")</x:f>
        <x:v>是</x:v>
      </x:c>
      <x:c r="D322" s="283" t="str">
        <x:v>高活動＋高失衡</x:v>
      </x:c>
      <x:c r="E322" s="283" t="str">
        <x:v>府中汽車停車場</x:v>
      </x:c>
      <x:c r="F322" s="283" t="str">
        <x:v>板橋區</x:v>
      </x:c>
      <x:c r="G322" s="283" t="n">
        <x:v>28</x:v>
      </x:c>
      <x:c r="H322" s="288" t="n">
        <x:v>78.99166666666666</x:v>
      </x:c>
      <x:c r="I322" s="286" t="n">
        <x:v>0.0845238095238095</x:v>
      </x:c>
      <x:c r="J322" s="286" t="n">
        <x:v>0.5015652173913043</x:v>
      </x:c>
      <x:c r="K322" s="288" t="n">
        <x:v>106.6774193548387</x:v>
      </x:c>
      <x:c r="L322" s="286" t="n">
        <x:v>0.0898617511520737</x:v>
      </x:c>
      <x:c r="M322" s="283" t="n">
        <x:v>49</x:v>
      </x:c>
      <x:c r="N322" s="283" t="n">
        <x:v>5640</x:v>
      </x:c>
      <x:c r="O322" s="283" t="str"/>
    </x:row>
    <x:row r="323" ht="27" customHeight="1">
      <x:c r="A323" s="284" t="n">
        <x:v>319</x:v>
      </x:c>
      <x:c r="B323" s="284" t="n">
        <x:v>169</x:v>
      </x:c>
      <x:c r="C323" s="284" t="str">
        <x:f>IF(AND(A323&lt;='定義與範圍'!$B$7,B323&lt;='定義與範圍'!$B$7),"是","")</x:f>
        <x:v>是</x:v>
      </x:c>
      <x:c r="D323" s="284" t="str">
        <x:v>高活動＋高失衡</x:v>
      </x:c>
      <x:c r="E323" s="284" t="str">
        <x:v>新北高工(學士路)</x:v>
      </x:c>
      <x:c r="F323" s="284" t="str">
        <x:v>土城區</x:v>
      </x:c>
      <x:c r="G323" s="284" t="n">
        <x:v>28</x:v>
      </x:c>
      <x:c r="H323" s="287" t="n">
        <x:v>101.39166666666668</x:v>
      </x:c>
      <x:c r="I323" s="285" t="n">
        <x:v>0.0845238095238095</x:v>
      </x:c>
      <x:c r="J323" s="285" t="n">
        <x:v>0.5069565217391304</x:v>
      </x:c>
      <x:c r="K323" s="287" t="n">
        <x:v>124.2258064516129</x:v>
      </x:c>
      <x:c r="L323" s="285" t="n">
        <x:v>0.1682027649769585</x:v>
      </x:c>
      <x:c r="M323" s="284" t="n">
        <x:v>40</x:v>
      </x:c>
      <x:c r="N323" s="284" t="n">
        <x:v>4950</x:v>
      </x:c>
      <x:c r="O323" s="284" t="str"/>
    </x:row>
    <x:row r="324" ht="27" customHeight="1">
      <x:c r="A324" s="283" t="n">
        <x:v>320</x:v>
      </x:c>
      <x:c r="B324" s="283" t="n">
        <x:v>142</x:v>
      </x:c>
      <x:c r="C324" s="283" t="str">
        <x:f>IF(AND(A324&lt;='定義與範圍'!$B$7,B324&lt;='定義與範圍'!$B$7),"是","")</x:f>
        <x:v>是</x:v>
      </x:c>
      <x:c r="D324" s="283" t="str">
        <x:v>高活動＋高失衡</x:v>
      </x:c>
      <x:c r="E324" s="283" t="str">
        <x:v>福和路7巷口</x:v>
      </x:c>
      <x:c r="F324" s="283" t="str">
        <x:v>永和區</x:v>
      </x:c>
      <x:c r="G324" s="283" t="n">
        <x:v>35</x:v>
      </x:c>
      <x:c r="H324" s="288" t="n">
        <x:v>107.95833333333331</x:v>
      </x:c>
      <x:c r="I324" s="286" t="n">
        <x:v>0.0845238095238095</x:v>
      </x:c>
      <x:c r="J324" s="286" t="n">
        <x:v>0.54</x:v>
      </x:c>
      <x:c r="K324" s="288" t="n">
        <x:v>148.96774193548387</x:v>
      </x:c>
      <x:c r="L324" s="286" t="n">
        <x:v>0.0691244239631336</x:v>
      </x:c>
      <x:c r="M324" s="283" t="n">
        <x:v>20</x:v>
      </x:c>
      <x:c r="N324" s="283" t="n">
        <x:v>3330</x:v>
      </x:c>
      <x:c r="O324" s="283" t="str"/>
    </x:row>
    <x:row r="325" ht="27" customHeight="1">
      <x:c r="A325" s="284" t="n">
        <x:v>321</x:v>
      </x:c>
      <x:c r="B325" s="284" t="n">
        <x:v>523</x:v>
      </x:c>
      <x:c r="C325" s="284" t="str">
        <x:f>IF(AND(A325&lt;='定義與範圍'!$B$7,B325&lt;='定義與範圍'!$B$7),"是","")</x:f>
      </x:c>
      <x:c r="D325" s="284" t="str">
        <x:v>僅高失衡</x:v>
      </x:c>
      <x:c r="E325" s="284" t="str">
        <x:v>新北市勞工活動中心</x:v>
      </x:c>
      <x:c r="F325" s="284" t="str">
        <x:v>五股區</x:v>
      </x:c>
      <x:c r="G325" s="284" t="n">
        <x:v>20</x:v>
      </x:c>
      <x:c r="H325" s="287" t="n">
        <x:v>63.48333333333333</x:v>
      </x:c>
      <x:c r="I325" s="285" t="n">
        <x:v>0.0839285714285714</x:v>
      </x:c>
      <x:c r="J325" s="285" t="n">
        <x:v>0.3466086956521739</x:v>
      </x:c>
      <x:c r="K325" s="287" t="n">
        <x:v>87.90322580645162</x:v>
      </x:c>
      <x:c r="L325" s="285" t="n">
        <x:v>0.0783410138248847</x:v>
      </x:c>
      <x:c r="M325" s="284" t="n">
        <x:v>31</x:v>
      </x:c>
      <x:c r="N325" s="284" t="n">
        <x:v>4800</x:v>
      </x:c>
      <x:c r="O325" s="284" t="str"/>
    </x:row>
    <x:row r="326" ht="27" customHeight="1">
      <x:c r="A326" s="283" t="n">
        <x:v>322</x:v>
      </x:c>
      <x:c r="B326" s="283" t="n">
        <x:v>127</x:v>
      </x:c>
      <x:c r="C326" s="283" t="str">
        <x:f>IF(AND(A326&lt;='定義與範圍'!$B$7,B326&lt;='定義與範圍'!$B$7),"是","")</x:f>
        <x:v>是</x:v>
      </x:c>
      <x:c r="D326" s="283" t="str">
        <x:v>高活動＋高失衡</x:v>
      </x:c>
      <x:c r="E326" s="283" t="str">
        <x:v>板橋車站(新站路)</x:v>
      </x:c>
      <x:c r="F326" s="283" t="str">
        <x:v>板橋區</x:v>
      </x:c>
      <x:c r="G326" s="283" t="n">
        <x:v>28</x:v>
      </x:c>
      <x:c r="H326" s="288" t="n">
        <x:v>110.91666666666669</x:v>
      </x:c>
      <x:c r="I326" s="286" t="n">
        <x:v>0.0839285714285714</x:v>
      </x:c>
      <x:c r="J326" s="286" t="n">
        <x:v>0.5643478260869565</x:v>
      </x:c>
      <x:c r="K326" s="288" t="n">
        <x:v>118.58064516129032</x:v>
      </x:c>
      <x:c r="L326" s="286" t="n">
        <x:v>0.1013824884792626</x:v>
      </x:c>
      <x:c r="M326" s="283" t="n">
        <x:v>60</x:v>
      </x:c>
      <x:c r="N326" s="283" t="n">
        <x:v>8850</x:v>
      </x:c>
      <x:c r="O326" s="283" t="str"/>
    </x:row>
    <x:row r="327" ht="27" customHeight="1">
      <x:c r="A327" s="284" t="n">
        <x:v>323</x:v>
      </x:c>
      <x:c r="B327" s="284" t="n">
        <x:v>204</x:v>
      </x:c>
      <x:c r="C327" s="284" t="str">
        <x:f>IF(AND(A327&lt;='定義與範圍'!$B$7,B327&lt;='定義與範圍'!$B$7),"是","")</x:f>
        <x:v>是</x:v>
      </x:c>
      <x:c r="D327" s="284" t="str">
        <x:v>高活動＋高失衡</x:v>
      </x:c>
      <x:c r="E327" s="284" t="str">
        <x:v>新泰公園</x:v>
      </x:c>
      <x:c r="F327" s="284" t="str">
        <x:v>新莊區</x:v>
      </x:c>
      <x:c r="G327" s="284" t="n">
        <x:v>30</x:v>
      </x:c>
      <x:c r="H327" s="287" t="n">
        <x:v>92.75833333333334</x:v>
      </x:c>
      <x:c r="I327" s="285" t="n">
        <x:v>0.0839285714285714</x:v>
      </x:c>
      <x:c r="J327" s="285" t="n">
        <x:v>0.496</x:v>
      </x:c>
      <x:c r="K327" s="287" t="n">
        <x:v>120.03225806451611</x:v>
      </x:c>
      <x:c r="L327" s="285" t="n">
        <x:v>0.0714285714285714</x:v>
      </x:c>
      <x:c r="M327" s="284" t="n">
        <x:v>8</x:v>
      </x:c>
      <x:c r="N327" s="284" t="n">
        <x:v>1380</x:v>
      </x:c>
      <x:c r="O327" s="284" t="str"/>
    </x:row>
    <x:row r="328" ht="27" customHeight="1">
      <x:c r="A328" s="283" t="n">
        <x:v>324</x:v>
      </x:c>
      <x:c r="B328" s="283" t="n">
        <x:v>318</x:v>
      </x:c>
      <x:c r="C328" s="283" t="str">
        <x:f>IF(AND(A328&lt;='定義與範圍'!$B$7,B328&lt;='定義與範圍'!$B$7),"是","")</x:f>
        <x:v>是</x:v>
      </x:c>
      <x:c r="D328" s="283" t="str">
        <x:v>高活動＋高失衡</x:v>
      </x:c>
      <x:c r="E328" s="283" t="str">
        <x:v>江翠國小</x:v>
      </x:c>
      <x:c r="F328" s="283" t="str">
        <x:v>板橋區</x:v>
      </x:c>
      <x:c r="G328" s="283" t="n">
        <x:v>43</x:v>
      </x:c>
      <x:c r="H328" s="288" t="n">
        <x:v>78.69166666666666</x:v>
      </x:c>
      <x:c r="I328" s="286" t="n">
        <x:v>0.0839285714285714</x:v>
      </x:c>
      <x:c r="J328" s="286" t="n">
        <x:v>0.4514782608695652</x:v>
      </x:c>
      <x:c r="K328" s="288" t="n">
        <x:v>98.48387096774194</x:v>
      </x:c>
      <x:c r="L328" s="286" t="n">
        <x:v>0.0921658986175115</x:v>
      </x:c>
      <x:c r="M328" s="283" t="n">
        <x:v>33</x:v>
      </x:c>
      <x:c r="N328" s="283" t="n">
        <x:v>4110</x:v>
      </x:c>
      <x:c r="O328" s="283" t="str"/>
    </x:row>
    <x:row r="329" ht="27" customHeight="1">
      <x:c r="A329" s="284" t="n">
        <x:v>325</x:v>
      </x:c>
      <x:c r="B329" s="284" t="n">
        <x:v>8</x:v>
      </x:c>
      <x:c r="C329" s="284" t="str">
        <x:f>IF(AND(A329&lt;='定義與範圍'!$B$7,B329&lt;='定義與範圍'!$B$7),"是","")</x:f>
        <x:v>是</x:v>
      </x:c>
      <x:c r="D329" s="284" t="str">
        <x:v>高活動＋高失衡</x:v>
      </x:c>
      <x:c r="E329" s="284" t="str">
        <x:v>捷運三重國小站</x:v>
      </x:c>
      <x:c r="F329" s="284" t="str">
        <x:v>三重區</x:v>
      </x:c>
      <x:c r="G329" s="284" t="n">
        <x:v>52</x:v>
      </x:c>
      <x:c r="H329" s="287" t="n">
        <x:v>248.45</x:v>
      </x:c>
      <x:c r="I329" s="285" t="n">
        <x:v>0.0833333333333333</x:v>
      </x:c>
      <x:c r="J329" s="285" t="n">
        <x:v>0.6892173913043478</x:v>
      </x:c>
      <x:c r="K329" s="287" t="n">
        <x:v>275.35483870967744</x:v>
      </x:c>
      <x:c r="L329" s="285" t="n">
        <x:v>0.0921658986175115</x:v>
      </x:c>
      <x:c r="M329" s="284" t="n">
        <x:v>40</x:v>
      </x:c>
      <x:c r="N329" s="284" t="n">
        <x:v>5400</x:v>
      </x:c>
      <x:c r="O329" s="284" t="str"/>
    </x:row>
    <x:row r="330" ht="27" customHeight="1">
      <x:c r="A330" s="283" t="n">
        <x:v>326</x:v>
      </x:c>
      <x:c r="B330" s="283" t="n">
        <x:v>1020</x:v>
      </x:c>
      <x:c r="C330" s="283" t="str">
        <x:f>IF(AND(A330&lt;='定義與範圍'!$B$7,B330&lt;='定義與範圍'!$B$7),"是","")</x:f>
      </x:c>
      <x:c r="D330" s="283" t="str">
        <x:v>僅高失衡</x:v>
      </x:c>
      <x:c r="E330" s="283" t="str">
        <x:v>文化一路一段190巷口</x:v>
      </x:c>
      <x:c r="F330" s="283" t="str">
        <x:v>林口區</x:v>
      </x:c>
      <x:c r="G330" s="283" t="n">
        <x:v>10</x:v>
      </x:c>
      <x:c r="H330" s="288" t="n">
        <x:v>34.59166666666667</x:v>
      </x:c>
      <x:c r="I330" s="286" t="n">
        <x:v>0.0827380952380952</x:v>
      </x:c>
      <x:c r="J330" s="286" t="n">
        <x:v>0.3539130434782608</x:v>
      </x:c>
      <x:c r="K330" s="288" t="n">
        <x:v>52.516129032258064</x:v>
      </x:c>
      <x:c r="L330" s="286" t="n">
        <x:v>0.1059907834101382</x:v>
      </x:c>
      <x:c r="M330" s="283" t="n">
        <x:v>22</x:v>
      </x:c>
      <x:c r="N330" s="283" t="n">
        <x:v>3420</x:v>
      </x:c>
      <x:c r="O330" s="283" t="str"/>
    </x:row>
    <x:row r="331" ht="27" customHeight="1">
      <x:c r="A331" s="284" t="n">
        <x:v>327</x:v>
      </x:c>
      <x:c r="B331" s="284" t="n">
        <x:v>749</x:v>
      </x:c>
      <x:c r="C331" s="284" t="str">
        <x:f>IF(AND(A331&lt;='定義與範圍'!$B$7,B331&lt;='定義與範圍'!$B$7),"是","")</x:f>
      </x:c>
      <x:c r="D331" s="284" t="str">
        <x:v>僅高失衡</x:v>
      </x:c>
      <x:c r="E331" s="284" t="str">
        <x:v>裕民路55巷</x:v>
      </x:c>
      <x:c r="F331" s="284" t="str">
        <x:v>土城區</x:v>
      </x:c>
      <x:c r="G331" s="284" t="n">
        <x:v>17</x:v>
      </x:c>
      <x:c r="H331" s="287" t="n">
        <x:v>49.16666666666666</x:v>
      </x:c>
      <x:c r="I331" s="285" t="n">
        <x:v>0.0827380952380952</x:v>
      </x:c>
      <x:c r="J331" s="285" t="n">
        <x:v>0.4003478260869565</x:v>
      </x:c>
      <x:c r="K331" s="287" t="n">
        <x:v>68.70967741935483</x:v>
      </x:c>
      <x:c r="L331" s="285" t="n">
        <x:v>0.1497695852534562</x:v>
      </x:c>
      <x:c r="M331" s="284" t="n">
        <x:v>25</x:v>
      </x:c>
      <x:c r="N331" s="284" t="n">
        <x:v>4350</x:v>
      </x:c>
      <x:c r="O331" s="284" t="str"/>
    </x:row>
    <x:row r="332" ht="27" customHeight="1">
      <x:c r="A332" s="283" t="n">
        <x:v>328</x:v>
      </x:c>
      <x:c r="B332" s="283" t="n">
        <x:v>1027</x:v>
      </x:c>
      <x:c r="C332" s="283" t="str">
        <x:f>IF(AND(A332&lt;='定義與範圍'!$B$7,B332&lt;='定義與範圍'!$B$7),"是","")</x:f>
      </x:c>
      <x:c r="D332" s="283" t="str">
        <x:v>僅高失衡</x:v>
      </x:c>
      <x:c r="E332" s="283" t="str">
        <x:v>延吉街47巷口</x:v>
      </x:c>
      <x:c r="F332" s="283" t="str">
        <x:v>土城區</x:v>
      </x:c>
      <x:c r="G332" s="283" t="n">
        <x:v>10</x:v>
      </x:c>
      <x:c r="H332" s="288" t="n">
        <x:v>34.40833333333333</x:v>
      </x:c>
      <x:c r="I332" s="286" t="n">
        <x:v>0.0821428571428571</x:v>
      </x:c>
      <x:c r="J332" s="286" t="n">
        <x:v>0.36</x:v>
      </x:c>
      <x:c r="K332" s="288" t="n">
        <x:v>44.41935483870968</x:v>
      </x:c>
      <x:c r="L332" s="286" t="n">
        <x:v>0.1013824884792626</x:v>
      </x:c>
      <x:c r="M332" s="283" t="n">
        <x:v>24</x:v>
      </x:c>
      <x:c r="N332" s="283" t="n">
        <x:v>3030</x:v>
      </x:c>
      <x:c r="O332" s="283" t="str"/>
    </x:row>
    <x:row r="333" ht="27" customHeight="1">
      <x:c r="A333" s="284" t="n">
        <x:v>329</x:v>
      </x:c>
      <x:c r="B333" s="284" t="n">
        <x:v>1109</x:v>
      </x:c>
      <x:c r="C333" s="284" t="str">
        <x:f>IF(AND(A333&lt;='定義與範圍'!$B$7,B333&lt;='定義與範圍'!$B$7),"是","")</x:f>
      </x:c>
      <x:c r="D333" s="284" t="str">
        <x:v>僅高失衡</x:v>
      </x:c>
      <x:c r="E333" s="284" t="str">
        <x:v>幸福中環路口</x:v>
      </x:c>
      <x:c r="F333" s="284" t="str">
        <x:v>新莊區</x:v>
      </x:c>
      <x:c r="G333" s="284" t="n">
        <x:v>12</x:v>
      </x:c>
      <x:c r="H333" s="287" t="n">
        <x:v>29.95</x:v>
      </x:c>
      <x:c r="I333" s="285" t="n">
        <x:v>0.0821428571428571</x:v>
      </x:c>
      <x:c r="J333" s="285" t="n">
        <x:v>0.3132173913043478</x:v>
      </x:c>
      <x:c r="K333" s="287" t="n">
        <x:v>43.29032258064516</x:v>
      </x:c>
      <x:c r="L333" s="285" t="n">
        <x:v>0.1105990783410138</x:v>
      </x:c>
      <x:c r="M333" s="284" t="n">
        <x:v>25</x:v>
      </x:c>
      <x:c r="N333" s="284" t="n">
        <x:v>3150</x:v>
      </x:c>
      <x:c r="O333" s="284" t="str"/>
    </x:row>
    <x:row r="334" ht="27" customHeight="1">
      <x:c r="A334" s="283" t="n">
        <x:v>330</x:v>
      </x:c>
      <x:c r="B334" s="283" t="n">
        <x:v>879</x:v>
      </x:c>
      <x:c r="C334" s="283" t="str">
        <x:f>IF(AND(A334&lt;='定義與範圍'!$B$7,B334&lt;='定義與範圍'!$B$7),"是","")</x:f>
      </x:c>
      <x:c r="D334" s="283" t="str">
        <x:v>僅高失衡</x:v>
      </x:c>
      <x:c r="E334" s="283" t="str">
        <x:v>中山路二段416巷38弄口</x:v>
      </x:c>
      <x:c r="F334" s="283" t="str">
        <x:v>板橋區</x:v>
      </x:c>
      <x:c r="G334" s="283" t="n">
        <x:v>14</x:v>
      </x:c>
      <x:c r="H334" s="288" t="n">
        <x:v>41.53333333333333</x:v>
      </x:c>
      <x:c r="I334" s="286" t="n">
        <x:v>0.0821428571428571</x:v>
      </x:c>
      <x:c r="J334" s="286" t="n">
        <x:v>0.4142608695652174</x:v>
      </x:c>
      <x:c r="K334" s="288" t="n">
        <x:v>58.03225806451613</x:v>
      </x:c>
      <x:c r="L334" s="286" t="n">
        <x:v>0.0576036866359447</x:v>
      </x:c>
      <x:c r="M334" s="283" t="n">
        <x:v>17</x:v>
      </x:c>
      <x:c r="N334" s="283" t="n">
        <x:v>2340</x:v>
      </x:c>
      <x:c r="O334" s="283" t="str"/>
    </x:row>
    <x:row r="335" ht="27" customHeight="1">
      <x:c r="A335" s="284" t="n">
        <x:v>331</x:v>
      </x:c>
      <x:c r="B335" s="284" t="n">
        <x:v>923</x:v>
      </x:c>
      <x:c r="C335" s="284" t="str">
        <x:f>IF(AND(A335&lt;='定義與範圍'!$B$7,B335&lt;='定義與範圍'!$B$7),"是","")</x:f>
      </x:c>
      <x:c r="D335" s="284" t="str">
        <x:v>僅高失衡</x:v>
      </x:c>
      <x:c r="E335" s="284" t="str">
        <x:v>鶯歌國中</x:v>
      </x:c>
      <x:c r="F335" s="284" t="str">
        <x:v>鶯歌區</x:v>
      </x:c>
      <x:c r="G335" s="284" t="n">
        <x:v>30</x:v>
      </x:c>
      <x:c r="H335" s="287" t="n">
        <x:v>39.54166666666666</x:v>
      </x:c>
      <x:c r="I335" s="285" t="n">
        <x:v>0.0821428571428571</x:v>
      </x:c>
      <x:c r="J335" s="285" t="n">
        <x:v>0.2942608695652174</x:v>
      </x:c>
      <x:c r="K335" s="287" t="n">
        <x:v>65.41935483870968</x:v>
      </x:c>
      <x:c r="L335" s="285" t="n">
        <x:v>0.1152073732718894</x:v>
      </x:c>
      <x:c r="M335" s="284" t="n">
        <x:v>14</x:v>
      </x:c>
      <x:c r="N335" s="284" t="n">
        <x:v>1950</x:v>
      </x:c>
      <x:c r="O335" s="284" t="str"/>
    </x:row>
    <x:row r="336" ht="27" customHeight="1">
      <x:c r="A336" s="283" t="n">
        <x:v>332</x:v>
      </x:c>
      <x:c r="B336" s="283" t="n">
        <x:v>76</x:v>
      </x:c>
      <x:c r="C336" s="283" t="str">
        <x:f>IF(AND(A336&lt;='定義與範圍'!$B$7,B336&lt;='定義與範圍'!$B$7),"是","")</x:f>
        <x:v>是</x:v>
      </x:c>
      <x:c r="D336" s="283" t="str">
        <x:v>高活動＋高失衡</x:v>
      </x:c>
      <x:c r="E336" s="283" t="str">
        <x:v>仁愛街70巷口</x:v>
      </x:c>
      <x:c r="F336" s="283" t="str">
        <x:v>蘆洲區</x:v>
      </x:c>
      <x:c r="G336" s="283" t="n">
        <x:v>32</x:v>
      </x:c>
      <x:c r="H336" s="288" t="n">
        <x:v>140.325</x:v>
      </x:c>
      <x:c r="I336" s="286" t="n">
        <x:v>0.0821428571428571</x:v>
      </x:c>
      <x:c r="J336" s="286" t="n">
        <x:v>0.5822608695652174</x:v>
      </x:c>
      <x:c r="K336" s="288" t="n">
        <x:v>167.1290322580645</x:v>
      </x:c>
      <x:c r="L336" s="286" t="n">
        <x:v>0.0783410138248847</x:v>
      </x:c>
      <x:c r="M336" s="283" t="n">
        <x:v>18</x:v>
      </x:c>
      <x:c r="N336" s="283" t="n">
        <x:v>2400</x:v>
      </x:c>
      <x:c r="O336" s="283" t="str"/>
    </x:row>
    <x:row r="337" ht="27" customHeight="1">
      <x:c r="A337" s="284" t="n">
        <x:v>333</x:v>
      </x:c>
      <x:c r="B337" s="284" t="n">
        <x:v>112</x:v>
      </x:c>
      <x:c r="C337" s="284" t="str">
        <x:f>IF(AND(A337&lt;='定義與範圍'!$B$7,B337&lt;='定義與範圍'!$B$7),"是","")</x:f>
        <x:v>是</x:v>
      </x:c>
      <x:c r="D337" s="284" t="str">
        <x:v>高活動＋高失衡</x:v>
      </x:c>
      <x:c r="E337" s="284" t="str">
        <x:v>國泰街111巷口</x:v>
      </x:c>
      <x:c r="F337" s="284" t="str">
        <x:v>板橋區</x:v>
      </x:c>
      <x:c r="G337" s="284" t="n">
        <x:v>43</x:v>
      </x:c>
      <x:c r="H337" s="287" t="n">
        <x:v>118.225</x:v>
      </x:c>
      <x:c r="I337" s="285" t="n">
        <x:v>0.0821428571428571</x:v>
      </x:c>
      <x:c r="J337" s="285" t="n">
        <x:v>0.5427826086956522</x:v>
      </x:c>
      <x:c r="K337" s="287" t="n">
        <x:v>146.2258064516129</x:v>
      </x:c>
      <x:c r="L337" s="285" t="n">
        <x:v>0.1059907834101382</x:v>
      </x:c>
      <x:c r="M337" s="284" t="n">
        <x:v>21</x:v>
      </x:c>
      <x:c r="N337" s="284" t="n">
        <x:v>2940</x:v>
      </x:c>
      <x:c r="O337" s="284" t="str"/>
    </x:row>
    <x:row r="338" ht="27" customHeight="1">
      <x:c r="A338" s="283" t="n">
        <x:v>334</x:v>
      </x:c>
      <x:c r="B338" s="283" t="n">
        <x:v>1402</x:v>
      </x:c>
      <x:c r="C338" s="283" t="str">
        <x:f>IF(AND(A338&lt;='定義與範圍'!$B$7,B338&lt;='定義與範圍'!$B$7),"是","")</x:f>
      </x:c>
      <x:c r="D338" s="283" t="str">
        <x:v>僅高失衡</x:v>
      </x:c>
      <x:c r="E338" s="283" t="str">
        <x:v>嘉穗公園</x:v>
      </x:c>
      <x:c r="F338" s="283" t="str">
        <x:v>中和區</x:v>
      </x:c>
      <x:c r="G338" s="283" t="n">
        <x:v>10</x:v>
      </x:c>
      <x:c r="H338" s="288" t="n">
        <x:v>12.016666666666667</x:v>
      </x:c>
      <x:c r="I338" s="286" t="n">
        <x:v>0.081547619047619</x:v>
      </x:c>
      <x:c r="J338" s="286" t="n">
        <x:v>0.1532173913043478</x:v>
      </x:c>
      <x:c r="K338" s="288" t="n">
        <x:v>21.258064516129032</x:v>
      </x:c>
      <x:c r="L338" s="286" t="n">
        <x:v>0.064516129032258</x:v>
      </x:c>
      <x:c r="M338" s="283" t="n">
        <x:v>12</x:v>
      </x:c>
      <x:c r="N338" s="283" t="n">
        <x:v>1320</x:v>
      </x:c>
      <x:c r="O338" s="283" t="str"/>
    </x:row>
    <x:row r="339" ht="27" customHeight="1">
      <x:c r="A339" s="284" t="n">
        <x:v>335</x:v>
      </x:c>
      <x:c r="B339" s="284" t="n">
        <x:v>1114</x:v>
      </x:c>
      <x:c r="C339" s="284" t="str">
        <x:f>IF(AND(A339&lt;='定義與範圍'!$B$7,B339&lt;='定義與範圍'!$B$7),"是","")</x:f>
      </x:c>
      <x:c r="D339" s="284" t="str">
        <x:v>僅高失衡</x:v>
      </x:c>
      <x:c r="E339" s="284" t="str">
        <x:v>輕軌陽光運動公園站</x:v>
      </x:c>
      <x:c r="F339" s="284" t="str">
        <x:v>新店區</x:v>
      </x:c>
      <x:c r="G339" s="284" t="n">
        <x:v>20</x:v>
      </x:c>
      <x:c r="H339" s="287" t="n">
        <x:v>29.741666666666667</x:v>
      </x:c>
      <x:c r="I339" s="285" t="n">
        <x:v>0.081547619047619</x:v>
      </x:c>
      <x:c r="J339" s="285" t="n">
        <x:v>0.3024347826086956</x:v>
      </x:c>
      <x:c r="K339" s="287" t="n">
        <x:v>46.12903225806452</x:v>
      </x:c>
      <x:c r="L339" s="285" t="n">
        <x:v>0.0967741935483871</x:v>
      </x:c>
      <x:c r="M339" s="284" t="n">
        <x:v>17</x:v>
      </x:c>
      <x:c r="N339" s="284" t="n">
        <x:v>1920</x:v>
      </x:c>
      <x:c r="O339" s="284" t="str"/>
    </x:row>
    <x:row r="340" ht="27" customHeight="1">
      <x:c r="A340" s="283" t="n">
        <x:v>336</x:v>
      </x:c>
      <x:c r="B340" s="283" t="n">
        <x:v>479</x:v>
      </x:c>
      <x:c r="C340" s="283" t="str">
        <x:f>IF(AND(A340&lt;='定義與範圍'!$B$7,B340&lt;='定義與範圍'!$B$7),"是","")</x:f>
      </x:c>
      <x:c r="D340" s="283" t="str">
        <x:v>僅高失衡</x:v>
      </x:c>
      <x:c r="E340" s="283" t="str">
        <x:v>中央慶利街口(風華綠中央社區)</x:v>
      </x:c>
      <x:c r="F340" s="283" t="str">
        <x:v>土城區</x:v>
      </x:c>
      <x:c r="G340" s="283" t="n">
        <x:v>22</x:v>
      </x:c>
      <x:c r="H340" s="288" t="n">
        <x:v>66.34166666666667</x:v>
      </x:c>
      <x:c r="I340" s="286" t="n">
        <x:v>0.081547619047619</x:v>
      </x:c>
      <x:c r="J340" s="286" t="n">
        <x:v>0.4382608695652173</x:v>
      </x:c>
      <x:c r="K340" s="288" t="n">
        <x:v>93.03225806451611</x:v>
      </x:c>
      <x:c r="L340" s="286" t="n">
        <x:v>0.0967741935483871</x:v>
      </x:c>
      <x:c r="M340" s="283" t="n">
        <x:v>23</x:v>
      </x:c>
      <x:c r="N340" s="283" t="n">
        <x:v>2940</x:v>
      </x:c>
      <x:c r="O340" s="283" t="str"/>
    </x:row>
    <x:row r="341" ht="27" customHeight="1">
      <x:c r="A341" s="284" t="n">
        <x:v>337</x:v>
      </x:c>
      <x:c r="B341" s="284" t="n">
        <x:v>431</x:v>
      </x:c>
      <x:c r="C341" s="284" t="str">
        <x:f>IF(AND(A341&lt;='定義與範圍'!$B$7,B341&lt;='定義與範圍'!$B$7),"是","")</x:f>
      </x:c>
      <x:c r="D341" s="284" t="str">
        <x:v>僅高失衡</x:v>
      </x:c>
      <x:c r="E341" s="284" t="str">
        <x:v>三多第1市民活動中心</x:v>
      </x:c>
      <x:c r="F341" s="284" t="str">
        <x:v>樹林區</x:v>
      </x:c>
      <x:c r="G341" s="284" t="n">
        <x:v>27</x:v>
      </x:c>
      <x:c r="H341" s="287" t="n">
        <x:v>69.325</x:v>
      </x:c>
      <x:c r="I341" s="285" t="n">
        <x:v>0.081547619047619</x:v>
      </x:c>
      <x:c r="J341" s="285" t="n">
        <x:v>0.4499130434782609</x:v>
      </x:c>
      <x:c r="K341" s="287" t="n">
        <x:v>91.80645161290325</x:v>
      </x:c>
      <x:c r="L341" s="285" t="n">
        <x:v>0.0921658986175115</x:v>
      </x:c>
      <x:c r="M341" s="284" t="n">
        <x:v>16</x:v>
      </x:c>
      <x:c r="N341" s="284" t="n">
        <x:v>2100</x:v>
      </x:c>
      <x:c r="O341" s="284" t="str"/>
    </x:row>
    <x:row r="342" ht="27" customHeight="1">
      <x:c r="A342" s="283" t="n">
        <x:v>338</x:v>
      </x:c>
      <x:c r="B342" s="283" t="n">
        <x:v>80</x:v>
      </x:c>
      <x:c r="C342" s="283" t="str">
        <x:f>IF(AND(A342&lt;='定義與範圍'!$B$7,B342&lt;='定義與範圍'!$B$7),"是","")</x:f>
        <x:v>是</x:v>
      </x:c>
      <x:c r="D342" s="283" t="str">
        <x:v>高活動＋高失衡</x:v>
      </x:c>
      <x:c r="E342" s="283" t="str">
        <x:v>永和國父紀念館</x:v>
      </x:c>
      <x:c r="F342" s="283" t="str">
        <x:v>永和區</x:v>
      </x:c>
      <x:c r="G342" s="283" t="n">
        <x:v>30</x:v>
      </x:c>
      <x:c r="H342" s="288" t="n">
        <x:v>139.06666666666666</x:v>
      </x:c>
      <x:c r="I342" s="286" t="n">
        <x:v>0.081547619047619</x:v>
      </x:c>
      <x:c r="J342" s="286" t="n">
        <x:v>0.6426086956521739</x:v>
      </x:c>
      <x:c r="K342" s="288" t="n">
        <x:v>179.16129032258064</x:v>
      </x:c>
      <x:c r="L342" s="286" t="n">
        <x:v>0.0783410138248847</x:v>
      </x:c>
      <x:c r="M342" s="283" t="n">
        <x:v>17</x:v>
      </x:c>
      <x:c r="N342" s="283" t="n">
        <x:v>2880</x:v>
      </x:c>
      <x:c r="O342" s="283" t="str"/>
    </x:row>
    <x:row r="343" ht="27" customHeight="1">
      <x:c r="A343" s="284" t="n">
        <x:v>339</x:v>
      </x:c>
      <x:c r="B343" s="284" t="n">
        <x:v>202</x:v>
      </x:c>
      <x:c r="C343" s="284" t="str">
        <x:f>IF(AND(A343&lt;='定義與範圍'!$B$7,B343&lt;='定義與範圍'!$B$7),"是","")</x:f>
        <x:v>是</x:v>
      </x:c>
      <x:c r="D343" s="284" t="str">
        <x:v>高活動＋高失衡</x:v>
      </x:c>
      <x:c r="E343" s="284" t="str">
        <x:v>自強溪尾街口</x:v>
      </x:c>
      <x:c r="F343" s="284" t="str">
        <x:v>三重區</x:v>
      </x:c>
      <x:c r="G343" s="284" t="n">
        <x:v>52</x:v>
      </x:c>
      <x:c r="H343" s="287" t="n">
        <x:v>93.00833333333334</x:v>
      </x:c>
      <x:c r="I343" s="285" t="n">
        <x:v>0.081547619047619</x:v>
      </x:c>
      <x:c r="J343" s="285" t="n">
        <x:v>0.5380869565217391</x:v>
      </x:c>
      <x:c r="K343" s="287" t="n">
        <x:v>111.2258064516129</x:v>
      </x:c>
      <x:c r="L343" s="285" t="n">
        <x:v>0.1013824884792626</x:v>
      </x:c>
      <x:c r="M343" s="284" t="n">
        <x:v>27</x:v>
      </x:c>
      <x:c r="N343" s="284" t="n">
        <x:v>3900</x:v>
      </x:c>
      <x:c r="O343" s="284" t="str"/>
    </x:row>
    <x:row r="344" ht="27" customHeight="1">
      <x:c r="A344" s="283" t="n">
        <x:v>340</x:v>
      </x:c>
      <x:c r="B344" s="283" t="n">
        <x:v>587</x:v>
      </x:c>
      <x:c r="C344" s="283" t="str">
        <x:f>IF(AND(A344&lt;='定義與範圍'!$B$7,B344&lt;='定義與範圍'!$B$7),"是","")</x:f>
      </x:c>
      <x:c r="D344" s="283" t="str">
        <x:v>僅高失衡</x:v>
      </x:c>
      <x:c r="E344" s="283" t="str">
        <x:v>億光電子(樹林高中)</x:v>
      </x:c>
      <x:c r="F344" s="283" t="str">
        <x:v>樹林區</x:v>
      </x:c>
      <x:c r="G344" s="283" t="n">
        <x:v>42</x:v>
      </x:c>
      <x:c r="H344" s="288" t="n">
        <x:v>59.46666666666667</x:v>
      </x:c>
      <x:c r="I344" s="286" t="n">
        <x:v>0.081547619047619</x:v>
      </x:c>
      <x:c r="J344" s="286" t="n">
        <x:v>0.4027826086956522</x:v>
      </x:c>
      <x:c r="K344" s="288" t="n">
        <x:v>88.2258064516129</x:v>
      </x:c>
      <x:c r="L344" s="286" t="n">
        <x:v>0.108294930875576</x:v>
      </x:c>
      <x:c r="M344" s="283" t="n">
        <x:v>10</x:v>
      </x:c>
      <x:c r="N344" s="283" t="n">
        <x:v>1800</x:v>
      </x:c>
      <x:c r="O344" s="283" t="str"/>
    </x:row>
    <x:row r="345" ht="27" customHeight="1">
      <x:c r="A345" s="284" t="n">
        <x:v>341</x:v>
      </x:c>
      <x:c r="B345" s="284" t="n">
        <x:v>500</x:v>
      </x:c>
      <x:c r="C345" s="284" t="str">
        <x:f>IF(AND(A345&lt;='定義與範圍'!$B$7,B345&lt;='定義與範圍'!$B$7),"是","")</x:f>
      </x:c>
      <x:c r="D345" s="284" t="str">
        <x:v>僅高失衡</x:v>
      </x:c>
      <x:c r="E345" s="284" t="str">
        <x:v>錦和高中</x:v>
      </x:c>
      <x:c r="F345" s="284" t="str">
        <x:v>中和區</x:v>
      </x:c>
      <x:c r="G345" s="284" t="n">
        <x:v>28</x:v>
      </x:c>
      <x:c r="H345" s="287" t="n">
        <x:v>64.775</x:v>
      </x:c>
      <x:c r="I345" s="285" t="n">
        <x:v>0.0809523809523809</x:v>
      </x:c>
      <x:c r="J345" s="285" t="n">
        <x:v>0.3685217391304348</x:v>
      </x:c>
      <x:c r="K345" s="287" t="n">
        <x:v>84.35483870967742</x:v>
      </x:c>
      <x:c r="L345" s="285" t="n">
        <x:v>0.0967741935483871</x:v>
      </x:c>
      <x:c r="M345" s="284" t="n">
        <x:v>26</x:v>
      </x:c>
      <x:c r="N345" s="284" t="n">
        <x:v>3690</x:v>
      </x:c>
      <x:c r="O345" s="284" t="str"/>
    </x:row>
    <x:row r="346" ht="27" customHeight="1">
      <x:c r="A346" s="283" t="n">
        <x:v>342</x:v>
      </x:c>
      <x:c r="B346" s="283" t="n">
        <x:v>396</x:v>
      </x:c>
      <x:c r="C346" s="283" t="str">
        <x:f>IF(AND(A346&lt;='定義與範圍'!$B$7,B346&lt;='定義與範圍'!$B$7),"是","")</x:f>
      </x:c>
      <x:c r="D346" s="283" t="str">
        <x:v>僅高失衡</x:v>
      </x:c>
      <x:c r="E346" s="283" t="str">
        <x:v>林口高中</x:v>
      </x:c>
      <x:c r="F346" s="283" t="str">
        <x:v>林口區</x:v>
      </x:c>
      <x:c r="G346" s="283" t="n">
        <x:v>31</x:v>
      </x:c>
      <x:c r="H346" s="288" t="n">
        <x:v>72.625</x:v>
      </x:c>
      <x:c r="I346" s="286" t="n">
        <x:v>0.0809523809523809</x:v>
      </x:c>
      <x:c r="J346" s="286" t="n">
        <x:v>0.408695652173913</x:v>
      </x:c>
      <x:c r="K346" s="288" t="n">
        <x:v>105.16129032258064</x:v>
      </x:c>
      <x:c r="L346" s="286" t="n">
        <x:v>0.108294930875576</x:v>
      </x:c>
      <x:c r="M346" s="283" t="n">
        <x:v>16</x:v>
      </x:c>
      <x:c r="N346" s="283" t="n">
        <x:v>2460</x:v>
      </x:c>
      <x:c r="O346" s="283" t="str"/>
    </x:row>
    <x:row r="347" ht="27" customHeight="1">
      <x:c r="A347" s="284" t="n">
        <x:v>343</x:v>
      </x:c>
      <x:c r="B347" s="284" t="n">
        <x:v>508</x:v>
      </x:c>
      <x:c r="C347" s="284" t="str">
        <x:f>IF(AND(A347&lt;='定義與範圍'!$B$7,B347&lt;='定義與範圍'!$B$7),"是","")</x:f>
      </x:c>
      <x:c r="D347" s="284" t="str">
        <x:v>僅高失衡</x:v>
      </x:c>
      <x:c r="E347" s="284" t="str">
        <x:v>莒光國小</x:v>
      </x:c>
      <x:c r="F347" s="284" t="str">
        <x:v>板橋區</x:v>
      </x:c>
      <x:c r="G347" s="284" t="n">
        <x:v>37</x:v>
      </x:c>
      <x:c r="H347" s="287" t="n">
        <x:v>64.34166666666667</x:v>
      </x:c>
      <x:c r="I347" s="285" t="n">
        <x:v>0.0809523809523809</x:v>
      </x:c>
      <x:c r="J347" s="285" t="n">
        <x:v>0.4497391304347826</x:v>
      </x:c>
      <x:c r="K347" s="287" t="n">
        <x:v>79.80645161290323</x:v>
      </x:c>
      <x:c r="L347" s="285" t="n">
        <x:v>0.1198156682027649</x:v>
      </x:c>
      <x:c r="M347" s="284" t="n">
        <x:v>27</x:v>
      </x:c>
      <x:c r="N347" s="284" t="n">
        <x:v>3390</x:v>
      </x:c>
      <x:c r="O347" s="284" t="str"/>
    </x:row>
    <x:row r="348" ht="27" customHeight="1">
      <x:c r="A348" s="283" t="n">
        <x:v>344</x:v>
      </x:c>
      <x:c r="B348" s="283" t="n">
        <x:v>414</x:v>
      </x:c>
      <x:c r="C348" s="283" t="str">
        <x:f>IF(AND(A348&lt;='定義與範圍'!$B$7,B348&lt;='定義與範圍'!$B$7),"是","")</x:f>
      </x:c>
      <x:c r="D348" s="283" t="str">
        <x:v>僅高失衡</x:v>
      </x:c>
      <x:c r="E348" s="283" t="str">
        <x:v>瓦?截流站</x:v>
      </x:c>
      <x:c r="F348" s="283" t="str">
        <x:v>永和區</x:v>
      </x:c>
      <x:c r="G348" s="283" t="n">
        <x:v>11</x:v>
      </x:c>
      <x:c r="H348" s="288" t="n">
        <x:v>70.42622950819673</x:v>
      </x:c>
      <x:c r="I348" s="286" t="n">
        <x:v>0.0807962529274004</x:v>
      </x:c>
      <x:c r="J348" s="286" t="n">
        <x:v>0.6398768809849521</x:v>
      </x:c>
      <x:c r="K348" s="288" t="n">
        <x:v>70.29032258064517</x:v>
      </x:c>
      <x:c r="L348" s="286" t="n">
        <x:v>0.0990783410138248</x:v>
      </x:c>
      <x:c r="M348" s="283" t="n">
        <x:v>34</x:v>
      </x:c>
      <x:c r="N348" s="283" t="n">
        <x:v>4710</x:v>
      </x:c>
      <x:c r="O348" s="283" t="str"/>
    </x:row>
    <x:row r="349" ht="27" customHeight="1">
      <x:c r="A349" s="284" t="n">
        <x:v>345</x:v>
      </x:c>
      <x:c r="B349" s="284" t="n">
        <x:v>56</x:v>
      </x:c>
      <x:c r="C349" s="284" t="str">
        <x:f>IF(AND(A349&lt;='定義與範圍'!$B$7,B349&lt;='定義與範圍'!$B$7),"是","")</x:f>
        <x:v>是</x:v>
      </x:c>
      <x:c r="D349" s="284" t="str">
        <x:v>高活動＋高失衡</x:v>
      </x:c>
      <x:c r="E349" s="284" t="str">
        <x:v>健華新城社區</x:v>
      </x:c>
      <x:c r="F349" s="284" t="str">
        <x:v>板橋區</x:v>
      </x:c>
      <x:c r="G349" s="284" t="n">
        <x:v>72</x:v>
      </x:c>
      <x:c r="H349" s="287" t="n">
        <x:v>153.175</x:v>
      </x:c>
      <x:c r="I349" s="285" t="n">
        <x:v>0.0803571428571428</x:v>
      </x:c>
      <x:c r="J349" s="285" t="n">
        <x:v>0.6010434782608696</x:v>
      </x:c>
      <x:c r="K349" s="287" t="n">
        <x:v>161.80645161290323</x:v>
      </x:c>
      <x:c r="L349" s="285" t="n">
        <x:v>0.1175115207373272</x:v>
      </x:c>
      <x:c r="M349" s="284" t="n">
        <x:v>27</x:v>
      </x:c>
      <x:c r="N349" s="284" t="n">
        <x:v>4350</x:v>
      </x:c>
      <x:c r="O349" s="284" t="str"/>
    </x:row>
    <x:row r="350" ht="27" customHeight="1">
      <x:c r="A350" s="283" t="n">
        <x:v>346</x:v>
      </x:c>
      <x:c r="B350" s="283" t="n">
        <x:v>29</x:v>
      </x:c>
      <x:c r="C350" s="283" t="str">
        <x:f>IF(AND(A350&lt;='定義與範圍'!$B$7,B350&lt;='定義與範圍'!$B$7),"是","")</x:f>
        <x:v>是</x:v>
      </x:c>
      <x:c r="D350" s="283" t="str">
        <x:v>高活動＋高失衡</x:v>
      </x:c>
      <x:c r="E350" s="283" t="str">
        <x:v>捷運頭前庄站(1號出口)</x:v>
      </x:c>
      <x:c r="F350" s="283" t="str">
        <x:v>新莊區</x:v>
      </x:c>
      <x:c r="G350" s="283" t="n">
        <x:v>90</x:v>
      </x:c>
      <x:c r="H350" s="288" t="n">
        <x:v>194.95833333333331</x:v>
      </x:c>
      <x:c r="I350" s="286" t="n">
        <x:v>0.0803571428571428</x:v>
      </x:c>
      <x:c r="J350" s="286" t="n">
        <x:v>0.551304347826087</x:v>
      </x:c>
      <x:c r="K350" s="288" t="n">
        <x:v>205.93548387096772</x:v>
      </x:c>
      <x:c r="L350" s="286" t="n">
        <x:v>0.1175115207373272</x:v>
      </x:c>
      <x:c r="M350" s="283" t="n">
        <x:v>42</x:v>
      </x:c>
      <x:c r="N350" s="283" t="n">
        <x:v>6000</x:v>
      </x:c>
      <x:c r="O350" s="283" t="str"/>
    </x:row>
    <x:row r="351" ht="27" customHeight="1">
      <x:c r="A351" s="284" t="n">
        <x:v>347</x:v>
      </x:c>
      <x:c r="B351" s="284" t="n">
        <x:v>458</x:v>
      </x:c>
      <x:c r="C351" s="284" t="str">
        <x:f>IF(AND(A351&lt;='定義與範圍'!$B$7,B351&lt;='定義與範圍'!$B$7),"是","")</x:f>
      </x:c>
      <x:c r="D351" s="284" t="str">
        <x:v>僅高失衡</x:v>
      </x:c>
      <x:c r="E351" s="284" t="str">
        <x:v>仁愛街422巷口</x:v>
      </x:c>
      <x:c r="F351" s="284" t="str">
        <x:v>三重區</x:v>
      </x:c>
      <x:c r="G351" s="284" t="n">
        <x:v>17</x:v>
      </x:c>
      <x:c r="H351" s="287" t="n">
        <x:v>67.54166666666667</x:v>
      </x:c>
      <x:c r="I351" s="285" t="n">
        <x:v>0.0803571428571428</x:v>
      </x:c>
      <x:c r="J351" s="285" t="n">
        <x:v>0.4869565217391304</x:v>
      </x:c>
      <x:c r="K351" s="287" t="n">
        <x:v>84.35483870967742</x:v>
      </x:c>
      <x:c r="L351" s="285" t="n">
        <x:v>0.0898617511520737</x:v>
      </x:c>
      <x:c r="M351" s="284" t="n">
        <x:v>24</x:v>
      </x:c>
      <x:c r="N351" s="284" t="n">
        <x:v>3300</x:v>
      </x:c>
      <x:c r="O351" s="284" t="str"/>
    </x:row>
    <x:row r="352" ht="27" customHeight="1">
      <x:c r="A352" s="283" t="n">
        <x:v>348</x:v>
      </x:c>
      <x:c r="B352" s="283" t="n">
        <x:v>778</x:v>
      </x:c>
      <x:c r="C352" s="283" t="str">
        <x:f>IF(AND(A352&lt;='定義與範圍'!$B$7,B352&lt;='定義與範圍'!$B$7),"是","")</x:f>
      </x:c>
      <x:c r="D352" s="283" t="str">
        <x:v>僅高失衡</x:v>
      </x:c>
      <x:c r="E352" s="283" t="str">
        <x:v>永貞水源街口</x:v>
      </x:c>
      <x:c r="F352" s="283" t="str">
        <x:v>永和區</x:v>
      </x:c>
      <x:c r="G352" s="283" t="n">
        <x:v>12</x:v>
      </x:c>
      <x:c r="H352" s="288" t="n">
        <x:v>47.91666666666666</x:v>
      </x:c>
      <x:c r="I352" s="286" t="n">
        <x:v>0.0797619047619047</x:v>
      </x:c>
      <x:c r="J352" s="286" t="n">
        <x:v>0.4511304347826086</x:v>
      </x:c>
      <x:c r="K352" s="288" t="n">
        <x:v>67.80645161290323</x:v>
      </x:c>
      <x:c r="L352" s="286" t="n">
        <x:v>0.0806451612903225</x:v>
      </x:c>
      <x:c r="M352" s="283" t="n">
        <x:v>16</x:v>
      </x:c>
      <x:c r="N352" s="283" t="n">
        <x:v>2730</x:v>
      </x:c>
      <x:c r="O352" s="283" t="str"/>
    </x:row>
    <x:row r="353" ht="27" customHeight="1">
      <x:c r="A353" s="284" t="n">
        <x:v>349</x:v>
      </x:c>
      <x:c r="B353" s="284" t="n">
        <x:v>947</x:v>
      </x:c>
      <x:c r="C353" s="284" t="str">
        <x:f>IF(AND(A353&lt;='定義與範圍'!$B$7,B353&lt;='定義與範圍'!$B$7),"是","")</x:f>
      </x:c>
      <x:c r="D353" s="284" t="str">
        <x:v>僅高失衡</x:v>
      </x:c>
      <x:c r="E353" s="284" t="str">
        <x:v>台北花園廣場社區</x:v>
      </x:c>
      <x:c r="F353" s="284" t="str">
        <x:v>泰山區</x:v>
      </x:c>
      <x:c r="G353" s="284" t="n">
        <x:v>20</x:v>
      </x:c>
      <x:c r="H353" s="287" t="n">
        <x:v>37.98333333333333</x:v>
      </x:c>
      <x:c r="I353" s="285" t="n">
        <x:v>0.0797619047619047</x:v>
      </x:c>
      <x:c r="J353" s="285" t="n">
        <x:v>0.3572173913043478</x:v>
      </x:c>
      <x:c r="K353" s="287" t="n">
        <x:v>55.87096774193548</x:v>
      </x:c>
      <x:c r="L353" s="285" t="n">
        <x:v>0.0898617511520737</x:v>
      </x:c>
      <x:c r="M353" s="284" t="n">
        <x:v>11</x:v>
      </x:c>
      <x:c r="N353" s="284" t="n">
        <x:v>1650</x:v>
      </x:c>
      <x:c r="O353" s="284" t="str"/>
    </x:row>
    <x:row r="354" ht="27" customHeight="1">
      <x:c r="A354" s="283" t="n">
        <x:v>350</x:v>
      </x:c>
      <x:c r="B354" s="283" t="n">
        <x:v>777</x:v>
      </x:c>
      <x:c r="C354" s="283" t="str">
        <x:f>IF(AND(A354&lt;='定義與範圍'!$B$7,B354&lt;='定義與範圍'!$B$7),"是","")</x:f>
      </x:c>
      <x:c r="D354" s="283" t="str">
        <x:v>僅高失衡</x:v>
      </x:c>
      <x:c r="E354" s="283" t="str">
        <x:v>中央路三段281巷</x:v>
      </x:c>
      <x:c r="F354" s="283" t="str">
        <x:v>土城區</x:v>
      </x:c>
      <x:c r="G354" s="283" t="n">
        <x:v>24</x:v>
      </x:c>
      <x:c r="H354" s="288" t="n">
        <x:v>47.98333333333333</x:v>
      </x:c>
      <x:c r="I354" s="286" t="n">
        <x:v>0.0797619047619047</x:v>
      </x:c>
      <x:c r="J354" s="286" t="n">
        <x:v>0.3961739130434782</x:v>
      </x:c>
      <x:c r="K354" s="288" t="n">
        <x:v>66.93548387096774</x:v>
      </x:c>
      <x:c r="L354" s="286" t="n">
        <x:v>0.1105990783410138</x:v>
      </x:c>
      <x:c r="M354" s="283" t="n">
        <x:v>21</x:v>
      </x:c>
      <x:c r="N354" s="283" t="n">
        <x:v>2670</x:v>
      </x:c>
      <x:c r="O354" s="283" t="str"/>
    </x:row>
    <x:row r="355" ht="27" customHeight="1">
      <x:c r="A355" s="284" t="n">
        <x:v>351</x:v>
      </x:c>
      <x:c r="B355" s="284" t="n">
        <x:v>1236</x:v>
      </x:c>
      <x:c r="C355" s="284" t="str">
        <x:f>IF(AND(A355&lt;='定義與範圍'!$B$7,B355&lt;='定義與範圍'!$B$7),"是","")</x:f>
      </x:c>
      <x:c r="D355" s="284" t="str">
        <x:v>僅高失衡</x:v>
      </x:c>
      <x:c r="E355" s="284" t="str">
        <x:v>中正橋(環河西路一段)</x:v>
      </x:c>
      <x:c r="F355" s="284" t="str">
        <x:v>永和區</x:v>
      </x:c>
      <x:c r="G355" s="284" t="n">
        <x:v>24</x:v>
      </x:c>
      <x:c r="H355" s="287" t="n">
        <x:v>23.566666666666663</x:v>
      </x:c>
      <x:c r="I355" s="285" t="n">
        <x:v>0.0797619047619047</x:v>
      </x:c>
      <x:c r="J355" s="285" t="n">
        <x:v>0.2784347826086956</x:v>
      </x:c>
      <x:c r="K355" s="287" t="n">
        <x:v>37.64516129032258</x:v>
      </x:c>
      <x:c r="L355" s="285" t="n">
        <x:v>0.064516129032258</x:v>
      </x:c>
      <x:c r="M355" s="284" t="n">
        <x:v>16</x:v>
      </x:c>
      <x:c r="N355" s="284" t="n">
        <x:v>1800</x:v>
      </x:c>
      <x:c r="O355" s="284" t="str"/>
    </x:row>
    <x:row r="356" ht="27" customHeight="1">
      <x:c r="A356" s="283" t="n">
        <x:v>352</x:v>
      </x:c>
      <x:c r="B356" s="283" t="n">
        <x:v>307</x:v>
      </x:c>
      <x:c r="C356" s="283" t="str">
        <x:f>IF(AND(A356&lt;='定義與範圍'!$B$7,B356&lt;='定義與範圍'!$B$7),"是","")</x:f>
        <x:v>是</x:v>
      </x:c>
      <x:c r="D356" s="283" t="str">
        <x:v>高活動＋高失衡</x:v>
      </x:c>
      <x:c r="E356" s="283" t="str">
        <x:v>三峽國中</x:v>
      </x:c>
      <x:c r="F356" s="283" t="str">
        <x:v>三峽區</x:v>
      </x:c>
      <x:c r="G356" s="283" t="n">
        <x:v>33</x:v>
      </x:c>
      <x:c r="H356" s="288" t="n">
        <x:v>79.89166666666667</x:v>
      </x:c>
      <x:c r="I356" s="286" t="n">
        <x:v>0.0797619047619047</x:v>
      </x:c>
      <x:c r="J356" s="286" t="n">
        <x:v>0.4138830897703549</x:v>
      </x:c>
      <x:c r="K356" s="288" t="n">
        <x:v>111.6774193548387</x:v>
      </x:c>
      <x:c r="L356" s="286" t="n">
        <x:v>0.1382488479262673</x:v>
      </x:c>
      <x:c r="M356" s="283" t="n">
        <x:v>14</x:v>
      </x:c>
      <x:c r="N356" s="283" t="n">
        <x:v>2220</x:v>
      </x:c>
      <x:c r="O356" s="283" t="str"/>
    </x:row>
    <x:row r="357" ht="27" customHeight="1">
      <x:c r="A357" s="284" t="n">
        <x:v>353</x:v>
      </x:c>
      <x:c r="B357" s="284" t="n">
        <x:v>830</x:v>
      </x:c>
      <x:c r="C357" s="284" t="str">
        <x:f>IF(AND(A357&lt;='定義與範圍'!$B$7,B357&lt;='定義與範圍'!$B$7),"是","")</x:f>
      </x:c>
      <x:c r="D357" s="284" t="str">
        <x:v>僅高失衡</x:v>
      </x:c>
      <x:c r="E357" s="284" t="str">
        <x:v>蘆洲仁愛國小(水湳街)</x:v>
      </x:c>
      <x:c r="F357" s="284" t="str">
        <x:v>蘆洲區</x:v>
      </x:c>
      <x:c r="G357" s="284" t="n">
        <x:v>16</x:v>
      </x:c>
      <x:c r="H357" s="287" t="n">
        <x:v>44.49166666666667</x:v>
      </x:c>
      <x:c r="I357" s="285" t="n">
        <x:v>0.0791666666666666</x:v>
      </x:c>
      <x:c r="J357" s="285" t="n">
        <x:v>0.3725217391304348</x:v>
      </x:c>
      <x:c r="K357" s="287" t="n">
        <x:v>60.12903225806452</x:v>
      </x:c>
      <x:c r="L357" s="285" t="n">
        <x:v>0.0829493087557603</x:v>
      </x:c>
      <x:c r="M357" s="284" t="n">
        <x:v>25</x:v>
      </x:c>
      <x:c r="N357" s="284" t="n">
        <x:v>3390</x:v>
      </x:c>
      <x:c r="O357" s="284" t="str"/>
    </x:row>
    <x:row r="358" ht="27" customHeight="1">
      <x:c r="A358" s="283" t="n">
        <x:v>354</x:v>
      </x:c>
      <x:c r="B358" s="283" t="n">
        <x:v>1023</x:v>
      </x:c>
      <x:c r="C358" s="283" t="str">
        <x:f>IF(AND(A358&lt;='定義與範圍'!$B$7,B358&lt;='定義與範圍'!$B$7),"是","")</x:f>
      </x:c>
      <x:c r="D358" s="283" t="str">
        <x:v>僅高失衡</x:v>
      </x:c>
      <x:c r="E358" s="283" t="str">
        <x:v>板橋435藝文特區</x:v>
      </x:c>
      <x:c r="F358" s="283" t="str">
        <x:v>板橋區</x:v>
      </x:c>
      <x:c r="G358" s="283" t="n">
        <x:v>18</x:v>
      </x:c>
      <x:c r="H358" s="288" t="n">
        <x:v>34.516666666666666</x:v>
      </x:c>
      <x:c r="I358" s="286" t="n">
        <x:v>0.0791666666666666</x:v>
      </x:c>
      <x:c r="J358" s="286" t="n">
        <x:v>0.3081739130434782</x:v>
      </x:c>
      <x:c r="K358" s="288" t="n">
        <x:v>53.25806451612903</x:v>
      </x:c>
      <x:c r="L358" s="286" t="n">
        <x:v>0.0944700460829493</x:v>
      </x:c>
      <x:c r="M358" s="283" t="n">
        <x:v>9</x:v>
      </x:c>
      <x:c r="N358" s="283" t="n">
        <x:v>1440</x:v>
      </x:c>
      <x:c r="O358" s="283" t="str"/>
    </x:row>
    <x:row r="359" ht="27" customHeight="1">
      <x:c r="A359" s="284" t="n">
        <x:v>355</x:v>
      </x:c>
      <x:c r="B359" s="284" t="n">
        <x:v>167</x:v>
      </x:c>
      <x:c r="C359" s="284" t="str">
        <x:f>IF(AND(A359&lt;='定義與範圍'!$B$7,B359&lt;='定義與範圍'!$B$7),"是","")</x:f>
        <x:v>是</x:v>
      </x:c>
      <x:c r="D359" s="284" t="str">
        <x:v>高活動＋高失衡</x:v>
      </x:c>
      <x:c r="E359" s="284" t="str">
        <x:v>員和公園</x:v>
      </x:c>
      <x:c r="F359" s="284" t="str">
        <x:v>土城區</x:v>
      </x:c>
      <x:c r="G359" s="284" t="n">
        <x:v>34</x:v>
      </x:c>
      <x:c r="H359" s="287" t="n">
        <x:v>101.73333333333332</x:v>
      </x:c>
      <x:c r="I359" s="285" t="n">
        <x:v>0.0791666666666666</x:v>
      </x:c>
      <x:c r="J359" s="285" t="n">
        <x:v>0.5236521739130435</x:v>
      </x:c>
      <x:c r="K359" s="287" t="n">
        <x:v>145.5806451612903</x:v>
      </x:c>
      <x:c r="L359" s="285" t="n">
        <x:v>0.0576036866359447</x:v>
      </x:c>
      <x:c r="M359" s="284" t="n">
        <x:v>11</x:v>
      </x:c>
      <x:c r="N359" s="284" t="n">
        <x:v>1710</x:v>
      </x:c>
      <x:c r="O359" s="284" t="str"/>
    </x:row>
    <x:row r="360" ht="27" customHeight="1">
      <x:c r="A360" s="283" t="n">
        <x:v>356</x:v>
      </x:c>
      <x:c r="B360" s="283" t="n">
        <x:v>634</x:v>
      </x:c>
      <x:c r="C360" s="283" t="str">
        <x:f>IF(AND(A360&lt;='定義與範圍'!$B$7,B360&lt;='定義與範圍'!$B$7),"是","")</x:f>
      </x:c>
      <x:c r="D360" s="283" t="str">
        <x:v>僅高失衡</x:v>
      </x:c>
      <x:c r="E360" s="283" t="str">
        <x:v>中興復興路口</x:v>
      </x:c>
      <x:c r="F360" s="283" t="str">
        <x:v>蘆洲區</x:v>
      </x:c>
      <x:c r="G360" s="283" t="n">
        <x:v>12</x:v>
      </x:c>
      <x:c r="H360" s="288" t="n">
        <x:v>56.083333333333336</x:v>
      </x:c>
      <x:c r="I360" s="286" t="n">
        <x:v>0.0785714285714285</x:v>
      </x:c>
      <x:c r="J360" s="286" t="n">
        <x:v>0.4464347826086957</x:v>
      </x:c>
      <x:c r="K360" s="288" t="n">
        <x:v>73.2258064516129</x:v>
      </x:c>
      <x:c r="L360" s="286" t="n">
        <x:v>0.064516129032258</x:v>
      </x:c>
      <x:c r="M360" s="283" t="n">
        <x:v>24</x:v>
      </x:c>
      <x:c r="N360" s="283" t="n">
        <x:v>3390</x:v>
      </x:c>
      <x:c r="O360" s="283" t="str"/>
    </x:row>
    <x:row r="361" ht="27" customHeight="1">
      <x:c r="A361" s="284" t="n">
        <x:v>357</x:v>
      </x:c>
      <x:c r="B361" s="284" t="n">
        <x:v>1271</x:v>
      </x:c>
      <x:c r="C361" s="284" t="str">
        <x:f>IF(AND(A361&lt;='定義與範圍'!$B$7,B361&lt;='定義與範圍'!$B$7),"是","")</x:f>
      </x:c>
      <x:c r="D361" s="284" t="str">
        <x:v>僅高失衡</x:v>
      </x:c>
      <x:c r="E361" s="284" t="str">
        <x:v>碧潭大橋(溪洲路6巷)</x:v>
      </x:c>
      <x:c r="F361" s="284" t="str">
        <x:v>新店區</x:v>
      </x:c>
      <x:c r="G361" s="284" t="n">
        <x:v>12</x:v>
      </x:c>
      <x:c r="H361" s="287" t="n">
        <x:v>21.7</x:v>
      </x:c>
      <x:c r="I361" s="285" t="n">
        <x:v>0.0785714285714285</x:v>
      </x:c>
      <x:c r="J361" s="285" t="n">
        <x:v>0.244</x:v>
      </x:c>
      <x:c r="K361" s="287" t="n">
        <x:v>36.354838709677416</x:v>
      </x:c>
      <x:c r="L361" s="285" t="n">
        <x:v>0.0898617511520737</x:v>
      </x:c>
      <x:c r="M361" s="284" t="n">
        <x:v>18</x:v>
      </x:c>
      <x:c r="N361" s="284" t="n">
        <x:v>2550</x:v>
      </x:c>
      <x:c r="O361" s="284" t="str"/>
    </x:row>
    <x:row r="362" ht="27" customHeight="1">
      <x:c r="A362" s="283" t="n">
        <x:v>358</x:v>
      </x:c>
      <x:c r="B362" s="283" t="n">
        <x:v>1149</x:v>
      </x:c>
      <x:c r="C362" s="283" t="str">
        <x:f>IF(AND(A362&lt;='定義與範圍'!$B$7,B362&lt;='定義與範圍'!$B$7),"是","")</x:f>
      </x:c>
      <x:c r="D362" s="283" t="str">
        <x:v>僅高失衡</x:v>
      </x:c>
      <x:c r="E362" s="283" t="str">
        <x:v>青隆青福街口</x:v>
      </x:c>
      <x:c r="F362" s="283" t="str">
        <x:v>土城區</x:v>
      </x:c>
      <x:c r="G362" s="283" t="n">
        <x:v>20</x:v>
      </x:c>
      <x:c r="H362" s="288" t="n">
        <x:v>27.941666666666663</x:v>
      </x:c>
      <x:c r="I362" s="286" t="n">
        <x:v>0.0785714285714285</x:v>
      </x:c>
      <x:c r="J362" s="286" t="n">
        <x:v>0.2737391304347826</x:v>
      </x:c>
      <x:c r="K362" s="288" t="n">
        <x:v>40.70967741935484</x:v>
      </x:c>
      <x:c r="L362" s="286" t="n">
        <x:v>0.0829493087557603</x:v>
      </x:c>
      <x:c r="M362" s="283" t="n">
        <x:v>16</x:v>
      </x:c>
      <x:c r="N362" s="283" t="n">
        <x:v>1800</x:v>
      </x:c>
      <x:c r="O362" s="283" t="str"/>
    </x:row>
    <x:row r="363" ht="27" customHeight="1">
      <x:c r="A363" s="284" t="n">
        <x:v>359</x:v>
      </x:c>
      <x:c r="B363" s="284" t="n">
        <x:v>840</x:v>
      </x:c>
      <x:c r="C363" s="284" t="str">
        <x:f>IF(AND(A363&lt;='定義與範圍'!$B$7,B363&lt;='定義與範圍'!$B$7),"是","")</x:f>
      </x:c>
      <x:c r="D363" s="284" t="str">
        <x:v>僅高失衡</x:v>
      </x:c>
      <x:c r="E363" s="284" t="str">
        <x:v>中央昌仁路口</x:v>
      </x:c>
      <x:c r="F363" s="284" t="str">
        <x:v>新莊區</x:v>
      </x:c>
      <x:c r="G363" s="284" t="n">
        <x:v>14</x:v>
      </x:c>
      <x:c r="H363" s="287" t="n">
        <x:v>43.79166666666666</x:v>
      </x:c>
      <x:c r="I363" s="285" t="n">
        <x:v>0.0779761904761904</x:v>
      </x:c>
      <x:c r="J363" s="285" t="n">
        <x:v>0.3848695652173913</x:v>
      </x:c>
      <x:c r="K363" s="287" t="n">
        <x:v>66.61290322580645</x:v>
      </x:c>
      <x:c r="L363" s="285" t="n">
        <x:v>0.108294930875576</x:v>
      </x:c>
      <x:c r="M363" s="284" t="n">
        <x:v>24</x:v>
      </x:c>
      <x:c r="N363" s="284" t="n">
        <x:v>3780</x:v>
      </x:c>
      <x:c r="O363" s="284" t="str"/>
    </x:row>
    <x:row r="364" ht="27" customHeight="1">
      <x:c r="A364" s="283" t="n">
        <x:v>360</x:v>
      </x:c>
      <x:c r="B364" s="283" t="n">
        <x:v>1032</x:v>
      </x:c>
      <x:c r="C364" s="283" t="str">
        <x:f>IF(AND(A364&lt;='定義與範圍'!$B$7,B364&lt;='定義與範圍'!$B$7),"是","")</x:f>
      </x:c>
      <x:c r="D364" s="283" t="str">
        <x:v>僅高失衡</x:v>
      </x:c>
      <x:c r="E364" s="283" t="str">
        <x:v>四維文化一路口</x:v>
      </x:c>
      <x:c r="F364" s="283" t="str">
        <x:v>林口區</x:v>
      </x:c>
      <x:c r="G364" s="283" t="n">
        <x:v>16</x:v>
      </x:c>
      <x:c r="H364" s="288" t="n">
        <x:v>34.11666666666667</x:v>
      </x:c>
      <x:c r="I364" s="286" t="n">
        <x:v>0.0779761904761904</x:v>
      </x:c>
      <x:c r="J364" s="286" t="n">
        <x:v>0.3005217391304348</x:v>
      </x:c>
      <x:c r="K364" s="288" t="n">
        <x:v>50.903225806451616</x:v>
      </x:c>
      <x:c r="L364" s="286" t="n">
        <x:v>0.0299539170506912</x:v>
      </x:c>
      <x:c r="M364" s="283" t="n">
        <x:v>5</x:v>
      </x:c>
      <x:c r="N364" s="283" t="n">
        <x:v>900</x:v>
      </x:c>
      <x:c r="O364" s="283" t="str"/>
    </x:row>
    <x:row r="365" ht="27" customHeight="1">
      <x:c r="A365" s="284" t="n">
        <x:v>361</x:v>
      </x:c>
      <x:c r="B365" s="284" t="n">
        <x:v>802</x:v>
      </x:c>
      <x:c r="C365" s="284" t="str">
        <x:f>IF(AND(A365&lt;='定義與範圍'!$B$7,B365&lt;='定義與範圍'!$B$7),"是","")</x:f>
      </x:c>
      <x:c r="D365" s="284" t="str">
        <x:v>僅高失衡</x:v>
      </x:c>
      <x:c r="E365" s="284" t="str">
        <x:v>崇德橋東活動中心</x:v>
      </x:c>
      <x:c r="F365" s="284" t="str">
        <x:v>汐止區</x:v>
      </x:c>
      <x:c r="G365" s="284" t="n">
        <x:v>22</x:v>
      </x:c>
      <x:c r="H365" s="287" t="n">
        <x:v>46.90833333333333</x:v>
      </x:c>
      <x:c r="I365" s="285" t="n">
        <x:v>0.0779761904761904</x:v>
      </x:c>
      <x:c r="J365" s="285" t="n">
        <x:v>0.3916521739130434</x:v>
      </x:c>
      <x:c r="K365" s="287" t="n">
        <x:v>72.06451612903226</x:v>
      </x:c>
      <x:c r="L365" s="285" t="n">
        <x:v>0.0714285714285714</x:v>
      </x:c>
      <x:c r="M365" s="284" t="n">
        <x:v>22</x:v>
      </x:c>
      <x:c r="N365" s="284" t="n">
        <x:v>2700</x:v>
      </x:c>
      <x:c r="O365" s="284" t="str"/>
    </x:row>
    <x:row r="366" ht="27" customHeight="1">
      <x:c r="A366" s="283" t="n">
        <x:v>362</x:v>
      </x:c>
      <x:c r="B366" s="283" t="n">
        <x:v>433</x:v>
      </x:c>
      <x:c r="C366" s="283" t="str">
        <x:f>IF(AND(A366&lt;='定義與範圍'!$B$7,B366&lt;='定義與範圍'!$B$7),"是","")</x:f>
      </x:c>
      <x:c r="D366" s="283" t="str">
        <x:v>僅高失衡</x:v>
      </x:c>
      <x:c r="E366" s="283" t="str">
        <x:v>格致中學</x:v>
      </x:c>
      <x:c r="F366" s="283" t="str">
        <x:v>三重區</x:v>
      </x:c>
      <x:c r="G366" s="283" t="n">
        <x:v>24</x:v>
      </x:c>
      <x:c r="H366" s="288" t="n">
        <x:v>69.28333333333333</x:v>
      </x:c>
      <x:c r="I366" s="286" t="n">
        <x:v>0.0779761904761904</x:v>
      </x:c>
      <x:c r="J366" s="286" t="n">
        <x:v>0.4212173913043478</x:v>
      </x:c>
      <x:c r="K366" s="288" t="n">
        <x:v>89.16129032258064</x:v>
      </x:c>
      <x:c r="L366" s="286" t="n">
        <x:v>0.0875576036866359</x:v>
      </x:c>
      <x:c r="M366" s="283" t="n">
        <x:v>12</x:v>
      </x:c>
      <x:c r="N366" s="283" t="n">
        <x:v>2040</x:v>
      </x:c>
      <x:c r="O366" s="283" t="str"/>
    </x:row>
    <x:row r="367" ht="27" customHeight="1">
      <x:c r="A367" s="284" t="n">
        <x:v>363</x:v>
      </x:c>
      <x:c r="B367" s="284" t="n">
        <x:v>125</x:v>
      </x:c>
      <x:c r="C367" s="284" t="str">
        <x:f>IF(AND(A367&lt;='定義與範圍'!$B$7,B367&lt;='定義與範圍'!$B$7),"是","")</x:f>
        <x:v>是</x:v>
      </x:c>
      <x:c r="D367" s="284" t="str">
        <x:v>高活動＋高失衡</x:v>
      </x:c>
      <x:c r="E367" s="284" t="str">
        <x:v>青山廣場</x:v>
      </x:c>
      <x:c r="F367" s="284" t="str">
        <x:v>土城區</x:v>
      </x:c>
      <x:c r="G367" s="284" t="n">
        <x:v>42</x:v>
      </x:c>
      <x:c r="H367" s="287" t="n">
        <x:v>112.375</x:v>
      </x:c>
      <x:c r="I367" s="285" t="n">
        <x:v>0.0779761904761904</x:v>
      </x:c>
      <x:c r="J367" s="285" t="n">
        <x:v>0.5394782608695652</x:v>
      </x:c>
      <x:c r="K367" s="287" t="n">
        <x:v>143</x:v>
      </x:c>
      <x:c r="L367" s="285" t="n">
        <x:v>0.0737327188940092</x:v>
      </x:c>
      <x:c r="M367" s="284" t="n">
        <x:v>23</x:v>
      </x:c>
      <x:c r="N367" s="284" t="n">
        <x:v>2550</x:v>
      </x:c>
      <x:c r="O367" s="284" t="str"/>
    </x:row>
    <x:row r="368" ht="27" customHeight="1">
      <x:c r="A368" s="283" t="n">
        <x:v>364</x:v>
      </x:c>
      <x:c r="B368" s="283" t="n">
        <x:v>188</x:v>
      </x:c>
      <x:c r="C368" s="283" t="str">
        <x:f>IF(AND(A368&lt;='定義與範圍'!$B$7,B368&lt;='定義與範圍'!$B$7),"是","")</x:f>
        <x:v>是</x:v>
      </x:c>
      <x:c r="D368" s="283" t="str">
        <x:v>高活動＋高失衡</x:v>
      </x:c>
      <x:c r="E368" s="283" t="str">
        <x:v>福和國中</x:v>
      </x:c>
      <x:c r="F368" s="283" t="str">
        <x:v>永和區</x:v>
      </x:c>
      <x:c r="G368" s="283" t="n">
        <x:v>63</x:v>
      </x:c>
      <x:c r="H368" s="288" t="n">
        <x:v>95.81666666666666</x:v>
      </x:c>
      <x:c r="I368" s="286" t="n">
        <x:v>0.0773809523809523</x:v>
      </x:c>
      <x:c r="J368" s="286" t="n">
        <x:v>0.5130434782608696</x:v>
      </x:c>
      <x:c r="K368" s="288" t="n">
        <x:v>144.90322580645162</x:v>
      </x:c>
      <x:c r="L368" s="286" t="n">
        <x:v>0.0506912442396313</x:v>
      </x:c>
      <x:c r="M368" s="283" t="n">
        <x:v>8</x:v>
      </x:c>
      <x:c r="N368" s="283" t="n">
        <x:v>1110</x:v>
      </x:c>
      <x:c r="O368" s="283" t="str"/>
    </x:row>
    <x:row r="369" ht="27" customHeight="1">
      <x:c r="A369" s="284" t="n">
        <x:v>365</x:v>
      </x:c>
      <x:c r="B369" s="284" t="n">
        <x:v>632</x:v>
      </x:c>
      <x:c r="C369" s="284" t="str">
        <x:f>IF(AND(A369&lt;='定義與範圍'!$B$7,B369&lt;='定義與範圍'!$B$7),"是","")</x:f>
      </x:c>
      <x:c r="D369" s="284" t="str">
        <x:v>僅高失衡</x:v>
      </x:c>
      <x:c r="E369" s="284" t="str">
        <x:v>秀朗路二段24巷16弄24號</x:v>
      </x:c>
      <x:c r="F369" s="284" t="str">
        <x:v>永和區</x:v>
      </x:c>
      <x:c r="G369" s="284" t="n">
        <x:v>14</x:v>
      </x:c>
      <x:c r="H369" s="287" t="n">
        <x:v>56.175</x:v>
      </x:c>
      <x:c r="I369" s="285" t="n">
        <x:v>0.0773809523809523</x:v>
      </x:c>
      <x:c r="J369" s="285" t="n">
        <x:v>0.4756521739130435</x:v>
      </x:c>
      <x:c r="K369" s="287" t="n">
        <x:v>78.58064516129032</x:v>
      </x:c>
      <x:c r="L369" s="285" t="n">
        <x:v>0.0783410138248847</x:v>
      </x:c>
      <x:c r="M369" s="284" t="n">
        <x:v>11</x:v>
      </x:c>
      <x:c r="N369" s="284" t="n">
        <x:v>2160</x:v>
      </x:c>
      <x:c r="O369" s="284" t="str"/>
    </x:row>
    <x:row r="370" ht="27" customHeight="1">
      <x:c r="A370" s="283" t="n">
        <x:v>366</x:v>
      </x:c>
      <x:c r="B370" s="283" t="n">
        <x:v>1001</x:v>
      </x:c>
      <x:c r="C370" s="283" t="str">
        <x:f>IF(AND(A370&lt;='定義與範圍'!$B$7,B370&lt;='定義與範圍'!$B$7),"是","")</x:f>
      </x:c>
      <x:c r="D370" s="283" t="str">
        <x:v>僅高失衡</x:v>
      </x:c>
      <x:c r="E370" s="283" t="str">
        <x:v>捷運永寧站(3號出口)</x:v>
      </x:c>
      <x:c r="F370" s="283" t="str">
        <x:v>土城區</x:v>
      </x:c>
      <x:c r="G370" s="283" t="n">
        <x:v>23</x:v>
      </x:c>
      <x:c r="H370" s="288" t="n">
        <x:v>35.24166666666667</x:v>
      </x:c>
      <x:c r="I370" s="286" t="n">
        <x:v>0.0773809523809523</x:v>
      </x:c>
      <x:c r="J370" s="286" t="n">
        <x:v>0.3295652173913043</x:v>
      </x:c>
      <x:c r="K370" s="288" t="n">
        <x:v>58.12903225806452</x:v>
      </x:c>
      <x:c r="L370" s="286" t="n">
        <x:v>0.1152073732718894</x:v>
      </x:c>
      <x:c r="M370" s="283" t="n">
        <x:v>30</x:v>
      </x:c>
      <x:c r="N370" s="283" t="n">
        <x:v>3900</x:v>
      </x:c>
      <x:c r="O370" s="283" t="str"/>
    </x:row>
    <x:row r="371" ht="27" customHeight="1">
      <x:c r="A371" s="284" t="n">
        <x:v>367</x:v>
      </x:c>
      <x:c r="B371" s="284" t="n">
        <x:v>161</x:v>
      </x:c>
      <x:c r="C371" s="284" t="str">
        <x:f>IF(AND(A371&lt;='定義與範圍'!$B$7,B371&lt;='定義與範圍'!$B$7),"是","")</x:f>
        <x:v>是</x:v>
      </x:c>
      <x:c r="D371" s="284" t="str">
        <x:v>高活動＋高失衡</x:v>
      </x:c>
      <x:c r="E371" s="284" t="str">
        <x:v>民德立體停車場</x:v>
      </x:c>
      <x:c r="F371" s="284" t="str">
        <x:v>中和區</x:v>
      </x:c>
      <x:c r="G371" s="284" t="n">
        <x:v>32</x:v>
      </x:c>
      <x:c r="H371" s="287" t="n">
        <x:v>103.50833333333334</x:v>
      </x:c>
      <x:c r="I371" s="285" t="n">
        <x:v>0.0773809523809523</x:v>
      </x:c>
      <x:c r="J371" s="285" t="n">
        <x:v>0.5443478260869565</x:v>
      </x:c>
      <x:c r="K371" s="287" t="n">
        <x:v>132.09677419354838</x:v>
      </x:c>
      <x:c r="L371" s="285" t="n">
        <x:v>0.0737327188940092</x:v>
      </x:c>
      <x:c r="M371" s="284" t="n">
        <x:v>17</x:v>
      </x:c>
      <x:c r="N371" s="284" t="n">
        <x:v>2580</x:v>
      </x:c>
      <x:c r="O371" s="284" t="str"/>
    </x:row>
    <x:row r="372" ht="27" customHeight="1">
      <x:c r="A372" s="283" t="n">
        <x:v>368</x:v>
      </x:c>
      <x:c r="B372" s="283" t="n">
        <x:v>792</x:v>
      </x:c>
      <x:c r="C372" s="283" t="str">
        <x:f>IF(AND(A372&lt;='定義與範圍'!$B$7,B372&lt;='定義與範圍'!$B$7),"是","")</x:f>
      </x:c>
      <x:c r="D372" s="283" t="str">
        <x:v>僅高失衡</x:v>
      </x:c>
      <x:c r="E372" s="283" t="str">
        <x:v>華江五華江一路口(帝國花園廣場社區)</x:v>
      </x:c>
      <x:c r="F372" s="283" t="str">
        <x:v>板橋區</x:v>
      </x:c>
      <x:c r="G372" s="283" t="n">
        <x:v>39</x:v>
      </x:c>
      <x:c r="H372" s="288" t="n">
        <x:v>47.425</x:v>
      </x:c>
      <x:c r="I372" s="286" t="n">
        <x:v>0.0773809523809523</x:v>
      </x:c>
      <x:c r="J372" s="286" t="n">
        <x:v>0.3836521739130434</x:v>
      </x:c>
      <x:c r="K372" s="288" t="n">
        <x:v>61.483870967741936</x:v>
      </x:c>
      <x:c r="L372" s="286" t="n">
        <x:v>0.0944700460829493</x:v>
      </x:c>
      <x:c r="M372" s="283" t="n">
        <x:v>28</x:v>
      </x:c>
      <x:c r="N372" s="283" t="n">
        <x:v>3660</x:v>
      </x:c>
      <x:c r="O372" s="283" t="str"/>
    </x:row>
    <x:row r="373" ht="27" customHeight="1">
      <x:c r="A373" s="284" t="n">
        <x:v>369</x:v>
      </x:c>
      <x:c r="B373" s="284" t="n">
        <x:v>279</x:v>
      </x:c>
      <x:c r="C373" s="284" t="str">
        <x:f>IF(AND(A373&lt;='定義與範圍'!$B$7,B373&lt;='定義與範圍'!$B$7),"是","")</x:f>
        <x:v>是</x:v>
      </x:c>
      <x:c r="D373" s="284" t="str">
        <x:v>高活動＋高失衡</x:v>
      </x:c>
      <x:c r="E373" s="284" t="str">
        <x:v>土城綜合體育場</x:v>
      </x:c>
      <x:c r="F373" s="284" t="str">
        <x:v>土城區</x:v>
      </x:c>
      <x:c r="G373" s="284" t="n">
        <x:v>56</x:v>
      </x:c>
      <x:c r="H373" s="287" t="n">
        <x:v>83.28333333333333</x:v>
      </x:c>
      <x:c r="I373" s="285" t="n">
        <x:v>0.0773809523809523</x:v>
      </x:c>
      <x:c r="J373" s="285" t="n">
        <x:v>0.5189565217391304</x:v>
      </x:c>
      <x:c r="K373" s="287" t="n">
        <x:v>116.25806451612904</x:v>
      </x:c>
      <x:c r="L373" s="285" t="n">
        <x:v>0.0829493087557603</x:v>
      </x:c>
      <x:c r="M373" s="284" t="n">
        <x:v>25</x:v>
      </x:c>
      <x:c r="N373" s="284" t="n">
        <x:v>3570</x:v>
      </x:c>
      <x:c r="O373" s="284" t="str"/>
    </x:row>
    <x:row r="374" ht="27" customHeight="1">
      <x:c r="A374" s="283" t="n">
        <x:v>370</x:v>
      </x:c>
      <x:c r="B374" s="283" t="n">
        <x:v>668</x:v>
      </x:c>
      <x:c r="C374" s="283" t="str">
        <x:f>IF(AND(A374&lt;='定義與範圍'!$B$7,B374&lt;='定義與範圍'!$B$7),"是","")</x:f>
      </x:c>
      <x:c r="D374" s="283" t="str">
        <x:v>僅高失衡</x:v>
      </x:c>
      <x:c r="E374" s="283" t="str">
        <x:v>學勤大觀路口</x:v>
      </x:c>
      <x:c r="F374" s="283" t="str">
        <x:v>三峽區</x:v>
      </x:c>
      <x:c r="G374" s="283" t="n">
        <x:v>15</x:v>
      </x:c>
      <x:c r="H374" s="288" t="n">
        <x:v>53.46666666666667</x:v>
      </x:c>
      <x:c r="I374" s="286" t="n">
        <x:v>0.0767857142857142</x:v>
      </x:c>
      <x:c r="J374" s="286" t="n">
        <x:v>0.44</x:v>
      </x:c>
      <x:c r="K374" s="288" t="n">
        <x:v>84.45161290322581</x:v>
      </x:c>
      <x:c r="L374" s="286" t="n">
        <x:v>0.1129032258064516</x:v>
      </x:c>
      <x:c r="M374" s="283" t="n">
        <x:v>26</x:v>
      </x:c>
      <x:c r="N374" s="283" t="n">
        <x:v>4050</x:v>
      </x:c>
      <x:c r="O374" s="283" t="str"/>
    </x:row>
    <x:row r="375" ht="27" customHeight="1">
      <x:c r="A375" s="284" t="n">
        <x:v>371</x:v>
      </x:c>
      <x:c r="B375" s="284" t="n">
        <x:v>1228</x:v>
      </x:c>
      <x:c r="C375" s="284" t="str">
        <x:f>IF(AND(A375&lt;='定義與範圍'!$B$7,B375&lt;='定義與範圍'!$B$7),"是","")</x:f>
      </x:c>
      <x:c r="D375" s="284" t="str">
        <x:v>僅高失衡</x:v>
      </x:c>
      <x:c r="E375" s="284" t="str">
        <x:v>新北市立圖書館樹林東昇分館</x:v>
      </x:c>
      <x:c r="F375" s="284" t="str">
        <x:v>樹林區</x:v>
      </x:c>
      <x:c r="G375" s="284" t="n">
        <x:v>20</x:v>
      </x:c>
      <x:c r="H375" s="287" t="n">
        <x:v>24.141666666666666</x:v>
      </x:c>
      <x:c r="I375" s="285" t="n">
        <x:v>0.0767857142857142</x:v>
      </x:c>
      <x:c r="J375" s="285" t="n">
        <x:v>0.2297391304347826</x:v>
      </x:c>
      <x:c r="K375" s="287" t="n">
        <x:v>40.61290322580645</x:v>
      </x:c>
      <x:c r="L375" s="285" t="n">
        <x:v>0.0737327188940092</x:v>
      </x:c>
      <x:c r="M375" s="284" t="n">
        <x:v>15</x:v>
      </x:c>
      <x:c r="N375" s="284" t="n">
        <x:v>1740</x:v>
      </x:c>
      <x:c r="O375" s="284" t="str"/>
    </x:row>
    <x:row r="376" ht="27" customHeight="1">
      <x:c r="A376" s="283" t="n">
        <x:v>372</x:v>
      </x:c>
      <x:c r="B376" s="283" t="n">
        <x:v>310</x:v>
      </x:c>
      <x:c r="C376" s="283" t="str">
        <x:f>IF(AND(A376&lt;='定義與範圍'!$B$7,B376&lt;='定義與範圍'!$B$7),"是","")</x:f>
        <x:v>是</x:v>
      </x:c>
      <x:c r="D376" s="283" t="str">
        <x:v>高活動＋高失衡</x:v>
      </x:c>
      <x:c r="E376" s="283" t="str">
        <x:v>丹鳳派出所</x:v>
      </x:c>
      <x:c r="F376" s="283" t="str">
        <x:v>新莊區</x:v>
      </x:c>
      <x:c r="G376" s="283" t="n">
        <x:v>23</x:v>
      </x:c>
      <x:c r="H376" s="288" t="n">
        <x:v>79.3</x:v>
      </x:c>
      <x:c r="I376" s="286" t="n">
        <x:v>0.0767857142857142</x:v>
      </x:c>
      <x:c r="J376" s="286" t="n">
        <x:v>0.4615652173913043</x:v>
      </x:c>
      <x:c r="K376" s="288" t="n">
        <x:v>102.06451612903226</x:v>
      </x:c>
      <x:c r="L376" s="286" t="n">
        <x:v>0.0921658986175115</x:v>
      </x:c>
      <x:c r="M376" s="283" t="n">
        <x:v>20</x:v>
      </x:c>
      <x:c r="N376" s="283" t="n">
        <x:v>2640</x:v>
      </x:c>
      <x:c r="O376" s="283" t="str"/>
    </x:row>
    <x:row r="377" ht="27" customHeight="1">
      <x:c r="A377" s="284" t="n">
        <x:v>373</x:v>
      </x:c>
      <x:c r="B377" s="284" t="n">
        <x:v>176</x:v>
      </x:c>
      <x:c r="C377" s="284" t="str">
        <x:f>IF(AND(A377&lt;='定義與範圍'!$B$7,B377&lt;='定義與範圍'!$B$7),"是","")</x:f>
        <x:v>是</x:v>
      </x:c>
      <x:c r="D377" s="284" t="str">
        <x:v>高活動＋高失衡</x:v>
      </x:c>
      <x:c r="E377" s="284" t="str">
        <x:v>捷運七張站(1號出口)</x:v>
      </x:c>
      <x:c r="F377" s="284" t="str">
        <x:v>新店區</x:v>
      </x:c>
      <x:c r="G377" s="284" t="n">
        <x:v>42</x:v>
      </x:c>
      <x:c r="H377" s="287" t="n">
        <x:v>98.09166666666668</x:v>
      </x:c>
      <x:c r="I377" s="285" t="n">
        <x:v>0.0767857142857142</x:v>
      </x:c>
      <x:c r="J377" s="285" t="n">
        <x:v>0.5403478260869565</x:v>
      </x:c>
      <x:c r="K377" s="287" t="n">
        <x:v>139.67741935483872</x:v>
      </x:c>
      <x:c r="L377" s="285" t="n">
        <x:v>0.0483870967741935</x:v>
      </x:c>
      <x:c r="M377" s="284" t="n">
        <x:v>32</x:v>
      </x:c>
      <x:c r="N377" s="284" t="n">
        <x:v>4200</x:v>
      </x:c>
      <x:c r="O377" s="284" t="str"/>
    </x:row>
  </x:sheetData>
  <x:mergeCells>
    <x:mergeCell ref="A1:O1"/>
    <x:mergeCell ref="A2:O2"/>
  </x:mergeCells>
  <x:conditionalFormatting sqref="C5:C377">
    <x:cfRule type="containsText" dxfId="1" priority="1" operator="containsText" text="是"/>
  </x:conditionalFormatting>
  <x:conditionalFormatting sqref="O5:O377">
    <x:cfRule type="notContainsBlanks" dxfId="2" priority="2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9" hidden="0" customWidth="1"/>
  </x:cols>
  <x:sheetData>
    <x:row r="1" ht="34" customHeight="1">
      <x:c r="A1" s="3" t="str">
        <x:v>高失衡名單中的資料狀態注意站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8" customHeight="1">
      <x:c r="A2" s="7" t="str">
        <x:v>這些站沒有被排除；只是因零活動、低活動或車數幾乎不變而需要先人工判斷，避免把停用／資料狀態誤當成供需痛點。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  <x:c r="N3" s="289"/>
    </x:row>
    <x:row r="4" ht="42" customHeight="1">
      <x:c r="A4" s="135" t="str">
        <x:v>失衡排名</x:v>
      </x:c>
      <x:c r="B4" s="135" t="str">
        <x:v>活動排名</x:v>
      </x:c>
      <x:c r="C4" s="135" t="str">
        <x:v>站點</x:v>
      </x:c>
      <x:c r="D4" s="135" t="str">
        <x:v>行政區</x:v>
      </x:c>
      <x:c r="E4" s="135" t="str">
        <x:v>四群</x:v>
      </x:c>
      <x:c r="F4" s="135" t="str">
        <x:v>基準活動/日</x:v>
      </x:c>
      <x:c r="G4" s="135" t="str">
        <x:v>基準尖峰失衡率</x:v>
      </x:c>
      <x:c r="H4" s="135" t="str">
        <x:v>車數變動快照率</x:v>
      </x:c>
      <x:c r="I4" s="135" t="str">
        <x:v>五月活動/日</x:v>
      </x:c>
      <x:c r="J4" s="135" t="str">
        <x:v>五月尖峰失衡率</x:v>
      </x:c>
      <x:c r="K4" s="135" t="str">
        <x:v>五月失衡分鐘</x:v>
      </x:c>
      <x:c r="L4" s="135" t="str">
        <x:v>注意原因</x:v>
      </x:c>
      <x:c r="M4" s="289"/>
      <x:c r="N4" s="289"/>
    </x:row>
    <x:row r="5" ht="38" customHeight="1">
      <x:c r="A5" s="140" t="n">
        <x:v>1</x:v>
      </x:c>
      <x:c r="B5" s="140" t="n">
        <x:v>1484</x:v>
      </x:c>
      <x:c r="C5" s="140" t="str">
        <x:v>汐止公園</x:v>
      </x:c>
      <x:c r="D5" s="140" t="str">
        <x:v>汐止區</x:v>
      </x:c>
      <x:c r="E5" s="140" t="str">
        <x:v>僅高失衡</x:v>
      </x:c>
      <x:c r="F5" s="278" t="n">
        <x:v>0</x:v>
      </x:c>
      <x:c r="G5" s="239" t="n">
        <x:v>1</x:v>
      </x:c>
      <x:c r="H5" s="239" t="n">
        <x:v>0</x:v>
      </x:c>
      <x:c r="I5" s="278" t="n">
        <x:v>0</x:v>
      </x:c>
      <x:c r="J5" s="239" t="n">
        <x:v>1</x:v>
      </x:c>
      <x:c r="K5" s="140" t="n">
        <x:v>44640</x:v>
      </x:c>
      <x:c r="L5" s="140" t="str">
        <x:v>五月零活動，先查停用／資料狀態</x:v>
      </x:c>
      <x:c r="M5" s="289"/>
      <x:c r="N5" s="289"/>
    </x:row>
    <x:row r="6" ht="38" customHeight="1">
      <x:c r="A6" s="139" t="n">
        <x:v>2</x:v>
      </x:c>
      <x:c r="B6" s="139" t="n">
        <x:v>1485</x:v>
      </x:c>
      <x:c r="C6" s="139" t="str">
        <x:v>捷運三民高中站(1號出口)</x:v>
      </x:c>
      <x:c r="D6" s="139" t="str">
        <x:v>蘆洲區</x:v>
      </x:c>
      <x:c r="E6" s="139" t="str">
        <x:v>僅高失衡</x:v>
      </x:c>
      <x:c r="F6" s="279" t="n">
        <x:v>0</x:v>
      </x:c>
      <x:c r="G6" s="240" t="n">
        <x:v>1</x:v>
      </x:c>
      <x:c r="H6" s="240" t="n">
        <x:v>0</x:v>
      </x:c>
      <x:c r="I6" s="279" t="n">
        <x:v>0</x:v>
      </x:c>
      <x:c r="J6" s="240" t="n">
        <x:v>1</x:v>
      </x:c>
      <x:c r="K6" s="139" t="n">
        <x:v>44640</x:v>
      </x:c>
      <x:c r="L6" s="139" t="str">
        <x:v>五月零活動，先查停用／資料狀態</x:v>
      </x:c>
      <x:c r="M6" s="289"/>
      <x:c r="N6" s="289"/>
    </x:row>
    <x:row r="7" ht="38" customHeight="1">
      <x:c r="A7" s="140" t="n">
        <x:v>3</x:v>
      </x:c>
      <x:c r="B7" s="140" t="n">
        <x:v>1486</x:v>
      </x:c>
      <x:c r="C7" s="140" t="str">
        <x:v>永和區公所公有新生市場</x:v>
      </x:c>
      <x:c r="D7" s="140" t="str">
        <x:v>永和區</x:v>
      </x:c>
      <x:c r="E7" s="140" t="str">
        <x:v>僅高失衡</x:v>
      </x:c>
      <x:c r="F7" s="278" t="n">
        <x:v>0</x:v>
      </x:c>
      <x:c r="G7" s="239" t="n">
        <x:v>1</x:v>
      </x:c>
      <x:c r="H7" s="239" t="n">
        <x:v>0</x:v>
      </x:c>
      <x:c r="I7" s="278" t="n">
        <x:v>0</x:v>
      </x:c>
      <x:c r="J7" s="239" t="n">
        <x:v>1</x:v>
      </x:c>
      <x:c r="K7" s="140" t="n">
        <x:v>44640</x:v>
      </x:c>
      <x:c r="L7" s="140" t="str">
        <x:v>五月零活動，先查停用／資料狀態</x:v>
      </x:c>
      <x:c r="M7" s="289"/>
      <x:c r="N7" s="289"/>
    </x:row>
    <x:row r="8" ht="38" customHeight="1">
      <x:c r="A8" s="139" t="n">
        <x:v>4</x:v>
      </x:c>
      <x:c r="B8" s="139" t="n">
        <x:v>1487</x:v>
      </x:c>
      <x:c r="C8" s="139" t="str">
        <x:v>德泰公園</x:v>
      </x:c>
      <x:c r="D8" s="139" t="str">
        <x:v>五股區</x:v>
      </x:c>
      <x:c r="E8" s="139" t="str">
        <x:v>僅高失衡</x:v>
      </x:c>
      <x:c r="F8" s="279" t="n">
        <x:v>0</x:v>
      </x:c>
      <x:c r="G8" s="240" t="n">
        <x:v>1</x:v>
      </x:c>
      <x:c r="H8" s="240" t="n">
        <x:v>0</x:v>
      </x:c>
      <x:c r="I8" s="279" t="n">
        <x:v>0</x:v>
      </x:c>
      <x:c r="J8" s="240" t="n">
        <x:v>1</x:v>
      </x:c>
      <x:c r="K8" s="139" t="n">
        <x:v>44640</x:v>
      </x:c>
      <x:c r="L8" s="139" t="str">
        <x:v>五月零活動，先查停用／資料狀態</x:v>
      </x:c>
      <x:c r="M8" s="289"/>
      <x:c r="N8" s="289"/>
    </x:row>
    <x:row r="9" ht="38" customHeight="1">
      <x:c r="A9" s="140" t="n">
        <x:v>5</x:v>
      </x:c>
      <x:c r="B9" s="140" t="n">
        <x:v>1488</x:v>
      </x:c>
      <x:c r="C9" s="140" t="str">
        <x:v>景平橋和路口</x:v>
      </x:c>
      <x:c r="D9" s="140" t="str">
        <x:v>中和區</x:v>
      </x:c>
      <x:c r="E9" s="140" t="str">
        <x:v>僅高失衡</x:v>
      </x:c>
      <x:c r="F9" s="278" t="n">
        <x:v>0</x:v>
      </x:c>
      <x:c r="G9" s="239" t="n">
        <x:v>1</x:v>
      </x:c>
      <x:c r="H9" s="239" t="n">
        <x:v>0</x:v>
      </x:c>
      <x:c r="I9" s="278" t="n">
        <x:v>0</x:v>
      </x:c>
      <x:c r="J9" s="239" t="n">
        <x:v>1</x:v>
      </x:c>
      <x:c r="K9" s="140" t="n">
        <x:v>44640</x:v>
      </x:c>
      <x:c r="L9" s="140" t="str">
        <x:v>五月零活動，先查停用／資料狀態</x:v>
      </x:c>
      <x:c r="M9" s="289"/>
      <x:c r="N9" s="289"/>
    </x:row>
    <x:row r="10" ht="38" customHeight="1">
      <x:c r="A10" s="139" t="n">
        <x:v>6</x:v>
      </x:c>
      <x:c r="B10" s="139" t="n">
        <x:v>1489</x:v>
      </x:c>
      <x:c r="C10" s="139" t="str">
        <x:v>同興大同路口</x:v>
      </x:c>
      <x:c r="D10" s="139" t="str">
        <x:v>汐止區</x:v>
      </x:c>
      <x:c r="E10" s="139" t="str">
        <x:v>僅高失衡</x:v>
      </x:c>
      <x:c r="F10" s="279" t="n">
        <x:v>0</x:v>
      </x:c>
      <x:c r="G10" s="240" t="n">
        <x:v>1</x:v>
      </x:c>
      <x:c r="H10" s="240" t="n">
        <x:v>0</x:v>
      </x:c>
      <x:c r="I10" s="279" t="n">
        <x:v>0</x:v>
      </x:c>
      <x:c r="J10" s="240" t="n">
        <x:v>1</x:v>
      </x:c>
      <x:c r="K10" s="139" t="n">
        <x:v>44640</x:v>
      </x:c>
      <x:c r="L10" s="139" t="str">
        <x:v>五月零活動，先查停用／資料狀態</x:v>
      </x:c>
      <x:c r="M10" s="289"/>
      <x:c r="N10" s="289"/>
    </x:row>
    <x:row r="11" ht="38" customHeight="1">
      <x:c r="A11" s="140" t="n">
        <x:v>7</x:v>
      </x:c>
      <x:c r="B11" s="140" t="n">
        <x:v>1490</x:v>
      </x:c>
      <x:c r="C11" s="140" t="str">
        <x:v>汐止區綜合運動場</x:v>
      </x:c>
      <x:c r="D11" s="140" t="str">
        <x:v>汐止區</x:v>
      </x:c>
      <x:c r="E11" s="140" t="str">
        <x:v>僅高失衡</x:v>
      </x:c>
      <x:c r="F11" s="278" t="n">
        <x:v>0</x:v>
      </x:c>
      <x:c r="G11" s="239" t="n">
        <x:v>1</x:v>
      </x:c>
      <x:c r="H11" s="239" t="n">
        <x:v>0</x:v>
      </x:c>
      <x:c r="I11" s="278" t="n">
        <x:v>0</x:v>
      </x:c>
      <x:c r="J11" s="239" t="n">
        <x:v>1</x:v>
      </x:c>
      <x:c r="K11" s="140" t="n">
        <x:v>44640</x:v>
      </x:c>
      <x:c r="L11" s="140" t="str">
        <x:v>五月零活動，先查停用／資料狀態</x:v>
      </x:c>
      <x:c r="M11" s="289"/>
      <x:c r="N11" s="289"/>
    </x:row>
    <x:row r="12" ht="38" customHeight="1">
      <x:c r="A12" s="139" t="n">
        <x:v>9</x:v>
      </x:c>
      <x:c r="B12" s="139" t="n">
        <x:v>1441</x:v>
      </x:c>
      <x:c r="C12" s="139" t="str">
        <x:v>國慶三樹路口</x:v>
      </x:c>
      <x:c r="D12" s="139" t="str">
        <x:v>三峽區</x:v>
      </x:c>
      <x:c r="E12" s="139" t="str">
        <x:v>僅高失衡</x:v>
      </x:c>
      <x:c r="F12" s="279" t="n">
        <x:v>8.558333333333334</x:v>
      </x:c>
      <x:c r="G12" s="240" t="n">
        <x:v>0.5351190476190476</x:v>
      </x:c>
      <x:c r="H12" s="240" t="n">
        <x:v>0.0568695652173913</x:v>
      </x:c>
      <x:c r="I12" s="279" t="n">
        <x:v>0</x:v>
      </x:c>
      <x:c r="J12" s="240" t="n">
        <x:v>1</x:v>
      </x:c>
      <x:c r="K12" s="139" t="n">
        <x:v>44640</x:v>
      </x:c>
      <x:c r="L12" s="139" t="str">
        <x:v>五月零活動，先查停用／資料狀態</x:v>
      </x:c>
      <x:c r="M12" s="289"/>
      <x:c r="N12" s="289"/>
    </x:row>
    <x:row r="13" ht="38" customHeight="1">
      <x:c r="A13" s="140" t="n">
        <x:v>14</x:v>
      </x:c>
      <x:c r="B13" s="140" t="n">
        <x:v>974</x:v>
      </x:c>
      <x:c r="C13" s="140" t="str">
        <x:v>龍門龍濱路口</x:v>
      </x:c>
      <x:c r="D13" s="140" t="str">
        <x:v>三重區</x:v>
      </x:c>
      <x:c r="E13" s="140" t="str">
        <x:v>僅高失衡</x:v>
      </x:c>
      <x:c r="F13" s="278" t="n">
        <x:v>36.6</x:v>
      </x:c>
      <x:c r="G13" s="239" t="n">
        <x:v>0.2708333333333333</x:v>
      </x:c>
      <x:c r="H13" s="239" t="n">
        <x:v>0.2827826086956522</x:v>
      </x:c>
      <x:c r="I13" s="278" t="n">
        <x:v>0</x:v>
      </x:c>
      <x:c r="J13" s="239" t="n">
        <x:v>1</x:v>
      </x:c>
      <x:c r="K13" s="140" t="n">
        <x:v>44640</x:v>
      </x:c>
      <x:c r="L13" s="140" t="str">
        <x:v>五月零活動，先查停用／資料狀態</x:v>
      </x:c>
      <x:c r="M13" s="289"/>
      <x:c r="N13" s="289"/>
    </x:row>
    <x:row r="14" ht="38" customHeight="1">
      <x:c r="A14" s="139" t="n">
        <x:v>21</x:v>
      </x:c>
      <x:c r="B14" s="139" t="n">
        <x:v>168</x:v>
      </x:c>
      <x:c r="C14" s="139" t="str">
        <x:v>興華公園</x:v>
      </x:c>
      <x:c r="D14" s="139" t="str">
        <x:v>三重區</x:v>
      </x:c>
      <x:c r="E14" s="139" t="str">
        <x:v>高活動＋高失衡</x:v>
      </x:c>
      <x:c r="F14" s="279" t="n">
        <x:v>101.43333333333334</x:v>
      </x:c>
      <x:c r="G14" s="240" t="n">
        <x:v>0.2148809523809524</x:v>
      </x:c>
      <x:c r="H14" s="240" t="n">
        <x:v>0.4347826086956521</x:v>
      </x:c>
      <x:c r="I14" s="279" t="n">
        <x:v>0</x:v>
      </x:c>
      <x:c r="J14" s="240" t="n">
        <x:v>1</x:v>
      </x:c>
      <x:c r="K14" s="139" t="n">
        <x:v>44640</x:v>
      </x:c>
      <x:c r="L14" s="139" t="str">
        <x:v>五月零活動，先查停用／資料狀態</x:v>
      </x:c>
      <x:c r="M14" s="289"/>
      <x:c r="N14" s="289"/>
    </x:row>
    <x:row r="15" ht="38" customHeight="1">
      <x:c r="A15" s="140" t="n">
        <x:v>297</x:v>
      </x:c>
      <x:c r="B15" s="140" t="n">
        <x:v>907</x:v>
      </x:c>
      <x:c r="C15" s="140" t="str">
        <x:v>福壽昌智路口</x:v>
      </x:c>
      <x:c r="D15" s="140" t="str">
        <x:v>新莊區</x:v>
      </x:c>
      <x:c r="E15" s="140" t="str">
        <x:v>僅高失衡</x:v>
      </x:c>
      <x:c r="F15" s="278" t="n">
        <x:v>40.34166666666667</x:v>
      </x:c>
      <x:c r="G15" s="239" t="n">
        <x:v>0.0886904761904762</x:v>
      </x:c>
      <x:c r="H15" s="239" t="n">
        <x:v>0.3549565217391304</x:v>
      </x:c>
      <x:c r="I15" s="278" t="n">
        <x:v>12.193548387096774</x:v>
      </x:c>
      <x:c r="J15" s="239" t="n">
        <x:v>0.7949308755760369</x:v>
      </x:c>
      <x:c r="K15" s="140" t="n">
        <x:v>34380</x:v>
      </x:c>
      <x:c r="L15" s="140" t="str">
        <x:v>五月尖峰失衡率≥50%</x:v>
      </x:c>
      <x:c r="M15" s="289"/>
      <x:c r="N15" s="289"/>
    </x:row>
    <x:row r="16">
      <x:c r="A16" s="289"/>
      <x:c r="B16" s="289"/>
      <x:c r="C16" s="289"/>
      <x:c r="D16" s="289"/>
      <x:c r="E16" s="289"/>
      <x:c r="F16" s="289"/>
      <x:c r="G16" s="289"/>
      <x:c r="H16" s="289"/>
      <x:c r="I16" s="289"/>
      <x:c r="J16" s="289"/>
      <x:c r="K16" s="289"/>
      <x:c r="L16" s="289"/>
      <x:c r="M16" s="289"/>
      <x:c r="N16" s="289"/>
    </x:row>
    <x:row r="17">
      <x:c r="A17" s="289"/>
      <x:c r="B17" s="289"/>
      <x:c r="C17" s="289"/>
      <x:c r="D17" s="289"/>
      <x:c r="E17" s="289"/>
      <x:c r="F17" s="289"/>
      <x:c r="G17" s="289"/>
      <x:c r="H17" s="289"/>
      <x:c r="I17" s="289"/>
      <x:c r="J17" s="289"/>
      <x:c r="K17" s="289"/>
      <x:c r="L17" s="289"/>
      <x:c r="M17" s="289"/>
      <x:c r="N17" s="289"/>
    </x:row>
    <x:row r="18">
      <x:c r="A18" s="289"/>
      <x:c r="B18" s="289"/>
      <x:c r="C18" s="289"/>
      <x:c r="D18" s="289"/>
      <x:c r="E18" s="289"/>
      <x:c r="F18" s="289"/>
      <x:c r="G18" s="289"/>
      <x:c r="H18" s="289"/>
      <x:c r="I18" s="289"/>
      <x:c r="J18" s="289"/>
      <x:c r="K18" s="289"/>
      <x:c r="L18" s="289"/>
      <x:c r="M18" s="289"/>
      <x:c r="N18" s="289"/>
    </x:row>
    <x:row r="19">
      <x:c r="A19" s="171" t="str">
        <x:v>目前建議的痛點資料清理原則
1. 不先刪除高失衡率站，保留原始排行。
2. 另設資料狀態旗標，將長期零活動、車數幾乎不變、疑似停用站獨立呈現。
3. 真正供需痛點至少要同時看到活動紀錄、失衡事件開始與持續時間。
4. 未取得官方停用或調度紀錄前，不宣稱這些站一定是資料錯誤。</x:v>
      </x:c>
      <x:c r="B19" s="172"/>
      <x:c r="C19" s="172"/>
      <x:c r="D19" s="172"/>
      <x:c r="E19" s="172"/>
      <x:c r="F19" s="172"/>
      <x:c r="G19" s="172"/>
      <x:c r="H19" s="172"/>
      <x:c r="I19" s="172"/>
      <x:c r="J19" s="172"/>
      <x:c r="K19" s="172"/>
      <x:c r="L19" s="172"/>
      <x:c r="M19" s="172"/>
      <x:c r="N19" s="173"/>
    </x:row>
    <x:row r="20">
      <x:c r="A20" s="174"/>
      <x:c r="B20" s="175"/>
      <x:c r="C20" s="175"/>
      <x:c r="D20" s="175"/>
      <x:c r="E20" s="175"/>
      <x:c r="F20" s="175"/>
      <x:c r="G20" s="175"/>
      <x:c r="H20" s="175"/>
      <x:c r="I20" s="175"/>
      <x:c r="J20" s="175"/>
      <x:c r="K20" s="175"/>
      <x:c r="L20" s="175"/>
      <x:c r="M20" s="175"/>
      <x:c r="N20" s="176"/>
    </x:row>
    <x:row r="21">
      <x:c r="A21" s="174"/>
      <x:c r="B21" s="175"/>
      <x:c r="C21" s="175"/>
      <x:c r="D21" s="175"/>
      <x:c r="E21" s="175"/>
      <x:c r="F21" s="175"/>
      <x:c r="G21" s="175"/>
      <x:c r="H21" s="175"/>
      <x:c r="I21" s="175"/>
      <x:c r="J21" s="175"/>
      <x:c r="K21" s="175"/>
      <x:c r="L21" s="175"/>
      <x:c r="M21" s="175"/>
      <x:c r="N21" s="176"/>
    </x:row>
    <x:row r="22">
      <x:c r="A22" s="174"/>
      <x:c r="B22" s="175"/>
      <x:c r="C22" s="175"/>
      <x:c r="D22" s="175"/>
      <x:c r="E22" s="175"/>
      <x:c r="F22" s="175"/>
      <x:c r="G22" s="175"/>
      <x:c r="H22" s="175"/>
      <x:c r="I22" s="175"/>
      <x:c r="J22" s="175"/>
      <x:c r="K22" s="175"/>
      <x:c r="L22" s="175"/>
      <x:c r="M22" s="175"/>
      <x:c r="N22" s="176"/>
    </x:row>
    <x:row r="23">
      <x:c r="A23" s="174"/>
      <x:c r="B23" s="175"/>
      <x:c r="C23" s="175"/>
      <x:c r="D23" s="175"/>
      <x:c r="E23" s="175"/>
      <x:c r="F23" s="175"/>
      <x:c r="G23" s="175"/>
      <x:c r="H23" s="175"/>
      <x:c r="I23" s="175"/>
      <x:c r="J23" s="175"/>
      <x:c r="K23" s="175"/>
      <x:c r="L23" s="175"/>
      <x:c r="M23" s="175"/>
      <x:c r="N23" s="176"/>
    </x:row>
    <x:row r="24">
      <x:c r="A24" s="174"/>
      <x:c r="B24" s="175"/>
      <x:c r="C24" s="175"/>
      <x:c r="D24" s="175"/>
      <x:c r="E24" s="175"/>
      <x:c r="F24" s="175"/>
      <x:c r="G24" s="175"/>
      <x:c r="H24" s="175"/>
      <x:c r="I24" s="175"/>
      <x:c r="J24" s="175"/>
      <x:c r="K24" s="175"/>
      <x:c r="L24" s="175"/>
      <x:c r="M24" s="175"/>
      <x:c r="N24" s="176"/>
    </x:row>
    <x:row r="25">
      <x:c r="A25" s="174"/>
      <x:c r="B25" s="175"/>
      <x:c r="C25" s="175"/>
      <x:c r="D25" s="175"/>
      <x:c r="E25" s="175"/>
      <x:c r="F25" s="175"/>
      <x:c r="G25" s="175"/>
      <x:c r="H25" s="175"/>
      <x:c r="I25" s="175"/>
      <x:c r="J25" s="175"/>
      <x:c r="K25" s="175"/>
      <x:c r="L25" s="175"/>
      <x:c r="M25" s="175"/>
      <x:c r="N25" s="176"/>
    </x:row>
    <x:row r="26">
      <x:c r="A26" s="174"/>
      <x:c r="B26" s="175"/>
      <x:c r="C26" s="175"/>
      <x:c r="D26" s="175"/>
      <x:c r="E26" s="175"/>
      <x:c r="F26" s="175"/>
      <x:c r="G26" s="175"/>
      <x:c r="H26" s="175"/>
      <x:c r="I26" s="175"/>
      <x:c r="J26" s="175"/>
      <x:c r="K26" s="175"/>
      <x:c r="L26" s="175"/>
      <x:c r="M26" s="175"/>
      <x:c r="N26" s="176"/>
    </x:row>
    <x:row r="27">
      <x:c r="A27" s="177"/>
      <x:c r="B27" s="178"/>
      <x:c r="C27" s="178"/>
      <x:c r="D27" s="178"/>
      <x:c r="E27" s="178"/>
      <x:c r="F27" s="178"/>
      <x:c r="G27" s="178"/>
      <x:c r="H27" s="178"/>
      <x:c r="I27" s="178"/>
      <x:c r="J27" s="178"/>
      <x:c r="K27" s="178"/>
      <x:c r="L27" s="178"/>
      <x:c r="M27" s="178"/>
      <x:c r="N27" s="179"/>
    </x:row>
  </x:sheetData>
  <x:mergeCells>
    <x:mergeCell ref="A1:N1"/>
    <x:mergeCell ref="A2:N2"/>
    <x:mergeCell ref="A19:N27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10" max="10" width="16" hidden="0" customWidth="1"/>
  </x:cols>
  <x:sheetData>
    <x:row r="1" ht="34" customHeight="1">
      <x:c r="A1" s="3" t="str">
        <x:v>高失衡與高價值核心站的行政區分布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行政區用來找問題集中區域，但不能取代站點層級；同一區內可能同時存在轉乘、住宅、校園與河濱站。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289"/>
      <x:c r="B3" s="289"/>
      <x:c r="C3" s="289"/>
      <x:c r="D3" s="289"/>
      <x:c r="E3" s="289"/>
      <x:c r="F3" s="289"/>
      <x:c r="G3" s="289"/>
      <x:c r="H3" s="289"/>
      <x:c r="I3" s="289"/>
      <x:c r="J3" s="289"/>
      <x:c r="K3" s="289"/>
      <x:c r="L3" s="289"/>
      <x:c r="M3" s="289"/>
      <x:c r="N3" s="289"/>
      <x:c r="O3" s="289"/>
      <x:c r="P3" s="289"/>
      <x:c r="Q3" s="289"/>
      <x:c r="R3" s="289"/>
    </x:row>
    <x:row r="4" ht="28" customHeight="1">
      <x:c r="A4" s="135" t="str">
        <x:v>行政區</x:v>
      </x:c>
      <x:c r="B4" s="135" t="str">
        <x:v>符合條件站</x:v>
      </x:c>
      <x:c r="C4" s="135" t="str">
        <x:v>高活動站</x:v>
      </x:c>
      <x:c r="D4" s="135" t="str">
        <x:v>高失衡站</x:v>
      </x:c>
      <x:c r="E4" s="135" t="str">
        <x:v>核心站</x:v>
      </x:c>
      <x:c r="F4" s="135" t="str">
        <x:v>核心占該區高失衡站</x:v>
      </x:c>
      <x:c r="G4" s="135" t="str">
        <x:v>基準平均尖峰失衡率</x:v>
      </x:c>
      <x:c r="H4" s="135" t="str">
        <x:v>五月平均尖峰失衡率</x:v>
      </x:c>
      <x:c r="I4" s="289"/>
      <x:c r="J4" s="146" t="str">
        <x:v>行政區</x:v>
      </x:c>
      <x:c r="K4" s="146" t="str">
        <x:v>高失衡站</x:v>
      </x:c>
      <x:c r="L4" s="146" t="str">
        <x:v>核心站</x:v>
      </x:c>
      <x:c r="M4" s="289"/>
      <x:c r="N4" s="289"/>
      <x:c r="O4" s="289"/>
      <x:c r="P4" s="289"/>
      <x:c r="Q4" s="289"/>
      <x:c r="R4" s="289"/>
    </x:row>
    <x:row r="5">
      <x:c r="A5" s="149" t="str">
        <x:v>板橋區</x:v>
      </x:c>
      <x:c r="B5" s="149" t="n">
        <x:v>215</x:v>
      </x:c>
      <x:c r="C5" s="149" t="n">
        <x:v>88</x:v>
      </x:c>
      <x:c r="D5" s="149" t="n">
        <x:v>81</x:v>
      </x:c>
      <x:c r="E5" s="149" t="n">
        <x:v>33</x:v>
      </x:c>
      <x:c r="F5" s="150" t="n">
        <x:v>0.4074074074074074</x:v>
      </x:c>
      <x:c r="G5" s="150" t="n">
        <x:v>0.07696319244353952</x:v>
      </x:c>
      <x:c r="H5" s="150" t="n">
        <x:v>0.0932459875532263</x:v>
      </x:c>
      <x:c r="I5" s="289"/>
      <x:c r="J5" s="149" t="str">
        <x:v>板橋區</x:v>
      </x:c>
      <x:c r="K5" s="149" t="n">
        <x:v>81</x:v>
      </x:c>
      <x:c r="L5" s="149" t="n">
        <x:v>33</x:v>
      </x:c>
      <x:c r="M5" s="289"/>
      <x:c r="N5" s="289"/>
      <x:c r="O5" s="289"/>
      <x:c r="P5" s="289"/>
      <x:c r="Q5" s="289"/>
      <x:c r="R5" s="289"/>
    </x:row>
    <x:row r="6">
      <x:c r="A6" s="148" t="str">
        <x:v>新莊區</x:v>
      </x:c>
      <x:c r="B6" s="148" t="n">
        <x:v>133</x:v>
      </x:c>
      <x:c r="C6" s="148" t="n">
        <x:v>45</x:v>
      </x:c>
      <x:c r="D6" s="148" t="n">
        <x:v>43</x:v>
      </x:c>
      <x:c r="E6" s="148" t="n">
        <x:v>12</x:v>
      </x:c>
      <x:c r="F6" s="151" t="n">
        <x:v>0.27906976744186046</x:v>
      </x:c>
      <x:c r="G6" s="151" t="n">
        <x:v>0.06586108127461505</x:v>
      </x:c>
      <x:c r="H6" s="151" t="n">
        <x:v>0.0849935899656976</x:v>
      </x:c>
      <x:c r="I6" s="289"/>
      <x:c r="J6" s="148" t="str">
        <x:v>新莊區</x:v>
      </x:c>
      <x:c r="K6" s="148" t="n">
        <x:v>43</x:v>
      </x:c>
      <x:c r="L6" s="148" t="n">
        <x:v>12</x:v>
      </x:c>
      <x:c r="M6" s="289"/>
      <x:c r="N6" s="289"/>
      <x:c r="O6" s="289"/>
      <x:c r="P6" s="289"/>
      <x:c r="Q6" s="289"/>
      <x:c r="R6" s="289"/>
    </x:row>
    <x:row r="7">
      <x:c r="A7" s="149" t="str">
        <x:v>土城區</x:v>
      </x:c>
      <x:c r="B7" s="149" t="n">
        <x:v>94</x:v>
      </x:c>
      <x:c r="C7" s="149" t="n">
        <x:v>25</x:v>
      </x:c>
      <x:c r="D7" s="149" t="n">
        <x:v>39</x:v>
      </x:c>
      <x:c r="E7" s="149" t="n">
        <x:v>9</x:v>
      </x:c>
      <x:c r="F7" s="150" t="n">
        <x:v>0.23076923076923078</x:v>
      </x:c>
      <x:c r="G7" s="150" t="n">
        <x:v>0.06850117080596567</x:v>
      </x:c>
      <x:c r="H7" s="150" t="n">
        <x:v>0.08856260417688008</x:v>
      </x:c>
      <x:c r="I7" s="289"/>
      <x:c r="J7" s="149" t="str">
        <x:v>土城區</x:v>
      </x:c>
      <x:c r="K7" s="149" t="n">
        <x:v>39</x:v>
      </x:c>
      <x:c r="L7" s="149" t="n">
        <x:v>9</x:v>
      </x:c>
      <x:c r="M7" s="289"/>
      <x:c r="N7" s="289"/>
      <x:c r="O7" s="289"/>
      <x:c r="P7" s="289"/>
      <x:c r="Q7" s="289"/>
      <x:c r="R7" s="289"/>
    </x:row>
    <x:row r="8">
      <x:c r="A8" s="148" t="str">
        <x:v>三重區</x:v>
      </x:c>
      <x:c r="B8" s="148" t="n">
        <x:v>136</x:v>
      </x:c>
      <x:c r="C8" s="148" t="n">
        <x:v>37</x:v>
      </x:c>
      <x:c r="D8" s="148" t="n">
        <x:v>34</x:v>
      </x:c>
      <x:c r="E8" s="148" t="n">
        <x:v>9</x:v>
      </x:c>
      <x:c r="F8" s="151" t="n">
        <x:v>0.2647058823529412</x:v>
      </x:c>
      <x:c r="G8" s="151" t="n">
        <x:v>0.059077222166010274</x:v>
      </x:c>
      <x:c r="H8" s="151" t="n">
        <x:v>0.08515180265654644</x:v>
      </x:c>
      <x:c r="I8" s="289"/>
      <x:c r="J8" s="148" t="str">
        <x:v>三重區</x:v>
      </x:c>
      <x:c r="K8" s="148" t="n">
        <x:v>34</x:v>
      </x:c>
      <x:c r="L8" s="148" t="n">
        <x:v>9</x:v>
      </x:c>
      <x:c r="M8" s="289"/>
      <x:c r="N8" s="289"/>
      <x:c r="O8" s="289"/>
      <x:c r="P8" s="289"/>
      <x:c r="Q8" s="289"/>
      <x:c r="R8" s="289"/>
    </x:row>
    <x:row r="9">
      <x:c r="A9" s="149" t="str">
        <x:v>永和區</x:v>
      </x:c>
      <x:c r="B9" s="149" t="n">
        <x:v>54</x:v>
      </x:c>
      <x:c r="C9" s="149" t="n">
        <x:v>24</x:v>
      </x:c>
      <x:c r="D9" s="149" t="n">
        <x:v>32</x:v>
      </x:c>
      <x:c r="E9" s="149" t="n">
        <x:v>9</x:v>
      </x:c>
      <x:c r="F9" s="150" t="n">
        <x:v>0.28125</x:v>
      </x:c>
      <x:c r="G9" s="150" t="n">
        <x:v>0.10093451715609626</x:v>
      </x:c>
      <x:c r="H9" s="150" t="n">
        <x:v>0.10257723160948962</x:v>
      </x:c>
      <x:c r="I9" s="289"/>
      <x:c r="J9" s="149" t="str">
        <x:v>永和區</x:v>
      </x:c>
      <x:c r="K9" s="149" t="n">
        <x:v>32</x:v>
      </x:c>
      <x:c r="L9" s="149" t="n">
        <x:v>9</x:v>
      </x:c>
      <x:c r="M9" s="289"/>
      <x:c r="N9" s="289"/>
      <x:c r="O9" s="289"/>
      <x:c r="P9" s="289"/>
      <x:c r="Q9" s="289"/>
      <x:c r="R9" s="289"/>
    </x:row>
    <x:row r="10">
      <x:c r="A10" s="148" t="str">
        <x:v>新店區</x:v>
      </x:c>
      <x:c r="B10" s="148" t="n">
        <x:v>123</x:v>
      </x:c>
      <x:c r="C10" s="148" t="n">
        <x:v>34</x:v>
      </x:c>
      <x:c r="D10" s="148" t="n">
        <x:v>33</x:v>
      </x:c>
      <x:c r="E10" s="148" t="n">
        <x:v>4</x:v>
      </x:c>
      <x:c r="F10" s="151" t="n">
        <x:v>0.12121212121212122</x:v>
      </x:c>
      <x:c r="G10" s="151" t="n">
        <x:v>0.05537832486053193</x:v>
      </x:c>
      <x:c r="H10" s="151" t="n">
        <x:v>0.058765126821775086</x:v>
      </x:c>
      <x:c r="I10" s="289"/>
      <x:c r="J10" s="148" t="str">
        <x:v>新店區</x:v>
      </x:c>
      <x:c r="K10" s="148" t="n">
        <x:v>33</x:v>
      </x:c>
      <x:c r="L10" s="148" t="n">
        <x:v>4</x:v>
      </x:c>
      <x:c r="M10" s="289"/>
      <x:c r="N10" s="289"/>
      <x:c r="O10" s="289"/>
      <x:c r="P10" s="289"/>
      <x:c r="Q10" s="289"/>
      <x:c r="R10" s="289"/>
    </x:row>
    <x:row r="11">
      <x:c r="A11" s="149" t="str">
        <x:v>中和區</x:v>
      </x:c>
      <x:c r="B11" s="149" t="n">
        <x:v>113</x:v>
      </x:c>
      <x:c r="C11" s="149" t="n">
        <x:v>44</x:v>
      </x:c>
      <x:c r="D11" s="149" t="n">
        <x:v>25</x:v>
      </x:c>
      <x:c r="E11" s="149" t="n">
        <x:v>4</x:v>
      </x:c>
      <x:c r="F11" s="150" t="n">
        <x:v>0.16</x:v>
      </x:c>
      <x:c r="G11" s="150" t="n">
        <x:v>0.05760103334419709</x:v>
      </x:c>
      <x:c r="H11" s="150" t="n">
        <x:v>0.06371379196840023</x:v>
      </x:c>
      <x:c r="I11" s="289"/>
      <x:c r="J11" s="149" t="str">
        <x:v>中和區</x:v>
      </x:c>
      <x:c r="K11" s="149" t="n">
        <x:v>25</x:v>
      </x:c>
      <x:c r="L11" s="149" t="n">
        <x:v>4</x:v>
      </x:c>
      <x:c r="M11" s="289"/>
      <x:c r="N11" s="289"/>
      <x:c r="O11" s="289"/>
      <x:c r="P11" s="289"/>
      <x:c r="Q11" s="289"/>
      <x:c r="R11" s="289"/>
    </x:row>
    <x:row r="12">
      <x:c r="A12" s="148" t="str">
        <x:v>淡水區</x:v>
      </x:c>
      <x:c r="B12" s="148" t="n">
        <x:v>84</x:v>
      </x:c>
      <x:c r="C12" s="148" t="n">
        <x:v>11</x:v>
      </x:c>
      <x:c r="D12" s="148" t="n">
        <x:v>14</x:v>
      </x:c>
      <x:c r="E12" s="148" t="n">
        <x:v>3</x:v>
      </x:c>
      <x:c r="F12" s="151" t="n">
        <x:v>0.21428571428571427</x:v>
      </x:c>
      <x:c r="G12" s="151" t="n">
        <x:v>0.0407685214621419</x:v>
      </x:c>
      <x:c r="H12" s="151" t="n">
        <x:v>0.07192076313724191</x:v>
      </x:c>
      <x:c r="I12" s="289"/>
      <x:c r="J12" s="148" t="str">
        <x:v>淡水區</x:v>
      </x:c>
      <x:c r="K12" s="148" t="n">
        <x:v>14</x:v>
      </x:c>
      <x:c r="L12" s="148" t="n">
        <x:v>3</x:v>
      </x:c>
      <x:c r="M12" s="289"/>
      <x:c r="N12" s="289"/>
      <x:c r="O12" s="289"/>
      <x:c r="P12" s="289"/>
      <x:c r="Q12" s="289"/>
      <x:c r="R12" s="289"/>
    </x:row>
    <x:row r="13">
      <x:c r="A13" s="149" t="str">
        <x:v>蘆洲區</x:v>
      </x:c>
      <x:c r="B13" s="149" t="n">
        <x:v>55</x:v>
      </x:c>
      <x:c r="C13" s="149" t="n">
        <x:v>20</x:v>
      </x:c>
      <x:c r="D13" s="149" t="n">
        <x:v>12</x:v>
      </x:c>
      <x:c r="E13" s="149" t="n">
        <x:v>2</x:v>
      </x:c>
      <x:c r="F13" s="150" t="n">
        <x:v>0.16666666666666666</x:v>
      </x:c>
      <x:c r="G13" s="150" t="n">
        <x:v>0.06638528138528134</x:v>
      </x:c>
      <x:c r="H13" s="150" t="n">
        <x:v>0.07934645999162122</x:v>
      </x:c>
      <x:c r="I13" s="289"/>
      <x:c r="J13" s="149" t="str">
        <x:v>蘆洲區</x:v>
      </x:c>
      <x:c r="K13" s="149" t="n">
        <x:v>12</x:v>
      </x:c>
      <x:c r="L13" s="149" t="n">
        <x:v>2</x:v>
      </x:c>
      <x:c r="M13" s="289"/>
      <x:c r="N13" s="289"/>
      <x:c r="O13" s="289"/>
      <x:c r="P13" s="289"/>
      <x:c r="Q13" s="289"/>
      <x:c r="R13" s="289"/>
    </x:row>
    <x:row r="14">
      <x:c r="A14" s="148" t="str">
        <x:v>林口區</x:v>
      </x:c>
      <x:c r="B14" s="148" t="n">
        <x:v>92</x:v>
      </x:c>
      <x:c r="C14" s="148" t="n">
        <x:v>13</x:v>
      </x:c>
      <x:c r="D14" s="148" t="n">
        <x:v>18</x:v>
      </x:c>
      <x:c r="E14" s="148" t="n">
        <x:v>1</x:v>
      </x:c>
      <x:c r="F14" s="151" t="n">
        <x:v>0.05555555555555555</x:v>
      </x:c>
      <x:c r="G14" s="151" t="n">
        <x:v>0.04749611801242232</x:v>
      </x:c>
      <x:c r="H14" s="151" t="n">
        <x:v>0.04195051091965533</x:v>
      </x:c>
      <x:c r="I14" s="289"/>
      <x:c r="J14" s="148" t="str">
        <x:v>林口區</x:v>
      </x:c>
      <x:c r="K14" s="148" t="n">
        <x:v>18</x:v>
      </x:c>
      <x:c r="L14" s="148" t="n">
        <x:v>1</x:v>
      </x:c>
      <x:c r="M14" s="289"/>
      <x:c r="N14" s="289"/>
      <x:c r="O14" s="289"/>
      <x:c r="P14" s="289"/>
      <x:c r="Q14" s="289"/>
      <x:c r="R14" s="289"/>
    </x:row>
    <x:row r="15">
      <x:c r="A15" s="149" t="str">
        <x:v>三峽區</x:v>
      </x:c>
      <x:c r="B15" s="149" t="n">
        <x:v>70</x:v>
      </x:c>
      <x:c r="C15" s="149" t="n">
        <x:v>5</x:v>
      </x:c>
      <x:c r="D15" s="149" t="n">
        <x:v>11</x:v>
      </x:c>
      <x:c r="E15" s="149" t="n">
        <x:v>1</x:v>
      </x:c>
      <x:c r="F15" s="150" t="n">
        <x:v>0.09090909090909091</x:v>
      </x:c>
      <x:c r="G15" s="150" t="n">
        <x:v>0.056411488603636616</x:v>
      </x:c>
      <x:c r="H15" s="150" t="n">
        <x:v>0.05325872284397624</x:v>
      </x:c>
      <x:c r="I15" s="289"/>
      <x:c r="J15" s="149" t="str">
        <x:v>三峽區</x:v>
      </x:c>
      <x:c r="K15" s="149" t="n">
        <x:v>11</x:v>
      </x:c>
      <x:c r="L15" s="149" t="n">
        <x:v>1</x:v>
      </x:c>
      <x:c r="M15" s="289"/>
      <x:c r="N15" s="289"/>
      <x:c r="O15" s="289"/>
      <x:c r="P15" s="289"/>
      <x:c r="Q15" s="289"/>
      <x:c r="R15" s="289"/>
    </x:row>
    <x:row r="16">
      <x:c r="A16" s="148" t="str">
        <x:v>汐止區</x:v>
      </x:c>
      <x:c r="B16" s="148" t="n">
        <x:v>78</x:v>
      </x:c>
      <x:c r="C16" s="148" t="n">
        <x:v>14</x:v>
      </x:c>
      <x:c r="D16" s="148" t="n">
        <x:v>8</x:v>
      </x:c>
      <x:c r="E16" s="148" t="n">
        <x:v>1</x:v>
      </x:c>
      <x:c r="F16" s="151" t="n">
        <x:v>0.125</x:v>
      </x:c>
      <x:c r="G16" s="151" t="n">
        <x:v>0.06994047619047615</x:v>
      </x:c>
      <x:c r="H16" s="151" t="n">
        <x:v>0.07520973650005905</x:v>
      </x:c>
      <x:c r="I16" s="289"/>
      <x:c r="J16" s="148" t="str">
        <x:v>汐止區</x:v>
      </x:c>
      <x:c r="K16" s="148" t="n">
        <x:v>8</x:v>
      </x:c>
      <x:c r="L16" s="148" t="n">
        <x:v>1</x:v>
      </x:c>
      <x:c r="M16" s="289"/>
      <x:c r="N16" s="289"/>
      <x:c r="O16" s="289"/>
      <x:c r="P16" s="289"/>
      <x:c r="Q16" s="289"/>
      <x:c r="R16" s="289"/>
    </x:row>
    <x:row r="17">
      <x:c r="A17" s="149" t="str">
        <x:v>樹林區</x:v>
      </x:c>
      <x:c r="B17" s="149" t="n">
        <x:v>75</x:v>
      </x:c>
      <x:c r="C17" s="149" t="n">
        <x:v>5</x:v>
      </x:c>
      <x:c r="D17" s="149" t="n">
        <x:v>12</x:v>
      </x:c>
      <x:c r="E17" s="149" t="n">
        <x:v>0</x:v>
      </x:c>
      <x:c r="F17" s="150" t="n">
        <x:v>0</x:v>
      </x:c>
      <x:c r="G17" s="150" t="n">
        <x:v>0.04692082078733128</x:v>
      </x:c>
      <x:c r="H17" s="150" t="n">
        <x:v>0.049953917050691195</x:v>
      </x:c>
      <x:c r="I17" s="289"/>
      <x:c r="J17" s="289"/>
      <x:c r="K17" s="289"/>
      <x:c r="L17" s="289"/>
      <x:c r="M17" s="289"/>
      <x:c r="N17" s="289"/>
      <x:c r="O17" s="289"/>
      <x:c r="P17" s="289"/>
      <x:c r="Q17" s="289"/>
      <x:c r="R17" s="289"/>
    </x:row>
    <x:row r="18">
      <x:c r="A18" s="148" t="str">
        <x:v>泰山區</x:v>
      </x:c>
      <x:c r="B18" s="148" t="n">
        <x:v>25</x:v>
      </x:c>
      <x:c r="C18" s="148" t="n">
        <x:v>5</x:v>
      </x:c>
      <x:c r="D18" s="148" t="n">
        <x:v>4</x:v>
      </x:c>
      <x:c r="E18" s="148" t="n">
        <x:v>0</x:v>
      </x:c>
      <x:c r="F18" s="151" t="n">
        <x:v>0</x:v>
      </x:c>
      <x:c r="G18" s="151" t="n">
        <x:v>0.048477395842196264</x:v>
      </x:c>
      <x:c r="H18" s="151" t="n">
        <x:v>0.05179723502304143</x:v>
      </x:c>
      <x:c r="I18" s="289"/>
      <x:c r="J18" s="289"/>
      <x:c r="K18" s="289"/>
      <x:c r="L18" s="289"/>
      <x:c r="M18" s="289"/>
      <x:c r="N18" s="289"/>
      <x:c r="O18" s="289"/>
      <x:c r="P18" s="289"/>
      <x:c r="Q18" s="289"/>
      <x:c r="R18" s="289"/>
    </x:row>
    <x:row r="19">
      <x:c r="A19" s="149" t="str">
        <x:v>鶯歌區</x:v>
      </x:c>
      <x:c r="B19" s="149" t="n">
        <x:v>53</x:v>
      </x:c>
      <x:c r="C19" s="149" t="n">
        <x:v>2</x:v>
      </x:c>
      <x:c r="D19" s="149" t="n">
        <x:v>4</x:v>
      </x:c>
      <x:c r="E19" s="149" t="n">
        <x:v>0</x:v>
      </x:c>
      <x:c r="F19" s="150" t="n">
        <x:v>0</x:v>
      </x:c>
      <x:c r="G19" s="150" t="n">
        <x:v>0.039755203040077715</x:v>
      </x:c>
      <x:c r="H19" s="150" t="n">
        <x:v>0.03804017041996344</x:v>
      </x:c>
      <x:c r="I19" s="289"/>
      <x:c r="J19" s="289"/>
      <x:c r="K19" s="289"/>
      <x:c r="L19" s="289"/>
      <x:c r="M19" s="289"/>
      <x:c r="N19" s="289"/>
      <x:c r="O19" s="289"/>
      <x:c r="P19" s="289"/>
      <x:c r="Q19" s="289"/>
      <x:c r="R19" s="289"/>
    </x:row>
    <x:row r="20">
      <x:c r="A20" s="148" t="str">
        <x:v>五股區</x:v>
      </x:c>
      <x:c r="B20" s="148" t="n">
        <x:v>31</x:v>
      </x:c>
      <x:c r="C20" s="148" t="n">
        <x:v>1</x:v>
      </x:c>
      <x:c r="D20" s="148" t="n">
        <x:v>3</x:v>
      </x:c>
      <x:c r="E20" s="148" t="n">
        <x:v>0</x:v>
      </x:c>
      <x:c r="F20" s="151" t="n">
        <x:v>0</x:v>
      </x:c>
      <x:c r="G20" s="151" t="n">
        <x:v>0.05942780337941624</x:v>
      </x:c>
      <x:c r="H20" s="151" t="n">
        <x:v>0.07157722610376092</x:v>
      </x:c>
      <x:c r="I20" s="289"/>
      <x:c r="J20" s="289"/>
      <x:c r="K20" s="289"/>
      <x:c r="L20" s="289"/>
      <x:c r="M20" s="289"/>
      <x:c r="N20" s="289"/>
      <x:c r="O20" s="289"/>
      <x:c r="P20" s="289"/>
      <x:c r="Q20" s="289"/>
      <x:c r="R20" s="289"/>
    </x:row>
    <x:row r="21">
      <x:c r="A21" s="149" t="str">
        <x:v>三芝區</x:v>
      </x:c>
      <x:c r="B21" s="149" t="n">
        <x:v>7</x:v>
      </x:c>
      <x:c r="C21" s="149" t="n">
        <x:v>0</x:v>
      </x:c>
      <x:c r="D21" s="149" t="n">
        <x:v>0</x:v>
      </x:c>
      <x:c r="E21" s="149" t="n">
        <x:v>0</x:v>
      </x:c>
      <x:c r="F21" s="150" t="str"/>
      <x:c r="G21" s="150" t="n">
        <x:v>0.018707482993197227</x:v>
      </x:c>
      <x:c r="H21" s="150" t="n">
        <x:v>0.04937458854509542</x:v>
      </x:c>
      <x:c r="I21" s="289"/>
      <x:c r="J21" s="289"/>
      <x:c r="K21" s="289"/>
      <x:c r="L21" s="289"/>
      <x:c r="M21" s="289"/>
      <x:c r="N21" s="289"/>
      <x:c r="O21" s="289"/>
      <x:c r="P21" s="289"/>
      <x:c r="Q21" s="289"/>
      <x:c r="R21" s="289"/>
    </x:row>
    <x:row r="22">
      <x:c r="A22" s="148" t="str">
        <x:v>八里區</x:v>
      </x:c>
      <x:c r="B22" s="148" t="n">
        <x:v>29</x:v>
      </x:c>
      <x:c r="C22" s="148" t="n">
        <x:v>0</x:v>
      </x:c>
      <x:c r="D22" s="148" t="n">
        <x:v>0</x:v>
      </x:c>
      <x:c r="E22" s="148" t="n">
        <x:v>0</x:v>
      </x:c>
      <x:c r="F22" s="151" t="str"/>
      <x:c r="G22" s="151" t="n">
        <x:v>0.029451090781140003</x:v>
      </x:c>
      <x:c r="H22" s="151" t="n">
        <x:v>0.061909590274440054</x:v>
      </x:c>
      <x:c r="I22" s="289"/>
      <x:c r="J22" s="289"/>
      <x:c r="K22" s="289"/>
      <x:c r="L22" s="289"/>
      <x:c r="M22" s="289"/>
      <x:c r="N22" s="289"/>
      <x:c r="O22" s="289"/>
      <x:c r="P22" s="289"/>
      <x:c r="Q22" s="289"/>
      <x:c r="R22" s="289"/>
    </x:row>
    <x:row r="23">
      <x:c r="A23" s="149" t="str">
        <x:v>深坑區</x:v>
      </x:c>
      <x:c r="B23" s="149" t="n">
        <x:v>6</x:v>
      </x:c>
      <x:c r="C23" s="149" t="n">
        <x:v>0</x:v>
      </x:c>
      <x:c r="D23" s="149" t="n">
        <x:v>0</x:v>
      </x:c>
      <x:c r="E23" s="149" t="n">
        <x:v>0</x:v>
      </x:c>
      <x:c r="F23" s="150" t="str"/>
      <x:c r="G23" s="150" t="n">
        <x:v>0.025793650793650747</x:v>
      </x:c>
      <x:c r="H23" s="150" t="n">
        <x:v>0.02764976958525342</x:v>
      </x:c>
      <x:c r="I23" s="289"/>
      <x:c r="J23" s="289"/>
      <x:c r="K23" s="289"/>
      <x:c r="L23" s="289"/>
      <x:c r="M23" s="289"/>
      <x:c r="N23" s="289"/>
      <x:c r="O23" s="289"/>
      <x:c r="P23" s="289"/>
      <x:c r="Q23" s="289"/>
      <x:c r="R23" s="289"/>
    </x:row>
    <x:row r="24">
      <x:c r="A24" s="148" t="str">
        <x:v>瑞芳區</x:v>
      </x:c>
      <x:c r="B24" s="148" t="n">
        <x:v>5</x:v>
      </x:c>
      <x:c r="C24" s="148" t="n">
        <x:v>0</x:v>
      </x:c>
      <x:c r="D24" s="148" t="n">
        <x:v>0</x:v>
      </x:c>
      <x:c r="E24" s="148" t="n">
        <x:v>0</x:v>
      </x:c>
      <x:c r="F24" s="151" t="str"/>
      <x:c r="G24" s="151" t="n">
        <x:v>0.02738095238095236</x:v>
      </x:c>
      <x:c r="H24" s="151" t="n">
        <x:v>0.02304147465437782</x:v>
      </x:c>
      <x:c r="I24" s="289"/>
      <x:c r="J24" s="289"/>
      <x:c r="K24" s="289"/>
      <x:c r="L24" s="289"/>
      <x:c r="M24" s="289"/>
      <x:c r="N24" s="289"/>
      <x:c r="O24" s="289"/>
      <x:c r="P24" s="289"/>
      <x:c r="Q24" s="289"/>
      <x:c r="R24" s="289"/>
    </x:row>
    <x:row r="25">
      <x:c r="A25" s="149" t="str">
        <x:v>萬里區</x:v>
      </x:c>
      <x:c r="B25" s="149" t="n">
        <x:v>3</x:v>
      </x:c>
      <x:c r="C25" s="149" t="n">
        <x:v>0</x:v>
      </x:c>
      <x:c r="D25" s="149" t="n">
        <x:v>0</x:v>
      </x:c>
      <x:c r="E25" s="149" t="n">
        <x:v>0</x:v>
      </x:c>
      <x:c r="F25" s="150" t="str"/>
      <x:c r="G25" s="150" t="n">
        <x:v>0.015051706040671667</x:v>
      </x:c>
      <x:c r="H25" s="150" t="n">
        <x:v>0.02073732718894007</x:v>
      </x:c>
      <x:c r="I25" s="289"/>
      <x:c r="J25" s="289"/>
      <x:c r="K25" s="289"/>
      <x:c r="L25" s="289"/>
      <x:c r="M25" s="289"/>
      <x:c r="N25" s="289"/>
      <x:c r="O25" s="289"/>
      <x:c r="P25" s="289"/>
      <x:c r="Q25" s="289"/>
      <x:c r="R25" s="289"/>
    </x:row>
    <x:row r="26">
      <x:c r="A26" s="148" t="str">
        <x:v>貢寮區</x:v>
      </x:c>
      <x:c r="B26" s="148" t="n">
        <x:v>3</x:v>
      </x:c>
      <x:c r="C26" s="148" t="n">
        <x:v>0</x:v>
      </x:c>
      <x:c r="D26" s="148" t="n">
        <x:v>0</x:v>
      </x:c>
      <x:c r="E26" s="148" t="n">
        <x:v>0</x:v>
      </x:c>
      <x:c r="F26" s="151" t="str"/>
      <x:c r="G26" s="151" t="n">
        <x:v>0.0057539682539682</x:v>
      </x:c>
      <x:c r="H26" s="151" t="n">
        <x:v>0.0092165898617511</x:v>
      </x:c>
      <x:c r="I26" s="289"/>
      <x:c r="J26" s="289"/>
      <x:c r="K26" s="289"/>
      <x:c r="L26" s="289"/>
      <x:c r="M26" s="289"/>
      <x:c r="N26" s="289"/>
      <x:c r="O26" s="289"/>
      <x:c r="P26" s="289"/>
      <x:c r="Q26" s="289"/>
      <x:c r="R26" s="289"/>
    </x:row>
    <x:row r="27">
      <x:c r="A27" s="149" t="str">
        <x:v>金山區</x:v>
      </x:c>
      <x:c r="B27" s="149" t="n">
        <x:v>6</x:v>
      </x:c>
      <x:c r="C27" s="149" t="n">
        <x:v>0</x:v>
      </x:c>
      <x:c r="D27" s="149" t="n">
        <x:v>0</x:v>
      </x:c>
      <x:c r="E27" s="149" t="n">
        <x:v>0</x:v>
      </x:c>
      <x:c r="F27" s="150" t="str"/>
      <x:c r="G27" s="150" t="n">
        <x:v>0.009245364812591651</x:v>
      </x:c>
      <x:c r="H27" s="150" t="n">
        <x:v>0.04915514592933945</x:v>
      </x:c>
      <x:c r="I27" s="289"/>
      <x:c r="J27" s="289"/>
      <x:c r="K27" s="289"/>
      <x:c r="L27" s="289"/>
      <x:c r="M27" s="289"/>
      <x:c r="N27" s="289"/>
      <x:c r="O27" s="289"/>
      <x:c r="P27" s="289"/>
      <x:c r="Q27" s="289"/>
      <x:c r="R27" s="289"/>
    </x:row>
    <x:row r="28">
      <x:c r="A28" s="289"/>
      <x:c r="B28" s="289"/>
      <x:c r="C28" s="289"/>
      <x:c r="D28" s="289"/>
      <x:c r="E28" s="289"/>
      <x:c r="F28" s="289"/>
      <x:c r="G28" s="289"/>
      <x:c r="H28" s="289"/>
      <x:c r="I28" s="289"/>
      <x:c r="J28" s="289"/>
      <x:c r="K28" s="289"/>
      <x:c r="L28" s="289"/>
      <x:c r="M28" s="289"/>
      <x:c r="N28" s="289"/>
      <x:c r="O28" s="289"/>
      <x:c r="P28" s="289"/>
      <x:c r="Q28" s="289"/>
      <x:c r="R28" s="289"/>
    </x:row>
    <x:row r="29">
      <x:c r="A29" s="289"/>
      <x:c r="B29" s="289"/>
      <x:c r="C29" s="289"/>
      <x:c r="D29" s="289"/>
      <x:c r="E29" s="289"/>
      <x:c r="F29" s="289"/>
      <x:c r="G29" s="289"/>
      <x:c r="H29" s="289"/>
      <x:c r="I29" s="289"/>
      <x:c r="J29" s="289"/>
      <x:c r="K29" s="289"/>
      <x:c r="L29" s="289"/>
      <x:c r="M29" s="289"/>
      <x:c r="N29" s="289"/>
      <x:c r="O29" s="289"/>
      <x:c r="P29" s="289"/>
      <x:c r="Q29" s="289"/>
      <x:c r="R29" s="289"/>
    </x:row>
    <x:row r="30">
      <x:c r="A30" s="289"/>
      <x:c r="B30" s="289"/>
      <x:c r="C30" s="289"/>
      <x:c r="D30" s="289"/>
      <x:c r="E30" s="289"/>
      <x:c r="F30" s="289"/>
      <x:c r="G30" s="289"/>
      <x:c r="H30" s="289"/>
      <x:c r="I30" s="289"/>
      <x:c r="J30" s="289"/>
      <x:c r="K30" s="289"/>
      <x:c r="L30" s="289"/>
      <x:c r="M30" s="289"/>
      <x:c r="N30" s="289"/>
      <x:c r="O30" s="289"/>
      <x:c r="P30" s="289"/>
      <x:c r="Q30" s="289"/>
      <x:c r="R30" s="289"/>
    </x:row>
    <x:row r="31">
      <x:c r="A31" s="289"/>
      <x:c r="B31" s="289"/>
      <x:c r="C31" s="289"/>
      <x:c r="D31" s="289"/>
      <x:c r="E31" s="289"/>
      <x:c r="F31" s="289"/>
      <x:c r="G31" s="289"/>
      <x:c r="H31" s="289"/>
      <x:c r="I31" s="289"/>
      <x:c r="J31" s="289"/>
      <x:c r="K31" s="289"/>
      <x:c r="L31" s="289"/>
      <x:c r="M31" s="289"/>
      <x:c r="N31" s="289"/>
      <x:c r="O31" s="289"/>
      <x:c r="P31" s="289"/>
      <x:c r="Q31" s="289"/>
      <x:c r="R31" s="289"/>
    </x:row>
    <x:row r="32">
      <x:c r="A32" s="289"/>
      <x:c r="B32" s="289"/>
      <x:c r="C32" s="289"/>
      <x:c r="D32" s="289"/>
      <x:c r="E32" s="289"/>
      <x:c r="F32" s="289"/>
      <x:c r="G32" s="289"/>
      <x:c r="H32" s="289"/>
      <x:c r="I32" s="289"/>
      <x:c r="J32" s="289"/>
      <x:c r="K32" s="289"/>
      <x:c r="L32" s="289"/>
      <x:c r="M32" s="289"/>
      <x:c r="N32" s="289"/>
      <x:c r="O32" s="289"/>
      <x:c r="P32" s="289"/>
      <x:c r="Q32" s="289"/>
      <x:c r="R32" s="289"/>
    </x:row>
    <x:row r="33">
      <x:c r="A33" s="289"/>
      <x:c r="B33" s="289"/>
      <x:c r="C33" s="289"/>
      <x:c r="D33" s="289"/>
      <x:c r="E33" s="289"/>
      <x:c r="F33" s="289"/>
      <x:c r="G33" s="289"/>
      <x:c r="H33" s="289"/>
      <x:c r="I33" s="289"/>
      <x:c r="J33" s="289"/>
      <x:c r="K33" s="289"/>
      <x:c r="L33" s="289"/>
      <x:c r="M33" s="289"/>
      <x:c r="N33" s="289"/>
      <x:c r="O33" s="289"/>
      <x:c r="P33" s="289"/>
      <x:c r="Q33" s="289"/>
      <x:c r="R33" s="289"/>
    </x:row>
    <x:row r="34">
      <x:c r="A34" s="289"/>
      <x:c r="B34" s="289"/>
      <x:c r="C34" s="289"/>
      <x:c r="D34" s="289"/>
      <x:c r="E34" s="289"/>
      <x:c r="F34" s="289"/>
      <x:c r="G34" s="289"/>
      <x:c r="H34" s="289"/>
      <x:c r="I34" s="289"/>
      <x:c r="J34" s="289"/>
      <x:c r="K34" s="289"/>
      <x:c r="L34" s="289"/>
      <x:c r="M34" s="289"/>
      <x:c r="N34" s="289"/>
      <x:c r="O34" s="289"/>
      <x:c r="P34" s="289"/>
      <x:c r="Q34" s="289"/>
      <x:c r="R34" s="289"/>
    </x:row>
    <x:row r="35">
      <x:c r="A35" s="289"/>
      <x:c r="B35" s="289"/>
      <x:c r="C35" s="289"/>
      <x:c r="D35" s="289"/>
      <x:c r="E35" s="289"/>
      <x:c r="F35" s="289"/>
      <x:c r="G35" s="289"/>
      <x:c r="H35" s="289"/>
      <x:c r="I35" s="289"/>
      <x:c r="J35" s="289"/>
      <x:c r="K35" s="289"/>
      <x:c r="L35" s="289"/>
      <x:c r="M35" s="289"/>
      <x:c r="N35" s="289"/>
      <x:c r="O35" s="289"/>
      <x:c r="P35" s="289"/>
      <x:c r="Q35" s="289"/>
      <x:c r="R35" s="289"/>
    </x:row>
    <x:row r="36">
      <x:c r="A36" s="289"/>
      <x:c r="B36" s="289"/>
      <x:c r="C36" s="289"/>
      <x:c r="D36" s="289"/>
      <x:c r="E36" s="289"/>
      <x:c r="F36" s="289"/>
      <x:c r="G36" s="289"/>
      <x:c r="H36" s="289"/>
      <x:c r="I36" s="289"/>
      <x:c r="J36" s="226" t="str">
        <x:v>行政區站數多，本來就較容易有更多高失衡站與核心站。判讀時要同時看：
• 高失衡／核心站數
• 區內全部符合條件站數
• 核心占該區高失衡站比例
• 區內站點類型與事件時段
不要只用行政區總數直接推論某區營運較差。</x:v>
      </x:c>
      <x:c r="K36" s="227"/>
      <x:c r="L36" s="227"/>
      <x:c r="M36" s="227"/>
      <x:c r="N36" s="227"/>
      <x:c r="O36" s="227"/>
      <x:c r="P36" s="227"/>
      <x:c r="Q36" s="227"/>
      <x:c r="R36" s="228"/>
    </x:row>
    <x:row r="37">
      <x:c r="A37" s="289"/>
      <x:c r="B37" s="289"/>
      <x:c r="C37" s="289"/>
      <x:c r="D37" s="289"/>
      <x:c r="E37" s="289"/>
      <x:c r="F37" s="289"/>
      <x:c r="G37" s="289"/>
      <x:c r="H37" s="289"/>
      <x:c r="I37" s="289"/>
      <x:c r="J37" s="229"/>
      <x:c r="K37" s="230"/>
      <x:c r="L37" s="230"/>
      <x:c r="M37" s="230"/>
      <x:c r="N37" s="230"/>
      <x:c r="O37" s="230"/>
      <x:c r="P37" s="230"/>
      <x:c r="Q37" s="230"/>
      <x:c r="R37" s="231"/>
    </x:row>
    <x:row r="38">
      <x:c r="A38" s="289"/>
      <x:c r="B38" s="289"/>
      <x:c r="C38" s="289"/>
      <x:c r="D38" s="289"/>
      <x:c r="E38" s="289"/>
      <x:c r="F38" s="289"/>
      <x:c r="G38" s="289"/>
      <x:c r="H38" s="289"/>
      <x:c r="I38" s="289"/>
      <x:c r="J38" s="229"/>
      <x:c r="K38" s="230"/>
      <x:c r="L38" s="230"/>
      <x:c r="M38" s="230"/>
      <x:c r="N38" s="230"/>
      <x:c r="O38" s="230"/>
      <x:c r="P38" s="230"/>
      <x:c r="Q38" s="230"/>
      <x:c r="R38" s="231"/>
    </x:row>
    <x:row r="39">
      <x:c r="A39" s="289"/>
      <x:c r="B39" s="289"/>
      <x:c r="C39" s="289"/>
      <x:c r="D39" s="289"/>
      <x:c r="E39" s="289"/>
      <x:c r="F39" s="289"/>
      <x:c r="G39" s="289"/>
      <x:c r="H39" s="289"/>
      <x:c r="I39" s="289"/>
      <x:c r="J39" s="229"/>
      <x:c r="K39" s="230"/>
      <x:c r="L39" s="230"/>
      <x:c r="M39" s="230"/>
      <x:c r="N39" s="230"/>
      <x:c r="O39" s="230"/>
      <x:c r="P39" s="230"/>
      <x:c r="Q39" s="230"/>
      <x:c r="R39" s="231"/>
    </x:row>
    <x:row r="40">
      <x:c r="A40" s="289"/>
      <x:c r="B40" s="289"/>
      <x:c r="C40" s="289"/>
      <x:c r="D40" s="289"/>
      <x:c r="E40" s="289"/>
      <x:c r="F40" s="289"/>
      <x:c r="G40" s="289"/>
      <x:c r="H40" s="289"/>
      <x:c r="I40" s="289"/>
      <x:c r="J40" s="229"/>
      <x:c r="K40" s="230"/>
      <x:c r="L40" s="230"/>
      <x:c r="M40" s="230"/>
      <x:c r="N40" s="230"/>
      <x:c r="O40" s="230"/>
      <x:c r="P40" s="230"/>
      <x:c r="Q40" s="230"/>
      <x:c r="R40" s="231"/>
    </x:row>
    <x:row r="41">
      <x:c r="A41" s="289"/>
      <x:c r="B41" s="289"/>
      <x:c r="C41" s="289"/>
      <x:c r="D41" s="289"/>
      <x:c r="E41" s="289"/>
      <x:c r="F41" s="289"/>
      <x:c r="G41" s="289"/>
      <x:c r="H41" s="289"/>
      <x:c r="I41" s="289"/>
      <x:c r="J41" s="229"/>
      <x:c r="K41" s="230"/>
      <x:c r="L41" s="230"/>
      <x:c r="M41" s="230"/>
      <x:c r="N41" s="230"/>
      <x:c r="O41" s="230"/>
      <x:c r="P41" s="230"/>
      <x:c r="Q41" s="230"/>
      <x:c r="R41" s="231"/>
    </x:row>
    <x:row r="42">
      <x:c r="A42" s="289"/>
      <x:c r="B42" s="289"/>
      <x:c r="C42" s="289"/>
      <x:c r="D42" s="289"/>
      <x:c r="E42" s="289"/>
      <x:c r="F42" s="289"/>
      <x:c r="G42" s="289"/>
      <x:c r="H42" s="289"/>
      <x:c r="I42" s="289"/>
      <x:c r="J42" s="229"/>
      <x:c r="K42" s="230"/>
      <x:c r="L42" s="230"/>
      <x:c r="M42" s="230"/>
      <x:c r="N42" s="230"/>
      <x:c r="O42" s="230"/>
      <x:c r="P42" s="230"/>
      <x:c r="Q42" s="230"/>
      <x:c r="R42" s="231"/>
    </x:row>
    <x:row r="43">
      <x:c r="A43" s="289"/>
      <x:c r="B43" s="289"/>
      <x:c r="C43" s="289"/>
      <x:c r="D43" s="289"/>
      <x:c r="E43" s="289"/>
      <x:c r="F43" s="289"/>
      <x:c r="G43" s="289"/>
      <x:c r="H43" s="289"/>
      <x:c r="I43" s="289"/>
      <x:c r="J43" s="229"/>
      <x:c r="K43" s="230"/>
      <x:c r="L43" s="230"/>
      <x:c r="M43" s="230"/>
      <x:c r="N43" s="230"/>
      <x:c r="O43" s="230"/>
      <x:c r="P43" s="230"/>
      <x:c r="Q43" s="230"/>
      <x:c r="R43" s="231"/>
    </x:row>
    <x:row r="44">
      <x:c r="A44" s="289"/>
      <x:c r="B44" s="289"/>
      <x:c r="C44" s="289"/>
      <x:c r="D44" s="289"/>
      <x:c r="E44" s="289"/>
      <x:c r="F44" s="289"/>
      <x:c r="G44" s="289"/>
      <x:c r="H44" s="289"/>
      <x:c r="I44" s="289"/>
      <x:c r="J44" s="229"/>
      <x:c r="K44" s="230"/>
      <x:c r="L44" s="230"/>
      <x:c r="M44" s="230"/>
      <x:c r="N44" s="230"/>
      <x:c r="O44" s="230"/>
      <x:c r="P44" s="230"/>
      <x:c r="Q44" s="230"/>
      <x:c r="R44" s="231"/>
    </x:row>
    <x:row r="45">
      <x:c r="A45" s="289"/>
      <x:c r="B45" s="289"/>
      <x:c r="C45" s="289"/>
      <x:c r="D45" s="289"/>
      <x:c r="E45" s="289"/>
      <x:c r="F45" s="289"/>
      <x:c r="G45" s="289"/>
      <x:c r="H45" s="289"/>
      <x:c r="I45" s="289"/>
      <x:c r="J45" s="232"/>
      <x:c r="K45" s="233"/>
      <x:c r="L45" s="233"/>
      <x:c r="M45" s="233"/>
      <x:c r="N45" s="233"/>
      <x:c r="O45" s="233"/>
      <x:c r="P45" s="233"/>
      <x:c r="Q45" s="233"/>
      <x:c r="R45" s="234"/>
    </x:row>
  </x:sheetData>
  <x:mergeCells>
    <x:mergeCell ref="A1:R1"/>
    <x:mergeCell ref="A2:R2"/>
    <x:mergeCell ref="J36:R45"/>
  </x:mergeCells>
  <x:pageMargins left="0.7" right="0.7" top="0.75" bottom="0.75" header="0.3" footer="0.3"/>
  <x:drawing xmlns:r="http://schemas.openxmlformats.org/officeDocument/2006/relationships" r:id="R31962ce5ba934268"/>
</x:worksheet>
</file>
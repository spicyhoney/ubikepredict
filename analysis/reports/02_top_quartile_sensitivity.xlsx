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drawings/charts/chart15.xml" ContentType="application/vnd.openxmlformats-officedocument.drawingml.chart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drawings/charts/chart16.xml" ContentType="application/vnd.openxmlformats-officedocument.drawingml.char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04bf3e4da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結論總覽" sheetId="1" r:id="Ra2a3a585c0e142f9"/>
    <x:sheet xmlns:r="http://schemas.openxmlformats.org/officeDocument/2006/relationships" name="排名定義" sheetId="2" r:id="Raf75ad55177d4679"/>
    <x:sheet xmlns:r="http://schemas.openxmlformats.org/officeDocument/2006/relationships" name="名單重疊" sheetId="3" r:id="R6eb177744c8c4ec3"/>
    <x:sheet xmlns:r="http://schemas.openxmlformats.org/officeDocument/2006/relationships" name="排名明細" sheetId="4" r:id="Rc7501507f8304e54"/>
    <x:sheet xmlns:r="http://schemas.openxmlformats.org/officeDocument/2006/relationships" name="五月驗證" sheetId="5" r:id="R8196b52e421246fc"/>
    <x:sheet xmlns:r="http://schemas.openxmlformats.org/officeDocument/2006/relationships" name="群組差異" sheetId="6" r:id="R587c60d501b6483c"/>
    <x:sheet xmlns:r="http://schemas.openxmlformats.org/officeDocument/2006/relationships" name="每小時趨勢" sheetId="7" r:id="R41d102360ee9439b"/>
    <x:sheet xmlns:r="http://schemas.openxmlformats.org/officeDocument/2006/relationships" name="星期時段熱圖" sheetId="8" r:id="Ra45a240687d54691"/>
    <x:sheet xmlns:r="http://schemas.openxmlformats.org/officeDocument/2006/relationships" name="事件持續時間" sheetId="9" r:id="R673e4b9cbe72462d"/>
    <x:sheet xmlns:r="http://schemas.openxmlformats.org/officeDocument/2006/relationships" name="事件前後軌跡" sheetId="10" r:id="R0484f42007884f49"/>
    <x:sheet xmlns:r="http://schemas.openxmlformats.org/officeDocument/2006/relationships" name="轉換風險" sheetId="11" r:id="R52e7cf654f364b3e"/>
    <x:sheet xmlns:r="http://schemas.openxmlformats.org/officeDocument/2006/relationships" name="高風險重要站" sheetId="12" r:id="R2afd23ee13e84e3f"/>
    <x:sheet xmlns:r="http://schemas.openxmlformats.org/officeDocument/2006/relationships" name="大幅變動與行政區" sheetId="13" r:id="Rb0c4f394d4da4bdf"/>
    <x:sheet xmlns:r="http://schemas.openxmlformats.org/officeDocument/2006/relationships" name="資料品質與PowerBI" sheetId="14" r:id="Raf78ea2e879840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0.00"/>
    <x:numFmt numFmtId="203" formatCode="0.00x"/>
  </x:numFmts>
  <x:fonts count="11">
    <x:font>
      <x:sz val="11"/>
      <x:name val="Carlito"/>
    </x:font>
    <x:font>
      <x:b/>
      <x:sz val="18"/>
      <x:color rgb="FFFFFFFF"/>
      <x:name val="Microsoft JhengHei"/>
    </x:font>
    <x:font>
      <x:sz val="10"/>
      <x:color rgb="FF5B6573"/>
      <x:name val="Microsoft JhengHei"/>
    </x:font>
    <x:font>
      <x:b/>
      <x:sz val="10"/>
      <x:color rgb="FF16324F"/>
      <x:name val="Microsoft JhengHei"/>
    </x:font>
    <x:font>
      <x:b/>
      <x:sz val="17"/>
      <x:color rgb="FF16324F"/>
      <x:name val="Microsoft JhengHei"/>
    </x:font>
    <x:font>
      <x:b/>
      <x:sz val="11"/>
      <x:color rgb="FFFFFFFF"/>
      <x:name val="Microsoft JhengHei"/>
    </x:font>
    <x:font>
      <x:b/>
      <x:sz val="10"/>
      <x:color rgb="FFFFFFFF"/>
      <x:name val="Microsoft JhengHei"/>
    </x:font>
    <x:font>
      <x:sz val="9"/>
      <x:color rgb="FF1F2937"/>
      <x:name val="Microsoft JhengHei"/>
    </x:font>
    <x:font>
      <x:sz val="10"/>
      <x:color rgb="FF1F2937"/>
      <x:name val="Microsoft JhengHei"/>
    </x:font>
    <x:font>
      <x:sz val="8"/>
      <x:color rgb="FF1F2937"/>
      <x:name val="Microsoft JhengHei"/>
    </x:font>
    <x:font>
      <x:sz val="11"/>
      <x:name val="Microsoft Jheng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3F7FA"/>
      </x:patternFill>
    </x:fill>
    <x:fill>
      <x:patternFill patternType="solid">
        <x:fgColor rgb="FFDDF3EF"/>
      </x:patternFill>
    </x:fill>
    <x:fill>
      <x:patternFill patternType="solid">
        <x:fgColor rgb="FFFCE9D6"/>
      </x:patternFill>
    </x:fill>
    <x:fill>
      <x:patternFill patternType="solid">
        <x:fgColor rgb="FFE6EEF6"/>
      </x:patternFill>
    </x:fill>
    <x:fill>
      <x:patternFill patternType="solid">
        <x:fgColor rgb="FF2A9D8F"/>
      </x:patternFill>
    </x:fill>
    <x:fill>
      <x:patternFill patternType="solid">
        <x:fgColor rgb="FFFBE3DE"/>
      </x:patternFill>
    </x:fill>
    <x:fill>
      <x:patternFill patternType="solid">
        <x:fgColor rgb="FFF4A261"/>
      </x:patternFill>
    </x:fill>
  </x:fills>
  <x:borders count="13">
    <x:border/>
    <x:border>
      <x:left style="thin">
        <x:color rgb="FFCAD5DF"/>
      </x:left>
      <x:top style="thin">
        <x:color rgb="FFCAD5DF"/>
      </x:top>
      <x:bottom style="thin">
        <x:color rgb="FFCAD5DF"/>
      </x:bottom>
    </x:border>
    <x:border>
      <x:top style="thin">
        <x:color rgb="FFCAD5DF"/>
      </x:top>
      <x:bottom style="thin">
        <x:color rgb="FFCAD5DF"/>
      </x:bottom>
    </x:border>
    <x:border>
      <x:right style="thin">
        <x:color rgb="FFCAD5DF"/>
      </x:right>
      <x:top style="thin">
        <x:color rgb="FFCAD5DF"/>
      </x:top>
      <x:bottom style="thin">
        <x:color rgb="FFCAD5DF"/>
      </x:bottom>
    </x:border>
    <x:border>
      <x:left style="thin">
        <x:color rgb="FFCAD5DF"/>
      </x:left>
      <x:top style="thin">
        <x:color rgb="FFCAD5DF"/>
      </x:top>
    </x:border>
    <x:border>
      <x:top style="thin">
        <x:color rgb="FFCAD5DF"/>
      </x:top>
    </x:border>
    <x:border>
      <x:right style="thin">
        <x:color rgb="FFCAD5DF"/>
      </x:right>
      <x:top style="thin">
        <x:color rgb="FFCAD5DF"/>
      </x:top>
    </x:border>
    <x:border>
      <x:left style="thin">
        <x:color rgb="FFCAD5DF"/>
      </x:left>
      <x:bottom style="thin">
        <x:color rgb="FFCAD5DF"/>
      </x:bottom>
    </x:border>
    <x:border>
      <x:bottom style="thin">
        <x:color rgb="FFCAD5DF"/>
      </x:bottom>
    </x:border>
    <x:border>
      <x:right style="thin">
        <x:color rgb="FFCAD5DF"/>
      </x:right>
      <x:bottom style="thin">
        <x:color rgb="FFCAD5DF"/>
      </x:bottom>
    </x:border>
    <x:border>
      <x:left style="thin">
        <x:color rgb="FFCAD5DF"/>
      </x:left>
      <x:right style="thin">
        <x:color rgb="FFCAD5DF"/>
      </x:right>
      <x:top style="thin">
        <x:color rgb="FFCAD5DF"/>
      </x:top>
      <x:bottom style="thin">
        <x:color rgb="FFCAD5DF"/>
      </x:bottom>
    </x:border>
    <x:border>
      <x:left style="thin">
        <x:color rgb="FFCAD5DF"/>
      </x:left>
    </x:border>
    <x:border>
      <x:right style="thin">
        <x:color rgb="FFCAD5DF"/>
      </x:right>
    </x:border>
  </x:borders>
  <x:cellStyleXfs count="1">
    <x:xf numFmtId="0" fontId="0" fillId="0" borderId="0"/>
  </x:cellStyleXfs>
  <x:cellXfs count="2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0" fontId="4" fillId="4" borderId="7" xfId="0" applyNumberFormat="1" applyFont="1" applyFill="1" applyBorder="1" applyAlignment="1">
      <x:alignment horizontal="center" vertical="center"/>
    </x:xf>
    <x:xf numFmtId="200" fontId="4" fillId="4" borderId="8" xfId="0" applyNumberFormat="1" applyFont="1" applyFill="1" applyBorder="1" applyAlignment="1">
      <x:alignment horizontal="center" vertical="center"/>
    </x:xf>
    <x:xf numFmtId="200" fontId="4" fillId="4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9" xfId="0" applyNumberFormat="1" applyFont="1" applyFill="1" applyBorder="1"/>
    <x:xf numFmtId="0" fontId="4" fillId="6" borderId="4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7" xfId="0" applyNumberFormat="1" applyFont="1" applyFill="1" applyBorder="1" applyAlignment="1">
      <x:alignment horizontal="center"/>
    </x:xf>
    <x:xf numFmtId="0" fontId="4" fillId="6" borderId="9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0" fontId="4" fillId="6" borderId="7" xfId="0" applyNumberFormat="1" applyFont="1" applyFill="1" applyBorder="1" applyAlignment="1">
      <x:alignment horizontal="center" vertical="center"/>
    </x:xf>
    <x:xf numFmtId="0" fontId="4" fillId="6" borderId="9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6" xfId="0" applyNumberFormat="1" applyFont="1" applyFill="1" applyBorder="1" applyAlignment="1">
      <x:alignment horizontal="center" vertical="center"/>
    </x:xf>
    <x:xf numFmtId="201" fontId="4" fillId="6" borderId="7" xfId="0" applyNumberFormat="1" applyFont="1" applyFill="1" applyBorder="1" applyAlignment="1">
      <x:alignment horizontal="center" vertical="center"/>
    </x:xf>
    <x:xf numFmtId="201" fontId="4" fillId="6" borderId="9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0" xfId="0" applyNumberFormat="1" applyFont="1" applyFill="1" applyBorder="1"/>
    <x:xf numFmtId="0" fontId="6" fillId="7" borderId="10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horizontal="center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0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center" wrapText="1"/>
    </x:xf>
    <x:xf numFmtId="0" fontId="7" fillId="3" borderId="10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wrapText="0"/>
    </x:xf>
    <x:xf numFmtId="0" fontId="7" fillId="0" borderId="10" xfId="0" applyNumberFormat="1" applyFont="1" applyFill="1" applyBorder="1" applyAlignment="1">
      <x:alignment vertical="center" wrapText="0"/>
    </x:xf>
    <x:xf numFmtId="0" fontId="7" fillId="3" borderId="10" xfId="0" applyNumberFormat="1" applyFont="1" applyFill="1" applyBorder="1" applyAlignment="1">
      <x:alignment vertical="center" wrapText="0"/>
    </x:xf>
    <x:xf numFmtId="201" fontId="7" fillId="3" borderId="10" xfId="0" applyNumberFormat="1" applyFont="1" applyFill="1" applyBorder="1" applyAlignment="1">
      <x:alignment vertical="center" wrapText="0"/>
    </x:xf>
    <x:xf numFmtId="201" fontId="7" fillId="0" borderId="10" xfId="0" applyNumberFormat="1" applyFont="1" applyFill="1" applyBorder="1" applyAlignment="1">
      <x:alignment vertical="center" wrapText="0"/>
    </x:xf>
    <x:xf numFmtId="0" fontId="8" fillId="5" borderId="0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4" xfId="0" applyNumberFormat="1" applyFont="1" applyFill="1" applyBorder="1" applyAlignment="1">
      <x:alignment wrapText="1"/>
    </x:xf>
    <x:xf numFmtId="0" fontId="8" fillId="5" borderId="5" xfId="0" applyNumberFormat="1" applyFont="1" applyFill="1" applyBorder="1" applyAlignment="1">
      <x:alignment wrapText="1"/>
    </x:xf>
    <x:xf numFmtId="0" fontId="8" fillId="5" borderId="6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wrapText="1"/>
    </x:xf>
    <x:xf numFmtId="0" fontId="8" fillId="5" borderId="7" xfId="0" applyNumberFormat="1" applyFont="1" applyFill="1" applyBorder="1" applyAlignment="1">
      <x:alignment wrapText="1"/>
    </x:xf>
    <x:xf numFmtId="0" fontId="8" fillId="5" borderId="8" xfId="0" applyNumberFormat="1" applyFont="1" applyFill="1" applyBorder="1" applyAlignment="1">
      <x:alignment wrapText="1"/>
    </x:xf>
    <x:xf numFmtId="0" fontId="8" fillId="5" borderId="9" xfId="0" applyNumberFormat="1" applyFont="1" applyFill="1" applyBorder="1" applyAlignment="1">
      <x:alignment wrapText="1"/>
    </x:xf>
    <x:xf numFmtId="0" fontId="8" fillId="5" borderId="4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vertical="center" wrapText="1"/>
    </x:xf>
    <x:xf numFmtId="0" fontId="8" fillId="5" borderId="6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2" xfId="0" applyNumberFormat="1" applyFont="1" applyFill="1" applyBorder="1" applyAlignment="1">
      <x:alignment vertical="center" wrapText="1"/>
    </x:xf>
    <x:xf numFmtId="0" fontId="8" fillId="5" borderId="7" xfId="0" applyNumberFormat="1" applyFont="1" applyFill="1" applyBorder="1" applyAlignment="1">
      <x:alignment vertical="center" wrapText="1"/>
    </x:xf>
    <x:xf numFmtId="0" fontId="8" fillId="5" borderId="8" xfId="0" applyNumberFormat="1" applyFont="1" applyFill="1" applyBorder="1" applyAlignment="1">
      <x:alignment vertical="center" wrapText="1"/>
    </x:xf>
    <x:xf numFmtId="0" fontId="8" fillId="5" borderId="9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11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12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vertical="center" wrapText="1"/>
    </x:xf>
    <x:xf numFmtId="0" fontId="8" fillId="8" borderId="5" xfId="0" applyNumberFormat="1" applyFont="1" applyFill="1" applyBorder="1" applyAlignment="1">
      <x:alignment vertical="center" wrapText="1"/>
    </x:xf>
    <x:xf numFmtId="0" fontId="8" fillId="8" borderId="6" xfId="0" applyNumberFormat="1" applyFont="1" applyFill="1" applyBorder="1" applyAlignment="1">
      <x:alignment vertical="center" wrapText="1"/>
    </x:xf>
    <x:xf numFmtId="0" fontId="8" fillId="8" borderId="11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12" xfId="0" applyNumberFormat="1" applyFont="1" applyFill="1" applyBorder="1" applyAlignment="1">
      <x:alignment vertical="center" wrapText="1"/>
    </x:xf>
    <x:xf numFmtId="0" fontId="8" fillId="8" borderId="7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0" xfId="0" applyNumberFormat="1" applyFont="1" applyFill="1" applyBorder="1"/>
    <x:xf numFmtId="0" fontId="6" fillId="9" borderId="10" xfId="0" applyNumberFormat="1" applyFont="1" applyFill="1" applyBorder="1" applyAlignment="1">
      <x:alignment wrapText="1"/>
    </x:xf>
    <x:xf numFmtId="0" fontId="6" fillId="9" borderId="10" xfId="0" applyNumberFormat="1" applyFont="1" applyFill="1" applyBorder="1" applyAlignment="1">
      <x:alignment horizontal="center" wrapText="1"/>
    </x:xf>
    <x:xf numFmtId="0" fontId="6" fillId="9" borderId="10" xfId="0" applyNumberFormat="1" applyFont="1" applyFill="1" applyBorder="1" applyAlignment="1">
      <x:alignment horizontal="center" vertical="center" wrapText="1"/>
    </x:xf>
    <x:xf numFmtId="201" fontId="7" fillId="3" borderId="10" xfId="0" applyNumberFormat="1" applyFont="1" applyFill="1" applyBorder="1" applyAlignment="1">
      <x:alignment vertical="center" wrapText="1"/>
    </x:xf>
    <x:xf numFmtId="201" fontId="7" fillId="0" borderId="1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11" xfId="0" applyNumberFormat="1" applyFont="1" applyFill="1" applyBorder="1"/>
    <x:xf numFmtId="0" fontId="8" fillId="4" borderId="12" xfId="0" applyNumberFormat="1" applyFont="1" applyFill="1" applyBorder="1"/>
    <x:xf numFmtId="0" fontId="8" fillId="4" borderId="7" xfId="0" applyNumberFormat="1" applyFont="1" applyFill="1" applyBorder="1"/>
    <x:xf numFmtId="0" fontId="8" fillId="4" borderId="8" xfId="0" applyNumberFormat="1" applyFont="1" applyFill="1" applyBorder="1"/>
    <x:xf numFmtId="0" fontId="8" fillId="4" borderId="9" xfId="0" applyNumberFormat="1" applyFont="1" applyFill="1" applyBorder="1"/>
    <x:xf numFmtId="0" fontId="8" fillId="4" borderId="4" xfId="0" applyNumberFormat="1" applyFont="1" applyFill="1" applyBorder="1" applyAlignment="1">
      <x:alignment wrapText="1"/>
    </x:xf>
    <x:xf numFmtId="0" fontId="8" fillId="4" borderId="5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wrapText="1"/>
    </x:xf>
    <x:xf numFmtId="0" fontId="8" fillId="4" borderId="11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12" xfId="0" applyNumberFormat="1" applyFont="1" applyFill="1" applyBorder="1" applyAlignment="1">
      <x:alignment wrapText="1"/>
    </x:xf>
    <x:xf numFmtId="0" fontId="8" fillId="4" borderId="7" xfId="0" applyNumberFormat="1" applyFont="1" applyFill="1" applyBorder="1" applyAlignment="1">
      <x:alignment wrapText="1"/>
    </x:xf>
    <x:xf numFmtId="0" fontId="8" fillId="4" borderId="8" xfId="0" applyNumberFormat="1" applyFont="1" applyFill="1" applyBorder="1" applyAlignment="1">
      <x:alignment wrapText="1"/>
    </x:xf>
    <x:xf numFmtId="0" fontId="8" fillId="4" borderId="9" xfId="0" applyNumberFormat="1" applyFont="1" applyFill="1" applyBorder="1" applyAlignment="1">
      <x:alignment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8" fillId="4" borderId="6" xfId="0" applyNumberFormat="1" applyFont="1" applyFill="1" applyBorder="1" applyAlignment="1">
      <x:alignment vertical="center" wrapText="1"/>
    </x:xf>
    <x:xf numFmtId="0" fontId="8" fillId="4" borderId="1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12" xfId="0" applyNumberFormat="1" applyFont="1" applyFill="1" applyBorder="1" applyAlignment="1">
      <x:alignment vertical="center" wrapText="1"/>
    </x:xf>
    <x:xf numFmtId="0" fontId="8" fillId="4" borderId="7" xfId="0" applyNumberFormat="1" applyFont="1" applyFill="1" applyBorder="1" applyAlignment="1">
      <x:alignment vertical="center" wrapText="1"/>
    </x:xf>
    <x:xf numFmtId="0" fontId="8" fillId="4" borderId="8" xfId="0" applyNumberFormat="1" applyFont="1" applyFill="1" applyBorder="1" applyAlignment="1">
      <x:alignment vertical="center" wrapText="1"/>
    </x:xf>
    <x:xf numFmtId="0" fontId="8" fillId="4" borderId="9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10" xfId="0" applyNumberFormat="1" applyFont="1" applyFill="1" applyBorder="1"/>
    <x:xf numFmtId="0" fontId="9" fillId="0" borderId="10" xfId="0" applyNumberFormat="1" applyFont="1" applyFill="1" applyBorder="1" applyAlignment="1">
      <x:alignment wrapText="0"/>
    </x:xf>
    <x:xf numFmtId="0" fontId="9" fillId="0" borderId="10" xfId="0" applyNumberFormat="1" applyFont="1" applyFill="1" applyBorder="1" applyAlignment="1">
      <x:alignment vertical="center" wrapText="0"/>
    </x:xf>
    <x:xf numFmtId="0" fontId="9" fillId="3" borderId="10" xfId="0" applyNumberFormat="1" applyFont="1" applyFill="1" applyBorder="1" applyAlignment="1">
      <x:alignment vertical="center" wrapText="0"/>
    </x:xf>
    <x:xf numFmtId="201" fontId="9" fillId="3" borderId="10" xfId="0" applyNumberFormat="1" applyFont="1" applyFill="1" applyBorder="1" applyAlignment="1">
      <x:alignment vertical="center" wrapText="0"/>
    </x:xf>
    <x:xf numFmtId="201" fontId="9" fillId="0" borderId="10" xfId="0" applyNumberFormat="1" applyFont="1" applyFill="1" applyBorder="1" applyAlignment="1">
      <x:alignment vertical="center" wrapText="0"/>
    </x:xf>
    <x:xf numFmtId="202" fontId="9" fillId="3" borderId="10" xfId="0" applyNumberFormat="1" applyFont="1" applyFill="1" applyBorder="1" applyAlignment="1">
      <x:alignment vertical="center" wrapText="0"/>
    </x:xf>
    <x:xf numFmtId="202" fontId="9" fillId="0" borderId="10" xfId="0" applyNumberFormat="1" applyFont="1" applyFill="1" applyBorder="1" applyAlignment="1">
      <x:alignment vertical="center" wrapText="0"/>
    </x:xf>
    <x:xf numFmtId="200" fontId="9" fillId="3" borderId="10" xfId="0" applyNumberFormat="1" applyFont="1" applyFill="1" applyBorder="1" applyAlignment="1">
      <x:alignment vertical="center" wrapText="0"/>
    </x:xf>
    <x:xf numFmtId="200" fontId="9" fillId="0" borderId="10" xfId="0" applyNumberFormat="1" applyFont="1" applyFill="1" applyBorder="1" applyAlignment="1">
      <x:alignment vertical="center" wrapText="0"/>
    </x:xf>
    <x:xf numFmtId="202" fontId="7" fillId="3" borderId="10" xfId="0" applyNumberFormat="1" applyFont="1" applyFill="1" applyBorder="1" applyAlignment="1">
      <x:alignment vertical="center" wrapText="0"/>
    </x:xf>
    <x:xf numFmtId="202" fontId="7" fillId="0" borderId="10" xfId="0" applyNumberFormat="1" applyFont="1" applyFill="1" applyBorder="1" applyAlignment="1">
      <x:alignment vertical="center" wrapText="0"/>
    </x:xf>
    <x:xf numFmtId="203" fontId="7" fillId="3" borderId="10" xfId="0" applyNumberFormat="1" applyFont="1" applyFill="1" applyBorder="1" applyAlignment="1">
      <x:alignment vertical="center" wrapText="0"/>
    </x:xf>
    <x:xf numFmtId="203" fontId="7" fillId="0" borderId="10" xfId="0" applyNumberFormat="1" applyFont="1" applyFill="1" applyBorder="1" applyAlignment="1">
      <x:alignment vertical="center" wrapText="0"/>
    </x:xf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vertical="center"/>
    </x:xf>
    <x:xf numFmtId="202" fontId="7" fillId="3" borderId="10" xfId="0" applyNumberFormat="1" applyFont="1" applyFill="1" applyBorder="1" applyAlignment="1">
      <x:alignment vertical="center" wrapText="1"/>
    </x:xf>
    <x:xf numFmtId="202" fontId="7" fillId="0" borderId="1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3A7D44"/>
      </x:font>
      <x:fill>
        <x:patternFill patternType="solid">
          <x:bgColor rgb="FFDDF3EF"/>
        </x:patternFill>
      </x:fill>
    </x:dxf>
    <x:dxf>
      <x:font>
        <x:b/>
        <x:color rgb="FF3A7D44"/>
      </x:font>
      <x:fill>
        <x:patternFill patternType="solid">
          <x:bgColor rgb="FFDDF3EF"/>
        </x:patternFill>
      </x:fill>
    </x:dxf>
    <x:dxf>
      <x:font>
        <x:b/>
        <x:color rgb="FF3A7D44"/>
      </x:font>
      <x:fill>
        <x:patternFill patternType="solid">
          <x:bgColor rgb="FFDDF3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7e65e56a54bd2" /><Relationship Type="http://schemas.openxmlformats.org/officeDocument/2006/relationships/theme" Target="/xl/theme/theme1.xml" Id="Rfbb6111acf524b07" /><Relationship Type="http://schemas.openxmlformats.org/officeDocument/2006/relationships/sharedStrings" Target="/xl/sharedStrings.xml" Id="R099414c5abcf4761" /><Relationship Type="http://schemas.openxmlformats.org/officeDocument/2006/relationships/worksheet" Target="/xl/worksheets/sheet1.xml" Id="Ra2a3a585c0e142f9" /><Relationship Type="http://schemas.openxmlformats.org/officeDocument/2006/relationships/worksheet" Target="/xl/worksheets/sheet2.xml" Id="Raf75ad55177d4679" /><Relationship Type="http://schemas.openxmlformats.org/officeDocument/2006/relationships/worksheet" Target="/xl/worksheets/sheet3.xml" Id="R6eb177744c8c4ec3" /><Relationship Type="http://schemas.openxmlformats.org/officeDocument/2006/relationships/worksheet" Target="/xl/worksheets/sheet4.xml" Id="Rc7501507f8304e54" /><Relationship Type="http://schemas.openxmlformats.org/officeDocument/2006/relationships/worksheet" Target="/xl/worksheets/sheet5.xml" Id="R8196b52e421246fc" /><Relationship Type="http://schemas.openxmlformats.org/officeDocument/2006/relationships/worksheet" Target="/xl/worksheets/sheet6.xml" Id="R587c60d501b6483c" /><Relationship Type="http://schemas.openxmlformats.org/officeDocument/2006/relationships/worksheet" Target="/xl/worksheets/sheet7.xml" Id="R41d102360ee9439b" /><Relationship Type="http://schemas.openxmlformats.org/officeDocument/2006/relationships/worksheet" Target="/xl/worksheets/sheet8.xml" Id="Ra45a240687d54691" /><Relationship Type="http://schemas.openxmlformats.org/officeDocument/2006/relationships/worksheet" Target="/xl/worksheets/sheet9.xml" Id="R673e4b9cbe72462d" /><Relationship Type="http://schemas.openxmlformats.org/officeDocument/2006/relationships/worksheet" Target="/xl/worksheets/sheet10.xml" Id="R0484f42007884f49" /><Relationship Type="http://schemas.openxmlformats.org/officeDocument/2006/relationships/worksheet" Target="/xl/worksheets/sheet11.xml" Id="R52e7cf654f364b3e" /><Relationship Type="http://schemas.openxmlformats.org/officeDocument/2006/relationships/worksheet" Target="/xl/worksheets/sheet12.xml" Id="R2afd23ee13e84e3f" /><Relationship Type="http://schemas.openxmlformats.org/officeDocument/2006/relationships/worksheet" Target="/xl/worksheets/sheet13.xml" Id="Rb0c4f394d4da4bdf" /><Relationship Type="http://schemas.openxmlformats.org/officeDocument/2006/relationships/worksheet" Target="/xl/worksheets/sheet14.xml" Id="Raf78ea2e879840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808dde146d405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25c84086f2b4a5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91305c4365945bd" /><Relationship Type="http://schemas.openxmlformats.org/officeDocument/2006/relationships/chart" Target="/xl/drawings/charts/chart4.xml" Id="R27b9662e8cd14df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78385626ebe14fa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33f924b67b854b9d" /><Relationship Type="http://schemas.openxmlformats.org/officeDocument/2006/relationships/chart" Target="/xl/drawings/charts/chart7.xml" Id="R7510ad29c93b4858" /><Relationship Type="http://schemas.openxmlformats.org/officeDocument/2006/relationships/chart" Target="/xl/drawings/charts/chart8.xml" Id="R5fb555b3721c45f2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775c55693fc24255" /><Relationship Type="http://schemas.openxmlformats.org/officeDocument/2006/relationships/chart" Target="/xl/drawings/charts/chart10.xml" Id="Raf7a6ceea25542c7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878f9d5802b04b89" /><Relationship Type="http://schemas.openxmlformats.org/officeDocument/2006/relationships/chart" Target="/xl/drawings/charts/chart12.xml" Id="R6bd38268bfcd42ac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eeca9a323f494ef5" /><Relationship Type="http://schemas.openxmlformats.org/officeDocument/2006/relationships/chart" Target="/xl/drawings/charts/chart14.xml" Id="Rd28ad65ba0db4b73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5.xml" Id="R4cc3247b48254b28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9916af0c241d4c6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五月驗證：名單穩定性與活動捕捉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五月前25%留存率</c:v>
          </c:tx>
          <c:cat>
            <c:strRef>
              <c:f>'結論總覽'!$A$17:$A$19</c:f>
              <c:strCache>
                <c:ptCount val="0"/>
              </c:strCache>
            </c:strRef>
          </c:cat>
          <c:val>
            <c:numRef>
              <c:f>'結論總覽'!$B$17:$B$19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五月活動捕捉率</c:v>
          </c:tx>
          <c:cat>
            <c:strRef>
              <c:f>'結論總覽'!$A$17:$A$19</c:f>
              <c:strCache>
                <c:ptCount val="0"/>
              </c:strCache>
            </c:strRef>
          </c:cat>
          <c:val>
            <c:numRef>
              <c:f>'結論總覽'!$C$17:$C$19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已入選站的名單組合（排除三份皆未入選）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站數</c:v>
          </c:tx>
          <c:cat>
            <c:strRef>
              <c:f>'名單重疊'!$F$5:$F$9</c:f>
              <c:strCache>
                <c:ptCount val="0"/>
              </c:strCache>
            </c:strRef>
          </c:cat>
          <c:val>
            <c:numRef>
              <c:f>'名單重疊'!$G$5:$G$9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五月前25%留存與活動捕捉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留存率</c:v>
          </c:tx>
          <c:cat>
            <c:strRef>
              <c:f>'五月驗證'!$A$12:$A$14</c:f>
              <c:strCache>
                <c:ptCount val="0"/>
              </c:strCache>
            </c:strRef>
          </c:cat>
          <c:val>
            <c:numRef>
              <c:f>'五月驗證'!$B$12:$B$14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活動捕捉率</c:v>
          </c:tx>
          <c:cat>
            <c:strRef>
              <c:f>'五月驗證'!$A$12:$A$14</c:f>
              <c:strCache>
                <c:ptCount val="0"/>
              </c:strCache>
            </c:strRef>
          </c:cat>
          <c:val>
            <c:numRef>
              <c:f>'五月驗證'!$C$12:$C$14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整體順位穩定性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順位相關</c:v>
          </c:tx>
          <c:cat>
            <c:strRef>
              <c:f>'五月驗證'!$N$12:$N$14</c:f>
              <c:strCache>
                <c:ptCount val="0"/>
              </c:strCache>
            </c:strRef>
          </c:cat>
          <c:val>
            <c:numRef>
              <c:f>'五月驗證'!$O$12:$O$14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Jaccard</c:v>
          </c:tx>
          <c:cat>
            <c:strRef>
              <c:f>'五月驗證'!$N$12:$N$14</c:f>
              <c:strCache>
                <c:ptCount val="0"/>
              </c:strCache>
            </c:strRef>
          </c:cat>
          <c:val>
            <c:numRef>
              <c:f>'五月驗證'!$P$12:$P$14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前25%相對其餘站的倍數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活動比</c:v>
          </c:tx>
          <c:cat>
            <c:strRef>
              <c:f>'群組差異'!$A$12:$A$14</c:f>
              <c:strCache>
                <c:ptCount val="0"/>
              </c:strCache>
            </c:strRef>
          </c:cat>
          <c:val>
            <c:numRef>
              <c:f>'群組差異'!$B$12:$B$14</c:f>
              <c:numCache>
                <c:formatCode>0.00x</c:formatCode>
                <c:ptCount val="0"/>
              </c:numCache>
            </c:numRef>
          </c:val>
        </c:ser>
        <c:ser>
          <c:idx val="1"/>
          <c:order val="1"/>
          <c:tx>
            <c:v>尖峰失衡率比</c:v>
          </c:tx>
          <c:cat>
            <c:strRef>
              <c:f>'群組差異'!$A$12:$A$14</c:f>
              <c:strCache>
                <c:ptCount val="0"/>
              </c:strCache>
            </c:strRef>
          </c:cat>
          <c:val>
            <c:numRef>
              <c:f>'群組差異'!$C$12:$C$14</c:f>
              <c:numCache>
                <c:formatCode>0.00x</c:formatCode>
                <c:ptCount val="0"/>
              </c:numCache>
            </c:numRef>
          </c:val>
        </c:ser>
        <c:ser>
          <c:idx val="2"/>
          <c:order val="2"/>
          <c:tx>
            <c:v>持續事件比</c:v>
          </c:tx>
          <c:cat>
            <c:strRef>
              <c:f>'群組差異'!$A$12:$A$14</c:f>
              <c:strCache>
                <c:ptCount val="0"/>
              </c:strCache>
            </c:strRef>
          </c:cat>
          <c:val>
            <c:numRef>
              <c:f>'群組差異'!$D$12:$D$14</c:f>
              <c:numCache>
                <c:formatCode>0.00x</c:formatCode>
                <c:ptCount val="0"/>
              </c:numCache>
            </c:numRef>
          </c:val>
        </c:ser>
        <c:ser>
          <c:idx val="3"/>
          <c:order val="3"/>
          <c:tx>
            <c:v>容量比</c:v>
          </c:tx>
          <c:cat>
            <c:strRef>
              <c:f>'群組差異'!$A$12:$A$14</c:f>
              <c:strCache>
                <c:ptCount val="0"/>
              </c:strCache>
            </c:strRef>
          </c:cat>
          <c:val>
            <c:numRef>
              <c:f>'群組差異'!$E$12:$E$14</c:f>
              <c:numCache>
                <c:formatCode>0.00x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無車可借率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總變動</c:v>
          </c:tx>
          <c:marker>
            <c:symbol val="none"/>
          </c:marker>
          <c:cat>
            <c:strRef>
              <c:f>'每小時趨勢'!$A$5:$A$28</c:f>
              <c:strCache>
                <c:ptCount val="0"/>
              </c:strCache>
            </c:strRef>
          </c:cat>
          <c:val>
            <c:numRef>
              <c:f>'每小時趨勢'!$B$5:$B$28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一般變動</c:v>
          </c:tx>
          <c:marker>
            <c:symbol val="none"/>
          </c:marker>
          <c:cat>
            <c:strRef>
              <c:f>'每小時趨勢'!$A$5:$A$28</c:f>
              <c:strCache>
                <c:ptCount val="0"/>
              </c:strCache>
            </c:strRef>
          </c:cat>
          <c:val>
            <c:numRef>
              <c:f>'每小時趨勢'!$C$5:$C$28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大幅變動</c:v>
          </c:tx>
          <c:marker>
            <c:symbol val="none"/>
          </c:marker>
          <c:cat>
            <c:strRef>
              <c:f>'每小時趨勢'!$A$5:$A$28</c:f>
              <c:strCache>
                <c:ptCount val="0"/>
              </c:strCache>
            </c:strRef>
          </c:cat>
          <c:val>
            <c:numRef>
              <c:f>'每小時趨勢'!$D$5:$D$28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無位可還率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總變動</c:v>
          </c:tx>
          <c:marker>
            <c:symbol val="none"/>
          </c:marker>
          <c:cat>
            <c:strRef>
              <c:f>'每小時趨勢'!$F$5:$F$28</c:f>
              <c:strCache>
                <c:ptCount val="0"/>
              </c:strCache>
            </c:strRef>
          </c:cat>
          <c:val>
            <c:numRef>
              <c:f>'每小時趨勢'!$G$5:$G$28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一般變動</c:v>
          </c:tx>
          <c:marker>
            <c:symbol val="none"/>
          </c:marker>
          <c:cat>
            <c:strRef>
              <c:f>'每小時趨勢'!$F$5:$F$28</c:f>
              <c:strCache>
                <c:ptCount val="0"/>
              </c:strCache>
            </c:strRef>
          </c:cat>
          <c:val>
            <c:numRef>
              <c:f>'每小時趨勢'!$H$5:$H$28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大幅變動</c:v>
          </c:tx>
          <c:marker>
            <c:symbol val="none"/>
          </c:marker>
          <c:cat>
            <c:strRef>
              <c:f>'每小時趨勢'!$F$5:$F$28</c:f>
              <c:strCache>
                <c:ptCount val="0"/>
              </c:strCache>
            </c:strRef>
          </c:cat>
          <c:val>
            <c:numRef>
              <c:f>'每小時趨勢'!$I$5:$I$28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每快照絕對變動量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總變動</c:v>
          </c:tx>
          <c:marker>
            <c:symbol val="none"/>
          </c:marker>
          <c:cat>
            <c:strRef>
              <c:f>'每小時趨勢'!$K$5:$K$28</c:f>
              <c:strCache>
                <c:ptCount val="0"/>
              </c:strCache>
            </c:strRef>
          </c:cat>
          <c:val>
            <c:numRef>
              <c:f>'每小時趨勢'!$L$5:$L$28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一般變動</c:v>
          </c:tx>
          <c:marker>
            <c:symbol val="none"/>
          </c:marker>
          <c:cat>
            <c:strRef>
              <c:f>'每小時趨勢'!$K$5:$K$28</c:f>
              <c:strCache>
                <c:ptCount val="0"/>
              </c:strCache>
            </c:strRef>
          </c:cat>
          <c:val>
            <c:numRef>
              <c:f>'每小時趨勢'!$M$5:$M$28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大幅變動</c:v>
          </c:tx>
          <c:marker>
            <c:symbol val="none"/>
          </c:marker>
          <c:cat>
            <c:strRef>
              <c:f>'每小時趨勢'!$K$5:$K$28</c:f>
              <c:strCache>
                <c:ptCount val="0"/>
              </c:strCache>
            </c:strRef>
          </c:cat>
          <c:val>
            <c:numRef>
              <c:f>'每小時趨勢'!$N$5:$N$28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無車事件持續時間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總變動</c:v>
          </c:tx>
          <c:cat>
            <c:strRef>
              <c:f>'事件持續時間'!$A$6:$A$10</c:f>
              <c:strCache>
                <c:ptCount val="0"/>
              </c:strCache>
            </c:strRef>
          </c:cat>
          <c:val>
            <c:numRef>
              <c:f>'事件持續時間'!$B$6:$B$10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一般變動</c:v>
          </c:tx>
          <c:cat>
            <c:strRef>
              <c:f>'事件持續時間'!$A$6:$A$10</c:f>
              <c:strCache>
                <c:ptCount val="0"/>
              </c:strCache>
            </c:strRef>
          </c:cat>
          <c:val>
            <c:numRef>
              <c:f>'事件持續時間'!$C$6:$C$10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大幅變動</c:v>
          </c:tx>
          <c:cat>
            <c:strRef>
              <c:f>'事件持續時間'!$A$6:$A$10</c:f>
              <c:strCache>
                <c:ptCount val="0"/>
              </c:strCache>
            </c:strRef>
          </c:cat>
          <c:val>
            <c:numRef>
              <c:f>'事件持續時間'!$D$6:$D$10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滿柱事件持續時間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總變動</c:v>
          </c:tx>
          <c:cat>
            <c:strRef>
              <c:f>'事件持續時間'!$F$6:$F$10</c:f>
              <c:strCache>
                <c:ptCount val="0"/>
              </c:strCache>
            </c:strRef>
          </c:cat>
          <c:val>
            <c:numRef>
              <c:f>'事件持續時間'!$G$6:$G$10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一般變動</c:v>
          </c:tx>
          <c:cat>
            <c:strRef>
              <c:f>'事件持續時間'!$F$6:$F$10</c:f>
              <c:strCache>
                <c:ptCount val="0"/>
              </c:strCache>
            </c:strRef>
          </c:cat>
          <c:val>
            <c:numRef>
              <c:f>'事件持續時間'!$H$6:$H$10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大幅變動</c:v>
          </c:tx>
          <c:cat>
            <c:strRef>
              <c:f>'事件持續時間'!$F$6:$F$10</c:f>
              <c:strCache>
                <c:ptCount val="0"/>
              </c:strCache>
            </c:strRef>
          </c:cat>
          <c:val>
            <c:numRef>
              <c:f>'事件持續時間'!$I$6:$I$10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無車前後：平均可借比例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總變動</c:v>
          </c:tx>
          <c:marker>
            <c:symbol val="none"/>
          </c:marker>
          <c:cat>
            <c:strRef>
              <c:f>'事件前後軌跡'!$A$5:$A$11</c:f>
              <c:strCache>
                <c:ptCount val="0"/>
              </c:strCache>
            </c:strRef>
          </c:cat>
          <c:val>
            <c:numRef>
              <c:f>'事件前後軌跡'!$B$5:$B$11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一般變動</c:v>
          </c:tx>
          <c:marker>
            <c:symbol val="none"/>
          </c:marker>
          <c:cat>
            <c:strRef>
              <c:f>'事件前後軌跡'!$A$5:$A$11</c:f>
              <c:strCache>
                <c:ptCount val="0"/>
              </c:strCache>
            </c:strRef>
          </c:cat>
          <c:val>
            <c:numRef>
              <c:f>'事件前後軌跡'!$C$5:$C$11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大幅變動</c:v>
          </c:tx>
          <c:marker>
            <c:symbol val="none"/>
          </c:marker>
          <c:cat>
            <c:strRef>
              <c:f>'事件前後軌跡'!$A$5:$A$11</c:f>
              <c:strCache>
                <c:ptCount val="0"/>
              </c:strCache>
            </c:strRef>
          </c:cat>
          <c:val>
            <c:numRef>
              <c:f>'事件前後軌跡'!$D$5:$D$11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3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滿柱前後：平均空位比例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總變動</c:v>
          </c:tx>
          <c:marker>
            <c:symbol val="none"/>
          </c:marker>
          <c:cat>
            <c:strRef>
              <c:f>'事件前後軌跡'!$F$5:$F$11</c:f>
              <c:strCache>
                <c:ptCount val="0"/>
              </c:strCache>
            </c:strRef>
          </c:cat>
          <c:val>
            <c:numRef>
              <c:f>'事件前後軌跡'!$G$5:$G$11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一般變動</c:v>
          </c:tx>
          <c:marker>
            <c:symbol val="none"/>
          </c:marker>
          <c:cat>
            <c:strRef>
              <c:f>'事件前後軌跡'!$F$5:$F$11</c:f>
              <c:strCache>
                <c:ptCount val="0"/>
              </c:strCache>
            </c:strRef>
          </c:cat>
          <c:val>
            <c:numRef>
              <c:f>'事件前後軌跡'!$H$5:$H$11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大幅變動</c:v>
          </c:tx>
          <c:marker>
            <c:symbol val="none"/>
          </c:marker>
          <c:cat>
            <c:strRef>
              <c:f>'事件前後軌跡'!$F$5:$F$11</c:f>
              <c:strCache>
                <c:ptCount val="0"/>
              </c:strCache>
            </c:strRef>
          </c:cat>
          <c:val>
            <c:numRef>
              <c:f>'事件前後軌跡'!$I$5:$I$11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0.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60分鐘後無車風險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總變動</c:v>
          </c:tx>
          <c:marker>
            <c:symbol val="none"/>
          </c:marker>
          <c:cat>
            <c:strRef>
              <c:f>'轉換風險'!$A$25:$A$29</c:f>
              <c:strCache>
                <c:ptCount val="0"/>
              </c:strCache>
            </c:strRef>
          </c:cat>
          <c:val>
            <c:numRef>
              <c:f>'轉換風險'!$B$25:$B$29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一般變動</c:v>
          </c:tx>
          <c:marker>
            <c:symbol val="none"/>
          </c:marker>
          <c:cat>
            <c:strRef>
              <c:f>'轉換風險'!$A$25:$A$29</c:f>
              <c:strCache>
                <c:ptCount val="0"/>
              </c:strCache>
            </c:strRef>
          </c:cat>
          <c:val>
            <c:numRef>
              <c:f>'轉換風險'!$C$25:$C$29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大幅變動</c:v>
          </c:tx>
          <c:marker>
            <c:symbol val="none"/>
          </c:marker>
          <c:cat>
            <c:strRef>
              <c:f>'轉換風險'!$A$25:$A$29</c:f>
              <c:strCache>
                <c:ptCount val="0"/>
              </c:strCache>
            </c:strRef>
          </c:cat>
          <c:val>
            <c:numRef>
              <c:f>'轉換風險'!$D$25:$D$29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60分鐘後滿柱風險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總變動</c:v>
          </c:tx>
          <c:marker>
            <c:symbol val="none"/>
          </c:marker>
          <c:cat>
            <c:strRef>
              <c:f>'轉換風險'!$F$25:$F$29</c:f>
              <c:strCache>
                <c:ptCount val="0"/>
              </c:strCache>
            </c:strRef>
          </c:cat>
          <c:val>
            <c:numRef>
              <c:f>'轉換風險'!$G$25:$G$29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一般變動</c:v>
          </c:tx>
          <c:marker>
            <c:symbol val="none"/>
          </c:marker>
          <c:cat>
            <c:strRef>
              <c:f>'轉換風險'!$F$25:$F$29</c:f>
              <c:strCache>
                <c:ptCount val="0"/>
              </c:strCache>
            </c:strRef>
          </c:cat>
          <c:val>
            <c:numRef>
              <c:f>'轉換風險'!$H$25:$H$29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大幅變動</c:v>
          </c:tx>
          <c:marker>
            <c:symbol val="none"/>
          </c:marker>
          <c:cat>
            <c:strRef>
              <c:f>'轉換風險'!$F$25:$F$29</c:f>
              <c:strCache>
                <c:ptCount val="0"/>
              </c:strCache>
            </c:strRef>
          </c:cat>
          <c:val>
            <c:numRef>
              <c:f>'轉換風險'!$I$25:$I$29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高失衡負擔的重要站案例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尖峰失衡快照</c:v>
          </c:tx>
          <c:cat>
            <c:strRef>
              <c:f>'高風險重要站'!$N$5:$N$19</c:f>
              <c:strCache>
                <c:ptCount val="0"/>
              </c:strCache>
            </c:strRef>
          </c:cat>
          <c:val>
            <c:numRef>
              <c:f>'高風險重要站'!$O$5:$O$19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持續事件數</c:v>
          </c:tx>
          <c:cat>
            <c:strRef>
              <c:f>'高風險重要站'!$N$5:$N$19</c:f>
              <c:strCache>
                <c:ptCount val="0"/>
              </c:strCache>
            </c:strRef>
          </c:cat>
          <c:val>
            <c:numRef>
              <c:f>'高風險重要站'!$P$5:$P$19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前25%站點的行政區組成（前12）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總變動</c:v>
          </c:tx>
          <c:cat>
            <c:strRef>
              <c:f>'大幅變動與行政區'!$M$5:$M$16</c:f>
              <c:strCache>
                <c:ptCount val="0"/>
              </c:strCache>
            </c:strRef>
          </c:cat>
          <c:val>
            <c:numRef>
              <c:f>'大幅變動與行政區'!$N$5:$N$16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一般變動</c:v>
          </c:tx>
          <c:cat>
            <c:strRef>
              <c:f>'大幅變動與行政區'!$M$5:$M$16</c:f>
              <c:strCache>
                <c:ptCount val="0"/>
              </c:strCache>
            </c:strRef>
          </c:cat>
          <c:val>
            <c:numRef>
              <c:f>'大幅變動與行政區'!$O$5:$O$16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大幅變動</c:v>
          </c:tx>
          <c:cat>
            <c:strRef>
              <c:f>'大幅變動與行政區'!$M$5:$M$16</c:f>
              <c:strCache>
                <c:ptCount val="0"/>
              </c:strCache>
            </c:strRef>
          </c:cat>
          <c:val>
            <c:numRef>
              <c:f>'大幅變動與行政區'!$P$5:$P$16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808dde146d405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25c84086f2b4a5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1305c4365945bd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18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b9662e8cd14df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20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385626ebe14fa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20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f924b67b854b9d"/>
        </a:graphicData>
      </a:graphic>
    </xdr:graphicFrame>
    <xdr:clientData/>
  </xdr:twoCellAnchor>
  <xdr:twoCellAnchor>
    <xdr:from>
      <xdr:col>15</xdr:col>
      <xdr:colOff>0</xdr:colOff>
      <xdr:row>16</xdr:row>
      <xdr:rowOff>0</xdr:rowOff>
    </xdr:from>
    <xdr:to>
      <xdr:col>20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10ad29c93b4858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b555b3721c45f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20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5c55693fc24255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7a6ceea25542c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20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8f9d5802b04b89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d38268bfcd42ac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ca9a323f494ef5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22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8ad65ba0db4b7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13</xdr:col>
      <xdr:colOff>0</xdr:colOff>
      <xdr:row>21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c3247b48254b28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12</xdr:col>
      <xdr:colOff>0</xdr:colOff>
      <xdr:row>19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16af0c241d4c6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7e23810a734e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4c9be6dc49b46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8187fb0ddbd945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549142b0c2e540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db86a38055b947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4adf4a6e4c9147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7.xml" Id="R813cea6a723b40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8.xml" Id="Rb855fc674be34cc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9.xml" Id="R4e6ad6a24f2041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0.xml" Id="R9a6ec55886a342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54" hidden="0" customWidth="1"/>
  </x:cols>
  <x:sheetData>
    <x:row r="1" ht="34" customHeight="1">
      <x:c r="A1" s="3" t="str">
        <x:v>YouBike 前25%重要站：三種排名敏感度分析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開發期：2026年1–4月；五月作外部月份驗證；六月仍保留。這份報告只做資料分析，不代表已決定模型訓練站點。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  <x:c r="R3" s="232"/>
    </x:row>
    <x:row r="4">
      <x:c r="A4" s="16" t="str">
        <x:v>符合分析條件站點</x:v>
      </x:c>
      <x:c r="B4" s="17"/>
      <x:c r="C4" s="18"/>
      <x:c r="D4" s="232"/>
      <x:c r="E4" s="16" t="str">
        <x:v>每份前25%站數</x:v>
      </x:c>
      <x:c r="F4" s="17"/>
      <x:c r="G4" s="18"/>
      <x:c r="H4" s="232"/>
      <x:c r="I4" s="52" t="str">
        <x:v>總變動∩一般變動</x:v>
      </x:c>
      <x:c r="J4" s="53"/>
      <x:c r="K4" s="54"/>
      <x:c r="L4" s="232"/>
      <x:c r="M4" s="52" t="str">
        <x:v>三份共同核心</x:v>
      </x:c>
      <x:c r="N4" s="53"/>
      <x:c r="O4" s="54"/>
      <x:c r="P4" s="232"/>
      <x:c r="Q4" s="86" t="str">
        <x:v>五月一般名單留存率</x:v>
      </x:c>
      <x:c r="R4" s="87"/>
    </x:row>
    <x:row r="5">
      <x:c r="A5" s="38" t="n">
        <x:v>1490</x:v>
      </x:c>
      <x:c r="B5" s="39"/>
      <x:c r="C5" s="40"/>
      <x:c r="D5" s="232"/>
      <x:c r="E5" s="38" t="n">
        <x:v>373</x:v>
      </x:c>
      <x:c r="F5" s="39"/>
      <x:c r="G5" s="40"/>
      <x:c r="H5" s="232"/>
      <x:c r="I5" s="74" t="n">
        <x:v>368</x:v>
      </x:c>
      <x:c r="J5" s="75"/>
      <x:c r="K5" s="76"/>
      <x:c r="L5" s="232"/>
      <x:c r="M5" s="74" t="n">
        <x:v>299</x:v>
      </x:c>
      <x:c r="N5" s="75"/>
      <x:c r="O5" s="76"/>
      <x:c r="P5" s="232"/>
      <x:c r="Q5" s="101" t="n">
        <x:v>0.8954423592493298</x:v>
      </x:c>
      <x:c r="R5" s="102"/>
    </x:row>
    <x:row r="6">
      <x:c r="A6" s="41"/>
      <x:c r="B6" s="42"/>
      <x:c r="C6" s="43"/>
      <x:c r="D6" s="232"/>
      <x:c r="E6" s="41"/>
      <x:c r="F6" s="42"/>
      <x:c r="G6" s="43"/>
      <x:c r="H6" s="232"/>
      <x:c r="I6" s="77"/>
      <x:c r="J6" s="78"/>
      <x:c r="K6" s="79"/>
      <x:c r="L6" s="232"/>
      <x:c r="M6" s="77"/>
      <x:c r="N6" s="78"/>
      <x:c r="O6" s="79"/>
      <x:c r="P6" s="232"/>
      <x:c r="Q6" s="103"/>
      <x:c r="R6" s="104"/>
    </x:row>
    <x:row r="7">
      <x:c r="A7" s="232"/>
      <x:c r="B7" s="232"/>
      <x:c r="C7" s="232"/>
      <x:c r="D7" s="232"/>
      <x:c r="E7" s="232"/>
      <x:c r="F7" s="232"/>
      <x:c r="G7" s="232"/>
      <x:c r="H7" s="232"/>
      <x:c r="I7" s="232"/>
      <x:c r="J7" s="232"/>
      <x:c r="K7" s="232"/>
      <x:c r="L7" s="232"/>
      <x:c r="M7" s="232"/>
      <x:c r="N7" s="232"/>
      <x:c r="O7" s="232"/>
      <x:c r="P7" s="232"/>
      <x:c r="Q7" s="232"/>
      <x:c r="R7" s="232"/>
    </x:row>
    <x:row r="8" ht="25" customHeight="1">
      <x:c r="A8" s="106" t="str">
        <x:v>直接結論</x:v>
      </x:c>
      <x:c r="B8" s="106"/>
      <x:c r="C8" s="106"/>
      <x:c r="D8" s="106"/>
      <x:c r="E8" s="106"/>
      <x:c r="F8" s="106"/>
      <x:c r="G8" s="106"/>
      <x:c r="H8" s="106"/>
      <x:c r="I8" s="106"/>
      <x:c r="J8" s="106"/>
      <x:c r="K8" s="106"/>
      <x:c r="L8" s="106"/>
      <x:c r="M8" s="106"/>
      <x:c r="N8" s="106"/>
      <x:c r="O8" s="106"/>
      <x:c r="P8" s="106"/>
      <x:c r="Q8" s="106"/>
      <x:c r="R8" s="106"/>
    </x:row>
    <x:row r="9" ht="30" customHeight="1">
      <x:c r="A9" s="112" t="str">
        <x:v>序號</x:v>
      </x:c>
      <x:c r="B9" s="112" t="str">
        <x:v>發現</x:v>
      </x:c>
      <x:c r="C9" s="112" t="str">
        <x:v>數據證據</x:v>
      </x:c>
      <x:c r="D9" s="112" t="str">
        <x:v>對專題的含意</x:v>
      </x:c>
      <x:c r="E9" s="232"/>
      <x:c r="F9" s="232"/>
      <x:c r="G9" s="232"/>
      <x:c r="H9" s="232"/>
      <x:c r="I9" s="232"/>
      <x:c r="J9" s="232"/>
      <x:c r="K9" s="232"/>
      <x:c r="L9" s="232"/>
      <x:c r="M9" s="232"/>
      <x:c r="N9" s="232"/>
      <x:c r="O9" s="232"/>
      <x:c r="P9" s="232"/>
      <x:c r="Q9" s="232"/>
      <x:c r="R9" s="232"/>
    </x:row>
    <x:row r="10" ht="64" customHeight="1">
      <x:c r="A10" s="117" t="str">
        <x:v>1</x:v>
      </x:c>
      <x:c r="B10" s="117" t="str">
        <x:v>總變動與一般變動幾乎是同一份名單</x:v>
      </x:c>
      <x:c r="C10" s="117" t="str">
        <x:v>兩份各373站，其中368站重疊；Jaccard=97.4%。排除探索性大幅跳動，整體前25%選站幾乎不變。</x:v>
      </x:c>
      <x:c r="D10" s="117" t="str">
        <x:v>第一版描述重要站時可用總變動，較直觀；若要論述自然需求，再以一般變動做敏感度驗證。</x:v>
      </x:c>
      <x:c r="E10" s="232"/>
      <x:c r="F10" s="232"/>
      <x:c r="G10" s="232"/>
      <x:c r="H10" s="232"/>
      <x:c r="I10" s="232"/>
      <x:c r="J10" s="232"/>
      <x:c r="K10" s="232"/>
      <x:c r="L10" s="232"/>
      <x:c r="M10" s="232"/>
      <x:c r="N10" s="232"/>
      <x:c r="O10" s="232"/>
      <x:c r="P10" s="232"/>
      <x:c r="Q10" s="232"/>
      <x:c r="R10" s="232"/>
    </x:row>
    <x:row r="11" ht="64" customHeight="1">
      <x:c r="A11" s="116" t="str">
        <x:v>2</x:v>
      </x:c>
      <x:c r="B11" s="116" t="str">
        <x:v>大幅變動名單是不同問題</x:v>
      </x:c>
      <x:c r="C11" s="116" t="str">
        <x:v>與總變動只重疊304站，三份共同核心299站；五月留存率也較低。</x:v>
      </x:c>
      <x:c r="D11" s="116" t="str">
        <x:v>不要把大幅變動直接刪掉，也不要把它當成已知運補；應保留為營運介入／異常程度的輔助特徵。</x:v>
      </x:c>
      <x:c r="E11" s="232"/>
      <x:c r="F11" s="232"/>
      <x:c r="G11" s="232"/>
      <x:c r="H11" s="232"/>
      <x:c r="I11" s="232"/>
      <x:c r="J11" s="232"/>
      <x:c r="K11" s="232"/>
      <x:c r="L11" s="232"/>
      <x:c r="M11" s="232"/>
      <x:c r="N11" s="232"/>
      <x:c r="O11" s="232"/>
      <x:c r="P11" s="232"/>
      <x:c r="Q11" s="232"/>
      <x:c r="R11" s="232"/>
    </x:row>
    <x:row r="12" ht="64" customHeight="1">
      <x:c r="A12" s="117" t="str">
        <x:v>3</x:v>
      </x:c>
      <x:c r="B12" s="117" t="str">
        <x:v>重要代表活動量高，不等於失敗率高</x:v>
      </x:c>
      <x:c r="C12" s="117" t="str">
        <x:v>五月前25%站的每日變動量約為其他站2.46倍，但尖峰失衡率略低；持續事件數則約為1.31–1.33倍。</x:v>
      </x:c>
      <x:c r="D12" s="117" t="str">
        <x:v>站點優先度應拆成『需求／活動重要性』與『服務失敗風險』兩條軸，不能只用一個排行榜。</x:v>
      </x:c>
      <x:c r="E12" s="232"/>
      <x:c r="F12" s="232"/>
      <x:c r="G12" s="232"/>
      <x:c r="H12" s="232"/>
      <x:c r="I12" s="232"/>
      <x:c r="J12" s="232"/>
      <x:c r="K12" s="232"/>
      <x:c r="L12" s="232"/>
      <x:c r="M12" s="232"/>
      <x:c r="N12" s="232"/>
      <x:c r="O12" s="232"/>
      <x:c r="P12" s="232"/>
      <x:c r="Q12" s="232"/>
      <x:c r="R12" s="232"/>
    </x:row>
    <x:row r="13" ht="64" customHeight="1">
      <x:c r="A13" s="116" t="str">
        <x:v>4</x:v>
      </x:c>
      <x:c r="B13" s="116" t="str">
        <x:v>前25%能捕捉約45%的五月活動</x:v>
      </x:c>
      <x:c r="C13" s="116" t="str">
        <x:v>總變動名單捕捉45.1%，一般變動捕捉45.4%。</x:v>
      </x:c>
      <x:c r="D13" s="116" t="str">
        <x:v>若要先做重點站儀表板，前25%是合理的探索範圍；但目前沒有證據支持只用這些站訓練模型。</x:v>
      </x:c>
      <x:c r="E13" s="232"/>
      <x:c r="F13" s="232"/>
      <x:c r="G13" s="232"/>
      <x:c r="H13" s="232"/>
      <x:c r="I13" s="232"/>
      <x:c r="J13" s="232"/>
      <x:c r="K13" s="232"/>
      <x:c r="L13" s="232"/>
      <x:c r="M13" s="232"/>
      <x:c r="N13" s="232"/>
      <x:c r="O13" s="232"/>
      <x:c r="P13" s="232"/>
      <x:c r="Q13" s="232"/>
      <x:c r="R13" s="232"/>
    </x:row>
    <x:row r="14">
      <x:c r="A14" s="232"/>
      <x:c r="B14" s="232"/>
      <x:c r="C14" s="232"/>
      <x:c r="D14" s="232"/>
      <x:c r="E14" s="232"/>
      <x:c r="F14" s="232"/>
      <x:c r="G14" s="232"/>
      <x:c r="H14" s="232"/>
      <x:c r="I14" s="232"/>
      <x:c r="J14" s="232"/>
      <x:c r="K14" s="232"/>
      <x:c r="L14" s="232"/>
      <x:c r="M14" s="232"/>
      <x:c r="N14" s="232"/>
      <x:c r="O14" s="232"/>
      <x:c r="P14" s="232"/>
      <x:c r="Q14" s="232"/>
      <x:c r="R14" s="232"/>
    </x:row>
    <x:row r="15">
      <x:c r="A15" s="232"/>
      <x:c r="B15" s="232"/>
      <x:c r="C15" s="232"/>
      <x:c r="D15" s="232"/>
      <x:c r="E15" s="232"/>
      <x:c r="F15" s="232"/>
      <x:c r="G15" s="232"/>
      <x:c r="H15" s="232"/>
      <x:c r="I15" s="232"/>
      <x:c r="J15" s="232"/>
      <x:c r="K15" s="232"/>
      <x:c r="L15" s="232"/>
      <x:c r="M15" s="232"/>
      <x:c r="N15" s="232"/>
      <x:c r="O15" s="232"/>
      <x:c r="P15" s="232"/>
      <x:c r="Q15" s="232"/>
      <x:c r="R15" s="232"/>
    </x:row>
    <x:row r="16" ht="28" customHeight="1">
      <x:c r="A16" s="112" t="str">
        <x:v>排名版本</x:v>
      </x:c>
      <x:c r="B16" s="112" t="str">
        <x:v>五月前25%留存率</x:v>
      </x:c>
      <x:c r="C16" s="112" t="str">
        <x:v>五月活動捕捉率</x:v>
      </x:c>
      <x:c r="D16" s="232"/>
      <x:c r="E16" s="232"/>
      <x:c r="F16" s="232"/>
      <x:c r="G16" s="232"/>
      <x:c r="H16" s="232"/>
      <x:c r="I16" s="232"/>
      <x:c r="J16" s="232"/>
      <x:c r="K16" s="232"/>
      <x:c r="L16" s="232"/>
      <x:c r="M16" s="141" t="str">
        <x:v>建議目前採用的分析口徑
主名單：一般變動前25%（較接近排除疑似營運介入後的活動）
對照名單：總變動前25%（容易說明、結果幾乎相同）
輔助標籤：大幅變動前25%（可能反映運補、團體借還、活動或資料問題）
模型階段仍建議保留全站資料，再用站點重要度做評估加權或營運排序。</x:v>
      </x:c>
      <x:c r="N16" s="142"/>
      <x:c r="O16" s="142"/>
      <x:c r="P16" s="142"/>
      <x:c r="Q16" s="142"/>
      <x:c r="R16" s="143"/>
    </x:row>
    <x:row r="17">
      <x:c r="A17" s="120" t="str">
        <x:v>總變動</x:v>
      </x:c>
      <x:c r="B17" s="121" t="n">
        <x:v>0.8900804289544236</x:v>
      </x:c>
      <x:c r="C17" s="121" t="n">
        <x:v>0.45126743547235043</x:v>
      </x:c>
      <x:c r="D17" s="232"/>
      <x:c r="E17" s="232"/>
      <x:c r="F17" s="232"/>
      <x:c r="G17" s="232"/>
      <x:c r="H17" s="232"/>
      <x:c r="I17" s="232"/>
      <x:c r="J17" s="232"/>
      <x:c r="K17" s="232"/>
      <x:c r="L17" s="232"/>
      <x:c r="M17" s="144"/>
      <x:c r="N17" s="145"/>
      <x:c r="O17" s="145"/>
      <x:c r="P17" s="145"/>
      <x:c r="Q17" s="145"/>
      <x:c r="R17" s="146"/>
    </x:row>
    <x:row r="18">
      <x:c r="A18" s="119" t="str">
        <x:v>一般變動</x:v>
      </x:c>
      <x:c r="B18" s="122" t="n">
        <x:v>0.8954423592493298</x:v>
      </x:c>
      <x:c r="C18" s="122" t="n">
        <x:v>0.4544786570820046</x:v>
      </x:c>
      <x:c r="D18" s="232"/>
      <x:c r="E18" s="232"/>
      <x:c r="F18" s="232"/>
      <x:c r="G18" s="232"/>
      <x:c r="H18" s="232"/>
      <x:c r="I18" s="232"/>
      <x:c r="J18" s="232"/>
      <x:c r="K18" s="232"/>
      <x:c r="L18" s="232"/>
      <x:c r="M18" s="144"/>
      <x:c r="N18" s="145"/>
      <x:c r="O18" s="145"/>
      <x:c r="P18" s="145"/>
      <x:c r="Q18" s="145"/>
      <x:c r="R18" s="146"/>
    </x:row>
    <x:row r="19">
      <x:c r="A19" s="120" t="str">
        <x:v>大幅變動</x:v>
      </x:c>
      <x:c r="B19" s="121" t="n">
        <x:v>0.7506702412868632</x:v>
      </x:c>
      <x:c r="C19" s="121" t="n">
        <x:v>0.40334230347419836</x:v>
      </x:c>
      <x:c r="D19" s="232"/>
      <x:c r="E19" s="232"/>
      <x:c r="F19" s="232"/>
      <x:c r="G19" s="232"/>
      <x:c r="H19" s="232"/>
      <x:c r="I19" s="232"/>
      <x:c r="J19" s="232"/>
      <x:c r="K19" s="232"/>
      <x:c r="L19" s="232"/>
      <x:c r="M19" s="144"/>
      <x:c r="N19" s="145"/>
      <x:c r="O19" s="145"/>
      <x:c r="P19" s="145"/>
      <x:c r="Q19" s="145"/>
      <x:c r="R19" s="146"/>
    </x:row>
    <x:row r="20">
      <x:c r="A20" s="232"/>
      <x:c r="B20" s="232"/>
      <x:c r="C20" s="232"/>
      <x:c r="D20" s="232"/>
      <x:c r="E20" s="232"/>
      <x:c r="F20" s="232"/>
      <x:c r="G20" s="232"/>
      <x:c r="H20" s="232"/>
      <x:c r="I20" s="232"/>
      <x:c r="J20" s="232"/>
      <x:c r="K20" s="232"/>
      <x:c r="L20" s="232"/>
      <x:c r="M20" s="144"/>
      <x:c r="N20" s="145"/>
      <x:c r="O20" s="145"/>
      <x:c r="P20" s="145"/>
      <x:c r="Q20" s="145"/>
      <x:c r="R20" s="146"/>
    </x:row>
    <x:row r="21">
      <x:c r="A21" s="232"/>
      <x:c r="B21" s="232"/>
      <x:c r="C21" s="232"/>
      <x:c r="D21" s="232"/>
      <x:c r="E21" s="232"/>
      <x:c r="F21" s="232"/>
      <x:c r="G21" s="232"/>
      <x:c r="H21" s="232"/>
      <x:c r="I21" s="232"/>
      <x:c r="J21" s="232"/>
      <x:c r="K21" s="232"/>
      <x:c r="L21" s="232"/>
      <x:c r="M21" s="144"/>
      <x:c r="N21" s="145"/>
      <x:c r="O21" s="145"/>
      <x:c r="P21" s="145"/>
      <x:c r="Q21" s="145"/>
      <x:c r="R21" s="146"/>
    </x:row>
    <x:row r="22">
      <x:c r="A22" s="232"/>
      <x:c r="B22" s="232"/>
      <x:c r="C22" s="232"/>
      <x:c r="D22" s="232"/>
      <x:c r="E22" s="232"/>
      <x:c r="F22" s="232"/>
      <x:c r="G22" s="232"/>
      <x:c r="H22" s="232"/>
      <x:c r="I22" s="232"/>
      <x:c r="J22" s="232"/>
      <x:c r="K22" s="232"/>
      <x:c r="L22" s="232"/>
      <x:c r="M22" s="144"/>
      <x:c r="N22" s="145"/>
      <x:c r="O22" s="145"/>
      <x:c r="P22" s="145"/>
      <x:c r="Q22" s="145"/>
      <x:c r="R22" s="146"/>
    </x:row>
    <x:row r="23">
      <x:c r="A23" s="232"/>
      <x:c r="B23" s="232"/>
      <x:c r="C23" s="232"/>
      <x:c r="D23" s="232"/>
      <x:c r="E23" s="232"/>
      <x:c r="F23" s="232"/>
      <x:c r="G23" s="232"/>
      <x:c r="H23" s="232"/>
      <x:c r="I23" s="232"/>
      <x:c r="J23" s="232"/>
      <x:c r="K23" s="232"/>
      <x:c r="L23" s="232"/>
      <x:c r="M23" s="144"/>
      <x:c r="N23" s="145"/>
      <x:c r="O23" s="145"/>
      <x:c r="P23" s="145"/>
      <x:c r="Q23" s="145"/>
      <x:c r="R23" s="146"/>
    </x:row>
    <x:row r="24">
      <x:c r="A24" s="232"/>
      <x:c r="B24" s="232"/>
      <x:c r="C24" s="232"/>
      <x:c r="D24" s="232"/>
      <x:c r="E24" s="232"/>
      <x:c r="F24" s="232"/>
      <x:c r="G24" s="232"/>
      <x:c r="H24" s="232"/>
      <x:c r="I24" s="232"/>
      <x:c r="J24" s="232"/>
      <x:c r="K24" s="232"/>
      <x:c r="L24" s="232"/>
      <x:c r="M24" s="144"/>
      <x:c r="N24" s="145"/>
      <x:c r="O24" s="145"/>
      <x:c r="P24" s="145"/>
      <x:c r="Q24" s="145"/>
      <x:c r="R24" s="146"/>
    </x:row>
    <x:row r="25">
      <x:c r="A25" s="232"/>
      <x:c r="B25" s="232"/>
      <x:c r="C25" s="232"/>
      <x:c r="D25" s="232"/>
      <x:c r="E25" s="232"/>
      <x:c r="F25" s="232"/>
      <x:c r="G25" s="232"/>
      <x:c r="H25" s="232"/>
      <x:c r="I25" s="232"/>
      <x:c r="J25" s="232"/>
      <x:c r="K25" s="232"/>
      <x:c r="L25" s="232"/>
      <x:c r="M25" s="144"/>
      <x:c r="N25" s="145"/>
      <x:c r="O25" s="145"/>
      <x:c r="P25" s="145"/>
      <x:c r="Q25" s="145"/>
      <x:c r="R25" s="146"/>
    </x:row>
    <x:row r="26">
      <x:c r="A26" s="232"/>
      <x:c r="B26" s="232"/>
      <x:c r="C26" s="232"/>
      <x:c r="D26" s="232"/>
      <x:c r="E26" s="232"/>
      <x:c r="F26" s="232"/>
      <x:c r="G26" s="232"/>
      <x:c r="H26" s="232"/>
      <x:c r="I26" s="232"/>
      <x:c r="J26" s="232"/>
      <x:c r="K26" s="232"/>
      <x:c r="L26" s="232"/>
      <x:c r="M26" s="144"/>
      <x:c r="N26" s="145"/>
      <x:c r="O26" s="145"/>
      <x:c r="P26" s="145"/>
      <x:c r="Q26" s="145"/>
      <x:c r="R26" s="146"/>
    </x:row>
    <x:row r="27">
      <x:c r="A27" s="232"/>
      <x:c r="B27" s="232"/>
      <x:c r="C27" s="232"/>
      <x:c r="D27" s="232"/>
      <x:c r="E27" s="232"/>
      <x:c r="F27" s="232"/>
      <x:c r="G27" s="232"/>
      <x:c r="H27" s="232"/>
      <x:c r="I27" s="232"/>
      <x:c r="J27" s="232"/>
      <x:c r="K27" s="232"/>
      <x:c r="L27" s="232"/>
      <x:c r="M27" s="144"/>
      <x:c r="N27" s="145"/>
      <x:c r="O27" s="145"/>
      <x:c r="P27" s="145"/>
      <x:c r="Q27" s="145"/>
      <x:c r="R27" s="146"/>
    </x:row>
    <x:row r="28">
      <x:c r="A28" s="232"/>
      <x:c r="B28" s="232"/>
      <x:c r="C28" s="232"/>
      <x:c r="D28" s="232"/>
      <x:c r="E28" s="232"/>
      <x:c r="F28" s="232"/>
      <x:c r="G28" s="232"/>
      <x:c r="H28" s="232"/>
      <x:c r="I28" s="232"/>
      <x:c r="J28" s="232"/>
      <x:c r="K28" s="232"/>
      <x:c r="L28" s="232"/>
      <x:c r="M28" s="144"/>
      <x:c r="N28" s="145"/>
      <x:c r="O28" s="145"/>
      <x:c r="P28" s="145"/>
      <x:c r="Q28" s="145"/>
      <x:c r="R28" s="146"/>
    </x:row>
    <x:row r="29">
      <x:c r="A29" s="232"/>
      <x:c r="B29" s="232"/>
      <x:c r="C29" s="232"/>
      <x:c r="D29" s="232"/>
      <x:c r="E29" s="232"/>
      <x:c r="F29" s="232"/>
      <x:c r="G29" s="232"/>
      <x:c r="H29" s="232"/>
      <x:c r="I29" s="232"/>
      <x:c r="J29" s="232"/>
      <x:c r="K29" s="232"/>
      <x:c r="L29" s="232"/>
      <x:c r="M29" s="147"/>
      <x:c r="N29" s="148"/>
      <x:c r="O29" s="148"/>
      <x:c r="P29" s="148"/>
      <x:c r="Q29" s="148"/>
      <x:c r="R29" s="149"/>
    </x:row>
  </x:sheetData>
  <x:mergeCells>
    <x:mergeCell ref="A1:R1"/>
    <x:mergeCell ref="A2:R2"/>
    <x:mergeCell ref="A4:C4"/>
    <x:mergeCell ref="A5:C6"/>
    <x:mergeCell ref="E4:G4"/>
    <x:mergeCell ref="E5:G6"/>
    <x:mergeCell ref="I4:K4"/>
    <x:mergeCell ref="I5:K6"/>
    <x:mergeCell ref="M4:O4"/>
    <x:mergeCell ref="M5:O6"/>
    <x:mergeCell ref="Q4:R4"/>
    <x:mergeCell ref="Q5:R6"/>
    <x:mergeCell ref="A8:R8"/>
    <x:mergeCell ref="M16:R29"/>
  </x:mergeCells>
  <x:pageMargins left="0.7" right="0.7" top="0.75" bottom="0.75" header="0.3" footer="0.3"/>
  <x:drawing xmlns:r="http://schemas.openxmlformats.org/officeDocument/2006/relationships" r:id="Re97e23810a734ef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</x:cols>
  <x:sheetData>
    <x:row r="1" ht="34" customHeight="1">
      <x:c r="A1" s="3" t="str">
        <x:v>三種前25%排名如何計算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8" customHeight="1">
      <x:c r="A2" s="7" t="str">
        <x:v>先把『活動重要性』定義清楚，再談哪些站值得優先監控。所有排名只使用1–4月，五月只拿來驗證。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</x:row>
    <x:row r="4" ht="28" customHeight="1">
      <x:c r="A4" s="112" t="str">
        <x:v>設定</x:v>
      </x:c>
      <x:c r="B4" s="112" t="str">
        <x:v>值</x:v>
      </x:c>
      <x:c r="C4" s="112" t="str">
        <x:v>說明</x:v>
      </x:c>
      <x:c r="D4" s="232"/>
      <x:c r="E4" s="232"/>
      <x:c r="F4" s="232"/>
      <x:c r="G4" s="141" t="str">
        <x:v>大幅跳動探索標記
站點月內30分鐘車數變化絕對值前0.5%，且至少5台；只是探索性標記，不等同已知運補。
這個標記的正確用法是『保留並比較』：同時呈現含跳動與不含跳動的結果，再看結論是否改變。它不能直接被命名為運補。</x:v>
      </x:c>
      <x:c r="H4" s="142"/>
      <x:c r="I4" s="142"/>
      <x:c r="J4" s="142"/>
      <x:c r="K4" s="142"/>
      <x:c r="L4" s="142"/>
      <x:c r="M4" s="142"/>
      <x:c r="N4" s="143"/>
    </x:row>
    <x:row r="5" ht="40" customHeight="1">
      <x:c r="A5" s="117" t="str">
        <x:v>符合條件站點數</x:v>
      </x:c>
      <x:c r="B5" s="117" t="n">
        <x:v>1490</x:v>
      </x:c>
      <x:c r="C5" s="117" t="str">
        <x:v>開發期至少60個有效日，且觀測覆蓋率至少75%</x:v>
      </x:c>
      <x:c r="D5" s="232"/>
      <x:c r="E5" s="232"/>
      <x:c r="F5" s="232"/>
      <x:c r="G5" s="144"/>
      <x:c r="H5" s="145"/>
      <x:c r="I5" s="145"/>
      <x:c r="J5" s="145"/>
      <x:c r="K5" s="145"/>
      <x:c r="L5" s="145"/>
      <x:c r="M5" s="145"/>
      <x:c r="N5" s="146"/>
    </x:row>
    <x:row r="6" ht="40" customHeight="1">
      <x:c r="A6" s="116" t="str">
        <x:v>前25%站數</x:v>
      </x:c>
      <x:c r="B6" s="116" t="n">
        <x:v>373</x:v>
      </x:c>
      <x:c r="C6" s="116" t="str">
        <x:v>採固定名次前373站，而不是用分數值的統計四分位點，避免同分造成站數浮動</x:v>
      </x:c>
      <x:c r="D6" s="232"/>
      <x:c r="E6" s="232"/>
      <x:c r="F6" s="232"/>
      <x:c r="G6" s="144"/>
      <x:c r="H6" s="145"/>
      <x:c r="I6" s="145"/>
      <x:c r="J6" s="145"/>
      <x:c r="K6" s="145"/>
      <x:c r="L6" s="145"/>
      <x:c r="M6" s="145"/>
      <x:c r="N6" s="146"/>
    </x:row>
    <x:row r="7" ht="40" customHeight="1">
      <x:c r="A7" s="117" t="str">
        <x:v>開發期</x:v>
      </x:c>
      <x:c r="B7" s="117" t="str">
        <x:v>2026-01 至 2026-04</x:v>
      </x:c>
      <x:c r="C7" s="117" t="str">
        <x:v>計算排名與探索規律</x:v>
      </x:c>
      <x:c r="D7" s="232"/>
      <x:c r="E7" s="232"/>
      <x:c r="F7" s="232"/>
      <x:c r="G7" s="144"/>
      <x:c r="H7" s="145"/>
      <x:c r="I7" s="145"/>
      <x:c r="J7" s="145"/>
      <x:c r="K7" s="145"/>
      <x:c r="L7" s="145"/>
      <x:c r="M7" s="145"/>
      <x:c r="N7" s="146"/>
    </x:row>
    <x:row r="8" ht="40" customHeight="1">
      <x:c r="A8" s="116" t="str">
        <x:v>驗證期</x:v>
      </x:c>
      <x:c r="B8" s="116" t="str">
        <x:v>2026-05</x:v>
      </x:c>
      <x:c r="C8" s="116" t="str">
        <x:v>檢查名單能否延續到下一個月份</x:v>
      </x:c>
      <x:c r="D8" s="232"/>
      <x:c r="E8" s="232"/>
      <x:c r="F8" s="232"/>
      <x:c r="G8" s="144"/>
      <x:c r="H8" s="145"/>
      <x:c r="I8" s="145"/>
      <x:c r="J8" s="145"/>
      <x:c r="K8" s="145"/>
      <x:c r="L8" s="145"/>
      <x:c r="M8" s="145"/>
      <x:c r="N8" s="146"/>
    </x:row>
    <x:row r="9" ht="40" customHeight="1">
      <x:c r="A9" s="117" t="str">
        <x:v>保留期</x:v>
      </x:c>
      <x:c r="B9" s="117" t="str">
        <x:v>2026-06（未使用）</x:v>
      </x:c>
      <x:c r="C9" s="117" t="str">
        <x:v>尚未使用，留給模型與門檻凍結後的最終測試</x:v>
      </x:c>
      <x:c r="D9" s="232"/>
      <x:c r="E9" s="232"/>
      <x:c r="F9" s="232"/>
      <x:c r="G9" s="147"/>
      <x:c r="H9" s="148"/>
      <x:c r="I9" s="148"/>
      <x:c r="J9" s="148"/>
      <x:c r="K9" s="148"/>
      <x:c r="L9" s="148"/>
      <x:c r="M9" s="148"/>
      <x:c r="N9" s="149"/>
    </x:row>
    <x:row r="10">
      <x:c r="A10" s="232"/>
      <x:c r="B10" s="232"/>
      <x:c r="C10" s="232"/>
      <x:c r="D10" s="232"/>
      <x:c r="E10" s="232"/>
      <x:c r="F10" s="232"/>
      <x:c r="G10" s="232"/>
      <x:c r="H10" s="232"/>
      <x:c r="I10" s="232"/>
      <x:c r="J10" s="232"/>
      <x:c r="K10" s="232"/>
      <x:c r="L10" s="232"/>
      <x:c r="M10" s="232"/>
      <x:c r="N10" s="232"/>
    </x:row>
    <x:row r="11">
      <x:c r="A11" s="232"/>
      <x:c r="B11" s="232"/>
      <x:c r="C11" s="232"/>
      <x:c r="D11" s="232"/>
      <x:c r="E11" s="232"/>
      <x:c r="F11" s="232"/>
      <x:c r="G11" s="232"/>
      <x:c r="H11" s="232"/>
      <x:c r="I11" s="232"/>
      <x:c r="J11" s="232"/>
      <x:c r="K11" s="232"/>
      <x:c r="L11" s="232"/>
      <x:c r="M11" s="232"/>
      <x:c r="N11" s="232"/>
    </x:row>
    <x:row r="12" ht="25" customHeight="1">
      <x:c r="A12" s="106" t="str">
        <x:v>三個版本</x:v>
      </x:c>
      <x:c r="B12" s="106"/>
      <x:c r="C12" s="106"/>
      <x:c r="D12" s="106"/>
      <x:c r="E12" s="106"/>
      <x:c r="F12" s="106"/>
      <x:c r="G12" s="106"/>
      <x:c r="H12" s="106"/>
      <x:c r="I12" s="106"/>
      <x:c r="J12" s="106"/>
      <x:c r="K12" s="106"/>
      <x:c r="L12" s="106"/>
      <x:c r="M12" s="106"/>
      <x:c r="N12" s="106"/>
    </x:row>
    <x:row r="13" ht="30" customHeight="1">
      <x:c r="A13" s="112" t="str">
        <x:v>版本</x:v>
      </x:c>
      <x:c r="B13" s="112" t="str">
        <x:v>計分方式</x:v>
      </x:c>
      <x:c r="C13" s="112" t="str">
        <x:v>想回答的問題</x:v>
      </x:c>
      <x:c r="D13" s="112" t="str">
        <x:v>優點</x:v>
      </x:c>
      <x:c r="E13" s="112" t="str">
        <x:v>限制／風險</x:v>
      </x:c>
      <x:c r="F13" s="232"/>
      <x:c r="G13" s="232"/>
      <x:c r="H13" s="232"/>
      <x:c r="I13" s="232"/>
      <x:c r="J13" s="232"/>
      <x:c r="K13" s="232"/>
      <x:c r="L13" s="232"/>
      <x:c r="M13" s="232"/>
      <x:c r="N13" s="232"/>
    </x:row>
    <x:row r="14" ht="70" customHeight="1">
      <x:c r="A14" s="117" t="str">
        <x:v>總變動前25%</x:v>
      </x:c>
      <x:c r="B14" s="117" t="str">
        <x:v>每站每天 Σ|30分鐘車數變化|，包含所有跳動</x:v>
      </x:c>
      <x:c r="C14" s="117" t="str">
        <x:v>哪些站的車輛流動最活躍？</x:v>
      </x:c>
      <x:c r="D14" s="117" t="str">
        <x:v>簡單、容易溝通，也會保留既有營運調度訊號</x:v>
      </x:c>
      <x:c r="E14" s="117" t="str">
        <x:v>不是實際租借筆數；同一時段借還可能互相抵消</x:v>
      </x:c>
      <x:c r="F14" s="232"/>
      <x:c r="G14" s="232"/>
      <x:c r="H14" s="232"/>
      <x:c r="I14" s="232"/>
      <x:c r="J14" s="232"/>
      <x:c r="K14" s="232"/>
      <x:c r="L14" s="232"/>
      <x:c r="M14" s="232"/>
      <x:c r="N14" s="232"/>
    </x:row>
    <x:row r="15" ht="70" customHeight="1">
      <x:c r="A15" s="116" t="str">
        <x:v>一般變動前25%</x:v>
      </x:c>
      <x:c r="B15" s="116" t="str">
        <x:v>總變動扣除探索性大幅跳動</x:v>
      </x:c>
      <x:c r="C15" s="116" t="str">
        <x:v>若暫時不讓極端跳動主導，重要站是否改變？</x:v>
      </x:c>
      <x:c r="D15" s="116" t="str">
        <x:v>較接近規律性使用需求的敏感度版本</x:v>
      </x:c>
      <x:c r="E15" s="116" t="str">
        <x:v>大幅跳動不一定是運補，排除可能同時丟掉真實需求</x:v>
      </x:c>
      <x:c r="F15" s="232"/>
      <x:c r="G15" s="232"/>
      <x:c r="H15" s="232"/>
      <x:c r="I15" s="232"/>
      <x:c r="J15" s="232"/>
      <x:c r="K15" s="232"/>
      <x:c r="L15" s="232"/>
      <x:c r="M15" s="232"/>
      <x:c r="N15" s="232"/>
    </x:row>
    <x:row r="16" ht="70" customHeight="1">
      <x:c r="A16" s="117" t="str">
        <x:v>大幅變動前25%</x:v>
      </x:c>
      <x:c r="B16" s="117" t="str">
        <x:v>只累計被標記的大幅跳動絕對量</x:v>
      </x:c>
      <x:c r="C16" s="117" t="str">
        <x:v>哪些站最常出現可能的運補／團體借還／異常？</x:v>
      </x:c>
      <x:c r="D16" s="117" t="str">
        <x:v>可找營運介入或異常高度集中的站</x:v>
      </x:c>
      <x:c r="E16" s="117" t="str">
        <x:v>不是需求排行榜，也不能宣稱是官方調度紀錄</x:v>
      </x:c>
      <x:c r="F16" s="232"/>
      <x:c r="G16" s="232"/>
      <x:c r="H16" s="232"/>
      <x:c r="I16" s="232"/>
      <x:c r="J16" s="232"/>
      <x:c r="K16" s="232"/>
      <x:c r="L16" s="232"/>
      <x:c r="M16" s="232"/>
      <x:c r="N16" s="232"/>
    </x:row>
    <x:row r="17">
      <x:c r="A17" s="232"/>
      <x:c r="B17" s="232"/>
      <x:c r="C17" s="232"/>
      <x:c r="D17" s="232"/>
      <x:c r="E17" s="232"/>
      <x:c r="F17" s="232"/>
      <x:c r="G17" s="232"/>
      <x:c r="H17" s="232"/>
      <x:c r="I17" s="232"/>
      <x:c r="J17" s="232"/>
      <x:c r="K17" s="232"/>
      <x:c r="L17" s="232"/>
      <x:c r="M17" s="232"/>
      <x:c r="N17" s="232"/>
    </x:row>
    <x:row r="18">
      <x:c r="A18" s="232"/>
      <x:c r="B18" s="232"/>
      <x:c r="C18" s="232"/>
      <x:c r="D18" s="232"/>
      <x:c r="E18" s="232"/>
      <x:c r="F18" s="232"/>
      <x:c r="G18" s="232"/>
      <x:c r="H18" s="232"/>
      <x:c r="I18" s="232"/>
      <x:c r="J18" s="232"/>
      <x:c r="K18" s="232"/>
      <x:c r="L18" s="232"/>
      <x:c r="M18" s="232"/>
      <x:c r="N18" s="232"/>
    </x:row>
    <x:row r="19">
      <x:c r="A19" s="169" t="str">
        <x:v>重要限制：快照的車數差是淨變化，不是租借量。例如30分鐘內借出10台、歸還8台，資料只會看到-2。因此本報告把它稱為活動／變動量，而不是騎乘人次或交易量。</x:v>
      </x:c>
      <x:c r="B19" s="170"/>
      <x:c r="C19" s="170"/>
      <x:c r="D19" s="170"/>
      <x:c r="E19" s="170"/>
      <x:c r="F19" s="170"/>
      <x:c r="G19" s="170"/>
      <x:c r="H19" s="170"/>
      <x:c r="I19" s="170"/>
      <x:c r="J19" s="170"/>
      <x:c r="K19" s="170"/>
      <x:c r="L19" s="170"/>
      <x:c r="M19" s="170"/>
      <x:c r="N19" s="171"/>
    </x:row>
    <x:row r="20">
      <x:c r="A20" s="172"/>
      <x:c r="B20" s="173"/>
      <x:c r="C20" s="173"/>
      <x:c r="D20" s="173"/>
      <x:c r="E20" s="173"/>
      <x:c r="F20" s="173"/>
      <x:c r="G20" s="173"/>
      <x:c r="H20" s="173"/>
      <x:c r="I20" s="173"/>
      <x:c r="J20" s="173"/>
      <x:c r="K20" s="173"/>
      <x:c r="L20" s="173"/>
      <x:c r="M20" s="173"/>
      <x:c r="N20" s="174"/>
    </x:row>
    <x:row r="21">
      <x:c r="A21" s="172"/>
      <x:c r="B21" s="173"/>
      <x:c r="C21" s="173"/>
      <x:c r="D21" s="173"/>
      <x:c r="E21" s="173"/>
      <x:c r="F21" s="173"/>
      <x:c r="G21" s="173"/>
      <x:c r="H21" s="173"/>
      <x:c r="I21" s="173"/>
      <x:c r="J21" s="173"/>
      <x:c r="K21" s="173"/>
      <x:c r="L21" s="173"/>
      <x:c r="M21" s="173"/>
      <x:c r="N21" s="174"/>
    </x:row>
    <x:row r="22">
      <x:c r="A22" s="172"/>
      <x:c r="B22" s="173"/>
      <x:c r="C22" s="173"/>
      <x:c r="D22" s="173"/>
      <x:c r="E22" s="173"/>
      <x:c r="F22" s="173"/>
      <x:c r="G22" s="173"/>
      <x:c r="H22" s="173"/>
      <x:c r="I22" s="173"/>
      <x:c r="J22" s="173"/>
      <x:c r="K22" s="173"/>
      <x:c r="L22" s="173"/>
      <x:c r="M22" s="173"/>
      <x:c r="N22" s="174"/>
    </x:row>
    <x:row r="23">
      <x:c r="A23" s="175"/>
      <x:c r="B23" s="176"/>
      <x:c r="C23" s="176"/>
      <x:c r="D23" s="176"/>
      <x:c r="E23" s="176"/>
      <x:c r="F23" s="176"/>
      <x:c r="G23" s="176"/>
      <x:c r="H23" s="176"/>
      <x:c r="I23" s="176"/>
      <x:c r="J23" s="176"/>
      <x:c r="K23" s="176"/>
      <x:c r="L23" s="176"/>
      <x:c r="M23" s="176"/>
      <x:c r="N23" s="177"/>
    </x:row>
  </x:sheetData>
  <x:mergeCells>
    <x:mergeCell ref="A1:N1"/>
    <x:mergeCell ref="A2:N2"/>
    <x:mergeCell ref="A12:N12"/>
    <x:mergeCell ref="G4:N9"/>
    <x:mergeCell ref="A19:N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15" hidden="0" customWidth="1"/>
    <x:col min="6" max="6" width="15" hidden="0" customWidth="1"/>
    <x:col min="7" max="7" width="15" hidden="0" customWidth="1"/>
    <x:col min="5" max="5" width="15" hidden="0" customWidth="1"/>
  </x:cols>
  <x:sheetData>
    <x:row r="1" ht="34" customHeight="1">
      <x:c r="A1" s="3" t="str">
        <x:v>三份前25%名單重疊與邊界變動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若排除大幅跳動真的會改變重要站定義，名單重疊應明顯下降；結果顯示總變動與一般變動幾乎完全一致。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  <x:c r="R3" s="232"/>
    </x:row>
    <x:row r="4" ht="28" customHeight="1">
      <x:c r="A4" s="112" t="str">
        <x:v>比較</x:v>
      </x:c>
      <x:c r="B4" s="112" t="str">
        <x:v>共同站數</x:v>
      </x:c>
      <x:c r="C4" s="112" t="str">
        <x:v>各自名單保留率</x:v>
      </x:c>
      <x:c r="D4" s="112" t="str">
        <x:v>Jaccard相似度</x:v>
      </x:c>
      <x:c r="E4" s="232"/>
      <x:c r="F4" s="183" t="str">
        <x:v>入選組合</x:v>
      </x:c>
      <x:c r="G4" s="183" t="str">
        <x:v>站數</x:v>
      </x:c>
      <x:c r="H4" s="232"/>
      <x:c r="I4" s="232"/>
      <x:c r="J4" s="232"/>
      <x:c r="K4" s="232"/>
      <x:c r="L4" s="232"/>
      <x:c r="M4" s="232"/>
      <x:c r="N4" s="232"/>
      <x:c r="O4" s="232"/>
      <x:c r="P4" s="232"/>
      <x:c r="Q4" s="232"/>
      <x:c r="R4" s="232"/>
    </x:row>
    <x:row r="5">
      <x:c r="A5" s="120" t="str">
        <x:v>總變動 vs 一般變動</x:v>
      </x:c>
      <x:c r="B5" s="120" t="n">
        <x:v>368</x:v>
      </x:c>
      <x:c r="C5" s="121" t="n">
        <x:v>0.9865951742627346</x:v>
      </x:c>
      <x:c r="D5" s="121" t="n">
        <x:v>0.9735449735449735</x:v>
      </x:c>
      <x:c r="E5" s="232"/>
      <x:c r="F5" s="120" t="str">
        <x:v>三份皆入選</x:v>
      </x:c>
      <x:c r="G5" s="120" t="n">
        <x:v>299</x:v>
      </x:c>
      <x:c r="H5" s="232"/>
      <x:c r="I5" s="232"/>
      <x:c r="J5" s="232"/>
      <x:c r="K5" s="232"/>
      <x:c r="L5" s="232"/>
      <x:c r="M5" s="232"/>
      <x:c r="N5" s="232"/>
      <x:c r="O5" s="232"/>
      <x:c r="P5" s="232"/>
      <x:c r="Q5" s="232"/>
      <x:c r="R5" s="232"/>
    </x:row>
    <x:row r="6">
      <x:c r="A6" s="119" t="str">
        <x:v>總變動 vs 大幅變動</x:v>
      </x:c>
      <x:c r="B6" s="119" t="n">
        <x:v>304</x:v>
      </x:c>
      <x:c r="C6" s="122" t="n">
        <x:v>0.8150134048257373</x:v>
      </x:c>
      <x:c r="D6" s="122" t="n">
        <x:v>0.6877828054298643</x:v>
      </x:c>
      <x:c r="E6" s="232"/>
      <x:c r="F6" s="119" t="str">
        <x:v>總變動＋一般變動</x:v>
      </x:c>
      <x:c r="G6" s="119" t="n">
        <x:v>69</x:v>
      </x:c>
      <x:c r="H6" s="232"/>
      <x:c r="I6" s="232"/>
      <x:c r="J6" s="232"/>
      <x:c r="K6" s="232"/>
      <x:c r="L6" s="232"/>
      <x:c r="M6" s="232"/>
      <x:c r="N6" s="232"/>
      <x:c r="O6" s="232"/>
      <x:c r="P6" s="232"/>
      <x:c r="Q6" s="232"/>
      <x:c r="R6" s="232"/>
    </x:row>
    <x:row r="7">
      <x:c r="A7" s="120" t="str">
        <x:v>一般變動 vs 大幅變動</x:v>
      </x:c>
      <x:c r="B7" s="120" t="n">
        <x:v>299</x:v>
      </x:c>
      <x:c r="C7" s="121" t="n">
        <x:v>0.8016085790884718</x:v>
      </x:c>
      <x:c r="D7" s="121" t="n">
        <x:v>0.668903803131991</x:v>
      </x:c>
      <x:c r="E7" s="232"/>
      <x:c r="F7" s="120" t="str">
        <x:v>總變動＋大幅變動</x:v>
      </x:c>
      <x:c r="G7" s="120" t="n">
        <x:v>5</x:v>
      </x:c>
      <x:c r="H7" s="232"/>
      <x:c r="I7" s="232"/>
      <x:c r="J7" s="232"/>
      <x:c r="K7" s="232"/>
      <x:c r="L7" s="232"/>
      <x:c r="M7" s="232"/>
      <x:c r="N7" s="232"/>
      <x:c r="O7" s="232"/>
      <x:c r="P7" s="232"/>
      <x:c r="Q7" s="232"/>
      <x:c r="R7" s="232"/>
    </x:row>
    <x:row r="8">
      <x:c r="A8" s="232"/>
      <x:c r="B8" s="232"/>
      <x:c r="C8" s="232"/>
      <x:c r="D8" s="232"/>
      <x:c r="E8" s="232"/>
      <x:c r="F8" s="119" t="str">
        <x:v>僅一般變動</x:v>
      </x:c>
      <x:c r="G8" s="119" t="n">
        <x:v>5</x:v>
      </x:c>
      <x:c r="H8" s="232"/>
      <x:c r="I8" s="232"/>
      <x:c r="J8" s="232"/>
      <x:c r="K8" s="232"/>
      <x:c r="L8" s="232"/>
      <x:c r="M8" s="232"/>
      <x:c r="N8" s="232"/>
      <x:c r="O8" s="232"/>
      <x:c r="P8" s="232"/>
      <x:c r="Q8" s="232"/>
      <x:c r="R8" s="232"/>
    </x:row>
    <x:row r="9">
      <x:c r="A9" s="232"/>
      <x:c r="B9" s="232"/>
      <x:c r="C9" s="232"/>
      <x:c r="D9" s="232"/>
      <x:c r="E9" s="232"/>
      <x:c r="F9" s="120" t="str">
        <x:v>僅大幅變動</x:v>
      </x:c>
      <x:c r="G9" s="120" t="n">
        <x:v>69</x:v>
      </x:c>
      <x:c r="H9" s="232"/>
      <x:c r="I9" s="232"/>
      <x:c r="J9" s="232"/>
      <x:c r="K9" s="232"/>
      <x:c r="L9" s="232"/>
      <x:c r="M9" s="232"/>
      <x:c r="N9" s="232"/>
      <x:c r="O9" s="232"/>
      <x:c r="P9" s="232"/>
      <x:c r="Q9" s="232"/>
      <x:c r="R9" s="232"/>
    </x:row>
    <x:row r="10">
      <x:c r="A10" s="232"/>
      <x:c r="B10" s="232"/>
      <x:c r="C10" s="232"/>
      <x:c r="D10" s="232"/>
      <x:c r="E10" s="232"/>
      <x:c r="F10" s="119" t="str">
        <x:v>三份皆未入選</x:v>
      </x:c>
      <x:c r="G10" s="119" t="n">
        <x:v>1043</x:v>
      </x:c>
      <x:c r="H10" s="232"/>
      <x:c r="I10" s="232"/>
      <x:c r="J10" s="232"/>
      <x:c r="K10" s="232"/>
      <x:c r="L10" s="232"/>
      <x:c r="M10" s="232"/>
      <x:c r="N10" s="232"/>
      <x:c r="O10" s="232"/>
      <x:c r="P10" s="232"/>
      <x:c r="Q10" s="232"/>
      <x:c r="R10" s="232"/>
    </x:row>
    <x:row r="11">
      <x:c r="A11" s="232"/>
      <x:c r="B11" s="232"/>
      <x:c r="C11" s="232"/>
      <x:c r="D11" s="232"/>
      <x:c r="E11" s="232"/>
      <x:c r="F11" s="232"/>
      <x:c r="G11" s="232"/>
      <x:c r="H11" s="232"/>
      <x:c r="I11" s="232"/>
      <x:c r="J11" s="232"/>
      <x:c r="K11" s="232"/>
      <x:c r="L11" s="232"/>
      <x:c r="M11" s="232"/>
      <x:c r="N11" s="232"/>
      <x:c r="O11" s="232"/>
      <x:c r="P11" s="232"/>
      <x:c r="Q11" s="232"/>
      <x:c r="R11" s="232"/>
    </x:row>
    <x:row r="12">
      <x:c r="A12" s="232"/>
      <x:c r="B12" s="232"/>
      <x:c r="C12" s="232"/>
      <x:c r="D12" s="232"/>
      <x:c r="E12" s="232"/>
      <x:c r="F12" s="232"/>
      <x:c r="G12" s="232"/>
      <x:c r="H12" s="232"/>
      <x:c r="I12" s="232"/>
      <x:c r="J12" s="232"/>
      <x:c r="K12" s="232"/>
      <x:c r="L12" s="232"/>
      <x:c r="M12" s="232"/>
      <x:c r="N12" s="232"/>
      <x:c r="O12" s="232"/>
      <x:c r="P12" s="232"/>
      <x:c r="Q12" s="232"/>
      <x:c r="R12" s="232"/>
    </x:row>
    <x:row r="13" ht="25" customHeight="1">
      <x:c r="A13" s="106" t="str">
        <x:v>最值得檢查的邊界站：只因版本改變而入選／落選</x:v>
      </x:c>
      <x:c r="B13" s="106"/>
      <x:c r="C13" s="106"/>
      <x:c r="D13" s="106"/>
      <x:c r="E13" s="106"/>
      <x:c r="F13" s="106"/>
      <x:c r="G13" s="106"/>
      <x:c r="H13" s="232"/>
      <x:c r="I13" s="232"/>
      <x:c r="J13" s="232"/>
      <x:c r="K13" s="232"/>
      <x:c r="L13" s="232"/>
      <x:c r="M13" s="232"/>
      <x:c r="N13" s="232"/>
      <x:c r="O13" s="232"/>
      <x:c r="P13" s="232"/>
      <x:c r="Q13" s="232"/>
      <x:c r="R13" s="232"/>
    </x:row>
    <x:row r="14" ht="28" customHeight="1">
      <x:c r="A14" s="112" t="str">
        <x:v>站點</x:v>
      </x:c>
      <x:c r="B14" s="112" t="str">
        <x:v>行政區</x:v>
      </x:c>
      <x:c r="C14" s="112" t="str">
        <x:v>入選組合</x:v>
      </x:c>
      <x:c r="D14" s="112" t="str">
        <x:v>總排名</x:v>
      </x:c>
      <x:c r="E14" s="112" t="str">
        <x:v>一般排名</x:v>
      </x:c>
      <x:c r="F14" s="112" t="str">
        <x:v>大幅排名</x:v>
      </x:c>
      <x:c r="G14" s="112" t="str">
        <x:v>大幅變動占比</x:v>
      </x:c>
      <x:c r="H14" s="232"/>
      <x:c r="I14" s="232"/>
      <x:c r="J14" s="232"/>
      <x:c r="K14" s="232"/>
      <x:c r="L14" s="232"/>
      <x:c r="M14" s="232"/>
      <x:c r="N14" s="232"/>
      <x:c r="O14" s="232"/>
      <x:c r="P14" s="232"/>
      <x:c r="Q14" s="232"/>
      <x:c r="R14" s="232"/>
    </x:row>
    <x:row r="15" ht="27" customHeight="1">
      <x:c r="A15" s="117" t="str">
        <x:v>仁愛仁政街145巷口</x:v>
      </x:c>
      <x:c r="B15" s="117" t="str">
        <x:v>三重區</x:v>
      </x:c>
      <x:c r="C15" s="117" t="str">
        <x:v>僅一般變動</x:v>
      </x:c>
      <x:c r="D15" s="117" t="n">
        <x:v>379</x:v>
      </x:c>
      <x:c r="E15" s="117" t="n">
        <x:v>373</x:v>
      </x:c>
      <x:c r="F15" s="117" t="n">
        <x:v>502</x:v>
      </x:c>
      <x:c r="G15" s="184" t="n">
        <x:v>0.06958093301705637</x:v>
      </x:c>
      <x:c r="H15" s="232"/>
      <x:c r="I15" s="232"/>
      <x:c r="J15" s="232"/>
      <x:c r="K15" s="232"/>
      <x:c r="L15" s="232"/>
      <x:c r="M15" s="232"/>
      <x:c r="N15" s="232"/>
      <x:c r="O15" s="232"/>
      <x:c r="P15" s="232"/>
      <x:c r="Q15" s="232"/>
      <x:c r="R15" s="232"/>
    </x:row>
    <x:row r="16" ht="27" customHeight="1">
      <x:c r="A16" s="116" t="str">
        <x:v>中港平面停車場</x:v>
      </x:c>
      <x:c r="B16" s="116" t="str">
        <x:v>新莊區</x:v>
      </x:c>
      <x:c r="C16" s="116" t="str">
        <x:v>僅一般變動</x:v>
      </x:c>
      <x:c r="D16" s="116" t="n">
        <x:v>388</x:v>
      </x:c>
      <x:c r="E16" s="116" t="n">
        <x:v>370</x:v>
      </x:c>
      <x:c r="F16" s="116" t="n">
        <x:v>688</x:v>
      </x:c>
      <x:c r="G16" s="185" t="n">
        <x:v>0.059473624245186284</x:v>
      </x:c>
      <x:c r="H16" s="232"/>
      <x:c r="I16" s="232"/>
      <x:c r="J16" s="232"/>
      <x:c r="K16" s="232"/>
      <x:c r="L16" s="232"/>
      <x:c r="M16" s="232"/>
      <x:c r="N16" s="232"/>
      <x:c r="O16" s="232"/>
      <x:c r="P16" s="232"/>
      <x:c r="Q16" s="232"/>
      <x:c r="R16" s="232"/>
    </x:row>
    <x:row r="17" ht="27" customHeight="1">
      <x:c r="A17" s="117" t="str">
        <x:v>新五泰國民運動中心</x:v>
      </x:c>
      <x:c r="B17" s="117" t="str">
        <x:v>泰山區</x:v>
      </x:c>
      <x:c r="C17" s="117" t="str">
        <x:v>僅一般變動</x:v>
      </x:c>
      <x:c r="D17" s="117" t="n">
        <x:v>390</x:v>
      </x:c>
      <x:c r="E17" s="117" t="n">
        <x:v>372</x:v>
      </x:c>
      <x:c r="F17" s="117" t="n">
        <x:v>669</x:v>
      </x:c>
      <x:c r="G17" s="184" t="n">
        <x:v>0.06031927023945268</x:v>
      </x:c>
      <x:c r="H17" s="232"/>
      <x:c r="I17" s="232"/>
      <x:c r="J17" s="232"/>
      <x:c r="K17" s="232"/>
      <x:c r="L17" s="232"/>
      <x:c r="M17" s="232"/>
      <x:c r="N17" s="232"/>
      <x:c r="O17" s="232"/>
      <x:c r="P17" s="232"/>
      <x:c r="Q17" s="232"/>
      <x:c r="R17" s="232"/>
    </x:row>
    <x:row r="18" ht="27" customHeight="1">
      <x:c r="A18" s="116" t="str">
        <x:v>大學學成路口</x:v>
      </x:c>
      <x:c r="B18" s="116" t="str">
        <x:v>三峽區</x:v>
      </x:c>
      <x:c r="C18" s="116" t="str">
        <x:v>僅一般變動</x:v>
      </x:c>
      <x:c r="D18" s="116" t="n">
        <x:v>392</x:v>
      </x:c>
      <x:c r="E18" s="116" t="n">
        <x:v>366</x:v>
      </x:c>
      <x:c r="F18" s="116" t="n">
        <x:v>916</x:v>
      </x:c>
      <x:c r="G18" s="185" t="n">
        <x:v>0.05037206639954207</x:v>
      </x:c>
      <x:c r="H18" s="232"/>
      <x:c r="I18" s="232"/>
      <x:c r="J18" s="232"/>
      <x:c r="K18" s="232"/>
      <x:c r="L18" s="232"/>
      <x:c r="M18" s="232"/>
      <x:c r="N18" s="232"/>
      <x:c r="O18" s="232"/>
      <x:c r="P18" s="232"/>
      <x:c r="Q18" s="232"/>
      <x:c r="R18" s="232"/>
    </x:row>
    <x:row r="19" ht="27" customHeight="1">
      <x:c r="A19" s="117" t="str">
        <x:v>貴子路36巷3弄口</x:v>
      </x:c>
      <x:c r="B19" s="117" t="str">
        <x:v>泰山區</x:v>
      </x:c>
      <x:c r="C19" s="117" t="str">
        <x:v>僅一般變動</x:v>
      </x:c>
      <x:c r="D19" s="117" t="n">
        <x:v>400</x:v>
      </x:c>
      <x:c r="E19" s="117" t="n">
        <x:v>371</x:v>
      </x:c>
      <x:c r="F19" s="117" t="n">
        <x:v>1036</x:v>
      </x:c>
      <x:c r="G19" s="184" t="n">
        <x:v>0.04656806101224867</x:v>
      </x:c>
      <x:c r="H19" s="232"/>
      <x:c r="I19" s="232"/>
      <x:c r="J19" s="232"/>
      <x:c r="K19" s="232"/>
      <x:c r="L19" s="232"/>
      <x:c r="M19" s="232"/>
      <x:c r="N19" s="232"/>
      <x:c r="O19" s="232"/>
      <x:c r="P19" s="232"/>
      <x:c r="Q19" s="232"/>
      <x:c r="R19" s="232"/>
    </x:row>
    <x:row r="20" ht="27" customHeight="1">
      <x:c r="A20" s="116" t="str">
        <x:v>正德國中</x:v>
      </x:c>
      <x:c r="B20" s="116" t="str">
        <x:v>淡水區</x:v>
      </x:c>
      <x:c r="C20" s="116" t="str">
        <x:v>僅大幅變動</x:v>
      </x:c>
      <x:c r="D20" s="116" t="n">
        <x:v>374</x:v>
      </x:c>
      <x:c r="E20" s="116" t="n">
        <x:v>379</x:v>
      </x:c>
      <x:c r="F20" s="116" t="n">
        <x:v>307</x:v>
      </x:c>
      <x:c r="G20" s="185" t="n">
        <x:v>0.08478747203579419</x:v>
      </x:c>
      <x:c r="H20" s="232"/>
      <x:c r="I20" s="204" t="str">
        <x:v>怎麼讀這張表
總變動＋一般變動的69站：規律活動高，但不是大幅跳動核心。
僅大幅變動的69站：更像是營運／事件／異常值得調查，不等於一般需求最旺。
只有5站因總變動與一般變動的邊界而互換，表示『先排除疑似跳動再選前25%』對主要名單影響很小。</x:v>
      </x:c>
      <x:c r="J20" s="205"/>
      <x:c r="K20" s="205"/>
      <x:c r="L20" s="205"/>
      <x:c r="M20" s="205"/>
      <x:c r="N20" s="205"/>
      <x:c r="O20" s="205"/>
      <x:c r="P20" s="205"/>
      <x:c r="Q20" s="205"/>
      <x:c r="R20" s="206"/>
    </x:row>
    <x:row r="21" ht="27" customHeight="1">
      <x:c r="A21" s="117" t="str">
        <x:v>林本源園邸</x:v>
      </x:c>
      <x:c r="B21" s="117" t="str">
        <x:v>板橋區</x:v>
      </x:c>
      <x:c r="C21" s="117" t="str">
        <x:v>僅大幅變動</x:v>
      </x:c>
      <x:c r="D21" s="117" t="n">
        <x:v>375</x:v>
      </x:c>
      <x:c r="E21" s="117" t="n">
        <x:v>395</x:v>
      </x:c>
      <x:c r="F21" s="117" t="n">
        <x:v>245</x:v>
      </x:c>
      <x:c r="G21" s="184" t="n">
        <x:v>0.09204455946888714</x:v>
      </x:c>
      <x:c r="H21" s="232"/>
      <x:c r="I21" s="207"/>
      <x:c r="J21" s="208"/>
      <x:c r="K21" s="208"/>
      <x:c r="L21" s="208"/>
      <x:c r="M21" s="208"/>
      <x:c r="N21" s="208"/>
      <x:c r="O21" s="208"/>
      <x:c r="P21" s="208"/>
      <x:c r="Q21" s="208"/>
      <x:c r="R21" s="209"/>
    </x:row>
    <x:row r="22" ht="27" customHeight="1">
      <x:c r="A22" s="116" t="str">
        <x:v>捷運永寧站(2號出口)</x:v>
      </x:c>
      <x:c r="B22" s="116" t="str">
        <x:v>土城區</x:v>
      </x:c>
      <x:c r="C22" s="116" t="str">
        <x:v>僅大幅變動</x:v>
      </x:c>
      <x:c r="D22" s="116" t="n">
        <x:v>376</x:v>
      </x:c>
      <x:c r="E22" s="116" t="n">
        <x:v>392</x:v>
      </x:c>
      <x:c r="F22" s="116" t="n">
        <x:v>266</x:v>
      </x:c>
      <x:c r="G22" s="185" t="n">
        <x:v>0.08984462958793064</x:v>
      </x:c>
      <x:c r="H22" s="232"/>
      <x:c r="I22" s="207"/>
      <x:c r="J22" s="208"/>
      <x:c r="K22" s="208"/>
      <x:c r="L22" s="208"/>
      <x:c r="M22" s="208"/>
      <x:c r="N22" s="208"/>
      <x:c r="O22" s="208"/>
      <x:c r="P22" s="208"/>
      <x:c r="Q22" s="208"/>
      <x:c r="R22" s="209"/>
    </x:row>
    <x:row r="23" ht="27" customHeight="1">
      <x:c r="A23" s="117" t="str">
        <x:v>忠孝國中</x:v>
      </x:c>
      <x:c r="B23" s="117" t="str">
        <x:v>板橋區</x:v>
      </x:c>
      <x:c r="C23" s="117" t="str">
        <x:v>僅大幅變動</x:v>
      </x:c>
      <x:c r="D23" s="117" t="n">
        <x:v>377</x:v>
      </x:c>
      <x:c r="E23" s="117" t="n">
        <x:v>389</x:v>
      </x:c>
      <x:c r="F23" s="117" t="n">
        <x:v>291</x:v>
      </x:c>
      <x:c r="G23" s="184" t="n">
        <x:v>0.08692220969560316</x:v>
      </x:c>
      <x:c r="H23" s="232"/>
      <x:c r="I23" s="207"/>
      <x:c r="J23" s="208"/>
      <x:c r="K23" s="208"/>
      <x:c r="L23" s="208"/>
      <x:c r="M23" s="208"/>
      <x:c r="N23" s="208"/>
      <x:c r="O23" s="208"/>
      <x:c r="P23" s="208"/>
      <x:c r="Q23" s="208"/>
      <x:c r="R23" s="209"/>
    </x:row>
    <x:row r="24" ht="27" customHeight="1">
      <x:c r="A24" s="116" t="str">
        <x:v>安康高中</x:v>
      </x:c>
      <x:c r="B24" s="116" t="str">
        <x:v>新店區</x:v>
      </x:c>
      <x:c r="C24" s="116" t="str">
        <x:v>僅大幅變動</x:v>
      </x:c>
      <x:c r="D24" s="116" t="n">
        <x:v>378</x:v>
      </x:c>
      <x:c r="E24" s="116" t="n">
        <x:v>394</x:v>
      </x:c>
      <x:c r="F24" s="116" t="n">
        <x:v>281</x:v>
      </x:c>
      <x:c r="G24" s="185" t="n">
        <x:v>0.08819875776397515</x:v>
      </x:c>
      <x:c r="H24" s="232"/>
      <x:c r="I24" s="207"/>
      <x:c r="J24" s="208"/>
      <x:c r="K24" s="208"/>
      <x:c r="L24" s="208"/>
      <x:c r="M24" s="208"/>
      <x:c r="N24" s="208"/>
      <x:c r="O24" s="208"/>
      <x:c r="P24" s="208"/>
      <x:c r="Q24" s="208"/>
      <x:c r="R24" s="209"/>
    </x:row>
    <x:row r="25" ht="27" customHeight="1">
      <x:c r="A25" s="117" t="str">
        <x:v>溪洲公園停車場</x:v>
      </x:c>
      <x:c r="B25" s="117" t="str">
        <x:v>板橋區</x:v>
      </x:c>
      <x:c r="C25" s="117" t="str">
        <x:v>僅大幅變動</x:v>
      </x:c>
      <x:c r="D25" s="117" t="n">
        <x:v>383</x:v>
      </x:c>
      <x:c r="E25" s="117" t="n">
        <x:v>388</x:v>
      </x:c>
      <x:c r="F25" s="117" t="n">
        <x:v>350</x:v>
      </x:c>
      <x:c r="G25" s="184" t="n">
        <x:v>0.08192634560906516</x:v>
      </x:c>
      <x:c r="H25" s="232"/>
      <x:c r="I25" s="207"/>
      <x:c r="J25" s="208"/>
      <x:c r="K25" s="208"/>
      <x:c r="L25" s="208"/>
      <x:c r="M25" s="208"/>
      <x:c r="N25" s="208"/>
      <x:c r="O25" s="208"/>
      <x:c r="P25" s="208"/>
      <x:c r="Q25" s="208"/>
      <x:c r="R25" s="209"/>
    </x:row>
    <x:row r="26" ht="27" customHeight="1">
      <x:c r="A26" s="116" t="str">
        <x:v>溪北公園</x:v>
      </x:c>
      <x:c r="B26" s="116" t="str">
        <x:v>板橋區</x:v>
      </x:c>
      <x:c r="C26" s="116" t="str">
        <x:v>僅大幅變動</x:v>
      </x:c>
      <x:c r="D26" s="116" t="n">
        <x:v>384</x:v>
      </x:c>
      <x:c r="E26" s="116" t="n">
        <x:v>396</x:v>
      </x:c>
      <x:c r="F26" s="116" t="n">
        <x:v>323</x:v>
      </x:c>
      <x:c r="G26" s="185" t="n">
        <x:v>0.08412806539509536</x:v>
      </x:c>
      <x:c r="H26" s="232"/>
      <x:c r="I26" s="207"/>
      <x:c r="J26" s="208"/>
      <x:c r="K26" s="208"/>
      <x:c r="L26" s="208"/>
      <x:c r="M26" s="208"/>
      <x:c r="N26" s="208"/>
      <x:c r="O26" s="208"/>
      <x:c r="P26" s="208"/>
      <x:c r="Q26" s="208"/>
      <x:c r="R26" s="209"/>
    </x:row>
    <x:row r="27" ht="27" customHeight="1">
      <x:c r="A27" s="117" t="str">
        <x:v>三重五常公園</x:v>
      </x:c>
      <x:c r="B27" s="117" t="str">
        <x:v>三重區</x:v>
      </x:c>
      <x:c r="C27" s="117" t="str">
        <x:v>僅大幅變動</x:v>
      </x:c>
      <x:c r="D27" s="117" t="n">
        <x:v>386</x:v>
      </x:c>
      <x:c r="E27" s="117" t="n">
        <x:v>393</x:v>
      </x:c>
      <x:c r="F27" s="117" t="n">
        <x:v>357</x:v>
      </x:c>
      <x:c r="G27" s="184" t="n">
        <x:v>0.08142840896167405</x:v>
      </x:c>
      <x:c r="H27" s="232"/>
      <x:c r="I27" s="207"/>
      <x:c r="J27" s="208"/>
      <x:c r="K27" s="208"/>
      <x:c r="L27" s="208"/>
      <x:c r="M27" s="208"/>
      <x:c r="N27" s="208"/>
      <x:c r="O27" s="208"/>
      <x:c r="P27" s="208"/>
      <x:c r="Q27" s="208"/>
      <x:c r="R27" s="209"/>
    </x:row>
    <x:row r="28" ht="27" customHeight="1">
      <x:c r="A28" s="116" t="str">
        <x:v>溪頭公園</x:v>
      </x:c>
      <x:c r="B28" s="116" t="str">
        <x:v>板橋區</x:v>
      </x:c>
      <x:c r="C28" s="116" t="str">
        <x:v>僅大幅變動</x:v>
      </x:c>
      <x:c r="D28" s="116" t="n">
        <x:v>394</x:v>
      </x:c>
      <x:c r="E28" s="116" t="n">
        <x:v>406</x:v>
      </x:c>
      <x:c r="F28" s="116" t="n">
        <x:v>215</x:v>
      </x:c>
      <x:c r="G28" s="185" t="n">
        <x:v>0.09725085910652921</x:v>
      </x:c>
      <x:c r="H28" s="232"/>
      <x:c r="I28" s="210"/>
      <x:c r="J28" s="211"/>
      <x:c r="K28" s="211"/>
      <x:c r="L28" s="211"/>
      <x:c r="M28" s="211"/>
      <x:c r="N28" s="211"/>
      <x:c r="O28" s="211"/>
      <x:c r="P28" s="211"/>
      <x:c r="Q28" s="211"/>
      <x:c r="R28" s="212"/>
    </x:row>
    <x:row r="29" ht="27" customHeight="1">
      <x:c r="A29" s="117" t="str">
        <x:v>林口高中</x:v>
      </x:c>
      <x:c r="B29" s="117" t="str">
        <x:v>林口區</x:v>
      </x:c>
      <x:c r="C29" s="117" t="str">
        <x:v>僅大幅變動</x:v>
      </x:c>
      <x:c r="D29" s="117" t="n">
        <x:v>396</x:v>
      </x:c>
      <x:c r="E29" s="117" t="n">
        <x:v>411</x:v>
      </x:c>
      <x:c r="F29" s="117" t="n">
        <x:v>167</x:v>
      </x:c>
      <x:c r="G29" s="184" t="n">
        <x:v>0.10430292598967297</x:v>
      </x:c>
      <x:c r="H29" s="232"/>
      <x:c r="I29" s="232"/>
      <x:c r="J29" s="232"/>
      <x:c r="K29" s="232"/>
      <x:c r="L29" s="232"/>
      <x:c r="M29" s="232"/>
      <x:c r="N29" s="232"/>
      <x:c r="O29" s="232"/>
      <x:c r="P29" s="232"/>
      <x:c r="Q29" s="232"/>
      <x:c r="R29" s="232"/>
    </x:row>
    <x:row r="30" ht="27" customHeight="1">
      <x:c r="A30" s="116" t="str">
        <x:v>莊泰坡雅路口(沐光社區)</x:v>
      </x:c>
      <x:c r="B30" s="116" t="str">
        <x:v>泰山區</x:v>
      </x:c>
      <x:c r="C30" s="116" t="str">
        <x:v>僅大幅變動</x:v>
      </x:c>
      <x:c r="D30" s="116" t="n">
        <x:v>397</x:v>
      </x:c>
      <x:c r="E30" s="116" t="n">
        <x:v>403</x:v>
      </x:c>
      <x:c r="F30" s="116" t="n">
        <x:v>305</x:v>
      </x:c>
      <x:c r="G30" s="185" t="n">
        <x:v>0.08750719631548647</x:v>
      </x:c>
      <x:c r="H30" s="232"/>
      <x:c r="I30" s="232"/>
      <x:c r="J30" s="232"/>
      <x:c r="K30" s="232"/>
      <x:c r="L30" s="232"/>
      <x:c r="M30" s="232"/>
      <x:c r="N30" s="232"/>
      <x:c r="O30" s="232"/>
      <x:c r="P30" s="232"/>
      <x:c r="Q30" s="232"/>
      <x:c r="R30" s="232"/>
    </x:row>
    <x:row r="31" ht="27" customHeight="1">
      <x:c r="A31" s="117" t="str">
        <x:v>十四張央北二路口(波爾多社區)</x:v>
      </x:c>
      <x:c r="B31" s="117" t="str">
        <x:v>新店區</x:v>
      </x:c>
      <x:c r="C31" s="117" t="str">
        <x:v>僅大幅變動</x:v>
      </x:c>
      <x:c r="D31" s="117" t="n">
        <x:v>398</x:v>
      </x:c>
      <x:c r="E31" s="117" t="n">
        <x:v>405</x:v>
      </x:c>
      <x:c r="F31" s="117" t="n">
        <x:v>298</x:v>
      </x:c>
      <x:c r="G31" s="184" t="n">
        <x:v>0.08825901601567</x:v>
      </x:c>
      <x:c r="H31" s="232"/>
      <x:c r="I31" s="232"/>
      <x:c r="J31" s="232"/>
      <x:c r="K31" s="232"/>
      <x:c r="L31" s="232"/>
      <x:c r="M31" s="232"/>
      <x:c r="N31" s="232"/>
      <x:c r="O31" s="232"/>
      <x:c r="P31" s="232"/>
      <x:c r="Q31" s="232"/>
      <x:c r="R31" s="232"/>
    </x:row>
    <x:row r="32" ht="27" customHeight="1">
      <x:c r="A32" s="116" t="str">
        <x:v>二重國小</x:v>
      </x:c>
      <x:c r="B32" s="116" t="str">
        <x:v>三重區</x:v>
      </x:c>
      <x:c r="C32" s="116" t="str">
        <x:v>僅大幅變動</x:v>
      </x:c>
      <x:c r="D32" s="116" t="n">
        <x:v>399</x:v>
      </x:c>
      <x:c r="E32" s="116" t="n">
        <x:v>399</x:v>
      </x:c>
      <x:c r="F32" s="116" t="n">
        <x:v>362</x:v>
      </x:c>
      <x:c r="G32" s="185" t="n">
        <x:v>0.08227702235538142</x:v>
      </x:c>
      <x:c r="H32" s="232"/>
      <x:c r="I32" s="232"/>
      <x:c r="J32" s="232"/>
      <x:c r="K32" s="232"/>
      <x:c r="L32" s="232"/>
      <x:c r="M32" s="232"/>
      <x:c r="N32" s="232"/>
      <x:c r="O32" s="232"/>
      <x:c r="P32" s="232"/>
      <x:c r="Q32" s="232"/>
      <x:c r="R32" s="232"/>
    </x:row>
    <x:row r="33" ht="27" customHeight="1">
      <x:c r="A33" s="117" t="str">
        <x:v>浮洲合宜住宅(合安一路)</x:v>
      </x:c>
      <x:c r="B33" s="117" t="str">
        <x:v>板橋區</x:v>
      </x:c>
      <x:c r="C33" s="117" t="str">
        <x:v>僅大幅變動</x:v>
      </x:c>
      <x:c r="D33" s="117" t="n">
        <x:v>403</x:v>
      </x:c>
      <x:c r="E33" s="117" t="n">
        <x:v>422</x:v>
      </x:c>
      <x:c r="F33" s="117" t="n">
        <x:v>205</x:v>
      </x:c>
      <x:c r="G33" s="184" t="n">
        <x:v>0.09998544607771795</x:v>
      </x:c>
      <x:c r="H33" s="232"/>
      <x:c r="I33" s="232"/>
      <x:c r="J33" s="232"/>
      <x:c r="K33" s="232"/>
      <x:c r="L33" s="232"/>
      <x:c r="M33" s="232"/>
      <x:c r="N33" s="232"/>
      <x:c r="O33" s="232"/>
      <x:c r="P33" s="232"/>
      <x:c r="Q33" s="232"/>
      <x:c r="R33" s="232"/>
    </x:row>
    <x:row r="34" ht="27" customHeight="1">
      <x:c r="A34" s="116" t="str">
        <x:v>捷運江子翠站(5號出口)</x:v>
      </x:c>
      <x:c r="B34" s="116" t="str">
        <x:v>板橋區</x:v>
      </x:c>
      <x:c r="C34" s="116" t="str">
        <x:v>僅大幅變動</x:v>
      </x:c>
      <x:c r="D34" s="116" t="n">
        <x:v>407</x:v>
      </x:c>
      <x:c r="E34" s="116" t="n">
        <x:v>423</x:v>
      </x:c>
      <x:c r="F34" s="116" t="n">
        <x:v>263</x:v>
      </x:c>
      <x:c r="G34" s="185" t="n">
        <x:v>0.09379763160980185</x:v>
      </x:c>
      <x:c r="H34" s="232"/>
      <x:c r="I34" s="232"/>
      <x:c r="J34" s="232"/>
      <x:c r="K34" s="232"/>
      <x:c r="L34" s="232"/>
      <x:c r="M34" s="232"/>
      <x:c r="N34" s="232"/>
      <x:c r="O34" s="232"/>
      <x:c r="P34" s="232"/>
      <x:c r="Q34" s="232"/>
      <x:c r="R34" s="232"/>
    </x:row>
    <x:row r="35" ht="27" customHeight="1">
      <x:c r="A35" s="117" t="str">
        <x:v>永和國小</x:v>
      </x:c>
      <x:c r="B35" s="117" t="str">
        <x:v>永和區</x:v>
      </x:c>
      <x:c r="C35" s="117" t="str">
        <x:v>僅大幅變動</x:v>
      </x:c>
      <x:c r="D35" s="117" t="n">
        <x:v>409</x:v>
      </x:c>
      <x:c r="E35" s="117" t="n">
        <x:v>413</x:v>
      </x:c>
      <x:c r="F35" s="117" t="n">
        <x:v>365</x:v>
      </x:c>
      <x:c r="G35" s="184" t="n">
        <x:v>0.0835978835978836</x:v>
      </x:c>
      <x:c r="H35" s="232"/>
      <x:c r="I35" s="232"/>
      <x:c r="J35" s="232"/>
      <x:c r="K35" s="232"/>
      <x:c r="L35" s="232"/>
      <x:c r="M35" s="232"/>
      <x:c r="N35" s="232"/>
      <x:c r="O35" s="232"/>
      <x:c r="P35" s="232"/>
      <x:c r="Q35" s="232"/>
      <x:c r="R35" s="232"/>
    </x:row>
    <x:row r="36" ht="27" customHeight="1">
      <x:c r="A36" s="116" t="str">
        <x:v>民樂人行廣場</x:v>
      </x:c>
      <x:c r="B36" s="116" t="str">
        <x:v>中和區</x:v>
      </x:c>
      <x:c r="C36" s="116" t="str">
        <x:v>僅大幅變動</x:v>
      </x:c>
      <x:c r="D36" s="116" t="n">
        <x:v>410</x:v>
      </x:c>
      <x:c r="E36" s="116" t="n">
        <x:v>420</x:v>
      </x:c>
      <x:c r="F36" s="116" t="n">
        <x:v>317</x:v>
      </x:c>
      <x:c r="G36" s="185" t="n">
        <x:v>0.08790303600847259</x:v>
      </x:c>
      <x:c r="H36" s="232"/>
      <x:c r="I36" s="232"/>
      <x:c r="J36" s="232"/>
      <x:c r="K36" s="232"/>
      <x:c r="L36" s="232"/>
      <x:c r="M36" s="232"/>
      <x:c r="N36" s="232"/>
      <x:c r="O36" s="232"/>
      <x:c r="P36" s="232"/>
      <x:c r="Q36" s="232"/>
      <x:c r="R36" s="232"/>
    </x:row>
    <x:row r="37" ht="27" customHeight="1">
      <x:c r="A37" s="117" t="str">
        <x:v>輕軌淡水行政中心站</x:v>
      </x:c>
      <x:c r="B37" s="117" t="str">
        <x:v>淡水區</x:v>
      </x:c>
      <x:c r="C37" s="117" t="str">
        <x:v>僅大幅變動</x:v>
      </x:c>
      <x:c r="D37" s="117" t="n">
        <x:v>412</x:v>
      </x:c>
      <x:c r="E37" s="117" t="n">
        <x:v>424</x:v>
      </x:c>
      <x:c r="F37" s="117" t="n">
        <x:v>304</x:v>
      </x:c>
      <x:c r="G37" s="184" t="n">
        <x:v>0.0896559849198869</x:v>
      </x:c>
      <x:c r="H37" s="232"/>
      <x:c r="I37" s="232"/>
      <x:c r="J37" s="232"/>
      <x:c r="K37" s="232"/>
      <x:c r="L37" s="232"/>
      <x:c r="M37" s="232"/>
      <x:c r="N37" s="232"/>
      <x:c r="O37" s="232"/>
      <x:c r="P37" s="232"/>
      <x:c r="Q37" s="232"/>
      <x:c r="R37" s="232"/>
    </x:row>
    <x:row r="38" ht="27" customHeight="1">
      <x:c r="A38" s="116" t="str">
        <x:v>四川遠東路口</x:v>
      </x:c>
      <x:c r="B38" s="116" t="str">
        <x:v>板橋區</x:v>
      </x:c>
      <x:c r="C38" s="116" t="str">
        <x:v>僅大幅變動</x:v>
      </x:c>
      <x:c r="D38" s="116" t="n">
        <x:v>413</x:v>
      </x:c>
      <x:c r="E38" s="116" t="n">
        <x:v>437</x:v>
      </x:c>
      <x:c r="F38" s="116" t="n">
        <x:v>218</x:v>
      </x:c>
      <x:c r="G38" s="185" t="n">
        <x:v>0.09966973342769521</x:v>
      </x:c>
      <x:c r="H38" s="232"/>
      <x:c r="I38" s="232"/>
      <x:c r="J38" s="232"/>
      <x:c r="K38" s="232"/>
      <x:c r="L38" s="232"/>
      <x:c r="M38" s="232"/>
      <x:c r="N38" s="232"/>
      <x:c r="O38" s="232"/>
      <x:c r="P38" s="232"/>
      <x:c r="Q38" s="232"/>
      <x:c r="R38" s="232"/>
    </x:row>
    <x:row r="39" ht="27" customHeight="1">
      <x:c r="A39" s="117" t="str">
        <x:v>清水社區公園</x:v>
      </x:c>
      <x:c r="B39" s="117" t="str">
        <x:v>土城區</x:v>
      </x:c>
      <x:c r="C39" s="117" t="str">
        <x:v>僅大幅變動</x:v>
      </x:c>
      <x:c r="D39" s="117" t="n">
        <x:v>417</x:v>
      </x:c>
      <x:c r="E39" s="117" t="n">
        <x:v>433</x:v>
      </x:c>
      <x:c r="F39" s="117" t="n">
        <x:v>294</x:v>
      </x:c>
      <x:c r="G39" s="184" t="n">
        <x:v>0.09145979332462288</x:v>
      </x:c>
      <x:c r="H39" s="232"/>
      <x:c r="I39" s="232"/>
      <x:c r="J39" s="232"/>
      <x:c r="K39" s="232"/>
      <x:c r="L39" s="232"/>
      <x:c r="M39" s="232"/>
      <x:c r="N39" s="232"/>
      <x:c r="O39" s="232"/>
      <x:c r="P39" s="232"/>
      <x:c r="Q39" s="232"/>
      <x:c r="R39" s="232"/>
    </x:row>
    <x:row r="40" ht="27" customHeight="1">
      <x:c r="A40" s="116" t="str">
        <x:v>板橋信義公園</x:v>
      </x:c>
      <x:c r="B40" s="116" t="str">
        <x:v>板橋區</x:v>
      </x:c>
      <x:c r="C40" s="116" t="str">
        <x:v>僅大幅變動</x:v>
      </x:c>
      <x:c r="D40" s="116" t="n">
        <x:v>418</x:v>
      </x:c>
      <x:c r="E40" s="116" t="n">
        <x:v>431</x:v>
      </x:c>
      <x:c r="F40" s="116" t="n">
        <x:v>318</x:v>
      </x:c>
      <x:c r="G40" s="185" t="n">
        <x:v>0.08851873884592504</x:v>
      </x:c>
      <x:c r="H40" s="232"/>
      <x:c r="I40" s="232"/>
      <x:c r="J40" s="232"/>
      <x:c r="K40" s="232"/>
      <x:c r="L40" s="232"/>
      <x:c r="M40" s="232"/>
      <x:c r="N40" s="232"/>
      <x:c r="O40" s="232"/>
      <x:c r="P40" s="232"/>
      <x:c r="Q40" s="232"/>
      <x:c r="R40" s="232"/>
    </x:row>
    <x:row r="41" ht="27" customHeight="1">
      <x:c r="A41" s="117" t="str">
        <x:v>麗水富貴路口(聯合公園社區)</x:v>
      </x:c>
      <x:c r="B41" s="117" t="str">
        <x:v>新莊區</x:v>
      </x:c>
      <x:c r="C41" s="117" t="str">
        <x:v>僅大幅變動</x:v>
      </x:c>
      <x:c r="D41" s="117" t="n">
        <x:v>421</x:v>
      </x:c>
      <x:c r="E41" s="117" t="n">
        <x:v>441</x:v>
      </x:c>
      <x:c r="F41" s="117" t="n">
        <x:v>285</x:v>
      </x:c>
      <x:c r="G41" s="184" t="n">
        <x:v>0.09289291676603864</x:v>
      </x:c>
      <x:c r="H41" s="232"/>
      <x:c r="I41" s="232"/>
      <x:c r="J41" s="232"/>
      <x:c r="K41" s="232"/>
      <x:c r="L41" s="232"/>
      <x:c r="M41" s="232"/>
      <x:c r="N41" s="232"/>
      <x:c r="O41" s="232"/>
      <x:c r="P41" s="232"/>
      <x:c r="Q41" s="232"/>
      <x:c r="R41" s="232"/>
    </x:row>
    <x:row r="42" ht="27" customHeight="1">
      <x:c r="A42" s="116" t="str">
        <x:v>永福國小</x:v>
      </x:c>
      <x:c r="B42" s="116" t="str">
        <x:v>三重區</x:v>
      </x:c>
      <x:c r="C42" s="116" t="str">
        <x:v>僅大幅變動</x:v>
      </x:c>
      <x:c r="D42" s="116" t="n">
        <x:v>426</x:v>
      </x:c>
      <x:c r="E42" s="116" t="n">
        <x:v>435</x:v>
      </x:c>
      <x:c r="F42" s="116" t="n">
        <x:v>354</x:v>
      </x:c>
      <x:c r="G42" s="185" t="n">
        <x:v>0.08576555023923445</x:v>
      </x:c>
      <x:c r="H42" s="232"/>
      <x:c r="I42" s="232"/>
      <x:c r="J42" s="232"/>
      <x:c r="K42" s="232"/>
      <x:c r="L42" s="232"/>
      <x:c r="M42" s="232"/>
      <x:c r="N42" s="232"/>
      <x:c r="O42" s="232"/>
      <x:c r="P42" s="232"/>
      <x:c r="Q42" s="232"/>
      <x:c r="R42" s="232"/>
    </x:row>
    <x:row r="43" ht="27" customHeight="1">
      <x:c r="A43" s="117" t="str">
        <x:v>五工五五權路口</x:v>
      </x:c>
      <x:c r="B43" s="117" t="str">
        <x:v>五股區</x:v>
      </x:c>
      <x:c r="C43" s="117" t="str">
        <x:v>僅大幅變動</x:v>
      </x:c>
      <x:c r="D43" s="117" t="n">
        <x:v>428</x:v>
      </x:c>
      <x:c r="E43" s="117" t="n">
        <x:v>443</x:v>
      </x:c>
      <x:c r="F43" s="117" t="n">
        <x:v>313</x:v>
      </x:c>
      <x:c r="G43" s="184" t="n">
        <x:v>0.08998322549724419</x:v>
      </x:c>
      <x:c r="H43" s="232"/>
      <x:c r="I43" s="232"/>
      <x:c r="J43" s="232"/>
      <x:c r="K43" s="232"/>
      <x:c r="L43" s="232"/>
      <x:c r="M43" s="232"/>
      <x:c r="N43" s="232"/>
      <x:c r="O43" s="232"/>
      <x:c r="P43" s="232"/>
      <x:c r="Q43" s="232"/>
      <x:c r="R43" s="232"/>
    </x:row>
    <x:row r="44" ht="27" customHeight="1">
      <x:c r="A44" s="116" t="str">
        <x:v>新莊國民運動中心</x:v>
      </x:c>
      <x:c r="B44" s="116" t="str">
        <x:v>新莊區</x:v>
      </x:c>
      <x:c r="C44" s="116" t="str">
        <x:v>僅大幅變動</x:v>
      </x:c>
      <x:c r="D44" s="116" t="n">
        <x:v>432</x:v>
      </x:c>
      <x:c r="E44" s="116" t="n">
        <x:v>442</x:v>
      </x:c>
      <x:c r="F44" s="116" t="n">
        <x:v>356</x:v>
      </x:c>
      <x:c r="G44" s="185" t="n">
        <x:v>0.0861882437793004</x:v>
      </x:c>
      <x:c r="H44" s="232"/>
      <x:c r="I44" s="232"/>
      <x:c r="J44" s="232"/>
      <x:c r="K44" s="232"/>
      <x:c r="L44" s="232"/>
      <x:c r="M44" s="232"/>
      <x:c r="N44" s="232"/>
      <x:c r="O44" s="232"/>
      <x:c r="P44" s="232"/>
      <x:c r="Q44" s="232"/>
      <x:c r="R44" s="232"/>
    </x:row>
    <x:row r="45" ht="27" customHeight="1">
      <x:c r="A45" s="117" t="str">
        <x:v>格致中學</x:v>
      </x:c>
      <x:c r="B45" s="117" t="str">
        <x:v>三重區</x:v>
      </x:c>
      <x:c r="C45" s="117" t="str">
        <x:v>僅大幅變動</x:v>
      </x:c>
      <x:c r="D45" s="117" t="n">
        <x:v>433</x:v>
      </x:c>
      <x:c r="E45" s="117" t="n">
        <x:v>440</x:v>
      </x:c>
      <x:c r="F45" s="117" t="n">
        <x:v>373</x:v>
      </x:c>
      <x:c r="G45" s="184" t="n">
        <x:v>0.084796728409911</x:v>
      </x:c>
      <x:c r="H45" s="232"/>
      <x:c r="I45" s="232"/>
      <x:c r="J45" s="232"/>
      <x:c r="K45" s="232"/>
      <x:c r="L45" s="232"/>
      <x:c r="M45" s="232"/>
      <x:c r="N45" s="232"/>
      <x:c r="O45" s="232"/>
      <x:c r="P45" s="232"/>
      <x:c r="Q45" s="232"/>
      <x:c r="R45" s="232"/>
    </x:row>
    <x:row r="46" ht="27" customHeight="1">
      <x:c r="A46" s="116" t="str">
        <x:v>力行大勇街口</x:v>
      </x:c>
      <x:c r="B46" s="116" t="str">
        <x:v>三重區</x:v>
      </x:c>
      <x:c r="C46" s="116" t="str">
        <x:v>僅大幅變動</x:v>
      </x:c>
      <x:c r="D46" s="116" t="n">
        <x:v>437</x:v>
      </x:c>
      <x:c r="E46" s="116" t="n">
        <x:v>450</x:v>
      </x:c>
      <x:c r="F46" s="116" t="n">
        <x:v>330</x:v>
      </x:c>
      <x:c r="G46" s="185" t="n">
        <x:v>0.08846571049777027</x:v>
      </x:c>
      <x:c r="H46" s="232"/>
      <x:c r="I46" s="232"/>
      <x:c r="J46" s="232"/>
      <x:c r="K46" s="232"/>
      <x:c r="L46" s="232"/>
      <x:c r="M46" s="232"/>
      <x:c r="N46" s="232"/>
      <x:c r="O46" s="232"/>
      <x:c r="P46" s="232"/>
      <x:c r="Q46" s="232"/>
      <x:c r="R46" s="232"/>
    </x:row>
    <x:row r="47" ht="27" customHeight="1">
      <x:c r="A47" s="117" t="str">
        <x:v>石雕公園</x:v>
      </x:c>
      <x:c r="B47" s="117" t="str">
        <x:v>板橋區</x:v>
      </x:c>
      <x:c r="C47" s="117" t="str">
        <x:v>僅大幅變動</x:v>
      </x:c>
      <x:c r="D47" s="117" t="n">
        <x:v>438</x:v>
      </x:c>
      <x:c r="E47" s="117" t="n">
        <x:v>449</x:v>
      </x:c>
      <x:c r="F47" s="117" t="n">
        <x:v>352</x:v>
      </x:c>
      <x:c r="G47" s="184" t="n">
        <x:v>0.08696176577011216</x:v>
      </x:c>
      <x:c r="H47" s="232"/>
      <x:c r="I47" s="232"/>
      <x:c r="J47" s="232"/>
      <x:c r="K47" s="232"/>
      <x:c r="L47" s="232"/>
      <x:c r="M47" s="232"/>
      <x:c r="N47" s="232"/>
      <x:c r="O47" s="232"/>
      <x:c r="P47" s="232"/>
      <x:c r="Q47" s="232"/>
      <x:c r="R47" s="232"/>
    </x:row>
    <x:row r="48" ht="27" customHeight="1">
      <x:c r="A48" s="116" t="str">
        <x:v>金龍公園</x:v>
      </x:c>
      <x:c r="B48" s="116" t="str">
        <x:v>汐止區</x:v>
      </x:c>
      <x:c r="C48" s="116" t="str">
        <x:v>僅大幅變動</x:v>
      </x:c>
      <x:c r="D48" s="116" t="n">
        <x:v>439</x:v>
      </x:c>
      <x:c r="E48" s="116" t="n">
        <x:v>453</x:v>
      </x:c>
      <x:c r="F48" s="116" t="n">
        <x:v>360</x:v>
      </x:c>
      <x:c r="G48" s="185" t="n">
        <x:v>0.08654078915516825</x:v>
      </x:c>
      <x:c r="H48" s="232"/>
      <x:c r="I48" s="232"/>
      <x:c r="J48" s="232"/>
      <x:c r="K48" s="232"/>
      <x:c r="L48" s="232"/>
      <x:c r="M48" s="232"/>
      <x:c r="N48" s="232"/>
      <x:c r="O48" s="232"/>
      <x:c r="P48" s="232"/>
      <x:c r="Q48" s="232"/>
      <x:c r="R48" s="232"/>
    </x:row>
    <x:row r="49" ht="27" customHeight="1">
      <x:c r="A49" s="117" t="str">
        <x:v>土城國中</x:v>
      </x:c>
      <x:c r="B49" s="117" t="str">
        <x:v>土城區</x:v>
      </x:c>
      <x:c r="C49" s="117" t="str">
        <x:v>僅大幅變動</x:v>
      </x:c>
      <x:c r="D49" s="117" t="n">
        <x:v>444</x:v>
      </x:c>
      <x:c r="E49" s="117" t="n">
        <x:v>500</x:v>
      </x:c>
      <x:c r="F49" s="117" t="n">
        <x:v>99</x:v>
      </x:c>
      <x:c r="G49" s="184" t="n">
        <x:v>0.12597087378640776</x:v>
      </x:c>
      <x:c r="H49" s="232"/>
      <x:c r="I49" s="232"/>
      <x:c r="J49" s="232"/>
      <x:c r="K49" s="232"/>
      <x:c r="L49" s="232"/>
      <x:c r="M49" s="232"/>
      <x:c r="N49" s="232"/>
      <x:c r="O49" s="232"/>
      <x:c r="P49" s="232"/>
      <x:c r="Q49" s="232"/>
      <x:c r="R49" s="232"/>
    </x:row>
    <x:row r="50" ht="27" customHeight="1">
      <x:c r="A50" s="116" t="str">
        <x:v>三抱竹</x:v>
      </x:c>
      <x:c r="B50" s="116" t="str">
        <x:v>板橋區</x:v>
      </x:c>
      <x:c r="C50" s="116" t="str">
        <x:v>僅大幅變動</x:v>
      </x:c>
      <x:c r="D50" s="116" t="n">
        <x:v>447</x:v>
      </x:c>
      <x:c r="E50" s="116" t="n">
        <x:v>463</x:v>
      </x:c>
      <x:c r="F50" s="116" t="n">
        <x:v>336</x:v>
      </x:c>
      <x:c r="G50" s="185" t="n">
        <x:v>0.08926829268292683</x:v>
      </x:c>
      <x:c r="H50" s="232"/>
      <x:c r="I50" s="232"/>
      <x:c r="J50" s="232"/>
      <x:c r="K50" s="232"/>
      <x:c r="L50" s="232"/>
      <x:c r="M50" s="232"/>
      <x:c r="N50" s="232"/>
      <x:c r="O50" s="232"/>
      <x:c r="P50" s="232"/>
      <x:c r="Q50" s="232"/>
      <x:c r="R50" s="232"/>
    </x:row>
    <x:row r="51" ht="27" customHeight="1">
      <x:c r="A51" s="117" t="str">
        <x:v>東方科學園區</x:v>
      </x:c>
      <x:c r="B51" s="117" t="str">
        <x:v>汐止區</x:v>
      </x:c>
      <x:c r="C51" s="117" t="str">
        <x:v>僅大幅變動</x:v>
      </x:c>
      <x:c r="D51" s="117" t="n">
        <x:v>451</x:v>
      </x:c>
      <x:c r="E51" s="117" t="n">
        <x:v>494</x:v>
      </x:c>
      <x:c r="F51" s="117" t="n">
        <x:v>148</x:v>
      </x:c>
      <x:c r="G51" s="184" t="n">
        <x:v>0.1138619928912857</x:v>
      </x:c>
      <x:c r="H51" s="232"/>
      <x:c r="I51" s="232"/>
      <x:c r="J51" s="232"/>
      <x:c r="K51" s="232"/>
      <x:c r="L51" s="232"/>
      <x:c r="M51" s="232"/>
      <x:c r="N51" s="232"/>
      <x:c r="O51" s="232"/>
      <x:c r="P51" s="232"/>
      <x:c r="Q51" s="232"/>
      <x:c r="R51" s="232"/>
    </x:row>
    <x:row r="52" ht="27" customHeight="1">
      <x:c r="A52" s="116" t="str">
        <x:v>三德公園</x:v>
      </x:c>
      <x:c r="B52" s="116" t="str">
        <x:v>三重區</x:v>
      </x:c>
      <x:c r="C52" s="116" t="str">
        <x:v>僅大幅變動</x:v>
      </x:c>
      <x:c r="D52" s="116" t="n">
        <x:v>455</x:v>
      </x:c>
      <x:c r="E52" s="116" t="n">
        <x:v>477</x:v>
      </x:c>
      <x:c r="F52" s="116" t="n">
        <x:v>343</x:v>
      </x:c>
      <x:c r="G52" s="185" t="n">
        <x:v>0.08983364140480592</x:v>
      </x:c>
      <x:c r="H52" s="232"/>
      <x:c r="I52" s="232"/>
      <x:c r="J52" s="232"/>
      <x:c r="K52" s="232"/>
      <x:c r="L52" s="232"/>
      <x:c r="M52" s="232"/>
      <x:c r="N52" s="232"/>
      <x:c r="O52" s="232"/>
      <x:c r="P52" s="232"/>
      <x:c r="Q52" s="232"/>
      <x:c r="R52" s="232"/>
    </x:row>
    <x:row r="53" ht="27" customHeight="1">
      <x:c r="A53" s="117" t="str">
        <x:v>天山公園(永安街)</x:v>
      </x:c>
      <x:c r="B53" s="117" t="str">
        <x:v>新店區</x:v>
      </x:c>
      <x:c r="C53" s="117" t="str">
        <x:v>僅大幅變動</x:v>
      </x:c>
      <x:c r="D53" s="117" t="n">
        <x:v>461</x:v>
      </x:c>
      <x:c r="E53" s="117" t="n">
        <x:v>482</x:v>
      </x:c>
      <x:c r="F53" s="117" t="n">
        <x:v>334</x:v>
      </x:c>
      <x:c r="G53" s="184" t="n">
        <x:v>0.09060568603213845</x:v>
      </x:c>
      <x:c r="H53" s="232"/>
      <x:c r="I53" s="232"/>
      <x:c r="J53" s="232"/>
      <x:c r="K53" s="232"/>
      <x:c r="L53" s="232"/>
      <x:c r="M53" s="232"/>
      <x:c r="N53" s="232"/>
      <x:c r="O53" s="232"/>
      <x:c r="P53" s="232"/>
      <x:c r="Q53" s="232"/>
      <x:c r="R53" s="232"/>
    </x:row>
    <x:row r="54" ht="27" customHeight="1">
      <x:c r="A54" s="116" t="str">
        <x:v>輕軌紅樹林站</x:v>
      </x:c>
      <x:c r="B54" s="116" t="str">
        <x:v>淡水區</x:v>
      </x:c>
      <x:c r="C54" s="116" t="str">
        <x:v>僅大幅變動</x:v>
      </x:c>
      <x:c r="D54" s="116" t="n">
        <x:v>473</x:v>
      </x:c>
      <x:c r="E54" s="116" t="n">
        <x:v>499</x:v>
      </x:c>
      <x:c r="F54" s="116" t="n">
        <x:v>267</x:v>
      </x:c>
      <x:c r="G54" s="185" t="n">
        <x:v>0.09960009997500625</x:v>
      </x:c>
      <x:c r="H54" s="232"/>
      <x:c r="I54" s="232"/>
      <x:c r="J54" s="232"/>
      <x:c r="K54" s="232"/>
      <x:c r="L54" s="232"/>
      <x:c r="M54" s="232"/>
      <x:c r="N54" s="232"/>
      <x:c r="O54" s="232"/>
      <x:c r="P54" s="232"/>
      <x:c r="Q54" s="232"/>
      <x:c r="R54" s="232"/>
    </x:row>
    <x:row r="55" ht="27" customHeight="1">
      <x:c r="A55" s="117" t="str">
        <x:v>碧華公園</x:v>
      </x:c>
      <x:c r="B55" s="117" t="str">
        <x:v>三重區</x:v>
      </x:c>
      <x:c r="C55" s="117" t="str">
        <x:v>僅大幅變動</x:v>
      </x:c>
      <x:c r="D55" s="117" t="n">
        <x:v>477</x:v>
      </x:c>
      <x:c r="E55" s="117" t="n">
        <x:v>493</x:v>
      </x:c>
      <x:c r="F55" s="117" t="n">
        <x:v>342</x:v>
      </x:c>
      <x:c r="G55" s="184" t="n">
        <x:v>0.09149096385542169</x:v>
      </x:c>
      <x:c r="H55" s="232"/>
      <x:c r="I55" s="232"/>
      <x:c r="J55" s="232"/>
      <x:c r="K55" s="232"/>
      <x:c r="L55" s="232"/>
      <x:c r="M55" s="232"/>
      <x:c r="N55" s="232"/>
      <x:c r="O55" s="232"/>
      <x:c r="P55" s="232"/>
      <x:c r="Q55" s="232"/>
      <x:c r="R55" s="232"/>
    </x:row>
    <x:row r="56" ht="27" customHeight="1">
      <x:c r="A56" s="116" t="str">
        <x:v>員林社區公園</x:v>
      </x:c>
      <x:c r="B56" s="116" t="str">
        <x:v>土城區</x:v>
      </x:c>
      <x:c r="C56" s="116" t="str">
        <x:v>僅大幅變動</x:v>
      </x:c>
      <x:c r="D56" s="116" t="n">
        <x:v>498</x:v>
      </x:c>
      <x:c r="E56" s="116" t="n">
        <x:v>529</x:v>
      </x:c>
      <x:c r="F56" s="116" t="n">
        <x:v>253</x:v>
      </x:c>
      <x:c r="G56" s="185" t="n">
        <x:v>0.10420146473082359</x:v>
      </x:c>
      <x:c r="H56" s="232"/>
      <x:c r="I56" s="232"/>
      <x:c r="J56" s="232"/>
      <x:c r="K56" s="232"/>
      <x:c r="L56" s="232"/>
      <x:c r="M56" s="232"/>
      <x:c r="N56" s="232"/>
      <x:c r="O56" s="232"/>
      <x:c r="P56" s="232"/>
      <x:c r="Q56" s="232"/>
      <x:c r="R56" s="232"/>
    </x:row>
    <x:row r="57" ht="27" customHeight="1">
      <x:c r="A57" s="117" t="str">
        <x:v>錦和高中</x:v>
      </x:c>
      <x:c r="B57" s="117" t="str">
        <x:v>中和區</x:v>
      </x:c>
      <x:c r="C57" s="117" t="str">
        <x:v>僅大幅變動</x:v>
      </x:c>
      <x:c r="D57" s="117" t="n">
        <x:v>500</x:v>
      </x:c>
      <x:c r="E57" s="117" t="n">
        <x:v>519</x:v>
      </x:c>
      <x:c r="F57" s="117" t="n">
        <x:v>316</x:v>
      </x:c>
      <x:c r="G57" s="184" t="n">
        <x:v>0.09610189116171362</x:v>
      </x:c>
      <x:c r="H57" s="232"/>
      <x:c r="I57" s="232"/>
      <x:c r="J57" s="232"/>
      <x:c r="K57" s="232"/>
      <x:c r="L57" s="232"/>
      <x:c r="M57" s="232"/>
      <x:c r="N57" s="232"/>
      <x:c r="O57" s="232"/>
      <x:c r="P57" s="232"/>
      <x:c r="Q57" s="232"/>
      <x:c r="R57" s="232"/>
    </x:row>
    <x:row r="58" ht="27" customHeight="1">
      <x:c r="A58" s="116" t="str">
        <x:v>中華中央路一段242巷口</x:v>
      </x:c>
      <x:c r="B58" s="116" t="str">
        <x:v>土城區</x:v>
      </x:c>
      <x:c r="C58" s="116" t="str">
        <x:v>僅大幅變動</x:v>
      </x:c>
      <x:c r="D58" s="116" t="n">
        <x:v>503</x:v>
      </x:c>
      <x:c r="E58" s="116" t="n">
        <x:v>521</x:v>
      </x:c>
      <x:c r="F58" s="116" t="n">
        <x:v>327</x:v>
      </x:c>
      <x:c r="G58" s="185" t="n">
        <x:v>0.09520123839009288</x:v>
      </x:c>
      <x:c r="H58" s="232"/>
      <x:c r="I58" s="232"/>
      <x:c r="J58" s="232"/>
      <x:c r="K58" s="232"/>
      <x:c r="L58" s="232"/>
      <x:c r="M58" s="232"/>
      <x:c r="N58" s="232"/>
      <x:c r="O58" s="232"/>
      <x:c r="P58" s="232"/>
      <x:c r="Q58" s="232"/>
      <x:c r="R58" s="232"/>
    </x:row>
    <x:row r="59" ht="27" customHeight="1">
      <x:c r="A59" s="117" t="str">
        <x:v>新北市立中和高級中學</x:v>
      </x:c>
      <x:c r="B59" s="117" t="str">
        <x:v>中和區</x:v>
      </x:c>
      <x:c r="C59" s="117" t="str">
        <x:v>僅大幅變動</x:v>
      </x:c>
      <x:c r="D59" s="117" t="n">
        <x:v>504</x:v>
      </x:c>
      <x:c r="E59" s="117" t="n">
        <x:v>549</x:v>
      </x:c>
      <x:c r="F59" s="117" t="n">
        <x:v>175</x:v>
      </x:c>
      <x:c r="G59" s="184" t="n">
        <x:v>0.11524067621628598</x:v>
      </x:c>
      <x:c r="H59" s="232"/>
      <x:c r="I59" s="232"/>
      <x:c r="J59" s="232"/>
      <x:c r="K59" s="232"/>
      <x:c r="L59" s="232"/>
      <x:c r="M59" s="232"/>
      <x:c r="N59" s="232"/>
      <x:c r="O59" s="232"/>
      <x:c r="P59" s="232"/>
      <x:c r="Q59" s="232"/>
      <x:c r="R59" s="232"/>
    </x:row>
  </x:sheetData>
  <x:mergeCells>
    <x:mergeCell ref="A1:R1"/>
    <x:mergeCell ref="A2:R2"/>
    <x:mergeCell ref="A13:G13"/>
    <x:mergeCell ref="I20:R28"/>
  </x:mergeCells>
  <x:pageMargins left="0.7" right="0.7" top="0.75" bottom="0.75" header="0.3" footer="0.3"/>
  <x:drawing xmlns:r="http://schemas.openxmlformats.org/officeDocument/2006/relationships" r:id="R84c9be6dc49b466c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20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</x:cols>
  <x:sheetData>
    <x:row r="1" ht="34" customHeight="1">
      <x:c r="A1" s="3" t="str">
        <x:v>符合條件的1,490站排名明細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8" customHeight="1">
      <x:c r="A2" s="7" t="str">
        <x:v>H、J、L與M欄使用Excel公式依『排名定義』中的前25%站數自動判定，方便你改切點後查看名單。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  <x:c r="R3" s="232"/>
      <x:c r="S3" s="232"/>
      <x:c r="T3" s="232"/>
      <x:c r="U3" s="232"/>
      <x:c r="V3" s="232"/>
      <x:c r="W3" s="232"/>
      <x:c r="X3" s="232"/>
      <x:c r="Y3" s="232"/>
    </x:row>
    <x:row r="4" ht="42" customHeight="1">
      <x:c r="A4" s="112" t="str">
        <x:v>站點ID</x:v>
      </x:c>
      <x:c r="B4" s="112" t="str">
        <x:v>站點</x:v>
      </x:c>
      <x:c r="C4" s="112" t="str">
        <x:v>行政區</x:v>
      </x:c>
      <x:c r="D4" s="112" t="str">
        <x:v>容量(開發)</x:v>
      </x:c>
      <x:c r="E4" s="112" t="str">
        <x:v>有效日</x:v>
      </x:c>
      <x:c r="F4" s="112" t="str">
        <x:v>覆蓋率</x:v>
      </x:c>
      <x:c r="G4" s="112" t="str">
        <x:v>總變動排名</x:v>
      </x:c>
      <x:c r="H4" s="112" t="str">
        <x:v>總前25%</x:v>
      </x:c>
      <x:c r="I4" s="112" t="str">
        <x:v>一般排名</x:v>
      </x:c>
      <x:c r="J4" s="112" t="str">
        <x:v>一般前25%</x:v>
      </x:c>
      <x:c r="K4" s="112" t="str">
        <x:v>大幅排名</x:v>
      </x:c>
      <x:c r="L4" s="112" t="str">
        <x:v>大幅前25%</x:v>
      </x:c>
      <x:c r="M4" s="112" t="str">
        <x:v>入選數</x:v>
      </x:c>
      <x:c r="N4" s="112" t="str">
        <x:v>入選組合</x:v>
      </x:c>
      <x:c r="O4" s="112" t="str">
        <x:v>開發總變動/日</x:v>
      </x:c>
      <x:c r="P4" s="112" t="str">
        <x:v>開發一般變動/日</x:v>
      </x:c>
      <x:c r="Q4" s="112" t="str">
        <x:v>開發大幅變動/日</x:v>
      </x:c>
      <x:c r="R4" s="112" t="str">
        <x:v>開發大幅占比</x:v>
      </x:c>
      <x:c r="S4" s="112" t="str">
        <x:v>五月總變動/日</x:v>
      </x:c>
      <x:c r="T4" s="112" t="str">
        <x:v>五月一般變動/日</x:v>
      </x:c>
      <x:c r="U4" s="112" t="str">
        <x:v>五月大幅變動/日</x:v>
      </x:c>
      <x:c r="V4" s="112" t="str">
        <x:v>五月尖峰失衡率</x:v>
      </x:c>
      <x:c r="W4" s="112" t="str">
        <x:v>五月持續事件數</x:v>
      </x:c>
      <x:c r="X4" s="112" t="str">
        <x:v>五月事件分鐘</x:v>
      </x:c>
      <x:c r="Y4" s="112" t="str">
        <x:v>五月容量</x:v>
      </x:c>
    </x:row>
    <x:row r="5">
      <x:c r="A5" s="217" t="n">
        <x:v>32</x:v>
      </x:c>
      <x:c r="B5" s="217" t="str">
        <x:v>捷運南勢角站(4號出口)</x:v>
      </x:c>
      <x:c r="C5" s="217" t="str">
        <x:v>中和區</x:v>
      </x:c>
      <x:c r="D5" s="217" t="n">
        <x:v>96</x:v>
      </x:c>
      <x:c r="E5" s="217" t="n">
        <x:v>120</x:v>
      </x:c>
      <x:c r="F5" s="218" t="n">
        <x:v>0.9994791666666667</x:v>
      </x:c>
      <x:c r="G5" s="217" t="n">
        <x:v>1</x:v>
      </x:c>
      <x:c r="H5" s="217" t="str">
        <x:f>IF(G5&lt;='排名定義'!$B$5,"是","")</x:f>
        <x:v>是</x:v>
      </x:c>
      <x:c r="I5" s="217" t="n">
        <x:v>1</x:v>
      </x:c>
      <x:c r="J5" s="217" t="str">
        <x:f>IF(I5&lt;='排名定義'!$B$5,"是","")</x:f>
        <x:v>是</x:v>
      </x:c>
      <x:c r="K5" s="217" t="n">
        <x:v>5</x:v>
      </x:c>
      <x:c r="L5" s="217" t="str">
        <x:f>IF(K5&lt;='排名定義'!$B$5,"是","")</x:f>
        <x:v>是</x:v>
      </x:c>
      <x:c r="M5" s="217" t="n">
        <x:f>COUNTIF(H5:L5,"是")</x:f>
        <x:v>3</x:v>
      </x:c>
      <x:c r="N5" s="217" t="str">
        <x:v>三份皆入選</x:v>
      </x:c>
      <x:c r="O5" s="220" t="n">
        <x:v>315.90833333333336</x:v>
      </x:c>
      <x:c r="P5" s="220" t="n">
        <x:v>299.94166666666666</x:v>
      </x:c>
      <x:c r="Q5" s="220" t="n">
        <x:v>15.966666666666667</x:v>
      </x:c>
      <x:c r="R5" s="220" t="n">
        <x:v>0.05054208763090559</x:v>
      </x:c>
      <x:c r="S5" s="220" t="n">
        <x:v>381.6774193548387</x:v>
      </x:c>
      <x:c r="T5" s="220" t="n">
        <x:v>367.03225806451616</x:v>
      </x:c>
      <x:c r="U5" s="220" t="n">
        <x:v>14.64516129032258</x:v>
      </x:c>
      <x:c r="V5" s="218" t="n">
        <x:v>0.03225806451612903</x:v>
      </x:c>
      <x:c r="W5" s="217" t="n">
        <x:v>23</x:v>
      </x:c>
      <x:c r="X5" s="222" t="n">
        <x:v>2940</x:v>
      </x:c>
      <x:c r="Y5" s="217" t="n">
        <x:v>96</x:v>
      </x:c>
    </x:row>
    <x:row r="6">
      <x:c r="A6" s="216" t="n">
        <x:v>39</x:v>
      </x:c>
      <x:c r="B6" s="216" t="str">
        <x:v>捷運新埔站(1號出口)</x:v>
      </x:c>
      <x:c r="C6" s="216" t="str">
        <x:v>板橋區</x:v>
      </x:c>
      <x:c r="D6" s="216" t="n">
        <x:v>99</x:v>
      </x:c>
      <x:c r="E6" s="216" t="n">
        <x:v>120</x:v>
      </x:c>
      <x:c r="F6" s="219" t="n">
        <x:v>0.9994791666666667</x:v>
      </x:c>
      <x:c r="G6" s="216" t="n">
        <x:v>2</x:v>
      </x:c>
      <x:c r="H6" s="216" t="str">
        <x:f>IF(G6&lt;='排名定義'!$B$5,"是","")</x:f>
        <x:v>是</x:v>
      </x:c>
      <x:c r="I6" s="216" t="n">
        <x:v>2</x:v>
      </x:c>
      <x:c r="J6" s="216" t="str">
        <x:f>IF(I6&lt;='排名定義'!$B$5,"是","")</x:f>
        <x:v>是</x:v>
      </x:c>
      <x:c r="K6" s="216" t="n">
        <x:v>1</x:v>
      </x:c>
      <x:c r="L6" s="216" t="str">
        <x:f>IF(K6&lt;='排名定義'!$B$5,"是","")</x:f>
        <x:v>是</x:v>
      </x:c>
      <x:c r="M6" s="216" t="n">
        <x:f>COUNTIF(H6:L6,"是")</x:f>
        <x:v>3</x:v>
      </x:c>
      <x:c r="N6" s="216" t="str">
        <x:v>三份皆入選</x:v>
      </x:c>
      <x:c r="O6" s="221" t="n">
        <x:v>306.6333333333333</x:v>
      </x:c>
      <x:c r="P6" s="221" t="n">
        <x:v>287.55</x:v>
      </x:c>
      <x:c r="Q6" s="221" t="n">
        <x:v>19.083333333333332</x:v>
      </x:c>
      <x:c r="R6" s="221" t="n">
        <x:v>0.06223502554625503</x:v>
      </x:c>
      <x:c r="S6" s="221" t="n">
        <x:v>342.80645161290323</x:v>
      </x:c>
      <x:c r="T6" s="221" t="n">
        <x:v>324.64516129032256</x:v>
      </x:c>
      <x:c r="U6" s="221" t="n">
        <x:v>18.161290322580644</x:v>
      </x:c>
      <x:c r="V6" s="219" t="n">
        <x:v>0.03456221198156682</x:v>
      </x:c>
      <x:c r="W6" s="216" t="n">
        <x:v>30</x:v>
      </x:c>
      <x:c r="X6" s="223" t="n">
        <x:v>3330</x:v>
      </x:c>
      <x:c r="Y6" s="216" t="n">
        <x:v>99</x:v>
      </x:c>
    </x:row>
    <x:row r="7">
      <x:c r="A7" s="217" t="n">
        <x:v>55</x:v>
      </x:c>
      <x:c r="B7" s="217" t="str">
        <x:v>捷運蘆洲站</x:v>
      </x:c>
      <x:c r="C7" s="217" t="str">
        <x:v>蘆洲區</x:v>
      </x:c>
      <x:c r="D7" s="217" t="n">
        <x:v>92</x:v>
      </x:c>
      <x:c r="E7" s="217" t="n">
        <x:v>120</x:v>
      </x:c>
      <x:c r="F7" s="218" t="n">
        <x:v>0.9994791666666667</x:v>
      </x:c>
      <x:c r="G7" s="217" t="n">
        <x:v>3</x:v>
      </x:c>
      <x:c r="H7" s="217" t="str">
        <x:f>IF(G7&lt;='排名定義'!$B$5,"是","")</x:f>
        <x:v>是</x:v>
      </x:c>
      <x:c r="I7" s="217" t="n">
        <x:v>4</x:v>
      </x:c>
      <x:c r="J7" s="217" t="str">
        <x:f>IF(I7&lt;='排名定義'!$B$5,"是","")</x:f>
        <x:v>是</x:v>
      </x:c>
      <x:c r="K7" s="217" t="n">
        <x:v>7</x:v>
      </x:c>
      <x:c r="L7" s="217" t="str">
        <x:f>IF(K7&lt;='排名定義'!$B$5,"是","")</x:f>
        <x:v>是</x:v>
      </x:c>
      <x:c r="M7" s="217" t="n">
        <x:f>COUNTIF(H7:L7,"是")</x:f>
        <x:v>3</x:v>
      </x:c>
      <x:c r="N7" s="217" t="str">
        <x:v>三份皆入選</x:v>
      </x:c>
      <x:c r="O7" s="220" t="n">
        <x:v>284.30833333333334</x:v>
      </x:c>
      <x:c r="P7" s="220" t="n">
        <x:v>268.6</x:v>
      </x:c>
      <x:c r="Q7" s="220" t="n">
        <x:v>15.708333333333334</x:v>
      </x:c>
      <x:c r="R7" s="220" t="n">
        <x:v>0.055251047864700885</x:v>
      </x:c>
      <x:c r="S7" s="220" t="n">
        <x:v>307.4516129032258</x:v>
      </x:c>
      <x:c r="T7" s="220" t="n">
        <x:v>293.38709677419354</x:v>
      </x:c>
      <x:c r="U7" s="220" t="n">
        <x:v>14.064516129032258</x:v>
      </x:c>
      <x:c r="V7" s="218" t="n">
        <x:v>0.020737327188940093</x:v>
      </x:c>
      <x:c r="W7" s="217" t="n">
        <x:v>15</x:v>
      </x:c>
      <x:c r="X7" s="222" t="n">
        <x:v>1950</x:v>
      </x:c>
      <x:c r="Y7" s="217" t="n">
        <x:v>92</x:v>
      </x:c>
    </x:row>
    <x:row r="8">
      <x:c r="A8" s="216" t="n">
        <x:v>42</x:v>
      </x:c>
      <x:c r="B8" s="216" t="str">
        <x:v>捷運新莊站(1號出口)</x:v>
      </x:c>
      <x:c r="C8" s="216" t="str">
        <x:v>新莊區</x:v>
      </x:c>
      <x:c r="D8" s="216" t="n">
        <x:v>69</x:v>
      </x:c>
      <x:c r="E8" s="216" t="n">
        <x:v>120</x:v>
      </x:c>
      <x:c r="F8" s="219" t="n">
        <x:v>0.9994791666666667</x:v>
      </x:c>
      <x:c r="G8" s="216" t="n">
        <x:v>4</x:v>
      </x:c>
      <x:c r="H8" s="216" t="str">
        <x:f>IF(G8&lt;='排名定義'!$B$5,"是","")</x:f>
        <x:v>是</x:v>
      </x:c>
      <x:c r="I8" s="216" t="n">
        <x:v>3</x:v>
      </x:c>
      <x:c r="J8" s="216" t="str">
        <x:f>IF(I8&lt;='排名定義'!$B$5,"是","")</x:f>
        <x:v>是</x:v>
      </x:c>
      <x:c r="K8" s="216" t="n">
        <x:v>27</x:v>
      </x:c>
      <x:c r="L8" s="216" t="str">
        <x:f>IF(K8&lt;='排名定義'!$B$5,"是","")</x:f>
        <x:v>是</x:v>
      </x:c>
      <x:c r="M8" s="216" t="n">
        <x:f>COUNTIF(H8:L8,"是")</x:f>
        <x:v>3</x:v>
      </x:c>
      <x:c r="N8" s="216" t="str">
        <x:v>三份皆入選</x:v>
      </x:c>
      <x:c r="O8" s="221" t="n">
        <x:v>283.55</x:v>
      </x:c>
      <x:c r="P8" s="221" t="n">
        <x:v>270.275</x:v>
      </x:c>
      <x:c r="Q8" s="221" t="n">
        <x:v>13.275</x:v>
      </x:c>
      <x:c r="R8" s="221" t="n">
        <x:v>0.0468171398342444</x:v>
      </x:c>
      <x:c r="S8" s="221" t="n">
        <x:v>330.4516129032258</x:v>
      </x:c>
      <x:c r="T8" s="221" t="n">
        <x:v>319.38709677419354</x:v>
      </x:c>
      <x:c r="U8" s="221" t="n">
        <x:v>11.064516129032258</x:v>
      </x:c>
      <x:c r="V8" s="219" t="n">
        <x:v>0.08525345622119816</x:v>
      </x:c>
      <x:c r="W8" s="216" t="n">
        <x:v>15</x:v>
      </x:c>
      <x:c r="X8" s="223" t="n">
        <x:v>2430</x:v>
      </x:c>
      <x:c r="Y8" s="216" t="n">
        <x:v>69</x:v>
      </x:c>
    </x:row>
    <x:row r="9">
      <x:c r="A9" s="217" t="n">
        <x:v>56</x:v>
      </x:c>
      <x:c r="B9" s="217" t="str">
        <x:v>捷運迴龍站(3號出口)</x:v>
      </x:c>
      <x:c r="C9" s="217" t="str">
        <x:v>新莊區</x:v>
      </x:c>
      <x:c r="D9" s="217" t="n">
        <x:v>70</x:v>
      </x:c>
      <x:c r="E9" s="217" t="n">
        <x:v>120</x:v>
      </x:c>
      <x:c r="F9" s="218" t="n">
        <x:v>0.9994791666666667</x:v>
      </x:c>
      <x:c r="G9" s="217" t="n">
        <x:v>5</x:v>
      </x:c>
      <x:c r="H9" s="217" t="str">
        <x:f>IF(G9&lt;='排名定義'!$B$5,"是","")</x:f>
        <x:v>是</x:v>
      </x:c>
      <x:c r="I9" s="217" t="n">
        <x:v>5</x:v>
      </x:c>
      <x:c r="J9" s="217" t="str">
        <x:f>IF(I9&lt;='排名定義'!$B$5,"是","")</x:f>
        <x:v>是</x:v>
      </x:c>
      <x:c r="K9" s="217" t="n">
        <x:v>25</x:v>
      </x:c>
      <x:c r="L9" s="217" t="str">
        <x:f>IF(K9&lt;='排名定義'!$B$5,"是","")</x:f>
        <x:v>是</x:v>
      </x:c>
      <x:c r="M9" s="217" t="n">
        <x:f>COUNTIF(H9:L9,"是")</x:f>
        <x:v>3</x:v>
      </x:c>
      <x:c r="N9" s="217" t="str">
        <x:v>三份皆入選</x:v>
      </x:c>
      <x:c r="O9" s="220" t="n">
        <x:v>271.5416666666667</x:v>
      </x:c>
      <x:c r="P9" s="220" t="n">
        <x:v>258.14166666666665</x:v>
      </x:c>
      <x:c r="Q9" s="220" t="n">
        <x:v>13.4</x:v>
      </x:c>
      <x:c r="R9" s="220" t="n">
        <x:v>0.04934785944452969</x:v>
      </x:c>
      <x:c r="S9" s="220" t="n">
        <x:v>302.8709677419355</x:v>
      </x:c>
      <x:c r="T9" s="220" t="n">
        <x:v>291.06451612903226</x:v>
      </x:c>
      <x:c r="U9" s="220" t="n">
        <x:v>11.806451612903226</x:v>
      </x:c>
      <x:c r="V9" s="218" t="n">
        <x:v>0.004608294930875576</x:v>
      </x:c>
      <x:c r="W9" s="217" t="n">
        <x:v>30</x:v>
      </x:c>
      <x:c r="X9" s="222" t="n">
        <x:v>3510</x:v>
      </x:c>
      <x:c r="Y9" s="217" t="n">
        <x:v>70</x:v>
      </x:c>
    </x:row>
    <x:row r="10">
      <x:c r="A10" s="216" t="n">
        <x:v>37</x:v>
      </x:c>
      <x:c r="B10" s="216" t="str">
        <x:v>捷運府中站(3號出口)</x:v>
      </x:c>
      <x:c r="C10" s="216" t="str">
        <x:v>板橋區</x:v>
      </x:c>
      <x:c r="D10" s="216" t="n">
        <x:v>69</x:v>
      </x:c>
      <x:c r="E10" s="216" t="n">
        <x:v>120</x:v>
      </x:c>
      <x:c r="F10" s="219" t="n">
        <x:v>0.9994791666666667</x:v>
      </x:c>
      <x:c r="G10" s="216" t="n">
        <x:v>6</x:v>
      </x:c>
      <x:c r="H10" s="216" t="str">
        <x:f>IF(G10&lt;='排名定義'!$B$5,"是","")</x:f>
        <x:v>是</x:v>
      </x:c>
      <x:c r="I10" s="216" t="n">
        <x:v>6</x:v>
      </x:c>
      <x:c r="J10" s="216" t="str">
        <x:f>IF(I10&lt;='排名定義'!$B$5,"是","")</x:f>
        <x:v>是</x:v>
      </x:c>
      <x:c r="K10" s="216" t="n">
        <x:v>10</x:v>
      </x:c>
      <x:c r="L10" s="216" t="str">
        <x:f>IF(K10&lt;='排名定義'!$B$5,"是","")</x:f>
        <x:v>是</x:v>
      </x:c>
      <x:c r="M10" s="216" t="n">
        <x:f>COUNTIF(H10:L10,"是")</x:f>
        <x:v>3</x:v>
      </x:c>
      <x:c r="N10" s="216" t="str">
        <x:v>三份皆入選</x:v>
      </x:c>
      <x:c r="O10" s="221" t="n">
        <x:v>260.18333333333334</x:v>
      </x:c>
      <x:c r="P10" s="221" t="n">
        <x:v>245.03333333333333</x:v>
      </x:c>
      <x:c r="Q10" s="221" t="n">
        <x:v>15.15</x:v>
      </x:c>
      <x:c r="R10" s="221" t="n">
        <x:v>0.05822817244250849</x:v>
      </x:c>
      <x:c r="S10" s="221" t="n">
        <x:v>273.96774193548384</x:v>
      </x:c>
      <x:c r="T10" s="221" t="n">
        <x:v>262.0967741935484</x:v>
      </x:c>
      <x:c r="U10" s="221" t="n">
        <x:v>11.870967741935484</x:v>
      </x:c>
      <x:c r="V10" s="219" t="n">
        <x:v>0.03456221198156682</x:v>
      </x:c>
      <x:c r="W10" s="216" t="n">
        <x:v>47</x:v>
      </x:c>
      <x:c r="X10" s="223" t="n">
        <x:v>7320</x:v>
      </x:c>
      <x:c r="Y10" s="216" t="n">
        <x:v>69</x:v>
      </x:c>
    </x:row>
    <x:row r="11">
      <x:c r="A11" s="217" t="n">
        <x:v>52</x:v>
      </x:c>
      <x:c r="B11" s="217" t="str">
        <x:v>捷運淡水站</x:v>
      </x:c>
      <x:c r="C11" s="217" t="str">
        <x:v>淡水區</x:v>
      </x:c>
      <x:c r="D11" s="217" t="n">
        <x:v>98</x:v>
      </x:c>
      <x:c r="E11" s="217" t="n">
        <x:v>120</x:v>
      </x:c>
      <x:c r="F11" s="218" t="n">
        <x:v>0.9994791666666667</x:v>
      </x:c>
      <x:c r="G11" s="217" t="n">
        <x:v>7</x:v>
      </x:c>
      <x:c r="H11" s="217" t="str">
        <x:f>IF(G11&lt;='排名定義'!$B$5,"是","")</x:f>
        <x:v>是</x:v>
      </x:c>
      <x:c r="I11" s="217" t="n">
        <x:v>8</x:v>
      </x:c>
      <x:c r="J11" s="217" t="str">
        <x:f>IF(I11&lt;='排名定義'!$B$5,"是","")</x:f>
        <x:v>是</x:v>
      </x:c>
      <x:c r="K11" s="217" t="n">
        <x:v>2</x:v>
      </x:c>
      <x:c r="L11" s="217" t="str">
        <x:f>IF(K11&lt;='排名定義'!$B$5,"是","")</x:f>
        <x:v>是</x:v>
      </x:c>
      <x:c r="M11" s="217" t="n">
        <x:f>COUNTIF(H11:L11,"是")</x:f>
        <x:v>3</x:v>
      </x:c>
      <x:c r="N11" s="217" t="str">
        <x:v>三份皆入選</x:v>
      </x:c>
      <x:c r="O11" s="220" t="n">
        <x:v>253.725</x:v>
      </x:c>
      <x:c r="P11" s="220" t="n">
        <x:v>234.64166666666668</x:v>
      </x:c>
      <x:c r="Q11" s="220" t="n">
        <x:v>19.083333333333332</x:v>
      </x:c>
      <x:c r="R11" s="220" t="n">
        <x:v>0.07521266463034125</x:v>
      </x:c>
      <x:c r="S11" s="220" t="n">
        <x:v>408.51612903225805</x:v>
      </x:c>
      <x:c r="T11" s="220" t="n">
        <x:v>389.741935483871</x:v>
      </x:c>
      <x:c r="U11" s="220" t="n">
        <x:v>18.774193548387096</x:v>
      </x:c>
      <x:c r="V11" s="218" t="n">
        <x:v>0.0069124423963133645</x:v>
      </x:c>
      <x:c r="W11" s="217" t="n">
        <x:v>3</x:v>
      </x:c>
      <x:c r="X11" s="222" t="n">
        <x:v>570</x:v>
      </x:c>
      <x:c r="Y11" s="217" t="n">
        <x:v>98</x:v>
      </x:c>
    </x:row>
    <x:row r="12">
      <x:c r="A12" s="216" t="n">
        <x:v>1462</x:v>
      </x:c>
      <x:c r="B12" s="216" t="str">
        <x:v>捷運三重國小站</x:v>
      </x:c>
      <x:c r="C12" s="216" t="str">
        <x:v>三重區</x:v>
      </x:c>
      <x:c r="D12" s="216" t="n">
        <x:v>52</x:v>
      </x:c>
      <x:c r="E12" s="216" t="n">
        <x:v>120</x:v>
      </x:c>
      <x:c r="F12" s="219" t="n">
        <x:v>0.9994791666666667</x:v>
      </x:c>
      <x:c r="G12" s="216" t="n">
        <x:v>8</x:v>
      </x:c>
      <x:c r="H12" s="216" t="str">
        <x:f>IF(G12&lt;='排名定義'!$B$5,"是","")</x:f>
        <x:v>是</x:v>
      </x:c>
      <x:c r="I12" s="216" t="n">
        <x:v>7</x:v>
      </x:c>
      <x:c r="J12" s="216" t="str">
        <x:f>IF(I12&lt;='排名定義'!$B$5,"是","")</x:f>
        <x:v>是</x:v>
      </x:c>
      <x:c r="K12" s="216" t="n">
        <x:v>42</x:v>
      </x:c>
      <x:c r="L12" s="216" t="str">
        <x:f>IF(K12&lt;='排名定義'!$B$5,"是","")</x:f>
        <x:v>是</x:v>
      </x:c>
      <x:c r="M12" s="216" t="n">
        <x:f>COUNTIF(H12:L12,"是")</x:f>
        <x:v>3</x:v>
      </x:c>
      <x:c r="N12" s="216" t="str">
        <x:v>三份皆入選</x:v>
      </x:c>
      <x:c r="O12" s="221" t="n">
        <x:v>248.45</x:v>
      </x:c>
      <x:c r="P12" s="221" t="n">
        <x:v>237.08333333333334</x:v>
      </x:c>
      <x:c r="Q12" s="221" t="n">
        <x:v>11.366666666666667</x:v>
      </x:c>
      <x:c r="R12" s="221" t="n">
        <x:v>0.04575031864224861</x:v>
      </x:c>
      <x:c r="S12" s="221" t="n">
        <x:v>275.35483870967744</x:v>
      </x:c>
      <x:c r="T12" s="221" t="n">
        <x:v>264.61290322580646</x:v>
      </x:c>
      <x:c r="U12" s="221" t="n">
        <x:v>10.741935483870968</x:v>
      </x:c>
      <x:c r="V12" s="219" t="n">
        <x:v>0.09216589861751152</x:v>
      </x:c>
      <x:c r="W12" s="216" t="n">
        <x:v>40</x:v>
      </x:c>
      <x:c r="X12" s="223" t="n">
        <x:v>5400</x:v>
      </x:c>
      <x:c r="Y12" s="216" t="n">
        <x:v>52</x:v>
      </x:c>
    </x:row>
    <x:row r="13">
      <x:c r="A13" s="217" t="n">
        <x:v>1484</x:v>
      </x:c>
      <x:c r="B13" s="217" t="str">
        <x:v>捷運三民高中站(2號出口)</x:v>
      </x:c>
      <x:c r="C13" s="217" t="str">
        <x:v>蘆洲區</x:v>
      </x:c>
      <x:c r="D13" s="217" t="n">
        <x:v>55</x:v>
      </x:c>
      <x:c r="E13" s="217" t="n">
        <x:v>120</x:v>
      </x:c>
      <x:c r="F13" s="218" t="n">
        <x:v>0.9994791666666667</x:v>
      </x:c>
      <x:c r="G13" s="217" t="n">
        <x:v>9</x:v>
      </x:c>
      <x:c r="H13" s="217" t="str">
        <x:f>IF(G13&lt;='排名定義'!$B$5,"是","")</x:f>
        <x:v>是</x:v>
      </x:c>
      <x:c r="I13" s="217" t="n">
        <x:v>9</x:v>
      </x:c>
      <x:c r="J13" s="217" t="str">
        <x:f>IF(I13&lt;='排名定義'!$B$5,"是","")</x:f>
        <x:v>是</x:v>
      </x:c>
      <x:c r="K13" s="217" t="n">
        <x:v>48</x:v>
      </x:c>
      <x:c r="L13" s="217" t="str">
        <x:f>IF(K13&lt;='排名定義'!$B$5,"是","")</x:f>
        <x:v>是</x:v>
      </x:c>
      <x:c r="M13" s="217" t="n">
        <x:f>COUNTIF(H13:L13,"是")</x:f>
        <x:v>3</x:v>
      </x:c>
      <x:c r="N13" s="217" t="str">
        <x:v>三份皆入選</x:v>
      </x:c>
      <x:c r="O13" s="220" t="n">
        <x:v>243.01666666666668</x:v>
      </x:c>
      <x:c r="P13" s="220" t="n">
        <x:v>232.375</x:v>
      </x:c>
      <x:c r="Q13" s="220" t="n">
        <x:v>10.641666666666667</x:v>
      </x:c>
      <x:c r="R13" s="220" t="n">
        <x:v>0.0437898635210205</x:v>
      </x:c>
      <x:c r="S13" s="220" t="n">
        <x:v>275.2258064516129</x:v>
      </x:c>
      <x:c r="T13" s="220" t="n">
        <x:v>265.19354838709677</x:v>
      </x:c>
      <x:c r="U13" s="220" t="n">
        <x:v>10.03225806451613</x:v>
      </x:c>
      <x:c r="V13" s="218" t="n">
        <x:v>0.06912442396313365</x:v>
      </x:c>
      <x:c r="W13" s="217" t="n">
        <x:v>32</x:v>
      </x:c>
      <x:c r="X13" s="222" t="n">
        <x:v>3930</x:v>
      </x:c>
      <x:c r="Y13" s="217" t="n">
        <x:v>55</x:v>
      </x:c>
    </x:row>
    <x:row r="14">
      <x:c r="A14" s="216" t="n">
        <x:v>72</x:v>
      </x:c>
      <x:c r="B14" s="216" t="str">
        <x:v>板橋車站</x:v>
      </x:c>
      <x:c r="C14" s="216" t="str">
        <x:v>板橋區</x:v>
      </x:c>
      <x:c r="D14" s="216" t="n">
        <x:v>95</x:v>
      </x:c>
      <x:c r="E14" s="216" t="n">
        <x:v>120</x:v>
      </x:c>
      <x:c r="F14" s="219" t="n">
        <x:v>0.9994791666666667</x:v>
      </x:c>
      <x:c r="G14" s="216" t="n">
        <x:v>10</x:v>
      </x:c>
      <x:c r="H14" s="216" t="str">
        <x:f>IF(G14&lt;='排名定義'!$B$5,"是","")</x:f>
        <x:v>是</x:v>
      </x:c>
      <x:c r="I14" s="216" t="n">
        <x:v>10</x:v>
      </x:c>
      <x:c r="J14" s="216" t="str">
        <x:f>IF(I14&lt;='排名定義'!$B$5,"是","")</x:f>
        <x:v>是</x:v>
      </x:c>
      <x:c r="K14" s="216" t="n">
        <x:v>9</x:v>
      </x:c>
      <x:c r="L14" s="216" t="str">
        <x:f>IF(K14&lt;='排名定義'!$B$5,"是","")</x:f>
        <x:v>是</x:v>
      </x:c>
      <x:c r="M14" s="216" t="n">
        <x:f>COUNTIF(H14:L14,"是")</x:f>
        <x:v>3</x:v>
      </x:c>
      <x:c r="N14" s="216" t="str">
        <x:v>三份皆入選</x:v>
      </x:c>
      <x:c r="O14" s="221" t="n">
        <x:v>241.975</x:v>
      </x:c>
      <x:c r="P14" s="221" t="n">
        <x:v>226.5</x:v>
      </x:c>
      <x:c r="Q14" s="221" t="n">
        <x:v>15.475</x:v>
      </x:c>
      <x:c r="R14" s="221" t="n">
        <x:v>0.06395288769500981</x:v>
      </x:c>
      <x:c r="S14" s="221" t="n">
        <x:v>275.9032258064516</x:v>
      </x:c>
      <x:c r="T14" s="221" t="n">
        <x:v>260.93548387096774</x:v>
      </x:c>
      <x:c r="U14" s="221" t="n">
        <x:v>14.96774193548387</x:v>
      </x:c>
      <x:c r="V14" s="219" t="n">
        <x:v>0.055299539170506916</x:v>
      </x:c>
      <x:c r="W14" s="216" t="n">
        <x:v>44</x:v>
      </x:c>
      <x:c r="X14" s="223" t="n">
        <x:v>6120</x:v>
      </x:c>
      <x:c r="Y14" s="216" t="n">
        <x:v>95</x:v>
      </x:c>
    </x:row>
    <x:row r="15">
      <x:c r="A15" s="217" t="n">
        <x:v>75</x:v>
      </x:c>
      <x:c r="B15" s="217" t="str">
        <x:v>樹林火車站(後站)</x:v>
      </x:c>
      <x:c r="C15" s="217" t="str">
        <x:v>樹林區</x:v>
      </x:c>
      <x:c r="D15" s="217" t="n">
        <x:v>65</x:v>
      </x:c>
      <x:c r="E15" s="217" t="n">
        <x:v>120</x:v>
      </x:c>
      <x:c r="F15" s="218" t="n">
        <x:v>0.9994791666666667</x:v>
      </x:c>
      <x:c r="G15" s="217" t="n">
        <x:v>11</x:v>
      </x:c>
      <x:c r="H15" s="217" t="str">
        <x:f>IF(G15&lt;='排名定義'!$B$5,"是","")</x:f>
        <x:v>是</x:v>
      </x:c>
      <x:c r="I15" s="217" t="n">
        <x:v>11</x:v>
      </x:c>
      <x:c r="J15" s="217" t="str">
        <x:f>IF(I15&lt;='排名定義'!$B$5,"是","")</x:f>
        <x:v>是</x:v>
      </x:c>
      <x:c r="K15" s="217" t="n">
        <x:v>41</x:v>
      </x:c>
      <x:c r="L15" s="217" t="str">
        <x:f>IF(K15&lt;='排名定義'!$B$5,"是","")</x:f>
        <x:v>是</x:v>
      </x:c>
      <x:c r="M15" s="217" t="n">
        <x:f>COUNTIF(H15:L15,"是")</x:f>
        <x:v>3</x:v>
      </x:c>
      <x:c r="N15" s="217" t="str">
        <x:v>三份皆入選</x:v>
      </x:c>
      <x:c r="O15" s="220" t="n">
        <x:v>232.25833333333333</x:v>
      </x:c>
      <x:c r="P15" s="220" t="n">
        <x:v>220.56666666666666</x:v>
      </x:c>
      <x:c r="Q15" s="220" t="n">
        <x:v>11.691666666666666</x:v>
      </x:c>
      <x:c r="R15" s="220" t="n">
        <x:v>0.05033906210756701</x:v>
      </x:c>
      <x:c r="S15" s="220" t="n">
        <x:v>268.7741935483871</x:v>
      </x:c>
      <x:c r="T15" s="220" t="n">
        <x:v>256.7741935483871</x:v>
      </x:c>
      <x:c r="U15" s="220" t="n">
        <x:v>12</x:v>
      </x:c>
      <x:c r="V15" s="218" t="n">
        <x:v>0.009216589861751152</x:v>
      </x:c>
      <x:c r="W15" s="217" t="n">
        <x:v>20</x:v>
      </x:c>
      <x:c r="X15" s="222" t="n">
        <x:v>2790</x:v>
      </x:c>
      <x:c r="Y15" s="217" t="n">
        <x:v>65</x:v>
      </x:c>
    </x:row>
    <x:row r="16">
      <x:c r="A16" s="216" t="n">
        <x:v>27</x:v>
      </x:c>
      <x:c r="B16" s="216" t="str">
        <x:v>捷運三和國中站(1號出口)</x:v>
      </x:c>
      <x:c r="C16" s="216" t="str">
        <x:v>三重區</x:v>
      </x:c>
      <x:c r="D16" s="216" t="n">
        <x:v>95</x:v>
      </x:c>
      <x:c r="E16" s="216" t="n">
        <x:v>120</x:v>
      </x:c>
      <x:c r="F16" s="219" t="n">
        <x:v>0.9994791666666667</x:v>
      </x:c>
      <x:c r="G16" s="216" t="n">
        <x:v>12</x:v>
      </x:c>
      <x:c r="H16" s="216" t="str">
        <x:f>IF(G16&lt;='排名定義'!$B$5,"是","")</x:f>
        <x:v>是</x:v>
      </x:c>
      <x:c r="I16" s="216" t="n">
        <x:v>13</x:v>
      </x:c>
      <x:c r="J16" s="216" t="str">
        <x:f>IF(I16&lt;='排名定義'!$B$5,"是","")</x:f>
        <x:v>是</x:v>
      </x:c>
      <x:c r="K16" s="216" t="n">
        <x:v>4</x:v>
      </x:c>
      <x:c r="L16" s="216" t="str">
        <x:f>IF(K16&lt;='排名定義'!$B$5,"是","")</x:f>
        <x:v>是</x:v>
      </x:c>
      <x:c r="M16" s="216" t="n">
        <x:f>COUNTIF(H16:L16,"是")</x:f>
        <x:v>3</x:v>
      </x:c>
      <x:c r="N16" s="216" t="str">
        <x:v>三份皆入選</x:v>
      </x:c>
      <x:c r="O16" s="221" t="n">
        <x:v>230.675</x:v>
      </x:c>
      <x:c r="P16" s="221" t="n">
        <x:v>214.60833333333332</x:v>
      </x:c>
      <x:c r="Q16" s="221" t="n">
        <x:v>16.066666666666666</x:v>
      </x:c>
      <x:c r="R16" s="221" t="n">
        <x:v>0.06965066290957697</x:v>
      </x:c>
      <x:c r="S16" s="221" t="n">
        <x:v>262.35483870967744</x:v>
      </x:c>
      <x:c r="T16" s="221" t="n">
        <x:v>246.6451612903226</x:v>
      </x:c>
      <x:c r="U16" s="221" t="n">
        <x:v>15.709677419354838</x:v>
      </x:c>
      <x:c r="V16" s="219" t="n">
        <x:v>0.052995391705069124</x:v>
      </x:c>
      <x:c r="W16" s="216" t="n">
        <x:v>21</x:v>
      </x:c>
      <x:c r="X16" s="223" t="n">
        <x:v>2850</x:v>
      </x:c>
      <x:c r="Y16" s="216" t="n">
        <x:v>95</x:v>
      </x:c>
    </x:row>
    <x:row r="17">
      <x:c r="A17" s="217" t="n">
        <x:v>1514</x:v>
      </x:c>
      <x:c r="B17" s="217" t="str">
        <x:v>捷運菜寮站(3號出口)</x:v>
      </x:c>
      <x:c r="C17" s="217" t="str">
        <x:v>三重區</x:v>
      </x:c>
      <x:c r="D17" s="217" t="n">
        <x:v>60</x:v>
      </x:c>
      <x:c r="E17" s="217" t="n">
        <x:v>120</x:v>
      </x:c>
      <x:c r="F17" s="218" t="n">
        <x:v>0.9994791666666667</x:v>
      </x:c>
      <x:c r="G17" s="217" t="n">
        <x:v>13</x:v>
      </x:c>
      <x:c r="H17" s="217" t="str">
        <x:f>IF(G17&lt;='排名定義'!$B$5,"是","")</x:f>
        <x:v>是</x:v>
      </x:c>
      <x:c r="I17" s="217" t="n">
        <x:v>12</x:v>
      </x:c>
      <x:c r="J17" s="217" t="str">
        <x:f>IF(I17&lt;='排名定義'!$B$5,"是","")</x:f>
        <x:v>是</x:v>
      </x:c>
      <x:c r="K17" s="217" t="n">
        <x:v>32</x:v>
      </x:c>
      <x:c r="L17" s="217" t="str">
        <x:f>IF(K17&lt;='排名定義'!$B$5,"是","")</x:f>
        <x:v>是</x:v>
      </x:c>
      <x:c r="M17" s="217" t="n">
        <x:f>COUNTIF(H17:L17,"是")</x:f>
        <x:v>3</x:v>
      </x:c>
      <x:c r="N17" s="217" t="str">
        <x:v>三份皆入選</x:v>
      </x:c>
      <x:c r="O17" s="220" t="n">
        <x:v>230</x:v>
      </x:c>
      <x:c r="P17" s="220" t="n">
        <x:v>217.53333333333333</x:v>
      </x:c>
      <x:c r="Q17" s="220" t="n">
        <x:v>12.466666666666667</x:v>
      </x:c>
      <x:c r="R17" s="220" t="n">
        <x:v>0.05420289855072464</x:v>
      </x:c>
      <x:c r="S17" s="220" t="n">
        <x:v>263.83870967741933</x:v>
      </x:c>
      <x:c r="T17" s="220" t="n">
        <x:v>252.3548387096774</x:v>
      </x:c>
      <x:c r="U17" s="220" t="n">
        <x:v>11.483870967741936</x:v>
      </x:c>
      <x:c r="V17" s="218" t="n">
        <x:v>0.04608294930875576</x:v>
      </x:c>
      <x:c r="W17" s="217" t="n">
        <x:v>32</x:v>
      </x:c>
      <x:c r="X17" s="222" t="n">
        <x:v>3870</x:v>
      </x:c>
      <x:c r="Y17" s="217" t="n">
        <x:v>60</x:v>
      </x:c>
    </x:row>
    <x:row r="18">
      <x:c r="A18" s="216" t="n">
        <x:v>51</x:v>
      </x:c>
      <x:c r="B18" s="216" t="str">
        <x:v>捷運海山站(3號出口)轉乘停車場</x:v>
      </x:c>
      <x:c r="C18" s="216" t="str">
        <x:v>土城區</x:v>
      </x:c>
      <x:c r="D18" s="216" t="n">
        <x:v>80</x:v>
      </x:c>
      <x:c r="E18" s="216" t="n">
        <x:v>120</x:v>
      </x:c>
      <x:c r="F18" s="219" t="n">
        <x:v>0.9994791666666667</x:v>
      </x:c>
      <x:c r="G18" s="216" t="n">
        <x:v>14</x:v>
      </x:c>
      <x:c r="H18" s="216" t="str">
        <x:f>IF(G18&lt;='排名定義'!$B$5,"是","")</x:f>
        <x:v>是</x:v>
      </x:c>
      <x:c r="I18" s="216" t="n">
        <x:v>15</x:v>
      </x:c>
      <x:c r="J18" s="216" t="str">
        <x:f>IF(I18&lt;='排名定義'!$B$5,"是","")</x:f>
        <x:v>是</x:v>
      </x:c>
      <x:c r="K18" s="216" t="n">
        <x:v>26</x:v>
      </x:c>
      <x:c r="L18" s="216" t="str">
        <x:f>IF(K18&lt;='排名定義'!$B$5,"是","")</x:f>
        <x:v>是</x:v>
      </x:c>
      <x:c r="M18" s="216" t="n">
        <x:f>COUNTIF(H18:L18,"是")</x:f>
        <x:v>3</x:v>
      </x:c>
      <x:c r="N18" s="216" t="str">
        <x:v>三份皆入選</x:v>
      </x:c>
      <x:c r="O18" s="221" t="n">
        <x:v>226.29166666666666</x:v>
      </x:c>
      <x:c r="P18" s="221" t="n">
        <x:v>213</x:v>
      </x:c>
      <x:c r="Q18" s="221" t="n">
        <x:v>13.291666666666666</x:v>
      </x:c>
      <x:c r="R18" s="221" t="n">
        <x:v>0.058736880869084886</x:v>
      </x:c>
      <x:c r="S18" s="221" t="n">
        <x:v>263.5483870967742</x:v>
      </x:c>
      <x:c r="T18" s="221" t="n">
        <x:v>247.61290322580646</x:v>
      </x:c>
      <x:c r="U18" s="221" t="n">
        <x:v>15.935483870967742</x:v>
      </x:c>
      <x:c r="V18" s="219" t="n">
        <x:v>0.01152073732718894</x:v>
      </x:c>
      <x:c r="W18" s="216" t="n">
        <x:v>26</x:v>
      </x:c>
      <x:c r="X18" s="223" t="n">
        <x:v>3090</x:v>
      </x:c>
      <x:c r="Y18" s="216" t="n">
        <x:v>80</x:v>
      </x:c>
    </x:row>
    <x:row r="19">
      <x:c r="A19" s="217" t="n">
        <x:v>1473</x:v>
      </x:c>
      <x:c r="B19" s="217" t="str">
        <x:v>捷運新莊站(2號出口)</x:v>
      </x:c>
      <x:c r="C19" s="217" t="str">
        <x:v>新莊區</x:v>
      </x:c>
      <x:c r="D19" s="217" t="n">
        <x:v>54</x:v>
      </x:c>
      <x:c r="E19" s="217" t="n">
        <x:v>120</x:v>
      </x:c>
      <x:c r="F19" s="218" t="n">
        <x:v>0.9994791666666667</x:v>
      </x:c>
      <x:c r="G19" s="217" t="n">
        <x:v>15</x:v>
      </x:c>
      <x:c r="H19" s="217" t="str">
        <x:f>IF(G19&lt;='排名定義'!$B$5,"是","")</x:f>
        <x:v>是</x:v>
      </x:c>
      <x:c r="I19" s="217" t="n">
        <x:v>14</x:v>
      </x:c>
      <x:c r="J19" s="217" t="str">
        <x:f>IF(I19&lt;='排名定義'!$B$5,"是","")</x:f>
        <x:v>是</x:v>
      </x:c>
      <x:c r="K19" s="217" t="n">
        <x:v>29</x:v>
      </x:c>
      <x:c r="L19" s="217" t="str">
        <x:f>IF(K19&lt;='排名定義'!$B$5,"是","")</x:f>
        <x:v>是</x:v>
      </x:c>
      <x:c r="M19" s="217" t="n">
        <x:f>COUNTIF(H19:L19,"是")</x:f>
        <x:v>3</x:v>
      </x:c>
      <x:c r="N19" s="217" t="str">
        <x:v>三份皆入選</x:v>
      </x:c>
      <x:c r="O19" s="220" t="n">
        <x:v>225.95833333333334</x:v>
      </x:c>
      <x:c r="P19" s="220" t="n">
        <x:v>213.14166666666668</x:v>
      </x:c>
      <x:c r="Q19" s="220" t="n">
        <x:v>12.816666666666666</x:v>
      </x:c>
      <x:c r="R19" s="220" t="n">
        <x:v>0.05672137193435368</x:v>
      </x:c>
      <x:c r="S19" s="220" t="n">
        <x:v>264.93548387096774</x:v>
      </x:c>
      <x:c r="T19" s="220" t="n">
        <x:v>253.74193548387098</x:v>
      </x:c>
      <x:c r="U19" s="220" t="n">
        <x:v>11.193548387096774</x:v>
      </x:c>
      <x:c r="V19" s="218" t="n">
        <x:v>0.0967741935483871</x:v>
      </x:c>
      <x:c r="W19" s="217" t="n">
        <x:v>32</x:v>
      </x:c>
      <x:c r="X19" s="222" t="n">
        <x:v>3810</x:v>
      </x:c>
      <x:c r="Y19" s="217" t="n">
        <x:v>54</x:v>
      </x:c>
    </x:row>
    <x:row r="20">
      <x:c r="A20" s="216" t="n">
        <x:v>50</x:v>
      </x:c>
      <x:c r="B20" s="216" t="str">
        <x:v>捷運海山站(1號出口)</x:v>
      </x:c>
      <x:c r="C20" s="216" t="str">
        <x:v>土城區</x:v>
      </x:c>
      <x:c r="D20" s="216" t="n">
        <x:v>80</x:v>
      </x:c>
      <x:c r="E20" s="216" t="n">
        <x:v>120</x:v>
      </x:c>
      <x:c r="F20" s="219" t="n">
        <x:v>0.9993055555555556</x:v>
      </x:c>
      <x:c r="G20" s="216" t="n">
        <x:v>16</x:v>
      </x:c>
      <x:c r="H20" s="216" t="str">
        <x:f>IF(G20&lt;='排名定義'!$B$5,"是","")</x:f>
        <x:v>是</x:v>
      </x:c>
      <x:c r="I20" s="216" t="n">
        <x:v>16</x:v>
      </x:c>
      <x:c r="J20" s="216" t="str">
        <x:f>IF(I20&lt;='排名定義'!$B$5,"是","")</x:f>
        <x:v>是</x:v>
      </x:c>
      <x:c r="K20" s="216" t="n">
        <x:v>24</x:v>
      </x:c>
      <x:c r="L20" s="216" t="str">
        <x:f>IF(K20&lt;='排名定義'!$B$5,"是","")</x:f>
        <x:v>是</x:v>
      </x:c>
      <x:c r="M20" s="216" t="n">
        <x:f>COUNTIF(H20:L20,"是")</x:f>
        <x:v>3</x:v>
      </x:c>
      <x:c r="N20" s="216" t="str">
        <x:v>三份皆入選</x:v>
      </x:c>
      <x:c r="O20" s="221" t="n">
        <x:v>225.46666666666667</x:v>
      </x:c>
      <x:c r="P20" s="221" t="n">
        <x:v>211.84166666666667</x:v>
      </x:c>
      <x:c r="Q20" s="221" t="n">
        <x:v>13.625</x:v>
      </x:c>
      <x:c r="R20" s="221" t="n">
        <x:v>0.06043021880544057</x:v>
      </x:c>
      <x:c r="S20" s="221" t="n">
        <x:v>207.90322580645162</x:v>
      </x:c>
      <x:c r="T20" s="221" t="n">
        <x:v>197.48387096774192</x:v>
      </x:c>
      <x:c r="U20" s="221" t="n">
        <x:v>10.419354838709678</x:v>
      </x:c>
      <x:c r="V20" s="219" t="n">
        <x:v>0.02304147465437788</x:v>
      </x:c>
      <x:c r="W20" s="216" t="n">
        <x:v>30</x:v>
      </x:c>
      <x:c r="X20" s="223" t="n">
        <x:v>4170</x:v>
      </x:c>
      <x:c r="Y20" s="216" t="n">
        <x:v>80</x:v>
      </x:c>
    </x:row>
    <x:row r="21">
      <x:c r="A21" s="217" t="n">
        <x:v>80</x:v>
      </x:c>
      <x:c r="B21" s="217" t="str">
        <x:v>汐止火車站停車場</x:v>
      </x:c>
      <x:c r="C21" s="217" t="str">
        <x:v>汐止區</x:v>
      </x:c>
      <x:c r="D21" s="217" t="n">
        <x:v>99</x:v>
      </x:c>
      <x:c r="E21" s="217" t="n">
        <x:v>120</x:v>
      </x:c>
      <x:c r="F21" s="218" t="n">
        <x:v>0.9994791666666667</x:v>
      </x:c>
      <x:c r="G21" s="217" t="n">
        <x:v>17</x:v>
      </x:c>
      <x:c r="H21" s="217" t="str">
        <x:f>IF(G21&lt;='排名定義'!$B$5,"是","")</x:f>
        <x:v>是</x:v>
      </x:c>
      <x:c r="I21" s="217" t="n">
        <x:v>18</x:v>
      </x:c>
      <x:c r="J21" s="217" t="str">
        <x:f>IF(I21&lt;='排名定義'!$B$5,"是","")</x:f>
        <x:v>是</x:v>
      </x:c>
      <x:c r="K21" s="217" t="n">
        <x:v>15</x:v>
      </x:c>
      <x:c r="L21" s="217" t="str">
        <x:f>IF(K21&lt;='排名定義'!$B$5,"是","")</x:f>
        <x:v>是</x:v>
      </x:c>
      <x:c r="M21" s="217" t="n">
        <x:f>COUNTIF(H21:L21,"是")</x:f>
        <x:v>3</x:v>
      </x:c>
      <x:c r="N21" s="217" t="str">
        <x:v>三份皆入選</x:v>
      </x:c>
      <x:c r="O21" s="220" t="n">
        <x:v>223.425</x:v>
      </x:c>
      <x:c r="P21" s="220" t="n">
        <x:v>208.88333333333333</x:v>
      </x:c>
      <x:c r="Q21" s="220" t="n">
        <x:v>14.541666666666666</x:v>
      </x:c>
      <x:c r="R21" s="220" t="n">
        <x:v>0.06508522621312147</x:v>
      </x:c>
      <x:c r="S21" s="220" t="n">
        <x:v>302.16129032258067</x:v>
      </x:c>
      <x:c r="T21" s="220" t="n">
        <x:v>285.35483870967744</x:v>
      </x:c>
      <x:c r="U21" s="220" t="n">
        <x:v>16.806451612903224</x:v>
      </x:c>
      <x:c r="V21" s="218" t="n">
        <x:v>0.0069124423963133645</x:v>
      </x:c>
      <x:c r="W21" s="217" t="n">
        <x:v>22</x:v>
      </x:c>
      <x:c r="X21" s="222" t="n">
        <x:v>2490</x:v>
      </x:c>
      <x:c r="Y21" s="217" t="n">
        <x:v>99</x:v>
      </x:c>
    </x:row>
    <x:row r="22">
      <x:c r="A22" s="216" t="n">
        <x:v>1216</x:v>
      </x:c>
      <x:c r="B22" s="216" t="str">
        <x:v>捷運徐匯中學站(1號出口)</x:v>
      </x:c>
      <x:c r="C22" s="216" t="str">
        <x:v>蘆洲區</x:v>
      </x:c>
      <x:c r="D22" s="216" t="n">
        <x:v>38</x:v>
      </x:c>
      <x:c r="E22" s="216" t="n">
        <x:v>120</x:v>
      </x:c>
      <x:c r="F22" s="219" t="n">
        <x:v>0.9994791666666667</x:v>
      </x:c>
      <x:c r="G22" s="216" t="n">
        <x:v>18</x:v>
      </x:c>
      <x:c r="H22" s="216" t="str">
        <x:f>IF(G22&lt;='排名定義'!$B$5,"是","")</x:f>
        <x:v>是</x:v>
      </x:c>
      <x:c r="I22" s="216" t="n">
        <x:v>17</x:v>
      </x:c>
      <x:c r="J22" s="216" t="str">
        <x:f>IF(I22&lt;='排名定義'!$B$5,"是","")</x:f>
        <x:v>是</x:v>
      </x:c>
      <x:c r="K22" s="216" t="n">
        <x:v>136</x:v>
      </x:c>
      <x:c r="L22" s="216" t="str">
        <x:f>IF(K22&lt;='排名定義'!$B$5,"是","")</x:f>
        <x:v>是</x:v>
      </x:c>
      <x:c r="M22" s="216" t="n">
        <x:f>COUNTIF(H22:L22,"是")</x:f>
        <x:v>3</x:v>
      </x:c>
      <x:c r="N22" s="216" t="str">
        <x:v>三份皆入選</x:v>
      </x:c>
      <x:c r="O22" s="221" t="n">
        <x:v>218.90833333333333</x:v>
      </x:c>
      <x:c r="P22" s="221" t="n">
        <x:v>210.975</x:v>
      </x:c>
      <x:c r="Q22" s="221" t="n">
        <x:v>7.933333333333334</x:v>
      </x:c>
      <x:c r="R22" s="221" t="n">
        <x:v>0.03624043549430888</x:v>
      </x:c>
      <x:c r="S22" s="221" t="n">
        <x:v>261.9032258064516</x:v>
      </x:c>
      <x:c r="T22" s="221" t="n">
        <x:v>253.96774193548387</x:v>
      </x:c>
      <x:c r="U22" s="221" t="n">
        <x:v>7.935483870967742</x:v>
      </x:c>
      <x:c r="V22" s="219" t="n">
        <x:v>0.03456221198156682</x:v>
      </x:c>
      <x:c r="W22" s="216" t="n">
        <x:v>14</x:v>
      </x:c>
      <x:c r="X22" s="223" t="n">
        <x:v>1980</x:v>
      </x:c>
      <x:c r="Y22" s="216" t="n">
        <x:v>38</x:v>
      </x:c>
    </x:row>
    <x:row r="23">
      <x:c r="A23" s="217" t="n">
        <x:v>1472</x:v>
      </x:c>
      <x:c r="B23" s="217" t="str">
        <x:v>捷運丹鳳站(1號出口)</x:v>
      </x:c>
      <x:c r="C23" s="217" t="str">
        <x:v>新莊區</x:v>
      </x:c>
      <x:c r="D23" s="217" t="n">
        <x:v>54</x:v>
      </x:c>
      <x:c r="E23" s="217" t="n">
        <x:v>120</x:v>
      </x:c>
      <x:c r="F23" s="218" t="n">
        <x:v>0.9994791666666667</x:v>
      </x:c>
      <x:c r="G23" s="217" t="n">
        <x:v>19</x:v>
      </x:c>
      <x:c r="H23" s="217" t="str">
        <x:f>IF(G23&lt;='排名定義'!$B$5,"是","")</x:f>
        <x:v>是</x:v>
      </x:c>
      <x:c r="I23" s="217" t="n">
        <x:v>19</x:v>
      </x:c>
      <x:c r="J23" s="217" t="str">
        <x:f>IF(I23&lt;='排名定義'!$B$5,"是","")</x:f>
        <x:v>是</x:v>
      </x:c>
      <x:c r="K23" s="217" t="n">
        <x:v>51</x:v>
      </x:c>
      <x:c r="L23" s="217" t="str">
        <x:f>IF(K23&lt;='排名定義'!$B$5,"是","")</x:f>
        <x:v>是</x:v>
      </x:c>
      <x:c r="M23" s="217" t="n">
        <x:f>COUNTIF(H23:L23,"是")</x:f>
        <x:v>3</x:v>
      </x:c>
      <x:c r="N23" s="217" t="str">
        <x:v>三份皆入選</x:v>
      </x:c>
      <x:c r="O23" s="220" t="n">
        <x:v>211.625</x:v>
      </x:c>
      <x:c r="P23" s="220" t="n">
        <x:v>201.2</x:v>
      </x:c>
      <x:c r="Q23" s="220" t="n">
        <x:v>10.425</x:v>
      </x:c>
      <x:c r="R23" s="220" t="n">
        <x:v>0.04926166568222091</x:v>
      </x:c>
      <x:c r="S23" s="220" t="n">
        <x:v>230.51612903225808</x:v>
      </x:c>
      <x:c r="T23" s="220" t="n">
        <x:v>221.7741935483871</x:v>
      </x:c>
      <x:c r="U23" s="220" t="n">
        <x:v>8.741935483870968</x:v>
      </x:c>
      <x:c r="V23" s="218" t="n">
        <x:v>0.059907834101382486</x:v>
      </x:c>
      <x:c r="W23" s="217" t="n">
        <x:v>28</x:v>
      </x:c>
      <x:c r="X23" s="222" t="n">
        <x:v>3870</x:v>
      </x:c>
      <x:c r="Y23" s="217" t="n">
        <x:v>54</x:v>
      </x:c>
    </x:row>
    <x:row r="24">
      <x:c r="A24" s="216" t="n">
        <x:v>36</x:v>
      </x:c>
      <x:c r="B24" s="216" t="str">
        <x:v>捷運府中站(1號出口)</x:v>
      </x:c>
      <x:c r="C24" s="216" t="str">
        <x:v>板橋區</x:v>
      </x:c>
      <x:c r="D24" s="216" t="n">
        <x:v>91</x:v>
      </x:c>
      <x:c r="E24" s="216" t="n">
        <x:v>120</x:v>
      </x:c>
      <x:c r="F24" s="219" t="n">
        <x:v>0.9994791666666667</x:v>
      </x:c>
      <x:c r="G24" s="216" t="n">
        <x:v>20</x:v>
      </x:c>
      <x:c r="H24" s="216" t="str">
        <x:f>IF(G24&lt;='排名定義'!$B$5,"是","")</x:f>
        <x:v>是</x:v>
      </x:c>
      <x:c r="I24" s="216" t="n">
        <x:v>20</x:v>
      </x:c>
      <x:c r="J24" s="216" t="str">
        <x:f>IF(I24&lt;='排名定義'!$B$5,"是","")</x:f>
        <x:v>是</x:v>
      </x:c>
      <x:c r="K24" s="216" t="n">
        <x:v>31</x:v>
      </x:c>
      <x:c r="L24" s="216" t="str">
        <x:f>IF(K24&lt;='排名定義'!$B$5,"是","")</x:f>
        <x:v>是</x:v>
      </x:c>
      <x:c r="M24" s="216" t="n">
        <x:f>COUNTIF(H24:L24,"是")</x:f>
        <x:v>3</x:v>
      </x:c>
      <x:c r="N24" s="216" t="str">
        <x:v>三份皆入選</x:v>
      </x:c>
      <x:c r="O24" s="221" t="n">
        <x:v>209.93333333333334</x:v>
      </x:c>
      <x:c r="P24" s="221" t="n">
        <x:v>197.29166666666666</x:v>
      </x:c>
      <x:c r="Q24" s="221" t="n">
        <x:v>12.641666666666667</x:v>
      </x:c>
      <x:c r="R24" s="221" t="n">
        <x:v>0.060217529374404576</x:v>
      </x:c>
      <x:c r="S24" s="221" t="n">
        <x:v>256.2258064516129</x:v>
      </x:c>
      <x:c r="T24" s="221" t="n">
        <x:v>244.06451612903226</x:v>
      </x:c>
      <x:c r="U24" s="221" t="n">
        <x:v>12.161290322580646</x:v>
      </x:c>
      <x:c r="V24" s="219" t="n">
        <x:v>0.029953917050691243</x:v>
      </x:c>
      <x:c r="W24" s="216" t="n">
        <x:v>41</x:v>
      </x:c>
      <x:c r="X24" s="223" t="n">
        <x:v>5220</x:v>
      </x:c>
      <x:c r="Y24" s="216" t="n">
        <x:v>91</x:v>
      </x:c>
    </x:row>
    <x:row r="25">
      <x:c r="A25" s="217" t="n">
        <x:v>33</x:v>
      </x:c>
      <x:c r="B25" s="217" t="str">
        <x:v>捷運土城站(2號出口)</x:v>
      </x:c>
      <x:c r="C25" s="217" t="str">
        <x:v>土城區</x:v>
      </x:c>
      <x:c r="D25" s="217" t="n">
        <x:v>69</x:v>
      </x:c>
      <x:c r="E25" s="217" t="n">
        <x:v>120</x:v>
      </x:c>
      <x:c r="F25" s="218" t="n">
        <x:v>0.9994791666666667</x:v>
      </x:c>
      <x:c r="G25" s="217" t="n">
        <x:v>21</x:v>
      </x:c>
      <x:c r="H25" s="217" t="str">
        <x:f>IF(G25&lt;='排名定義'!$B$5,"是","")</x:f>
        <x:v>是</x:v>
      </x:c>
      <x:c r="I25" s="217" t="n">
        <x:v>22</x:v>
      </x:c>
      <x:c r="J25" s="217" t="str">
        <x:f>IF(I25&lt;='排名定義'!$B$5,"是","")</x:f>
        <x:v>是</x:v>
      </x:c>
      <x:c r="K25" s="217" t="n">
        <x:v>23</x:v>
      </x:c>
      <x:c r="L25" s="217" t="str">
        <x:f>IF(K25&lt;='排名定義'!$B$5,"是","")</x:f>
        <x:v>是</x:v>
      </x:c>
      <x:c r="M25" s="217" t="n">
        <x:f>COUNTIF(H25:L25,"是")</x:f>
        <x:v>3</x:v>
      </x:c>
      <x:c r="N25" s="217" t="str">
        <x:v>三份皆入選</x:v>
      </x:c>
      <x:c r="O25" s="220" t="n">
        <x:v>207.31666666666666</x:v>
      </x:c>
      <x:c r="P25" s="220" t="n">
        <x:v>193.63333333333333</x:v>
      </x:c>
      <x:c r="Q25" s="220" t="n">
        <x:v>13.683333333333334</x:v>
      </x:c>
      <x:c r="R25" s="220" t="n">
        <x:v>0.06600209020017686</x:v>
      </x:c>
      <x:c r="S25" s="220" t="n">
        <x:v>237.8709677419355</x:v>
      </x:c>
      <x:c r="T25" s="220" t="n">
        <x:v>228.09677419354838</x:v>
      </x:c>
      <x:c r="U25" s="220" t="n">
        <x:v>9.774193548387096</x:v>
      </x:c>
      <x:c r="V25" s="218" t="n">
        <x:v>0.05069124423963134</x:v>
      </x:c>
      <x:c r="W25" s="217" t="n">
        <x:v>20</x:v>
      </x:c>
      <x:c r="X25" s="222" t="n">
        <x:v>2610</x:v>
      </x:c>
      <x:c r="Y25" s="217" t="n">
        <x:v>48</x:v>
      </x:c>
    </x:row>
    <x:row r="26">
      <x:c r="A26" s="216" t="n">
        <x:v>1522</x:v>
      </x:c>
      <x:c r="B26" s="216" t="str">
        <x:v>捷運頂埔站(福田路)</x:v>
      </x:c>
      <x:c r="C26" s="216" t="str">
        <x:v>土城區</x:v>
      </x:c>
      <x:c r="D26" s="216" t="n">
        <x:v>66</x:v>
      </x:c>
      <x:c r="E26" s="216" t="n">
        <x:v>89</x:v>
      </x:c>
      <x:c r="F26" s="219" t="n">
        <x:v>0.9992977528089888</x:v>
      </x:c>
      <x:c r="G26" s="216" t="n">
        <x:v>22</x:v>
      </x:c>
      <x:c r="H26" s="216" t="str">
        <x:f>IF(G26&lt;='排名定義'!$B$5,"是","")</x:f>
        <x:v>是</x:v>
      </x:c>
      <x:c r="I26" s="216" t="n">
        <x:v>21</x:v>
      </x:c>
      <x:c r="J26" s="216" t="str">
        <x:f>IF(I26&lt;='排名定義'!$B$5,"是","")</x:f>
        <x:v>是</x:v>
      </x:c>
      <x:c r="K26" s="216" t="n">
        <x:v>33</x:v>
      </x:c>
      <x:c r="L26" s="216" t="str">
        <x:f>IF(K26&lt;='排名定義'!$B$5,"是","")</x:f>
        <x:v>是</x:v>
      </x:c>
      <x:c r="M26" s="216" t="n">
        <x:f>COUNTIF(H26:L26,"是")</x:f>
        <x:v>3</x:v>
      </x:c>
      <x:c r="N26" s="216" t="str">
        <x:v>三份皆入選</x:v>
      </x:c>
      <x:c r="O26" s="221" t="n">
        <x:v>206.86516853932585</x:v>
      </x:c>
      <x:c r="P26" s="221" t="n">
        <x:v>194.42696629213484</x:v>
      </x:c>
      <x:c r="Q26" s="221" t="n">
        <x:v>12.438202247191011</x:v>
      </x:c>
      <x:c r="R26" s="221" t="n">
        <x:v>0.060127097930584975</x:v>
      </x:c>
      <x:c r="S26" s="221" t="n">
        <x:v>220.29032258064515</x:v>
      </x:c>
      <x:c r="T26" s="221" t="n">
        <x:v>210.2258064516129</x:v>
      </x:c>
      <x:c r="U26" s="221" t="n">
        <x:v>10.064516129032258</x:v>
      </x:c>
      <x:c r="V26" s="219" t="n">
        <x:v>0.013824884792626729</x:v>
      </x:c>
      <x:c r="W26" s="216" t="n">
        <x:v>17</x:v>
      </x:c>
      <x:c r="X26" s="223" t="n">
        <x:v>2130</x:v>
      </x:c>
      <x:c r="Y26" s="216" t="n">
        <x:v>66</x:v>
      </x:c>
    </x:row>
    <x:row r="27">
      <x:c r="A27" s="217" t="n">
        <x:v>76</x:v>
      </x:c>
      <x:c r="B27" s="217" t="str">
        <x:v>民生長江路口</x:v>
      </x:c>
      <x:c r="C27" s="217" t="str">
        <x:v>板橋區</x:v>
      </x:c>
      <x:c r="D27" s="217" t="n">
        <x:v>99</x:v>
      </x:c>
      <x:c r="E27" s="217" t="n">
        <x:v>120</x:v>
      </x:c>
      <x:c r="F27" s="218" t="n">
        <x:v>0.9994791666666667</x:v>
      </x:c>
      <x:c r="G27" s="217" t="n">
        <x:v>23</x:v>
      </x:c>
      <x:c r="H27" s="217" t="str">
        <x:f>IF(G27&lt;='排名定義'!$B$5,"是","")</x:f>
        <x:v>是</x:v>
      </x:c>
      <x:c r="I27" s="217" t="n">
        <x:v>24</x:v>
      </x:c>
      <x:c r="J27" s="217" t="str">
        <x:f>IF(I27&lt;='排名定義'!$B$5,"是","")</x:f>
        <x:v>是</x:v>
      </x:c>
      <x:c r="K27" s="217" t="n">
        <x:v>13</x:v>
      </x:c>
      <x:c r="L27" s="217" t="str">
        <x:f>IF(K27&lt;='排名定義'!$B$5,"是","")</x:f>
        <x:v>是</x:v>
      </x:c>
      <x:c r="M27" s="217" t="n">
        <x:f>COUNTIF(H27:L27,"是")</x:f>
        <x:v>3</x:v>
      </x:c>
      <x:c r="N27" s="217" t="str">
        <x:v>三份皆入選</x:v>
      </x:c>
      <x:c r="O27" s="220" t="n">
        <x:v>204.85</x:v>
      </x:c>
      <x:c r="P27" s="220" t="n">
        <x:v>190.125</x:v>
      </x:c>
      <x:c r="Q27" s="220" t="n">
        <x:v>14.725</x:v>
      </x:c>
      <x:c r="R27" s="220" t="n">
        <x:v>0.07188186477910666</x:v>
      </x:c>
      <x:c r="S27" s="220" t="n">
        <x:v>237.93548387096774</x:v>
      </x:c>
      <x:c r="T27" s="220" t="n">
        <x:v>226.09677419354838</x:v>
      </x:c>
      <x:c r="U27" s="220" t="n">
        <x:v>11.838709677419354</x:v>
      </x:c>
      <x:c r="V27" s="218" t="n">
        <x:v>0.03456221198156682</x:v>
      </x:c>
      <x:c r="W27" s="217" t="n">
        <x:v>6</x:v>
      </x:c>
      <x:c r="X27" s="222" t="n">
        <x:v>990</x:v>
      </x:c>
      <x:c r="Y27" s="217" t="n">
        <x:v>99</x:v>
      </x:c>
    </x:row>
    <x:row r="28">
      <x:c r="A28" s="216" t="n">
        <x:v>61</x:v>
      </x:c>
      <x:c r="B28" s="216" t="str">
        <x:v>新北市政府(新府路)</x:v>
      </x:c>
      <x:c r="C28" s="216" t="str">
        <x:v>板橋區</x:v>
      </x:c>
      <x:c r="D28" s="216" t="n">
        <x:v>68</x:v>
      </x:c>
      <x:c r="E28" s="216" t="n">
        <x:v>120</x:v>
      </x:c>
      <x:c r="F28" s="219" t="n">
        <x:v>0.9994791666666667</x:v>
      </x:c>
      <x:c r="G28" s="216" t="n">
        <x:v>24</x:v>
      </x:c>
      <x:c r="H28" s="216" t="str">
        <x:f>IF(G28&lt;='排名定義'!$B$5,"是","")</x:f>
        <x:v>是</x:v>
      </x:c>
      <x:c r="I28" s="216" t="n">
        <x:v>23</x:v>
      </x:c>
      <x:c r="J28" s="216" t="str">
        <x:f>IF(I28&lt;='排名定義'!$B$5,"是","")</x:f>
        <x:v>是</x:v>
      </x:c>
      <x:c r="K28" s="216" t="n">
        <x:v>28</x:v>
      </x:c>
      <x:c r="L28" s="216" t="str">
        <x:f>IF(K28&lt;='排名定義'!$B$5,"是","")</x:f>
        <x:v>是</x:v>
      </x:c>
      <x:c r="M28" s="216" t="n">
        <x:f>COUNTIF(H28:L28,"是")</x:f>
        <x:v>3</x:v>
      </x:c>
      <x:c r="N28" s="216" t="str">
        <x:v>三份皆入選</x:v>
      </x:c>
      <x:c r="O28" s="221" t="n">
        <x:v>204.475</x:v>
      </x:c>
      <x:c r="P28" s="221" t="n">
        <x:v>191.54166666666666</x:v>
      </x:c>
      <x:c r="Q28" s="221" t="n">
        <x:v>12.933333333333334</x:v>
      </x:c>
      <x:c r="R28" s="221" t="n">
        <x:v>0.06325141622855279</x:v>
      </x:c>
      <x:c r="S28" s="221" t="n">
        <x:v>254.96774193548387</x:v>
      </x:c>
      <x:c r="T28" s="221" t="n">
        <x:v>244.06451612903226</x:v>
      </x:c>
      <x:c r="U28" s="221" t="n">
        <x:v>10.903225806451612</x:v>
      </x:c>
      <x:c r="V28" s="219" t="n">
        <x:v>0.03225806451612903</x:v>
      </x:c>
      <x:c r="W28" s="216" t="n">
        <x:v>45</x:v>
      </x:c>
      <x:c r="X28" s="223" t="n">
        <x:v>5430</x:v>
      </x:c>
      <x:c r="Y28" s="216" t="n">
        <x:v>68</x:v>
      </x:c>
    </x:row>
    <x:row r="29">
      <x:c r="A29" s="217" t="n">
        <x:v>62</x:v>
      </x:c>
      <x:c r="B29" s="217" t="str">
        <x:v>新北市政府(新站路)</x:v>
      </x:c>
      <x:c r="C29" s="217" t="str">
        <x:v>板橋區</x:v>
      </x:c>
      <x:c r="D29" s="217" t="n">
        <x:v>74</x:v>
      </x:c>
      <x:c r="E29" s="217" t="n">
        <x:v>120</x:v>
      </x:c>
      <x:c r="F29" s="218" t="n">
        <x:v>0.9994791666666667</x:v>
      </x:c>
      <x:c r="G29" s="217" t="n">
        <x:v>25</x:v>
      </x:c>
      <x:c r="H29" s="217" t="str">
        <x:f>IF(G29&lt;='排名定義'!$B$5,"是","")</x:f>
        <x:v>是</x:v>
      </x:c>
      <x:c r="I29" s="217" t="n">
        <x:v>26</x:v>
      </x:c>
      <x:c r="J29" s="217" t="str">
        <x:f>IF(I29&lt;='排名定義'!$B$5,"是","")</x:f>
        <x:v>是</x:v>
      </x:c>
      <x:c r="K29" s="217" t="n">
        <x:v>18</x:v>
      </x:c>
      <x:c r="L29" s="217" t="str">
        <x:f>IF(K29&lt;='排名定義'!$B$5,"是","")</x:f>
        <x:v>是</x:v>
      </x:c>
      <x:c r="M29" s="217" t="n">
        <x:f>COUNTIF(H29:L29,"是")</x:f>
        <x:v>3</x:v>
      </x:c>
      <x:c r="N29" s="217" t="str">
        <x:v>三份皆入選</x:v>
      </x:c>
      <x:c r="O29" s="220" t="n">
        <x:v>203.45</x:v>
      </x:c>
      <x:c r="P29" s="220" t="n">
        <x:v>189.28333333333333</x:v>
      </x:c>
      <x:c r="Q29" s="220" t="n">
        <x:v>14.166666666666666</x:v>
      </x:c>
      <x:c r="R29" s="220" t="n">
        <x:v>0.06963217825837634</x:v>
      </x:c>
      <x:c r="S29" s="220" t="n">
        <x:v>264</x:v>
      </x:c>
      <x:c r="T29" s="220" t="n">
        <x:v>252.5483870967742</x:v>
      </x:c>
      <x:c r="U29" s="220" t="n">
        <x:v>11.451612903225806</x:v>
      </x:c>
      <x:c r="V29" s="218" t="n">
        <x:v>0.03225806451612903</x:v>
      </x:c>
      <x:c r="W29" s="217" t="n">
        <x:v>44</x:v>
      </x:c>
      <x:c r="X29" s="222" t="n">
        <x:v>5280</x:v>
      </x:c>
      <x:c r="Y29" s="217" t="n">
        <x:v>74</x:v>
      </x:c>
    </x:row>
    <x:row r="30">
      <x:c r="A30" s="216" t="n">
        <x:v>45</x:v>
      </x:c>
      <x:c r="B30" s="216" t="str">
        <x:v>捷運板橋站(1號出口)</x:v>
      </x:c>
      <x:c r="C30" s="216" t="str">
        <x:v>板橋區</x:v>
      </x:c>
      <x:c r="D30" s="216" t="n">
        <x:v>86</x:v>
      </x:c>
      <x:c r="E30" s="216" t="n">
        <x:v>120</x:v>
      </x:c>
      <x:c r="F30" s="219" t="n">
        <x:v>0.9994791666666667</x:v>
      </x:c>
      <x:c r="G30" s="216" t="n">
        <x:v>26</x:v>
      </x:c>
      <x:c r="H30" s="216" t="str">
        <x:f>IF(G30&lt;='排名定義'!$B$5,"是","")</x:f>
        <x:v>是</x:v>
      </x:c>
      <x:c r="I30" s="216" t="n">
        <x:v>28</x:v>
      </x:c>
      <x:c r="J30" s="216" t="str">
        <x:f>IF(I30&lt;='排名定義'!$B$5,"是","")</x:f>
        <x:v>是</x:v>
      </x:c>
      <x:c r="K30" s="216" t="n">
        <x:v>19</x:v>
      </x:c>
      <x:c r="L30" s="216" t="str">
        <x:f>IF(K30&lt;='排名定義'!$B$5,"是","")</x:f>
        <x:v>是</x:v>
      </x:c>
      <x:c r="M30" s="216" t="n">
        <x:f>COUNTIF(H30:L30,"是")</x:f>
        <x:v>3</x:v>
      </x:c>
      <x:c r="N30" s="216" t="str">
        <x:v>三份皆入選</x:v>
      </x:c>
      <x:c r="O30" s="221" t="n">
        <x:v>201.55833333333334</x:v>
      </x:c>
      <x:c r="P30" s="221" t="n">
        <x:v>187.54166666666666</x:v>
      </x:c>
      <x:c r="Q30" s="221" t="n">
        <x:v>14.016666666666667</x:v>
      </x:c>
      <x:c r="R30" s="221" t="n">
        <x:v>0.06954148922975152</x:v>
      </x:c>
      <x:c r="S30" s="221" t="n">
        <x:v>237.93548387096774</x:v>
      </x:c>
      <x:c r="T30" s="221" t="n">
        <x:v>223.58064516129033</x:v>
      </x:c>
      <x:c r="U30" s="221" t="n">
        <x:v>14.35483870967742</x:v>
      </x:c>
      <x:c r="V30" s="219" t="n">
        <x:v>0.059907834101382486</x:v>
      </x:c>
      <x:c r="W30" s="216" t="n">
        <x:v>57</x:v>
      </x:c>
      <x:c r="X30" s="223" t="n">
        <x:v>6900</x:v>
      </x:c>
      <x:c r="Y30" s="216" t="n">
        <x:v>86</x:v>
      </x:c>
    </x:row>
    <x:row r="31">
      <x:c r="A31" s="217" t="n">
        <x:v>28</x:v>
      </x:c>
      <x:c r="B31" s="217" t="str">
        <x:v>捷運三重站(1號出口)</x:v>
      </x:c>
      <x:c r="C31" s="217" t="str">
        <x:v>三重區</x:v>
      </x:c>
      <x:c r="D31" s="217" t="n">
        <x:v>61</x:v>
      </x:c>
      <x:c r="E31" s="217" t="n">
        <x:v>120</x:v>
      </x:c>
      <x:c r="F31" s="218" t="n">
        <x:v>0.9994791666666667</x:v>
      </x:c>
      <x:c r="G31" s="217" t="n">
        <x:v>27</x:v>
      </x:c>
      <x:c r="H31" s="217" t="str">
        <x:f>IF(G31&lt;='排名定義'!$B$5,"是","")</x:f>
        <x:v>是</x:v>
      </x:c>
      <x:c r="I31" s="217" t="n">
        <x:v>27</x:v>
      </x:c>
      <x:c r="J31" s="217" t="str">
        <x:f>IF(I31&lt;='排名定義'!$B$5,"是","")</x:f>
        <x:v>是</x:v>
      </x:c>
      <x:c r="K31" s="217" t="n">
        <x:v>37</x:v>
      </x:c>
      <x:c r="L31" s="217" t="str">
        <x:f>IF(K31&lt;='排名定義'!$B$5,"是","")</x:f>
        <x:v>是</x:v>
      </x:c>
      <x:c r="M31" s="217" t="n">
        <x:f>COUNTIF(H31:L31,"是")</x:f>
        <x:v>3</x:v>
      </x:c>
      <x:c r="N31" s="217" t="str">
        <x:v>三份皆入選</x:v>
      </x:c>
      <x:c r="O31" s="220" t="n">
        <x:v>200.63333333333333</x:v>
      </x:c>
      <x:c r="P31" s="220" t="n">
        <x:v>188.49166666666667</x:v>
      </x:c>
      <x:c r="Q31" s="220" t="n">
        <x:v>12.141666666666667</x:v>
      </x:c>
      <x:c r="R31" s="220" t="n">
        <x:v>0.0605166971257684</x:v>
      </x:c>
      <x:c r="S31" s="220" t="n">
        <x:v>232.93548387096774</x:v>
      </x:c>
      <x:c r="T31" s="220" t="n">
        <x:v>223.58064516129033</x:v>
      </x:c>
      <x:c r="U31" s="220" t="n">
        <x:v>9.35483870967742</x:v>
      </x:c>
      <x:c r="V31" s="218" t="n">
        <x:v>0.03686635944700461</x:v>
      </x:c>
      <x:c r="W31" s="217" t="n">
        <x:v>12</x:v>
      </x:c>
      <x:c r="X31" s="222" t="n">
        <x:v>2280</x:v>
      </x:c>
      <x:c r="Y31" s="217" t="n">
        <x:v>61</x:v>
      </x:c>
    </x:row>
    <x:row r="32">
      <x:c r="A32" s="216" t="n">
        <x:v>1419</x:v>
      </x:c>
      <x:c r="B32" s="216" t="str">
        <x:v>捷運頂溪站(中興街)</x:v>
      </x:c>
      <x:c r="C32" s="216" t="str">
        <x:v>永和區</x:v>
      </x:c>
      <x:c r="D32" s="216" t="n">
        <x:v>48</x:v>
      </x:c>
      <x:c r="E32" s="216" t="n">
        <x:v>120</x:v>
      </x:c>
      <x:c r="F32" s="219" t="n">
        <x:v>0.9993055555555556</x:v>
      </x:c>
      <x:c r="G32" s="216" t="n">
        <x:v>28</x:v>
      </x:c>
      <x:c r="H32" s="216" t="str">
        <x:f>IF(G32&lt;='排名定義'!$B$5,"是","")</x:f>
        <x:v>是</x:v>
      </x:c>
      <x:c r="I32" s="216" t="n">
        <x:v>25</x:v>
      </x:c>
      <x:c r="J32" s="216" t="str">
        <x:f>IF(I32&lt;='排名定義'!$B$5,"是","")</x:f>
        <x:v>是</x:v>
      </x:c>
      <x:c r="K32" s="216" t="n">
        <x:v>66</x:v>
      </x:c>
      <x:c r="L32" s="216" t="str">
        <x:f>IF(K32&lt;='排名定義'!$B$5,"是","")</x:f>
        <x:v>是</x:v>
      </x:c>
      <x:c r="M32" s="216" t="n">
        <x:f>COUNTIF(H32:L32,"是")</x:f>
        <x:v>3</x:v>
      </x:c>
      <x:c r="N32" s="216" t="str">
        <x:v>三份皆入選</x:v>
      </x:c>
      <x:c r="O32" s="221" t="n">
        <x:v>199.175</x:v>
      </x:c>
      <x:c r="P32" s="221" t="n">
        <x:v>189.48333333333332</x:v>
      </x:c>
      <x:c r="Q32" s="221" t="n">
        <x:v>9.691666666666666</x:v>
      </x:c>
      <x:c r="R32" s="221" t="n">
        <x:v>0.0486590519225137</x:v>
      </x:c>
      <x:c r="S32" s="221" t="n">
        <x:v>230.48387096774192</x:v>
      </x:c>
      <x:c r="T32" s="221" t="n">
        <x:v>222.74193548387098</x:v>
      </x:c>
      <x:c r="U32" s="221" t="n">
        <x:v>7.741935483870968</x:v>
      </x:c>
      <x:c r="V32" s="219" t="n">
        <x:v>0.04608294930875576</x:v>
      </x:c>
      <x:c r="W32" s="216" t="n">
        <x:v>43</x:v>
      </x:c>
      <x:c r="X32" s="223" t="n">
        <x:v>5370</x:v>
      </x:c>
      <x:c r="Y32" s="216" t="n">
        <x:v>48</x:v>
      </x:c>
    </x:row>
    <x:row r="33">
      <x:c r="A33" s="217" t="n">
        <x:v>58</x:v>
      </x:c>
      <x:c r="B33" s="217" t="str">
        <x:v>捷運頭前庄站(1號出口)</x:v>
      </x:c>
      <x:c r="C33" s="217" t="str">
        <x:v>新莊區</x:v>
      </x:c>
      <x:c r="D33" s="217" t="n">
        <x:v>90</x:v>
      </x:c>
      <x:c r="E33" s="217" t="n">
        <x:v>120</x:v>
      </x:c>
      <x:c r="F33" s="218" t="n">
        <x:v>0.9994791666666667</x:v>
      </x:c>
      <x:c r="G33" s="217" t="n">
        <x:v>29</x:v>
      </x:c>
      <x:c r="H33" s="217" t="str">
        <x:f>IF(G33&lt;='排名定義'!$B$5,"是","")</x:f>
        <x:v>是</x:v>
      </x:c>
      <x:c r="I33" s="217" t="n">
        <x:v>31</x:v>
      </x:c>
      <x:c r="J33" s="217" t="str">
        <x:f>IF(I33&lt;='排名定義'!$B$5,"是","")</x:f>
        <x:v>是</x:v>
      </x:c>
      <x:c r="K33" s="217" t="n">
        <x:v>12</x:v>
      </x:c>
      <x:c r="L33" s="217" t="str">
        <x:f>IF(K33&lt;='排名定義'!$B$5,"是","")</x:f>
        <x:v>是</x:v>
      </x:c>
      <x:c r="M33" s="217" t="n">
        <x:f>COUNTIF(H33:L33,"是")</x:f>
        <x:v>3</x:v>
      </x:c>
      <x:c r="N33" s="217" t="str">
        <x:v>三份皆入選</x:v>
      </x:c>
      <x:c r="O33" s="220" t="n">
        <x:v>194.95833333333334</x:v>
      </x:c>
      <x:c r="P33" s="220" t="n">
        <x:v>179.925</x:v>
      </x:c>
      <x:c r="Q33" s="220" t="n">
        <x:v>15.033333333333333</x:v>
      </x:c>
      <x:c r="R33" s="220" t="n">
        <x:v>0.07711049369523403</x:v>
      </x:c>
      <x:c r="S33" s="220" t="n">
        <x:v>205.93548387096774</x:v>
      </x:c>
      <x:c r="T33" s="220" t="n">
        <x:v>196.2258064516129</x:v>
      </x:c>
      <x:c r="U33" s="220" t="n">
        <x:v>9.709677419354838</x:v>
      </x:c>
      <x:c r="V33" s="218" t="n">
        <x:v>0.1175115207373272</x:v>
      </x:c>
      <x:c r="W33" s="217" t="n">
        <x:v>42</x:v>
      </x:c>
      <x:c r="X33" s="222" t="n">
        <x:v>6000</x:v>
      </x:c>
      <x:c r="Y33" s="217" t="n">
        <x:v>90</x:v>
      </x:c>
    </x:row>
    <x:row r="34">
      <x:c r="A34" s="216" t="n">
        <x:v>1097</x:v>
      </x:c>
      <x:c r="B34" s="216" t="str">
        <x:v>捷運海山站(2號出口)</x:v>
      </x:c>
      <x:c r="C34" s="216" t="str">
        <x:v>土城區</x:v>
      </x:c>
      <x:c r="D34" s="216" t="n">
        <x:v>32</x:v>
      </x:c>
      <x:c r="E34" s="216" t="n">
        <x:v>120</x:v>
      </x:c>
      <x:c r="F34" s="219" t="n">
        <x:v>0.9994791666666667</x:v>
      </x:c>
      <x:c r="G34" s="216" t="n">
        <x:v>30</x:v>
      </x:c>
      <x:c r="H34" s="216" t="str">
        <x:f>IF(G34&lt;='排名定義'!$B$5,"是","")</x:f>
        <x:v>是</x:v>
      </x:c>
      <x:c r="I34" s="216" t="n">
        <x:v>29</x:v>
      </x:c>
      <x:c r="J34" s="216" t="str">
        <x:f>IF(I34&lt;='排名定義'!$B$5,"是","")</x:f>
        <x:v>是</x:v>
      </x:c>
      <x:c r="K34" s="216" t="n">
        <x:v>169</x:v>
      </x:c>
      <x:c r="L34" s="216" t="str">
        <x:f>IF(K34&lt;='排名定義'!$B$5,"是","")</x:f>
        <x:v>是</x:v>
      </x:c>
      <x:c r="M34" s="216" t="n">
        <x:f>COUNTIF(H34:L34,"是")</x:f>
        <x:v>3</x:v>
      </x:c>
      <x:c r="N34" s="216" t="str">
        <x:v>三份皆入選</x:v>
      </x:c>
      <x:c r="O34" s="221" t="n">
        <x:v>193.94166666666666</x:v>
      </x:c>
      <x:c r="P34" s="221" t="n">
        <x:v>186.38333333333333</x:v>
      </x:c>
      <x:c r="Q34" s="221" t="n">
        <x:v>7.558333333333334</x:v>
      </x:c>
      <x:c r="R34" s="221" t="n">
        <x:v>0.03897219954453659</x:v>
      </x:c>
      <x:c r="S34" s="221" t="n">
        <x:v>324.5483870967742</x:v>
      </x:c>
      <x:c r="T34" s="221" t="n">
        <x:v>308.741935483871</x:v>
      </x:c>
      <x:c r="U34" s="221" t="n">
        <x:v>15.806451612903226</x:v>
      </x:c>
      <x:c r="V34" s="219" t="n">
        <x:v>0.02304147465437788</x:v>
      </x:c>
      <x:c r="W34" s="216" t="n">
        <x:v>25</x:v>
      </x:c>
      <x:c r="X34" s="223" t="n">
        <x:v>3450</x:v>
      </x:c>
      <x:c r="Y34" s="216" t="n">
        <x:v>99</x:v>
      </x:c>
    </x:row>
    <x:row r="35">
      <x:c r="A35" s="217" t="n">
        <x:v>1513</x:v>
      </x:c>
      <x:c r="B35" s="217" t="str">
        <x:v>捷運江子翠站(3號出口)</x:v>
      </x:c>
      <x:c r="C35" s="217" t="str">
        <x:v>板橋區</x:v>
      </x:c>
      <x:c r="D35" s="217" t="n">
        <x:v>60</x:v>
      </x:c>
      <x:c r="E35" s="217" t="n">
        <x:v>120</x:v>
      </x:c>
      <x:c r="F35" s="218" t="n">
        <x:v>0.9994791666666667</x:v>
      </x:c>
      <x:c r="G35" s="217" t="n">
        <x:v>31</x:v>
      </x:c>
      <x:c r="H35" s="217" t="str">
        <x:f>IF(G35&lt;='排名定義'!$B$5,"是","")</x:f>
        <x:v>是</x:v>
      </x:c>
      <x:c r="I35" s="217" t="n">
        <x:v>30</x:v>
      </x:c>
      <x:c r="J35" s="217" t="str">
        <x:f>IF(I35&lt;='排名定義'!$B$5,"是","")</x:f>
        <x:v>是</x:v>
      </x:c>
      <x:c r="K35" s="217" t="n">
        <x:v>35</x:v>
      </x:c>
      <x:c r="L35" s="217" t="str">
        <x:f>IF(K35&lt;='排名定義'!$B$5,"是","")</x:f>
        <x:v>是</x:v>
      </x:c>
      <x:c r="M35" s="217" t="n">
        <x:f>COUNTIF(H35:L35,"是")</x:f>
        <x:v>3</x:v>
      </x:c>
      <x:c r="N35" s="217" t="str">
        <x:v>三份皆入選</x:v>
      </x:c>
      <x:c r="O35" s="220" t="n">
        <x:v>193.625</x:v>
      </x:c>
      <x:c r="P35" s="220" t="n">
        <x:v>181.45833333333334</x:v>
      </x:c>
      <x:c r="Q35" s="220" t="n">
        <x:v>12.166666666666666</x:v>
      </x:c>
      <x:c r="R35" s="220" t="n">
        <x:v>0.06283623843339789</x:v>
      </x:c>
      <x:c r="S35" s="220" t="n">
        <x:v>213.2258064516129</x:v>
      </x:c>
      <x:c r="T35" s="220" t="n">
        <x:v>204.19354838709677</x:v>
      </x:c>
      <x:c r="U35" s="220" t="n">
        <x:v>9.03225806451613</x:v>
      </x:c>
      <x:c r="V35" s="218" t="n">
        <x:v>0.0944700460829493</x:v>
      </x:c>
      <x:c r="W35" s="217" t="n">
        <x:v>57</x:v>
      </x:c>
      <x:c r="X35" s="222" t="n">
        <x:v>6840</x:v>
      </x:c>
      <x:c r="Y35" s="217" t="n">
        <x:v>60</x:v>
      </x:c>
    </x:row>
    <x:row r="36">
      <x:c r="A36" s="216" t="n">
        <x:v>11</x:v>
      </x:c>
      <x:c r="B36" s="216" t="str">
        <x:v>亞東醫院</x:v>
      </x:c>
      <x:c r="C36" s="216" t="str">
        <x:v>板橋區</x:v>
      </x:c>
      <x:c r="D36" s="216" t="n">
        <x:v>61</x:v>
      </x:c>
      <x:c r="E36" s="216" t="n">
        <x:v>120</x:v>
      </x:c>
      <x:c r="F36" s="219" t="n">
        <x:v>0.9994791666666667</x:v>
      </x:c>
      <x:c r="G36" s="216" t="n">
        <x:v>32</x:v>
      </x:c>
      <x:c r="H36" s="216" t="str">
        <x:f>IF(G36&lt;='排名定義'!$B$5,"是","")</x:f>
        <x:v>是</x:v>
      </x:c>
      <x:c r="I36" s="216" t="n">
        <x:v>32</x:v>
      </x:c>
      <x:c r="J36" s="216" t="str">
        <x:f>IF(I36&lt;='排名定義'!$B$5,"是","")</x:f>
        <x:v>是</x:v>
      </x:c>
      <x:c r="K36" s="216" t="n">
        <x:v>30</x:v>
      </x:c>
      <x:c r="L36" s="216" t="str">
        <x:f>IF(K36&lt;='排名定義'!$B$5,"是","")</x:f>
        <x:v>是</x:v>
      </x:c>
      <x:c r="M36" s="216" t="n">
        <x:f>COUNTIF(H36:L36,"是")</x:f>
        <x:v>3</x:v>
      </x:c>
      <x:c r="N36" s="216" t="str">
        <x:v>三份皆入選</x:v>
      </x:c>
      <x:c r="O36" s="221" t="n">
        <x:v>186.925</x:v>
      </x:c>
      <x:c r="P36" s="221" t="n">
        <x:v>174.275</x:v>
      </x:c>
      <x:c r="Q36" s="221" t="n">
        <x:v>12.65</x:v>
      </x:c>
      <x:c r="R36" s="221" t="n">
        <x:v>0.06767420088270697</x:v>
      </x:c>
      <x:c r="S36" s="221" t="n">
        <x:v>216.32258064516128</x:v>
      </x:c>
      <x:c r="T36" s="221" t="n">
        <x:v>202.41935483870967</x:v>
      </x:c>
      <x:c r="U36" s="221" t="n">
        <x:v>13.903225806451612</x:v>
      </x:c>
      <x:c r="V36" s="219" t="n">
        <x:v>0.027649769585253458</x:v>
      </x:c>
      <x:c r="W36" s="216" t="n">
        <x:v>37</x:v>
      </x:c>
      <x:c r="X36" s="223" t="n">
        <x:v>4530</x:v>
      </x:c>
      <x:c r="Y36" s="216" t="n">
        <x:v>61</x:v>
      </x:c>
    </x:row>
    <x:row r="37">
      <x:c r="A37" s="217" t="n">
        <x:v>1463</x:v>
      </x:c>
      <x:c r="B37" s="217" t="str">
        <x:v>捷運亞東醫院站(2號出口)</x:v>
      </x:c>
      <x:c r="C37" s="217" t="str">
        <x:v>板橋區</x:v>
      </x:c>
      <x:c r="D37" s="217" t="n">
        <x:v>52</x:v>
      </x:c>
      <x:c r="E37" s="217" t="n">
        <x:v>120</x:v>
      </x:c>
      <x:c r="F37" s="218" t="n">
        <x:v>0.9994791666666667</x:v>
      </x:c>
      <x:c r="G37" s="217" t="n">
        <x:v>33</x:v>
      </x:c>
      <x:c r="H37" s="217" t="str">
        <x:f>IF(G37&lt;='排名定義'!$B$5,"是","")</x:f>
        <x:v>是</x:v>
      </x:c>
      <x:c r="I37" s="217" t="n">
        <x:v>33</x:v>
      </x:c>
      <x:c r="J37" s="217" t="str">
        <x:f>IF(I37&lt;='排名定義'!$B$5,"是","")</x:f>
        <x:v>是</x:v>
      </x:c>
      <x:c r="K37" s="217" t="n">
        <x:v>46</x:v>
      </x:c>
      <x:c r="L37" s="217" t="str">
        <x:f>IF(K37&lt;='排名定義'!$B$5,"是","")</x:f>
        <x:v>是</x:v>
      </x:c>
      <x:c r="M37" s="217" t="n">
        <x:f>COUNTIF(H37:L37,"是")</x:f>
        <x:v>3</x:v>
      </x:c>
      <x:c r="N37" s="217" t="str">
        <x:v>三份皆入選</x:v>
      </x:c>
      <x:c r="O37" s="220" t="n">
        <x:v>185.075</x:v>
      </x:c>
      <x:c r="P37" s="220" t="n">
        <x:v>174.14166666666668</x:v>
      </x:c>
      <x:c r="Q37" s="220" t="n">
        <x:v>10.933333333333334</x:v>
      </x:c>
      <x:c r="R37" s="220" t="n">
        <x:v>0.05907514971407988</x:v>
      </x:c>
      <x:c r="S37" s="220" t="n">
        <x:v>218.3548387096774</x:v>
      </x:c>
      <x:c r="T37" s="220" t="n">
        <x:v>208.06451612903226</x:v>
      </x:c>
      <x:c r="U37" s="220" t="n">
        <x:v>10.290322580645162</x:v>
      </x:c>
      <x:c r="V37" s="218" t="n">
        <x:v>0.06682027649769585</x:v>
      </x:c>
      <x:c r="W37" s="217" t="n">
        <x:v>40</x:v>
      </x:c>
      <x:c r="X37" s="222" t="n">
        <x:v>5490</x:v>
      </x:c>
      <x:c r="Y37" s="217" t="n">
        <x:v>52</x:v>
      </x:c>
    </x:row>
    <x:row r="38">
      <x:c r="A38" s="216" t="n">
        <x:v>1279</x:v>
      </x:c>
      <x:c r="B38" s="216" t="str">
        <x:v>臺鐵鳳鳴站</x:v>
      </x:c>
      <x:c r="C38" s="216" t="str">
        <x:v>鶯歌區</x:v>
      </x:c>
      <x:c r="D38" s="216" t="n">
        <x:v>40</x:v>
      </x:c>
      <x:c r="E38" s="216" t="n">
        <x:v>120</x:v>
      </x:c>
      <x:c r="F38" s="219" t="n">
        <x:v>0.9994791666666667</x:v>
      </x:c>
      <x:c r="G38" s="216" t="n">
        <x:v>34</x:v>
      </x:c>
      <x:c r="H38" s="216" t="str">
        <x:f>IF(G38&lt;='排名定義'!$B$5,"是","")</x:f>
        <x:v>是</x:v>
      </x:c>
      <x:c r="I38" s="216" t="n">
        <x:v>35</x:v>
      </x:c>
      <x:c r="J38" s="216" t="str">
        <x:f>IF(I38&lt;='排名定義'!$B$5,"是","")</x:f>
        <x:v>是</x:v>
      </x:c>
      <x:c r="K38" s="216" t="n">
        <x:v>61</x:v>
      </x:c>
      <x:c r="L38" s="216" t="str">
        <x:f>IF(K38&lt;='排名定義'!$B$5,"是","")</x:f>
        <x:v>是</x:v>
      </x:c>
      <x:c r="M38" s="216" t="n">
        <x:f>COUNTIF(H38:L38,"是")</x:f>
        <x:v>3</x:v>
      </x:c>
      <x:c r="N38" s="216" t="str">
        <x:v>三份皆入選</x:v>
      </x:c>
      <x:c r="O38" s="221" t="n">
        <x:v>183.375</x:v>
      </x:c>
      <x:c r="P38" s="221" t="n">
        <x:v>173.33333333333334</x:v>
      </x:c>
      <x:c r="Q38" s="221" t="n">
        <x:v>10.041666666666666</x:v>
      </x:c>
      <x:c r="R38" s="221" t="n">
        <x:v>0.05476028175414679</x:v>
      </x:c>
      <x:c r="S38" s="221" t="n">
        <x:v>239.06451612903226</x:v>
      </x:c>
      <x:c r="T38" s="221" t="n">
        <x:v>230</x:v>
      </x:c>
      <x:c r="U38" s="221" t="n">
        <x:v>9.064516129032258</x:v>
      </x:c>
      <x:c r="V38" s="219" t="n">
        <x:v>0.06451612903225806</x:v>
      </x:c>
      <x:c r="W38" s="216" t="n">
        <x:v>26</x:v>
      </x:c>
      <x:c r="X38" s="223" t="n">
        <x:v>3960</x:v>
      </x:c>
      <x:c r="Y38" s="216" t="n">
        <x:v>40</x:v>
      </x:c>
    </x:row>
    <x:row r="39">
      <x:c r="A39" s="217" t="n">
        <x:v>1121</x:v>
      </x:c>
      <x:c r="B39" s="217" t="str">
        <x:v>捷運三重站(3號出口)</x:v>
      </x:c>
      <x:c r="C39" s="217" t="str">
        <x:v>三重區</x:v>
      </x:c>
      <x:c r="D39" s="217" t="n">
        <x:v>33</x:v>
      </x:c>
      <x:c r="E39" s="217" t="n">
        <x:v>120</x:v>
      </x:c>
      <x:c r="F39" s="218" t="n">
        <x:v>0.9994791666666667</x:v>
      </x:c>
      <x:c r="G39" s="217" t="n">
        <x:v>35</x:v>
      </x:c>
      <x:c r="H39" s="217" t="str">
        <x:f>IF(G39&lt;='排名定義'!$B$5,"是","")</x:f>
        <x:v>是</x:v>
      </x:c>
      <x:c r="I39" s="217" t="n">
        <x:v>34</x:v>
      </x:c>
      <x:c r="J39" s="217" t="str">
        <x:f>IF(I39&lt;='排名定義'!$B$5,"是","")</x:f>
        <x:v>是</x:v>
      </x:c>
      <x:c r="K39" s="217" t="n">
        <x:v>119</x:v>
      </x:c>
      <x:c r="L39" s="217" t="str">
        <x:f>IF(K39&lt;='排名定義'!$B$5,"是","")</x:f>
        <x:v>是</x:v>
      </x:c>
      <x:c r="M39" s="217" t="n">
        <x:f>COUNTIF(H39:L39,"是")</x:f>
        <x:v>3</x:v>
      </x:c>
      <x:c r="N39" s="217" t="str">
        <x:v>三份皆入選</x:v>
      </x:c>
      <x:c r="O39" s="220" t="n">
        <x:v>181.91666666666666</x:v>
      </x:c>
      <x:c r="P39" s="220" t="n">
        <x:v>173.69166666666666</x:v>
      </x:c>
      <x:c r="Q39" s="220" t="n">
        <x:v>8.225</x:v>
      </x:c>
      <x:c r="R39" s="220" t="n">
        <x:v>0.04521300961978928</x:v>
      </x:c>
      <x:c r="S39" s="220" t="n">
        <x:v>200.6451612903226</x:v>
      </x:c>
      <x:c r="T39" s="220" t="n">
        <x:v>193.90322580645162</x:v>
      </x:c>
      <x:c r="U39" s="220" t="n">
        <x:v>6.741935483870968</x:v>
      </x:c>
      <x:c r="V39" s="218" t="n">
        <x:v>0.06451612903225806</x:v>
      </x:c>
      <x:c r="W39" s="217" t="n">
        <x:v>27</x:v>
      </x:c>
      <x:c r="X39" s="222" t="n">
        <x:v>3840</x:v>
      </x:c>
      <x:c r="Y39" s="217" t="n">
        <x:v>33</x:v>
      </x:c>
    </x:row>
    <x:row r="40">
      <x:c r="A40" s="216" t="n">
        <x:v>43</x:v>
      </x:c>
      <x:c r="B40" s="216" t="str">
        <x:v>捷運景安站</x:v>
      </x:c>
      <x:c r="C40" s="216" t="str">
        <x:v>中和區</x:v>
      </x:c>
      <x:c r="D40" s="216" t="n">
        <x:v>96</x:v>
      </x:c>
      <x:c r="E40" s="216" t="n">
        <x:v>120</x:v>
      </x:c>
      <x:c r="F40" s="219" t="n">
        <x:v>0.9994791666666667</x:v>
      </x:c>
      <x:c r="G40" s="216" t="n">
        <x:v>36</x:v>
      </x:c>
      <x:c r="H40" s="216" t="str">
        <x:f>IF(G40&lt;='排名定義'!$B$5,"是","")</x:f>
        <x:v>是</x:v>
      </x:c>
      <x:c r="I40" s="216" t="n">
        <x:v>36</x:v>
      </x:c>
      <x:c r="J40" s="216" t="str">
        <x:f>IF(I40&lt;='排名定義'!$B$5,"是","")</x:f>
        <x:v>是</x:v>
      </x:c>
      <x:c r="K40" s="216" t="n">
        <x:v>21</x:v>
      </x:c>
      <x:c r="L40" s="216" t="str">
        <x:f>IF(K40&lt;='排名定義'!$B$5,"是","")</x:f>
        <x:v>是</x:v>
      </x:c>
      <x:c r="M40" s="216" t="n">
        <x:f>COUNTIF(H40:L40,"是")</x:f>
        <x:v>3</x:v>
      </x:c>
      <x:c r="N40" s="216" t="str">
        <x:v>三份皆入選</x:v>
      </x:c>
      <x:c r="O40" s="221" t="n">
        <x:v>181.75833333333333</x:v>
      </x:c>
      <x:c r="P40" s="221" t="n">
        <x:v>167.93333333333334</x:v>
      </x:c>
      <x:c r="Q40" s="221" t="n">
        <x:v>13.825</x:v>
      </x:c>
      <x:c r="R40" s="221" t="n">
        <x:v>0.0760625372518454</x:v>
      </x:c>
      <x:c r="S40" s="221" t="n">
        <x:v>216.19354838709677</x:v>
      </x:c>
      <x:c r="T40" s="221" t="n">
        <x:v>206.2258064516129</x:v>
      </x:c>
      <x:c r="U40" s="221" t="n">
        <x:v>9.96774193548387</x:v>
      </x:c>
      <x:c r="V40" s="219" t="n">
        <x:v>0.013824884792626729</x:v>
      </x:c>
      <x:c r="W40" s="216" t="n">
        <x:v>31</x:v>
      </x:c>
      <x:c r="X40" s="223" t="n">
        <x:v>3960</x:v>
      </x:c>
      <x:c r="Y40" s="216" t="n">
        <x:v>96</x:v>
      </x:c>
    </x:row>
    <x:row r="41">
      <x:c r="A41" s="217" t="n">
        <x:v>34</x:v>
      </x:c>
      <x:c r="B41" s="217" t="str">
        <x:v>捷運大坪林站(5號出口)</x:v>
      </x:c>
      <x:c r="C41" s="217" t="str">
        <x:v>新店區</x:v>
      </x:c>
      <x:c r="D41" s="217" t="n">
        <x:v>92</x:v>
      </x:c>
      <x:c r="E41" s="217" t="n">
        <x:v>120</x:v>
      </x:c>
      <x:c r="F41" s="218" t="n">
        <x:v>0.9994791666666667</x:v>
      </x:c>
      <x:c r="G41" s="217" t="n">
        <x:v>37</x:v>
      </x:c>
      <x:c r="H41" s="217" t="str">
        <x:f>IF(G41&lt;='排名定義'!$B$5,"是","")</x:f>
        <x:v>是</x:v>
      </x:c>
      <x:c r="I41" s="217" t="n">
        <x:v>38</x:v>
      </x:c>
      <x:c r="J41" s="217" t="str">
        <x:f>IF(I41&lt;='排名定義'!$B$5,"是","")</x:f>
        <x:v>是</x:v>
      </x:c>
      <x:c r="K41" s="217" t="n">
        <x:v>8</x:v>
      </x:c>
      <x:c r="L41" s="217" t="str">
        <x:f>IF(K41&lt;='排名定義'!$B$5,"是","")</x:f>
        <x:v>是</x:v>
      </x:c>
      <x:c r="M41" s="217" t="n">
        <x:f>COUNTIF(H41:L41,"是")</x:f>
        <x:v>3</x:v>
      </x:c>
      <x:c r="N41" s="217" t="str">
        <x:v>三份皆入選</x:v>
      </x:c>
      <x:c r="O41" s="220" t="n">
        <x:v>181.15833333333333</x:v>
      </x:c>
      <x:c r="P41" s="220" t="n">
        <x:v>165.54166666666666</x:v>
      </x:c>
      <x:c r="Q41" s="220" t="n">
        <x:v>15.616666666666667</x:v>
      </x:c>
      <x:c r="R41" s="220" t="n">
        <x:v>0.08620451722710336</x:v>
      </x:c>
      <x:c r="S41" s="220" t="n">
        <x:v>220.8709677419355</x:v>
      </x:c>
      <x:c r="T41" s="220" t="n">
        <x:v>209.67741935483872</x:v>
      </x:c>
      <x:c r="U41" s="220" t="n">
        <x:v>11.193548387096774</x:v>
      </x:c>
      <x:c r="V41" s="218" t="n">
        <x:v>0.041474654377880185</x:v>
      </x:c>
      <x:c r="W41" s="217" t="n">
        <x:v>6</x:v>
      </x:c>
      <x:c r="X41" s="222" t="n">
        <x:v>1050</x:v>
      </x:c>
      <x:c r="Y41" s="217" t="n">
        <x:v>92</x:v>
      </x:c>
    </x:row>
    <x:row r="42">
      <x:c r="A42" s="216" t="n">
        <x:v>49</x:v>
      </x:c>
      <x:c r="B42" s="216" t="str">
        <x:v>捷運永安市場站</x:v>
      </x:c>
      <x:c r="C42" s="216" t="str">
        <x:v>中和區</x:v>
      </x:c>
      <x:c r="D42" s="216" t="n">
        <x:v>99</x:v>
      </x:c>
      <x:c r="E42" s="216" t="n">
        <x:v>120</x:v>
      </x:c>
      <x:c r="F42" s="219" t="n">
        <x:v>0.9994791666666667</x:v>
      </x:c>
      <x:c r="G42" s="216" t="n">
        <x:v>38</x:v>
      </x:c>
      <x:c r="H42" s="216" t="str">
        <x:f>IF(G42&lt;='排名定義'!$B$5,"是","")</x:f>
        <x:v>是</x:v>
      </x:c>
      <x:c r="I42" s="216" t="n">
        <x:v>40</x:v>
      </x:c>
      <x:c r="J42" s="216" t="str">
        <x:f>IF(I42&lt;='排名定義'!$B$5,"是","")</x:f>
        <x:v>是</x:v>
      </x:c>
      <x:c r="K42" s="216" t="n">
        <x:v>16</x:v>
      </x:c>
      <x:c r="L42" s="216" t="str">
        <x:f>IF(K42&lt;='排名定義'!$B$5,"是","")</x:f>
        <x:v>是</x:v>
      </x:c>
      <x:c r="M42" s="216" t="n">
        <x:f>COUNTIF(H42:L42,"是")</x:f>
        <x:v>3</x:v>
      </x:c>
      <x:c r="N42" s="216" t="str">
        <x:v>三份皆入選</x:v>
      </x:c>
      <x:c r="O42" s="221" t="n">
        <x:v>178</x:v>
      </x:c>
      <x:c r="P42" s="221" t="n">
        <x:v>163.775</x:v>
      </x:c>
      <x:c r="Q42" s="221" t="n">
        <x:v>14.225</x:v>
      </x:c>
      <x:c r="R42" s="221" t="n">
        <x:v>0.07991573033707865</x:v>
      </x:c>
      <x:c r="S42" s="221" t="n">
        <x:v>228.41935483870967</x:v>
      </x:c>
      <x:c r="T42" s="221" t="n">
        <x:v>217.93548387096774</x:v>
      </x:c>
      <x:c r="U42" s="221" t="n">
        <x:v>10.483870967741936</x:v>
      </x:c>
      <x:c r="V42" s="219" t="n">
        <x:v>0.002304147465437788</x:v>
      </x:c>
      <x:c r="W42" s="216" t="n">
        <x:v>9</x:v>
      </x:c>
      <x:c r="X42" s="223" t="n">
        <x:v>1530</x:v>
      </x:c>
      <x:c r="Y42" s="216" t="n">
        <x:v>99</x:v>
      </x:c>
    </x:row>
    <x:row r="43">
      <x:c r="A43" s="217" t="n">
        <x:v>1512</x:v>
      </x:c>
      <x:c r="B43" s="217" t="str">
        <x:v>捷運新埔站(2號出口)</x:v>
      </x:c>
      <x:c r="C43" s="217" t="str">
        <x:v>板橋區</x:v>
      </x:c>
      <x:c r="D43" s="217" t="n">
        <x:v>60</x:v>
      </x:c>
      <x:c r="E43" s="217" t="n">
        <x:v>120</x:v>
      </x:c>
      <x:c r="F43" s="218" t="n">
        <x:v>0.9994791666666667</x:v>
      </x:c>
      <x:c r="G43" s="217" t="n">
        <x:v>39</x:v>
      </x:c>
      <x:c r="H43" s="217" t="str">
        <x:f>IF(G43&lt;='排名定義'!$B$5,"是","")</x:f>
        <x:v>是</x:v>
      </x:c>
      <x:c r="I43" s="217" t="n">
        <x:v>39</x:v>
      </x:c>
      <x:c r="J43" s="217" t="str">
        <x:f>IF(I43&lt;='排名定義'!$B$5,"是","")</x:f>
        <x:v>是</x:v>
      </x:c>
      <x:c r="K43" s="217" t="n">
        <x:v>34</x:v>
      </x:c>
      <x:c r="L43" s="217" t="str">
        <x:f>IF(K43&lt;='排名定義'!$B$5,"是","")</x:f>
        <x:v>是</x:v>
      </x:c>
      <x:c r="M43" s="217" t="n">
        <x:f>COUNTIF(H43:L43,"是")</x:f>
        <x:v>3</x:v>
      </x:c>
      <x:c r="N43" s="217" t="str">
        <x:v>三份皆入選</x:v>
      </x:c>
      <x:c r="O43" s="220" t="n">
        <x:v>177.55</x:v>
      </x:c>
      <x:c r="P43" s="220" t="n">
        <x:v>165.35</x:v>
      </x:c>
      <x:c r="Q43" s="220" t="n">
        <x:v>12.2</x:v>
      </x:c>
      <x:c r="R43" s="220" t="n">
        <x:v>0.0687130385806815</x:v>
      </x:c>
      <x:c r="S43" s="220" t="n">
        <x:v>200.25806451612902</x:v>
      </x:c>
      <x:c r="T43" s="220" t="n">
        <x:v>189.67741935483872</x:v>
      </x:c>
      <x:c r="U43" s="220" t="n">
        <x:v>10.580645161290322</x:v>
      </x:c>
      <x:c r="V43" s="218" t="n">
        <x:v>0.07603686635944701</x:v>
      </x:c>
      <x:c r="W43" s="217" t="n">
        <x:v>51</x:v>
      </x:c>
      <x:c r="X43" s="222" t="n">
        <x:v>5670</x:v>
      </x:c>
      <x:c r="Y43" s="217" t="n">
        <x:v>60</x:v>
      </x:c>
    </x:row>
    <x:row r="44">
      <x:c r="A44" s="216" t="n">
        <x:v>986</x:v>
      </x:c>
      <x:c r="B44" s="216" t="str">
        <x:v>師大林口校區誠樓前</x:v>
      </x:c>
      <x:c r="C44" s="216" t="str">
        <x:v>林口區</x:v>
      </x:c>
      <x:c r="D44" s="216" t="n">
        <x:v>29</x:v>
      </x:c>
      <x:c r="E44" s="216" t="n">
        <x:v>120</x:v>
      </x:c>
      <x:c r="F44" s="219" t="n">
        <x:v>0.9994791666666667</x:v>
      </x:c>
      <x:c r="G44" s="216" t="n">
        <x:v>40</x:v>
      </x:c>
      <x:c r="H44" s="216" t="str">
        <x:f>IF(G44&lt;='排名定義'!$B$5,"是","")</x:f>
        <x:v>是</x:v>
      </x:c>
      <x:c r="I44" s="216" t="n">
        <x:v>37</x:v>
      </x:c>
      <x:c r="J44" s="216" t="str">
        <x:f>IF(I44&lt;='排名定義'!$B$5,"是","")</x:f>
        <x:v>是</x:v>
      </x:c>
      <x:c r="K44" s="216" t="n">
        <x:v>128</x:v>
      </x:c>
      <x:c r="L44" s="216" t="str">
        <x:f>IF(K44&lt;='排名定義'!$B$5,"是","")</x:f>
        <x:v>是</x:v>
      </x:c>
      <x:c r="M44" s="216" t="n">
        <x:f>COUNTIF(H44:L44,"是")</x:f>
        <x:v>3</x:v>
      </x:c>
      <x:c r="N44" s="216" t="str">
        <x:v>三份皆入選</x:v>
      </x:c>
      <x:c r="O44" s="221" t="n">
        <x:v>174.83333333333334</x:v>
      </x:c>
      <x:c r="P44" s="221" t="n">
        <x:v>166.75833333333333</x:v>
      </x:c>
      <x:c r="Q44" s="221" t="n">
        <x:v>8.075</x:v>
      </x:c>
      <x:c r="R44" s="221" t="n">
        <x:v>0.04618684461391802</x:v>
      </x:c>
      <x:c r="S44" s="221" t="n">
        <x:v>201.3548387096774</x:v>
      </x:c>
      <x:c r="T44" s="221" t="n">
        <x:v>193.06451612903226</x:v>
      </x:c>
      <x:c r="U44" s="221" t="n">
        <x:v>8.290322580645162</x:v>
      </x:c>
      <x:c r="V44" s="219" t="n">
        <x:v>0.09216589861751152</x:v>
      </x:c>
      <x:c r="W44" s="216" t="n">
        <x:v>18</x:v>
      </x:c>
      <x:c r="X44" s="223" t="n">
        <x:v>3090</x:v>
      </x:c>
      <x:c r="Y44" s="216" t="n">
        <x:v>29</x:v>
      </x:c>
    </x:row>
    <x:row r="45">
      <x:c r="A45" s="217" t="n">
        <x:v>6</x:v>
      </x:c>
      <x:c r="B45" s="217" t="str">
        <x:v>中正民權路口</x:v>
      </x:c>
      <x:c r="C45" s="217" t="str">
        <x:v>新店區</x:v>
      </x:c>
      <x:c r="D45" s="217" t="n">
        <x:v>92</x:v>
      </x:c>
      <x:c r="E45" s="217" t="n">
        <x:v>120</x:v>
      </x:c>
      <x:c r="F45" s="218" t="n">
        <x:v>0.9994791666666667</x:v>
      </x:c>
      <x:c r="G45" s="217" t="n">
        <x:v>41</x:v>
      </x:c>
      <x:c r="H45" s="217" t="str">
        <x:f>IF(G45&lt;='排名定義'!$B$5,"是","")</x:f>
        <x:v>是</x:v>
      </x:c>
      <x:c r="I45" s="217" t="n">
        <x:v>43</x:v>
      </x:c>
      <x:c r="J45" s="217" t="str">
        <x:f>IF(I45&lt;='排名定義'!$B$5,"是","")</x:f>
        <x:v>是</x:v>
      </x:c>
      <x:c r="K45" s="217" t="n">
        <x:v>6</x:v>
      </x:c>
      <x:c r="L45" s="217" t="str">
        <x:f>IF(K45&lt;='排名定義'!$B$5,"是","")</x:f>
        <x:v>是</x:v>
      </x:c>
      <x:c r="M45" s="217" t="n">
        <x:f>COUNTIF(H45:L45,"是")</x:f>
        <x:v>3</x:v>
      </x:c>
      <x:c r="N45" s="217" t="str">
        <x:v>三份皆入選</x:v>
      </x:c>
      <x:c r="O45" s="220" t="n">
        <x:v>173.8</x:v>
      </x:c>
      <x:c r="P45" s="220" t="n">
        <x:v>158.09166666666667</x:v>
      </x:c>
      <x:c r="Q45" s="220" t="n">
        <x:v>15.708333333333334</x:v>
      </x:c>
      <x:c r="R45" s="220" t="n">
        <x:v>0.09038166474875335</x:v>
      </x:c>
      <x:c r="S45" s="220" t="n">
        <x:v>225.09677419354838</x:v>
      </x:c>
      <x:c r="T45" s="220" t="n">
        <x:v>209.61290322580646</x:v>
      </x:c>
      <x:c r="U45" s="220" t="n">
        <x:v>15.483870967741936</x:v>
      </x:c>
      <x:c r="V45" s="218" t="n">
        <x:v>0.10138248847926268</x:v>
      </x:c>
      <x:c r="W45" s="217" t="n">
        <x:v>21</x:v>
      </x:c>
      <x:c r="X45" s="222" t="n">
        <x:v>2730</x:v>
      </x:c>
      <x:c r="Y45" s="217" t="n">
        <x:v>92</x:v>
      </x:c>
    </x:row>
    <x:row r="46">
      <x:c r="A46" s="216" t="n">
        <x:v>1175</x:v>
      </x:c>
      <x:c r="B46" s="216" t="str">
        <x:v>捷運中和站</x:v>
      </x:c>
      <x:c r="C46" s="216" t="str">
        <x:v>中和區</x:v>
      </x:c>
      <x:c r="D46" s="216" t="n">
        <x:v>36</x:v>
      </x:c>
      <x:c r="E46" s="216" t="n">
        <x:v>120</x:v>
      </x:c>
      <x:c r="F46" s="219" t="n">
        <x:v>0.9994791666666667</x:v>
      </x:c>
      <x:c r="G46" s="216" t="n">
        <x:v>42</x:v>
      </x:c>
      <x:c r="H46" s="216" t="str">
        <x:f>IF(G46&lt;='排名定義'!$B$5,"是","")</x:f>
        <x:v>是</x:v>
      </x:c>
      <x:c r="I46" s="216" t="n">
        <x:v>41</x:v>
      </x:c>
      <x:c r="J46" s="216" t="str">
        <x:f>IF(I46&lt;='排名定義'!$B$5,"是","")</x:f>
        <x:v>是</x:v>
      </x:c>
      <x:c r="K46" s="216" t="n">
        <x:v>100</x:v>
      </x:c>
      <x:c r="L46" s="216" t="str">
        <x:f>IF(K46&lt;='排名定義'!$B$5,"是","")</x:f>
        <x:v>是</x:v>
      </x:c>
      <x:c r="M46" s="216" t="n">
        <x:f>COUNTIF(H46:L46,"是")</x:f>
        <x:v>3</x:v>
      </x:c>
      <x:c r="N46" s="216" t="str">
        <x:v>三份皆入選</x:v>
      </x:c>
      <x:c r="O46" s="221" t="n">
        <x:v>171.825</x:v>
      </x:c>
      <x:c r="P46" s="221" t="n">
        <x:v>163.2</x:v>
      </x:c>
      <x:c r="Q46" s="221" t="n">
        <x:v>8.625</x:v>
      </x:c>
      <x:c r="R46" s="221" t="n">
        <x:v>0.0501964207769533</x:v>
      </x:c>
      <x:c r="S46" s="221" t="n">
        <x:v>220.41935483870967</x:v>
      </x:c>
      <x:c r="T46" s="221" t="n">
        <x:v>213.51612903225808</x:v>
      </x:c>
      <x:c r="U46" s="221" t="n">
        <x:v>6.903225806451613</x:v>
      </x:c>
      <x:c r="V46" s="219" t="n">
        <x:v>0.018433179723502304</x:v>
      </x:c>
      <x:c r="W46" s="216" t="n">
        <x:v>1</x:v>
      </x:c>
      <x:c r="X46" s="223" t="n">
        <x:v>900</x:v>
      </x:c>
      <x:c r="Y46" s="216" t="n">
        <x:v>36</x:v>
      </x:c>
    </x:row>
    <x:row r="47">
      <x:c r="A47" s="217" t="n">
        <x:v>31</x:v>
      </x:c>
      <x:c r="B47" s="217" t="str">
        <x:v>捷運十四張站</x:v>
      </x:c>
      <x:c r="C47" s="217" t="str">
        <x:v>新店區</x:v>
      </x:c>
      <x:c r="D47" s="217" t="n">
        <x:v>95</x:v>
      </x:c>
      <x:c r="E47" s="217" t="n">
        <x:v>120</x:v>
      </x:c>
      <x:c r="F47" s="218" t="n">
        <x:v>0.9994791666666667</x:v>
      </x:c>
      <x:c r="G47" s="217" t="n">
        <x:v>43</x:v>
      </x:c>
      <x:c r="H47" s="217" t="str">
        <x:f>IF(G47&lt;='排名定義'!$B$5,"是","")</x:f>
        <x:v>是</x:v>
      </x:c>
      <x:c r="I47" s="217" t="n">
        <x:v>44</x:v>
      </x:c>
      <x:c r="J47" s="217" t="str">
        <x:f>IF(I47&lt;='排名定義'!$B$5,"是","")</x:f>
        <x:v>是</x:v>
      </x:c>
      <x:c r="K47" s="217" t="n">
        <x:v>20</x:v>
      </x:c>
      <x:c r="L47" s="217" t="str">
        <x:f>IF(K47&lt;='排名定義'!$B$5,"是","")</x:f>
        <x:v>是</x:v>
      </x:c>
      <x:c r="M47" s="217" t="n">
        <x:f>COUNTIF(H47:L47,"是")</x:f>
        <x:v>3</x:v>
      </x:c>
      <x:c r="N47" s="217" t="str">
        <x:v>三份皆入選</x:v>
      </x:c>
      <x:c r="O47" s="220" t="n">
        <x:v>171.30833333333334</x:v>
      </x:c>
      <x:c r="P47" s="220" t="n">
        <x:v>157.39166666666668</x:v>
      </x:c>
      <x:c r="Q47" s="220" t="n">
        <x:v>13.916666666666666</x:v>
      </x:c>
      <x:c r="R47" s="220" t="n">
        <x:v>0.08123753465972662</x:v>
      </x:c>
      <x:c r="S47" s="220" t="n">
        <x:v>244.38709677419354</x:v>
      </x:c>
      <x:c r="T47" s="220" t="n">
        <x:v>227.03225806451613</x:v>
      </x:c>
      <x:c r="U47" s="220" t="n">
        <x:v>17.35483870967742</x:v>
      </x:c>
      <x:c r="V47" s="218" t="n">
        <x:v>0.05069124423963134</x:v>
      </x:c>
      <x:c r="W47" s="217" t="n">
        <x:v>19</x:v>
      </x:c>
      <x:c r="X47" s="222" t="n">
        <x:v>2730</x:v>
      </x:c>
      <x:c r="Y47" s="217" t="n">
        <x:v>95</x:v>
      </x:c>
    </x:row>
    <x:row r="48">
      <x:c r="A48" s="216" t="n">
        <x:v>47</x:v>
      </x:c>
      <x:c r="B48" s="216" t="str">
        <x:v>捷運林口站(1號出口)</x:v>
      </x:c>
      <x:c r="C48" s="216" t="str">
        <x:v>林口區</x:v>
      </x:c>
      <x:c r="D48" s="216" t="n">
        <x:v>97</x:v>
      </x:c>
      <x:c r="E48" s="216" t="n">
        <x:v>120</x:v>
      </x:c>
      <x:c r="F48" s="219" t="n">
        <x:v>0.9994791666666667</x:v>
      </x:c>
      <x:c r="G48" s="216" t="n">
        <x:v>44</x:v>
      </x:c>
      <x:c r="H48" s="216" t="str">
        <x:f>IF(G48&lt;='排名定義'!$B$5,"是","")</x:f>
        <x:v>是</x:v>
      </x:c>
      <x:c r="I48" s="216" t="n">
        <x:v>45</x:v>
      </x:c>
      <x:c r="J48" s="216" t="str">
        <x:f>IF(I48&lt;='排名定義'!$B$5,"是","")</x:f>
        <x:v>是</x:v>
      </x:c>
      <x:c r="K48" s="216" t="n">
        <x:v>14</x:v>
      </x:c>
      <x:c r="L48" s="216" t="str">
        <x:f>IF(K48&lt;='排名定義'!$B$5,"是","")</x:f>
        <x:v>是</x:v>
      </x:c>
      <x:c r="M48" s="216" t="n">
        <x:f>COUNTIF(H48:L48,"是")</x:f>
        <x:v>3</x:v>
      </x:c>
      <x:c r="N48" s="216" t="str">
        <x:v>三份皆入選</x:v>
      </x:c>
      <x:c r="O48" s="221" t="n">
        <x:v>170.35</x:v>
      </x:c>
      <x:c r="P48" s="221" t="n">
        <x:v>155.79166666666666</x:v>
      </x:c>
      <x:c r="Q48" s="221" t="n">
        <x:v>14.558333333333334</x:v>
      </x:c>
      <x:c r="R48" s="221" t="n">
        <x:v>0.08546130515605127</x:v>
      </x:c>
      <x:c r="S48" s="221" t="n">
        <x:v>237.8709677419355</x:v>
      </x:c>
      <x:c r="T48" s="221" t="n">
        <x:v>227.51612903225808</x:v>
      </x:c>
      <x:c r="U48" s="221" t="n">
        <x:v>10.35483870967742</x:v>
      </x:c>
      <x:c r="V48" s="219" t="n">
        <x:v>0.052995391705069124</x:v>
      </x:c>
      <x:c r="W48" s="216" t="n">
        <x:v>15</x:v>
      </x:c>
      <x:c r="X48" s="223" t="n">
        <x:v>2070</x:v>
      </x:c>
      <x:c r="Y48" s="216" t="n">
        <x:v>97</x:v>
      </x:c>
    </x:row>
    <x:row r="49">
      <x:c r="A49" s="217" t="n">
        <x:v>1418</x:v>
      </x:c>
      <x:c r="B49" s="217" t="str">
        <x:v>捷運蘆洲站(1號出口)</x:v>
      </x:c>
      <x:c r="C49" s="217" t="str">
        <x:v>蘆洲區</x:v>
      </x:c>
      <x:c r="D49" s="217" t="n">
        <x:v>48</x:v>
      </x:c>
      <x:c r="E49" s="217" t="n">
        <x:v>120</x:v>
      </x:c>
      <x:c r="F49" s="218" t="n">
        <x:v>0.9994791666666667</x:v>
      </x:c>
      <x:c r="G49" s="217" t="n">
        <x:v>45</x:v>
      </x:c>
      <x:c r="H49" s="217" t="str">
        <x:f>IF(G49&lt;='排名定義'!$B$5,"是","")</x:f>
        <x:v>是</x:v>
      </x:c>
      <x:c r="I49" s="217" t="n">
        <x:v>42</x:v>
      </x:c>
      <x:c r="J49" s="217" t="str">
        <x:f>IF(I49&lt;='排名定義'!$B$5,"是","")</x:f>
        <x:v>是</x:v>
      </x:c>
      <x:c r="K49" s="217" t="n">
        <x:v>85</x:v>
      </x:c>
      <x:c r="L49" s="217" t="str">
        <x:f>IF(K49&lt;='排名定義'!$B$5,"是","")</x:f>
        <x:v>是</x:v>
      </x:c>
      <x:c r="M49" s="217" t="n">
        <x:f>COUNTIF(H49:L49,"是")</x:f>
        <x:v>3</x:v>
      </x:c>
      <x:c r="N49" s="217" t="str">
        <x:v>三份皆入選</x:v>
      </x:c>
      <x:c r="O49" s="220" t="n">
        <x:v>170.225</x:v>
      </x:c>
      <x:c r="P49" s="220" t="n">
        <x:v>161.275</x:v>
      </x:c>
      <x:c r="Q49" s="220" t="n">
        <x:v>8.95</x:v>
      </x:c>
      <x:c r="R49" s="220" t="n">
        <x:v>0.052577470994272284</x:v>
      </x:c>
      <x:c r="S49" s="220" t="n">
        <x:v>198.70967741935485</x:v>
      </x:c>
      <x:c r="T49" s="220" t="n">
        <x:v>190.16129032258064</x:v>
      </x:c>
      <x:c r="U49" s="220" t="n">
        <x:v>8.548387096774194</x:v>
      </x:c>
      <x:c r="V49" s="218" t="n">
        <x:v>0.07834101382488479</x:v>
      </x:c>
      <x:c r="W49" s="217" t="n">
        <x:v>40</x:v>
      </x:c>
      <x:c r="X49" s="222" t="n">
        <x:v>4620</x:v>
      </x:c>
      <x:c r="Y49" s="217" t="n">
        <x:v>48</x:v>
      </x:c>
    </x:row>
    <x:row r="50">
      <x:c r="A50" s="216" t="n">
        <x:v>46</x:v>
      </x:c>
      <x:c r="B50" s="216" t="str">
        <x:v>捷運板橋站(3號出口)</x:v>
      </x:c>
      <x:c r="C50" s="216" t="str">
        <x:v>板橋區</x:v>
      </x:c>
      <x:c r="D50" s="216" t="n">
        <x:v>89</x:v>
      </x:c>
      <x:c r="E50" s="216" t="n">
        <x:v>120</x:v>
      </x:c>
      <x:c r="F50" s="219" t="n">
        <x:v>0.9994791666666667</x:v>
      </x:c>
      <x:c r="G50" s="216" t="n">
        <x:v>46</x:v>
      </x:c>
      <x:c r="H50" s="216" t="str">
        <x:f>IF(G50&lt;='排名定義'!$B$5,"是","")</x:f>
        <x:v>是</x:v>
      </x:c>
      <x:c r="I50" s="216" t="n">
        <x:v>50</x:v>
      </x:c>
      <x:c r="J50" s="216" t="str">
        <x:f>IF(I50&lt;='排名定義'!$B$5,"是","")</x:f>
        <x:v>是</x:v>
      </x:c>
      <x:c r="K50" s="216" t="n">
        <x:v>17</x:v>
      </x:c>
      <x:c r="L50" s="216" t="str">
        <x:f>IF(K50&lt;='排名定義'!$B$5,"是","")</x:f>
        <x:v>是</x:v>
      </x:c>
      <x:c r="M50" s="216" t="n">
        <x:f>COUNTIF(H50:L50,"是")</x:f>
        <x:v>3</x:v>
      </x:c>
      <x:c r="N50" s="216" t="str">
        <x:v>三份皆入選</x:v>
      </x:c>
      <x:c r="O50" s="221" t="n">
        <x:v>164.125</x:v>
      </x:c>
      <x:c r="P50" s="221" t="n">
        <x:v>149.925</x:v>
      </x:c>
      <x:c r="Q50" s="221" t="n">
        <x:v>14.2</x:v>
      </x:c>
      <x:c r="R50" s="221" t="n">
        <x:v>0.08651942117288652</x:v>
      </x:c>
      <x:c r="S50" s="221" t="n">
        <x:v>185.6451612903226</x:v>
      </x:c>
      <x:c r="T50" s="221" t="n">
        <x:v>176.67741935483872</x:v>
      </x:c>
      <x:c r="U50" s="221" t="n">
        <x:v>8.96774193548387</x:v>
      </x:c>
      <x:c r="V50" s="219" t="n">
        <x:v>0.07834101382488479</x:v>
      </x:c>
      <x:c r="W50" s="216" t="n">
        <x:v>55</x:v>
      </x:c>
      <x:c r="X50" s="223" t="n">
        <x:v>6810</x:v>
      </x:c>
      <x:c r="Y50" s="216" t="n">
        <x:v>89</x:v>
      </x:c>
    </x:row>
    <x:row r="51">
      <x:c r="A51" s="217" t="n">
        <x:v>91</x:v>
      </x:c>
      <x:c r="B51" s="217" t="str">
        <x:v>華夏科技大學</x:v>
      </x:c>
      <x:c r="C51" s="217" t="str">
        <x:v>中和區</x:v>
      </x:c>
      <x:c r="D51" s="217" t="n">
        <x:v>58</x:v>
      </x:c>
      <x:c r="E51" s="217" t="n">
        <x:v>120</x:v>
      </x:c>
      <x:c r="F51" s="218" t="n">
        <x:v>0.9994791666666667</x:v>
      </x:c>
      <x:c r="G51" s="217" t="n">
        <x:v>47</x:v>
      </x:c>
      <x:c r="H51" s="217" t="str">
        <x:f>IF(G51&lt;='排名定義'!$B$5,"是","")</x:f>
        <x:v>是</x:v>
      </x:c>
      <x:c r="I51" s="217" t="n">
        <x:v>46</x:v>
      </x:c>
      <x:c r="J51" s="217" t="str">
        <x:f>IF(I51&lt;='排名定義'!$B$5,"是","")</x:f>
        <x:v>是</x:v>
      </x:c>
      <x:c r="K51" s="217" t="n">
        <x:v>65</x:v>
      </x:c>
      <x:c r="L51" s="217" t="str">
        <x:f>IF(K51&lt;='排名定義'!$B$5,"是","")</x:f>
        <x:v>是</x:v>
      </x:c>
      <x:c r="M51" s="217" t="n">
        <x:f>COUNTIF(H51:L51,"是")</x:f>
        <x:v>3</x:v>
      </x:c>
      <x:c r="N51" s="217" t="str">
        <x:v>三份皆入選</x:v>
      </x:c>
      <x:c r="O51" s="220" t="n">
        <x:v>163.83333333333334</x:v>
      </x:c>
      <x:c r="P51" s="220" t="n">
        <x:v>154.11666666666667</x:v>
      </x:c>
      <x:c r="Q51" s="220" t="n">
        <x:v>9.716666666666667</x:v>
      </x:c>
      <x:c r="R51" s="220" t="n">
        <x:v>0.05930824008138352</x:v>
      </x:c>
      <x:c r="S51" s="220" t="n">
        <x:v>201.2258064516129</x:v>
      </x:c>
      <x:c r="T51" s="220" t="n">
        <x:v>192.32258064516128</x:v>
      </x:c>
      <x:c r="U51" s="220" t="n">
        <x:v>8.903225806451612</x:v>
      </x:c>
      <x:c r="V51" s="218" t="n">
        <x:v>0.059907834101382486</x:v>
      </x:c>
      <x:c r="W51" s="217" t="n">
        <x:v>24</x:v>
      </x:c>
      <x:c r="X51" s="222" t="n">
        <x:v>3690</x:v>
      </x:c>
      <x:c r="Y51" s="217" t="n">
        <x:v>58</x:v>
      </x:c>
    </x:row>
    <x:row r="52">
      <x:c r="A52" s="216" t="n">
        <x:v>1382</x:v>
      </x:c>
      <x:c r="B52" s="216" t="str">
        <x:v>捷運泰山貴和站</x:v>
      </x:c>
      <x:c r="C52" s="216" t="str">
        <x:v>泰山區</x:v>
      </x:c>
      <x:c r="D52" s="216" t="n">
        <x:v>45</x:v>
      </x:c>
      <x:c r="E52" s="216" t="n">
        <x:v>120</x:v>
      </x:c>
      <x:c r="F52" s="219" t="n">
        <x:v>0.9994791666666667</x:v>
      </x:c>
      <x:c r="G52" s="216" t="n">
        <x:v>48</x:v>
      </x:c>
      <x:c r="H52" s="216" t="str">
        <x:f>IF(G52&lt;='排名定義'!$B$5,"是","")</x:f>
        <x:v>是</x:v>
      </x:c>
      <x:c r="I52" s="216" t="n">
        <x:v>47</x:v>
      </x:c>
      <x:c r="J52" s="216" t="str">
        <x:f>IF(I52&lt;='排名定義'!$B$5,"是","")</x:f>
        <x:v>是</x:v>
      </x:c>
      <x:c r="K52" s="216" t="n">
        <x:v>95</x:v>
      </x:c>
      <x:c r="L52" s="216" t="str">
        <x:f>IF(K52&lt;='排名定義'!$B$5,"是","")</x:f>
        <x:v>是</x:v>
      </x:c>
      <x:c r="M52" s="216" t="n">
        <x:f>COUNTIF(H52:L52,"是")</x:f>
        <x:v>3</x:v>
      </x:c>
      <x:c r="N52" s="216" t="str">
        <x:v>三份皆入選</x:v>
      </x:c>
      <x:c r="O52" s="221" t="n">
        <x:v>161.93333333333334</x:v>
      </x:c>
      <x:c r="P52" s="221" t="n">
        <x:v>153.19166666666666</x:v>
      </x:c>
      <x:c r="Q52" s="221" t="n">
        <x:v>8.741666666666667</x:v>
      </x:c>
      <x:c r="R52" s="221" t="n">
        <x:v>0.05398312062577192</x:v>
      </x:c>
      <x:c r="S52" s="221" t="n">
        <x:v>191.8709677419355</x:v>
      </x:c>
      <x:c r="T52" s="221" t="n">
        <x:v>184.25806451612902</x:v>
      </x:c>
      <x:c r="U52" s="221" t="n">
        <x:v>7.612903225806452</x:v>
      </x:c>
      <x:c r="V52" s="219" t="n">
        <x:v>0.03456221198156682</x:v>
      </x:c>
      <x:c r="W52" s="216" t="n">
        <x:v>24</x:v>
      </x:c>
      <x:c r="X52" s="223" t="n">
        <x:v>3030</x:v>
      </x:c>
      <x:c r="Y52" s="216" t="n">
        <x:v>45</x:v>
      </x:c>
    </x:row>
    <x:row r="53">
      <x:c r="A53" s="217" t="n">
        <x:v>1267</x:v>
      </x:c>
      <x:c r="B53" s="217" t="str">
        <x:v>捷運海山站(3號出口)</x:v>
      </x:c>
      <x:c r="C53" s="217" t="str">
        <x:v>土城區</x:v>
      </x:c>
      <x:c r="D53" s="217" t="n">
        <x:v>40</x:v>
      </x:c>
      <x:c r="E53" s="217" t="n">
        <x:v>120</x:v>
      </x:c>
      <x:c r="F53" s="218" t="n">
        <x:v>0.9994791666666667</x:v>
      </x:c>
      <x:c r="G53" s="217" t="n">
        <x:v>49</x:v>
      </x:c>
      <x:c r="H53" s="217" t="str">
        <x:f>IF(G53&lt;='排名定義'!$B$5,"是","")</x:f>
        <x:v>是</x:v>
      </x:c>
      <x:c r="I53" s="217" t="n">
        <x:v>48</x:v>
      </x:c>
      <x:c r="J53" s="217" t="str">
        <x:f>IF(I53&lt;='排名定義'!$B$5,"是","")</x:f>
        <x:v>是</x:v>
      </x:c>
      <x:c r="K53" s="217" t="n">
        <x:v>102</x:v>
      </x:c>
      <x:c r="L53" s="217" t="str">
        <x:f>IF(K53&lt;='排名定義'!$B$5,"是","")</x:f>
        <x:v>是</x:v>
      </x:c>
      <x:c r="M53" s="217" t="n">
        <x:f>COUNTIF(H53:L53,"是")</x:f>
        <x:v>3</x:v>
      </x:c>
      <x:c r="N53" s="217" t="str">
        <x:v>三份皆入選</x:v>
      </x:c>
      <x:c r="O53" s="220" t="n">
        <x:v>161.11666666666667</x:v>
      </x:c>
      <x:c r="P53" s="220" t="n">
        <x:v>152.5</x:v>
      </x:c>
      <x:c r="Q53" s="220" t="n">
        <x:v>8.616666666666667</x:v>
      </x:c>
      <x:c r="R53" s="220" t="n">
        <x:v>0.05348091445122582</x:v>
      </x:c>
      <x:c r="S53" s="220" t="n">
        <x:v>188.03225806451613</x:v>
      </x:c>
      <x:c r="T53" s="220" t="n">
        <x:v>179.51612903225808</x:v>
      </x:c>
      <x:c r="U53" s="220" t="n">
        <x:v>8.516129032258064</x:v>
      </x:c>
      <x:c r="V53" s="218" t="n">
        <x:v>0.07142857142857142</x:v>
      </x:c>
      <x:c r="W53" s="217" t="n">
        <x:v>41</x:v>
      </x:c>
      <x:c r="X53" s="222" t="n">
        <x:v>5400</x:v>
      </x:c>
      <x:c r="Y53" s="217" t="n">
        <x:v>40</x:v>
      </x:c>
    </x:row>
    <x:row r="54">
      <x:c r="A54" s="216" t="n">
        <x:v>1324</x:v>
      </x:c>
      <x:c r="B54" s="216" t="str">
        <x:v>中山1號科技總部</x:v>
      </x:c>
      <x:c r="C54" s="216" t="str">
        <x:v>土城區</x:v>
      </x:c>
      <x:c r="D54" s="216" t="n">
        <x:v>42</x:v>
      </x:c>
      <x:c r="E54" s="216" t="n">
        <x:v>120</x:v>
      </x:c>
      <x:c r="F54" s="219" t="n">
        <x:v>0.9994791666666667</x:v>
      </x:c>
      <x:c r="G54" s="216" t="n">
        <x:v>50</x:v>
      </x:c>
      <x:c r="H54" s="216" t="str">
        <x:f>IF(G54&lt;='排名定義'!$B$5,"是","")</x:f>
        <x:v>是</x:v>
      </x:c>
      <x:c r="I54" s="216" t="n">
        <x:v>51</x:v>
      </x:c>
      <x:c r="J54" s="216" t="str">
        <x:f>IF(I54&lt;='排名定義'!$B$5,"是","")</x:f>
        <x:v>是</x:v>
      </x:c>
      <x:c r="K54" s="216" t="n">
        <x:v>58</x:v>
      </x:c>
      <x:c r="L54" s="216" t="str">
        <x:f>IF(K54&lt;='排名定義'!$B$5,"是","")</x:f>
        <x:v>是</x:v>
      </x:c>
      <x:c r="M54" s="216" t="n">
        <x:f>COUNTIF(H54:L54,"是")</x:f>
        <x:v>3</x:v>
      </x:c>
      <x:c r="N54" s="216" t="str">
        <x:v>三份皆入選</x:v>
      </x:c>
      <x:c r="O54" s="221" t="n">
        <x:v>159.98333333333332</x:v>
      </x:c>
      <x:c r="P54" s="221" t="n">
        <x:v>149.86666666666667</x:v>
      </x:c>
      <x:c r="Q54" s="221" t="n">
        <x:v>10.116666666666667</x:v>
      </x:c>
      <x:c r="R54" s="221" t="n">
        <x:v>0.06323575372434628</x:v>
      </x:c>
      <x:c r="S54" s="221" t="n">
        <x:v>231.61290322580646</x:v>
      </x:c>
      <x:c r="T54" s="221" t="n">
        <x:v>222.83870967741936</x:v>
      </x:c>
      <x:c r="U54" s="221" t="n">
        <x:v>8.774193548387096</x:v>
      </x:c>
      <x:c r="V54" s="219" t="n">
        <x:v>0.029953917050691243</x:v>
      </x:c>
      <x:c r="W54" s="216" t="n">
        <x:v>6</x:v>
      </x:c>
      <x:c r="X54" s="223" t="n">
        <x:v>1200</x:v>
      </x:c>
      <x:c r="Y54" s="216" t="n">
        <x:v>42</x:v>
      </x:c>
    </x:row>
    <x:row r="55">
      <x:c r="A55" s="217" t="n">
        <x:v>1345</x:v>
      </x:c>
      <x:c r="B55" s="217" t="str">
        <x:v>國光里(國光路)</x:v>
      </x:c>
      <x:c r="C55" s="217" t="str">
        <x:v>板橋區</x:v>
      </x:c>
      <x:c r="D55" s="217" t="n">
        <x:v>43</x:v>
      </x:c>
      <x:c r="E55" s="217" t="n">
        <x:v>120</x:v>
      </x:c>
      <x:c r="F55" s="218" t="n">
        <x:v>0.9994791666666667</x:v>
      </x:c>
      <x:c r="G55" s="217" t="n">
        <x:v>51</x:v>
      </x:c>
      <x:c r="H55" s="217" t="str">
        <x:f>IF(G55&lt;='排名定義'!$B$5,"是","")</x:f>
        <x:v>是</x:v>
      </x:c>
      <x:c r="I55" s="217" t="n">
        <x:v>49</x:v>
      </x:c>
      <x:c r="J55" s="217" t="str">
        <x:f>IF(I55&lt;='排名定義'!$B$5,"是","")</x:f>
        <x:v>是</x:v>
      </x:c>
      <x:c r="K55" s="217" t="n">
        <x:v>87</x:v>
      </x:c>
      <x:c r="L55" s="217" t="str">
        <x:f>IF(K55&lt;='排名定義'!$B$5,"是","")</x:f>
        <x:v>是</x:v>
      </x:c>
      <x:c r="M55" s="217" t="n">
        <x:f>COUNTIF(H55:L55,"是")</x:f>
        <x:v>3</x:v>
      </x:c>
      <x:c r="N55" s="217" t="str">
        <x:v>三份皆入選</x:v>
      </x:c>
      <x:c r="O55" s="220" t="n">
        <x:v>159.34166666666667</x:v>
      </x:c>
      <x:c r="P55" s="220" t="n">
        <x:v>150.41666666666666</x:v>
      </x:c>
      <x:c r="Q55" s="220" t="n">
        <x:v>8.925</x:v>
      </x:c>
      <x:c r="R55" s="220" t="n">
        <x:v>0.056011714868469224</x:v>
      </x:c>
      <x:c r="S55" s="220" t="n">
        <x:v>179.06451612903226</x:v>
      </x:c>
      <x:c r="T55" s="220" t="n">
        <x:v>170.67741935483872</x:v>
      </x:c>
      <x:c r="U55" s="220" t="n">
        <x:v>8.387096774193548</x:v>
      </x:c>
      <x:c r="V55" s="218" t="n">
        <x:v>0.09216589861751152</x:v>
      </x:c>
      <x:c r="W55" s="217" t="n">
        <x:v>17</x:v>
      </x:c>
      <x:c r="X55" s="222" t="n">
        <x:v>2850</x:v>
      </x:c>
      <x:c r="Y55" s="217" t="n">
        <x:v>43</x:v>
      </x:c>
    </x:row>
    <x:row r="56">
      <x:c r="A56" s="216" t="n">
        <x:v>19</x:v>
      </x:c>
      <x:c r="B56" s="216" t="str">
        <x:v>國立師範大學林口校區</x:v>
      </x:c>
      <x:c r="C56" s="216" t="str">
        <x:v>林口區</x:v>
      </x:c>
      <x:c r="D56" s="216" t="n">
        <x:v>59</x:v>
      </x:c>
      <x:c r="E56" s="216" t="n">
        <x:v>120</x:v>
      </x:c>
      <x:c r="F56" s="219" t="n">
        <x:v>0.9994791666666667</x:v>
      </x:c>
      <x:c r="G56" s="216" t="n">
        <x:v>52</x:v>
      </x:c>
      <x:c r="H56" s="216" t="str">
        <x:f>IF(G56&lt;='排名定義'!$B$5,"是","")</x:f>
        <x:v>是</x:v>
      </x:c>
      <x:c r="I56" s="216" t="n">
        <x:v>52</x:v>
      </x:c>
      <x:c r="J56" s="216" t="str">
        <x:f>IF(I56&lt;='排名定義'!$B$5,"是","")</x:f>
        <x:v>是</x:v>
      </x:c>
      <x:c r="K56" s="216" t="n">
        <x:v>68</x:v>
      </x:c>
      <x:c r="L56" s="216" t="str">
        <x:f>IF(K56&lt;='排名定義'!$B$5,"是","")</x:f>
        <x:v>是</x:v>
      </x:c>
      <x:c r="M56" s="216" t="n">
        <x:f>COUNTIF(H56:L56,"是")</x:f>
        <x:v>3</x:v>
      </x:c>
      <x:c r="N56" s="216" t="str">
        <x:v>三份皆入選</x:v>
      </x:c>
      <x:c r="O56" s="221" t="n">
        <x:v>159.325</x:v>
      </x:c>
      <x:c r="P56" s="221" t="n">
        <x:v>149.81666666666666</x:v>
      </x:c>
      <x:c r="Q56" s="221" t="n">
        <x:v>9.508333333333333</x:v>
      </x:c>
      <x:c r="R56" s="221" t="n">
        <x:v>0.059678853496521786</x:v>
      </x:c>
      <x:c r="S56" s="221" t="n">
        <x:v>189.5483870967742</x:v>
      </x:c>
      <x:c r="T56" s="221" t="n">
        <x:v>180.5483870967742</x:v>
      </x:c>
      <x:c r="U56" s="221" t="n">
        <x:v>9</x:v>
      </x:c>
      <x:c r="V56" s="219" t="n">
        <x:v>0.02534562211981567</x:v>
      </x:c>
      <x:c r="W56" s="216" t="n">
        <x:v>3</x:v>
      </x:c>
      <x:c r="X56" s="223" t="n">
        <x:v>930</x:v>
      </x:c>
      <x:c r="Y56" s="216" t="n">
        <x:v>59</x:v>
      </x:c>
    </x:row>
    <x:row r="57">
      <x:c r="A57" s="217" t="n">
        <x:v>1483</x:v>
      </x:c>
      <x:c r="B57" s="217" t="str">
        <x:v>大觀國中</x:v>
      </x:c>
      <x:c r="C57" s="217" t="str">
        <x:v>板橋區</x:v>
      </x:c>
      <x:c r="D57" s="217" t="n">
        <x:v>77</x:v>
      </x:c>
      <x:c r="E57" s="217" t="n">
        <x:v>120</x:v>
      </x:c>
      <x:c r="F57" s="218" t="n">
        <x:v>0.9994791666666667</x:v>
      </x:c>
      <x:c r="G57" s="217" t="n">
        <x:v>53</x:v>
      </x:c>
      <x:c r="H57" s="217" t="str">
        <x:f>IF(G57&lt;='排名定義'!$B$5,"是","")</x:f>
        <x:v>是</x:v>
      </x:c>
      <x:c r="I57" s="217" t="n">
        <x:v>53</x:v>
      </x:c>
      <x:c r="J57" s="217" t="str">
        <x:f>IF(I57&lt;='排名定義'!$B$5,"是","")</x:f>
        <x:v>是</x:v>
      </x:c>
      <x:c r="K57" s="217" t="n">
        <x:v>55</x:v>
      </x:c>
      <x:c r="L57" s="217" t="str">
        <x:f>IF(K57&lt;='排名定義'!$B$5,"是","")</x:f>
        <x:v>是</x:v>
      </x:c>
      <x:c r="M57" s="217" t="n">
        <x:f>COUNTIF(H57:L57,"是")</x:f>
        <x:v>3</x:v>
      </x:c>
      <x:c r="N57" s="217" t="str">
        <x:v>三份皆入選</x:v>
      </x:c>
      <x:c r="O57" s="220" t="n">
        <x:v>158.475</x:v>
      </x:c>
      <x:c r="P57" s="220" t="n">
        <x:v>148.26666666666668</x:v>
      </x:c>
      <x:c r="Q57" s="220" t="n">
        <x:v>10.208333333333334</x:v>
      </x:c>
      <x:c r="R57" s="220" t="n">
        <x:v>0.0644160487984435</x:v>
      </x:c>
      <x:c r="S57" s="220" t="n">
        <x:v>205.67741935483872</x:v>
      </x:c>
      <x:c r="T57" s="220" t="n">
        <x:v>195.90322580645162</x:v>
      </x:c>
      <x:c r="U57" s="220" t="n">
        <x:v>9.774193548387096</x:v>
      </x:c>
      <x:c r="V57" s="218" t="n">
        <x:v>0.06221198156682028</x:v>
      </x:c>
      <x:c r="W57" s="217" t="n">
        <x:v>9</x:v>
      </x:c>
      <x:c r="X57" s="222" t="n">
        <x:v>1140</x:v>
      </x:c>
      <x:c r="Y57" s="217" t="n">
        <x:v>99</x:v>
      </x:c>
    </x:row>
    <x:row r="58">
      <x:c r="A58" s="216" t="n">
        <x:v>1515</x:v>
      </x:c>
      <x:c r="B58" s="216" t="str">
        <x:v>新月橋</x:v>
      </x:c>
      <x:c r="C58" s="216" t="str">
        <x:v>新莊區</x:v>
      </x:c>
      <x:c r="D58" s="216" t="n">
        <x:v>60</x:v>
      </x:c>
      <x:c r="E58" s="216" t="n">
        <x:v>120</x:v>
      </x:c>
      <x:c r="F58" s="219" t="n">
        <x:v>0.9994791666666667</x:v>
      </x:c>
      <x:c r="G58" s="216" t="n">
        <x:v>54</x:v>
      </x:c>
      <x:c r="H58" s="216" t="str">
        <x:f>IF(G58&lt;='排名定義'!$B$5,"是","")</x:f>
        <x:v>是</x:v>
      </x:c>
      <x:c r="I58" s="216" t="n">
        <x:v>54</x:v>
      </x:c>
      <x:c r="J58" s="216" t="str">
        <x:f>IF(I58&lt;='排名定義'!$B$5,"是","")</x:f>
        <x:v>是</x:v>
      </x:c>
      <x:c r="K58" s="216" t="n">
        <x:v>54</x:v>
      </x:c>
      <x:c r="L58" s="216" t="str">
        <x:f>IF(K58&lt;='排名定義'!$B$5,"是","")</x:f>
        <x:v>是</x:v>
      </x:c>
      <x:c r="M58" s="216" t="n">
        <x:f>COUNTIF(H58:L58,"是")</x:f>
        <x:v>3</x:v>
      </x:c>
      <x:c r="N58" s="216" t="str">
        <x:v>三份皆入選</x:v>
      </x:c>
      <x:c r="O58" s="221" t="n">
        <x:v>156.18333333333334</x:v>
      </x:c>
      <x:c r="P58" s="221" t="n">
        <x:v>145.86666666666667</x:v>
      </x:c>
      <x:c r="Q58" s="221" t="n">
        <x:v>10.316666666666666</x:v>
      </x:c>
      <x:c r="R58" s="221" t="n">
        <x:v>0.06605485006936293</x:v>
      </x:c>
      <x:c r="S58" s="221" t="n">
        <x:v>190.6451612903226</x:v>
      </x:c>
      <x:c r="T58" s="221" t="n">
        <x:v>183.29032258064515</x:v>
      </x:c>
      <x:c r="U58" s="221" t="n">
        <x:v>7.354838709677419</x:v>
      </x:c>
      <x:c r="V58" s="219" t="n">
        <x:v>0.06912442396313365</x:v>
      </x:c>
      <x:c r="W58" s="216" t="n">
        <x:v>10</x:v>
      </x:c>
      <x:c r="X58" s="223" t="n">
        <x:v>1500</x:v>
      </x:c>
      <x:c r="Y58" s="216" t="n">
        <x:v>60</x:v>
      </x:c>
    </x:row>
    <x:row r="59">
      <x:c r="A59" s="217" t="n">
        <x:v>966</x:v>
      </x:c>
      <x:c r="B59" s="217" t="str">
        <x:v>沛陂社區公園</x:v>
      </x:c>
      <x:c r="C59" s="217" t="str">
        <x:v>土城區</x:v>
      </x:c>
      <x:c r="D59" s="217" t="n">
        <x:v>28</x:v>
      </x:c>
      <x:c r="E59" s="217" t="n">
        <x:v>120</x:v>
      </x:c>
      <x:c r="F59" s="218" t="n">
        <x:v>0.9994791666666667</x:v>
      </x:c>
      <x:c r="G59" s="217" t="n">
        <x:v>55</x:v>
      </x:c>
      <x:c r="H59" s="217" t="str">
        <x:f>IF(G59&lt;='排名定義'!$B$5,"是","")</x:f>
        <x:v>是</x:v>
      </x:c>
      <x:c r="I59" s="217" t="n">
        <x:v>56</x:v>
      </x:c>
      <x:c r="J59" s="217" t="str">
        <x:f>IF(I59&lt;='排名定義'!$B$5,"是","")</x:f>
        <x:v>是</x:v>
      </x:c>
      <x:c r="K59" s="217" t="n">
        <x:v>63</x:v>
      </x:c>
      <x:c r="L59" s="217" t="str">
        <x:f>IF(K59&lt;='排名定義'!$B$5,"是","")</x:f>
        <x:v>是</x:v>
      </x:c>
      <x:c r="M59" s="217" t="n">
        <x:f>COUNTIF(H59:L59,"是")</x:f>
        <x:v>3</x:v>
      </x:c>
      <x:c r="N59" s="217" t="str">
        <x:v>三份皆入選</x:v>
      </x:c>
      <x:c r="O59" s="220" t="n">
        <x:v>153.99166666666667</x:v>
      </x:c>
      <x:c r="P59" s="220" t="n">
        <x:v>144.175</x:v>
      </x:c>
      <x:c r="Q59" s="220" t="n">
        <x:v>9.816666666666666</x:v>
      </x:c>
      <x:c r="R59" s="220" t="n">
        <x:v>0.06374803831376157</x:v>
      </x:c>
      <x:c r="S59" s="220" t="n">
        <x:v>214.32258064516128</x:v>
      </x:c>
      <x:c r="T59" s="220" t="n">
        <x:v>205.70967741935485</x:v>
      </x:c>
      <x:c r="U59" s="220" t="n">
        <x:v>8.612903225806452</x:v>
      </x:c>
      <x:c r="V59" s="218" t="n">
        <x:v>0.06451612903225806</x:v>
      </x:c>
      <x:c r="W59" s="217" t="n">
        <x:v>14</x:v>
      </x:c>
      <x:c r="X59" s="222" t="n">
        <x:v>1890</x:v>
      </x:c>
      <x:c r="Y59" s="217" t="n">
        <x:v>28</x:v>
      </x:c>
    </x:row>
    <x:row r="60">
      <x:c r="A60" s="216" t="n">
        <x:v>16</x:v>
      </x:c>
      <x:c r="B60" s="216" t="str">
        <x:v>健華新城社區</x:v>
      </x:c>
      <x:c r="C60" s="216" t="str">
        <x:v>板橋區</x:v>
      </x:c>
      <x:c r="D60" s="216" t="n">
        <x:v>72</x:v>
      </x:c>
      <x:c r="E60" s="216" t="n">
        <x:v>120</x:v>
      </x:c>
      <x:c r="F60" s="219" t="n">
        <x:v>0.9994791666666667</x:v>
      </x:c>
      <x:c r="G60" s="216" t="n">
        <x:v>56</x:v>
      </x:c>
      <x:c r="H60" s="216" t="str">
        <x:f>IF(G60&lt;='排名定義'!$B$5,"是","")</x:f>
        <x:v>是</x:v>
      </x:c>
      <x:c r="I60" s="216" t="n">
        <x:v>59</x:v>
      </x:c>
      <x:c r="J60" s="216" t="str">
        <x:f>IF(I60&lt;='排名定義'!$B$5,"是","")</x:f>
        <x:v>是</x:v>
      </x:c>
      <x:c r="K60" s="216" t="n">
        <x:v>47</x:v>
      </x:c>
      <x:c r="L60" s="216" t="str">
        <x:f>IF(K60&lt;='排名定義'!$B$5,"是","")</x:f>
        <x:v>是</x:v>
      </x:c>
      <x:c r="M60" s="216" t="n">
        <x:f>COUNTIF(H60:L60,"是")</x:f>
        <x:v>3</x:v>
      </x:c>
      <x:c r="N60" s="216" t="str">
        <x:v>三份皆入選</x:v>
      </x:c>
      <x:c r="O60" s="221" t="n">
        <x:v>153.175</x:v>
      </x:c>
      <x:c r="P60" s="221" t="n">
        <x:v>142.4</x:v>
      </x:c>
      <x:c r="Q60" s="221" t="n">
        <x:v>10.775</x:v>
      </x:c>
      <x:c r="R60" s="221" t="n">
        <x:v>0.07034437734617267</x:v>
      </x:c>
      <x:c r="S60" s="221" t="n">
        <x:v>161.80645161290323</x:v>
      </x:c>
      <x:c r="T60" s="221" t="n">
        <x:v>152.67741935483872</x:v>
      </x:c>
      <x:c r="U60" s="221" t="n">
        <x:v>9.129032258064516</x:v>
      </x:c>
      <x:c r="V60" s="219" t="n">
        <x:v>0.1175115207373272</x:v>
      </x:c>
      <x:c r="W60" s="216" t="n">
        <x:v>27</x:v>
      </x:c>
      <x:c r="X60" s="223" t="n">
        <x:v>4350</x:v>
      </x:c>
      <x:c r="Y60" s="216" t="n">
        <x:v>72</x:v>
      </x:c>
    </x:row>
    <x:row r="61">
      <x:c r="A61" s="217" t="n">
        <x:v>1385</x:v>
      </x:c>
      <x:c r="B61" s="217" t="str">
        <x:v>永盛公園</x:v>
      </x:c>
      <x:c r="C61" s="217" t="str">
        <x:v>三重區</x:v>
      </x:c>
      <x:c r="D61" s="217" t="n">
        <x:v>45</x:v>
      </x:c>
      <x:c r="E61" s="217" t="n">
        <x:v>120</x:v>
      </x:c>
      <x:c r="F61" s="218" t="n">
        <x:v>0.9994791666666667</x:v>
      </x:c>
      <x:c r="G61" s="217" t="n">
        <x:v>57</x:v>
      </x:c>
      <x:c r="H61" s="217" t="str">
        <x:f>IF(G61&lt;='排名定義'!$B$5,"是","")</x:f>
        <x:v>是</x:v>
      </x:c>
      <x:c r="I61" s="217" t="n">
        <x:v>55</x:v>
      </x:c>
      <x:c r="J61" s="217" t="str">
        <x:f>IF(I61&lt;='排名定義'!$B$5,"是","")</x:f>
        <x:v>是</x:v>
      </x:c>
      <x:c r="K61" s="217" t="n">
        <x:v>93</x:v>
      </x:c>
      <x:c r="L61" s="217" t="str">
        <x:f>IF(K61&lt;='排名定義'!$B$5,"是","")</x:f>
        <x:v>是</x:v>
      </x:c>
      <x:c r="M61" s="217" t="n">
        <x:f>COUNTIF(H61:L61,"是")</x:f>
        <x:v>3</x:v>
      </x:c>
      <x:c r="N61" s="217" t="str">
        <x:v>三份皆入選</x:v>
      </x:c>
      <x:c r="O61" s="220" t="n">
        <x:v>153.15833333333333</x:v>
      </x:c>
      <x:c r="P61" s="220" t="n">
        <x:v>144.39166666666668</x:v>
      </x:c>
      <x:c r="Q61" s="220" t="n">
        <x:v>8.766666666666667</x:v>
      </x:c>
      <x:c r="R61" s="220" t="n">
        <x:v>0.05723924043745579</x:v>
      </x:c>
      <x:c r="S61" s="220" t="n">
        <x:v>165.67741935483872</x:v>
      </x:c>
      <x:c r="T61" s="220" t="n">
        <x:v>158.83870967741936</x:v>
      </x:c>
      <x:c r="U61" s="220" t="n">
        <x:v>6.838709677419355</x:v>
      </x:c>
      <x:c r="V61" s="218" t="n">
        <x:v>0.02304147465437788</x:v>
      </x:c>
      <x:c r="W61" s="217" t="n">
        <x:v>17</x:v>
      </x:c>
      <x:c r="X61" s="222" t="n">
        <x:v>1980</x:v>
      </x:c>
      <x:c r="Y61" s="217" t="n">
        <x:v>45</x:v>
      </x:c>
    </x:row>
    <x:row r="62">
      <x:c r="A62" s="216" t="n">
        <x:v>7</x:v>
      </x:c>
      <x:c r="B62" s="216" t="str">
        <x:v>中港國小</x:v>
      </x:c>
      <x:c r="C62" s="216" t="str">
        <x:v>新莊區</x:v>
      </x:c>
      <x:c r="D62" s="216" t="n">
        <x:v>58</x:v>
      </x:c>
      <x:c r="E62" s="216" t="n">
        <x:v>120</x:v>
      </x:c>
      <x:c r="F62" s="219" t="n">
        <x:v>0.9994791666666667</x:v>
      </x:c>
      <x:c r="G62" s="216" t="n">
        <x:v>58</x:v>
      </x:c>
      <x:c r="H62" s="216" t="str">
        <x:f>IF(G62&lt;='排名定義'!$B$5,"是","")</x:f>
        <x:v>是</x:v>
      </x:c>
      <x:c r="I62" s="216" t="n">
        <x:v>57</x:v>
      </x:c>
      <x:c r="J62" s="216" t="str">
        <x:f>IF(I62&lt;='排名定義'!$B$5,"是","")</x:f>
        <x:v>是</x:v>
      </x:c>
      <x:c r="K62" s="216" t="n">
        <x:v>81</x:v>
      </x:c>
      <x:c r="L62" s="216" t="str">
        <x:f>IF(K62&lt;='排名定義'!$B$5,"是","")</x:f>
        <x:v>是</x:v>
      </x:c>
      <x:c r="M62" s="216" t="n">
        <x:f>COUNTIF(H62:L62,"是")</x:f>
        <x:v>3</x:v>
      </x:c>
      <x:c r="N62" s="216" t="str">
        <x:v>三份皆入選</x:v>
      </x:c>
      <x:c r="O62" s="221" t="n">
        <x:v>153.10833333333332</x:v>
      </x:c>
      <x:c r="P62" s="221" t="n">
        <x:v>144.1</x:v>
      </x:c>
      <x:c r="Q62" s="221" t="n">
        <x:v>9.008333333333333</x:v>
      </x:c>
      <x:c r="R62" s="221" t="n">
        <x:v>0.05883633592772002</x:v>
      </x:c>
      <x:c r="S62" s="221" t="n">
        <x:v>179.58064516129033</x:v>
      </x:c>
      <x:c r="T62" s="221" t="n">
        <x:v>171.29032258064515</x:v>
      </x:c>
      <x:c r="U62" s="221" t="n">
        <x:v>8.290322580645162</x:v>
      </x:c>
      <x:c r="V62" s="219" t="n">
        <x:v>0.05069124423963134</x:v>
      </x:c>
      <x:c r="W62" s="216" t="n">
        <x:v>9</x:v>
      </x:c>
      <x:c r="X62" s="223" t="n">
        <x:v>1020</x:v>
      </x:c>
      <x:c r="Y62" s="216" t="n">
        <x:v>58</x:v>
      </x:c>
    </x:row>
    <x:row r="63">
      <x:c r="A63" s="217" t="n">
        <x:v>38</x:v>
      </x:c>
      <x:c r="B63" s="217" t="str">
        <x:v>捷運新北產業園區站</x:v>
      </x:c>
      <x:c r="C63" s="217" t="str">
        <x:v>新莊區</x:v>
      </x:c>
      <x:c r="D63" s="217" t="n">
        <x:v>70</x:v>
      </x:c>
      <x:c r="E63" s="217" t="n">
        <x:v>120</x:v>
      </x:c>
      <x:c r="F63" s="218" t="n">
        <x:v>0.9994791666666667</x:v>
      </x:c>
      <x:c r="G63" s="217" t="n">
        <x:v>59</x:v>
      </x:c>
      <x:c r="H63" s="217" t="str">
        <x:f>IF(G63&lt;='排名定義'!$B$5,"是","")</x:f>
        <x:v>是</x:v>
      </x:c>
      <x:c r="I63" s="217" t="n">
        <x:v>60</x:v>
      </x:c>
      <x:c r="J63" s="217" t="str">
        <x:f>IF(I63&lt;='排名定義'!$B$5,"是","")</x:f>
        <x:v>是</x:v>
      </x:c>
      <x:c r="K63" s="217" t="n">
        <x:v>45</x:v>
      </x:c>
      <x:c r="L63" s="217" t="str">
        <x:f>IF(K63&lt;='排名定義'!$B$5,"是","")</x:f>
        <x:v>是</x:v>
      </x:c>
      <x:c r="M63" s="217" t="n">
        <x:f>COUNTIF(H63:L63,"是")</x:f>
        <x:v>3</x:v>
      </x:c>
      <x:c r="N63" s="217" t="str">
        <x:v>三份皆入選</x:v>
      </x:c>
      <x:c r="O63" s="220" t="n">
        <x:v>153.06666666666666</x:v>
      </x:c>
      <x:c r="P63" s="220" t="n">
        <x:v>142.04166666666666</x:v>
      </x:c>
      <x:c r="Q63" s="220" t="n">
        <x:v>11.025</x:v>
      </x:c>
      <x:c r="R63" s="220" t="n">
        <x:v>0.07202743902439024</x:v>
      </x:c>
      <x:c r="S63" s="220" t="n">
        <x:v>166.41935483870967</x:v>
      </x:c>
      <x:c r="T63" s="220" t="n">
        <x:v>157.67741935483872</x:v>
      </x:c>
      <x:c r="U63" s="220" t="n">
        <x:v>8.741935483870968</x:v>
      </x:c>
      <x:c r="V63" s="218" t="n">
        <x:v>0.12442396313364056</x:v>
      </x:c>
      <x:c r="W63" s="217" t="n">
        <x:v>51</x:v>
      </x:c>
      <x:c r="X63" s="222" t="n">
        <x:v>7800</x:v>
      </x:c>
      <x:c r="Y63" s="217" t="n">
        <x:v>70</x:v>
      </x:c>
    </x:row>
    <x:row r="64">
      <x:c r="A64" s="216" t="n">
        <x:v>1499</x:v>
      </x:c>
      <x:c r="B64" s="216" t="str">
        <x:v>汐止火車站</x:v>
      </x:c>
      <x:c r="C64" s="216" t="str">
        <x:v>汐止區</x:v>
      </x:c>
      <x:c r="D64" s="216" t="n">
        <x:v>56</x:v>
      </x:c>
      <x:c r="E64" s="216" t="n">
        <x:v>120</x:v>
      </x:c>
      <x:c r="F64" s="219" t="n">
        <x:v>0.9994791666666667</x:v>
      </x:c>
      <x:c r="G64" s="216" t="n">
        <x:v>60</x:v>
      </x:c>
      <x:c r="H64" s="216" t="str">
        <x:f>IF(G64&lt;='排名定義'!$B$5,"是","")</x:f>
        <x:v>是</x:v>
      </x:c>
      <x:c r="I64" s="216" t="n">
        <x:v>58</x:v>
      </x:c>
      <x:c r="J64" s="216" t="str">
        <x:f>IF(I64&lt;='排名定義'!$B$5,"是","")</x:f>
        <x:v>是</x:v>
      </x:c>
      <x:c r="K64" s="216" t="n">
        <x:v>73</x:v>
      </x:c>
      <x:c r="L64" s="216" t="str">
        <x:f>IF(K64&lt;='排名定義'!$B$5,"是","")</x:f>
        <x:v>是</x:v>
      </x:c>
      <x:c r="M64" s="216" t="n">
        <x:f>COUNTIF(H64:L64,"是")</x:f>
        <x:v>3</x:v>
      </x:c>
      <x:c r="N64" s="216" t="str">
        <x:v>三份皆入選</x:v>
      </x:c>
      <x:c r="O64" s="221" t="n">
        <x:v>152.96666666666667</x:v>
      </x:c>
      <x:c r="P64" s="221" t="n">
        <x:v>143.60833333333332</x:v>
      </x:c>
      <x:c r="Q64" s="221" t="n">
        <x:v>9.358333333333333</x:v>
      </x:c>
      <x:c r="R64" s="221" t="n">
        <x:v>0.061178906079755936</x:v>
      </x:c>
      <x:c r="S64" s="221" t="n">
        <x:v>220.1290322580645</x:v>
      </x:c>
      <x:c r="T64" s="221" t="n">
        <x:v>209.48387096774192</x:v>
      </x:c>
      <x:c r="U64" s="221" t="n">
        <x:v>10.64516129032258</x:v>
      </x:c>
      <x:c r="V64" s="219" t="n">
        <x:v>0.01152073732718894</x:v>
      </x:c>
      <x:c r="W64" s="216" t="n">
        <x:v>20</x:v>
      </x:c>
      <x:c r="X64" s="223" t="n">
        <x:v>2220</x:v>
      </x:c>
      <x:c r="Y64" s="216" t="n">
        <x:v>56</x:v>
      </x:c>
    </x:row>
    <x:row r="65">
      <x:c r="A65" s="217" t="n">
        <x:v>98</x:v>
      </x:c>
      <x:c r="B65" s="217" t="str">
        <x:v>陽光橋</x:v>
      </x:c>
      <x:c r="C65" s="217" t="str">
        <x:v>新店區</x:v>
      </x:c>
      <x:c r="D65" s="217" t="n">
        <x:v>76</x:v>
      </x:c>
      <x:c r="E65" s="217" t="n">
        <x:v>120</x:v>
      </x:c>
      <x:c r="F65" s="218" t="n">
        <x:v>0.9994791666666667</x:v>
      </x:c>
      <x:c r="G65" s="217" t="n">
        <x:v>61</x:v>
      </x:c>
      <x:c r="H65" s="217" t="str">
        <x:f>IF(G65&lt;='排名定義'!$B$5,"是","")</x:f>
        <x:v>是</x:v>
      </x:c>
      <x:c r="I65" s="217" t="n">
        <x:v>61</x:v>
      </x:c>
      <x:c r="J65" s="217" t="str">
        <x:f>IF(I65&lt;='排名定義'!$B$5,"是","")</x:f>
        <x:v>是</x:v>
      </x:c>
      <x:c r="K65" s="217" t="n">
        <x:v>64</x:v>
      </x:c>
      <x:c r="L65" s="217" t="str">
        <x:f>IF(K65&lt;='排名定義'!$B$5,"是","")</x:f>
        <x:v>是</x:v>
      </x:c>
      <x:c r="M65" s="217" t="n">
        <x:f>COUNTIF(H65:L65,"是")</x:f>
        <x:v>3</x:v>
      </x:c>
      <x:c r="N65" s="217" t="str">
        <x:v>三份皆入選</x:v>
      </x:c>
      <x:c r="O65" s="220" t="n">
        <x:v>151.80833333333334</x:v>
      </x:c>
      <x:c r="P65" s="220" t="n">
        <x:v>142.04166666666666</x:v>
      </x:c>
      <x:c r="Q65" s="220" t="n">
        <x:v>9.766666666666667</x:v>
      </x:c>
      <x:c r="R65" s="220" t="n">
        <x:v>0.06433551078662787</x:v>
      </x:c>
      <x:c r="S65" s="220" t="n">
        <x:v>199.61290322580646</x:v>
      </x:c>
      <x:c r="T65" s="220" t="n">
        <x:v>190.83870967741936</x:v>
      </x:c>
      <x:c r="U65" s="220" t="n">
        <x:v>8.774193548387096</x:v>
      </x:c>
      <x:c r="V65" s="218" t="n">
        <x:v>0.016129032258064516</x:v>
      </x:c>
      <x:c r="W65" s="217" t="n">
        <x:v>4</x:v>
      </x:c>
      <x:c r="X65" s="222" t="n">
        <x:v>510</x:v>
      </x:c>
      <x:c r="Y65" s="217" t="n">
        <x:v>76</x:v>
      </x:c>
    </x:row>
    <x:row r="66">
      <x:c r="A66" s="216" t="n">
        <x:v>81</x:v>
      </x:c>
      <x:c r="B66" s="216" t="str">
        <x:v>汐科火車站(北)</x:v>
      </x:c>
      <x:c r="C66" s="216" t="str">
        <x:v>汐止區</x:v>
      </x:c>
      <x:c r="D66" s="216" t="n">
        <x:v>76</x:v>
      </x:c>
      <x:c r="E66" s="216" t="n">
        <x:v>120</x:v>
      </x:c>
      <x:c r="F66" s="219" t="n">
        <x:v>0.9994791666666667</x:v>
      </x:c>
      <x:c r="G66" s="216" t="n">
        <x:v>62</x:v>
      </x:c>
      <x:c r="H66" s="216" t="str">
        <x:f>IF(G66&lt;='排名定義'!$B$5,"是","")</x:f>
        <x:v>是</x:v>
      </x:c>
      <x:c r="I66" s="216" t="n">
        <x:v>63</x:v>
      </x:c>
      <x:c r="J66" s="216" t="str">
        <x:f>IF(I66&lt;='排名定義'!$B$5,"是","")</x:f>
        <x:v>是</x:v>
      </x:c>
      <x:c r="K66" s="216" t="n">
        <x:v>43</x:v>
      </x:c>
      <x:c r="L66" s="216" t="str">
        <x:f>IF(K66&lt;='排名定義'!$B$5,"是","")</x:f>
        <x:v>是</x:v>
      </x:c>
      <x:c r="M66" s="216" t="n">
        <x:f>COUNTIF(H66:L66,"是")</x:f>
        <x:v>3</x:v>
      </x:c>
      <x:c r="N66" s="216" t="str">
        <x:v>三份皆入選</x:v>
      </x:c>
      <x:c r="O66" s="221" t="n">
        <x:v>150.61666666666667</x:v>
      </x:c>
      <x:c r="P66" s="221" t="n">
        <x:v>139.375</x:v>
      </x:c>
      <x:c r="Q66" s="221" t="n">
        <x:v>11.241666666666667</x:v>
      </x:c>
      <x:c r="R66" s="221" t="n">
        <x:v>0.07463760097377448</x:v>
      </x:c>
      <x:c r="S66" s="221" t="n">
        <x:v>197.41935483870967</x:v>
      </x:c>
      <x:c r="T66" s="221" t="n">
        <x:v>187.38709677419354</x:v>
      </x:c>
      <x:c r="U66" s="221" t="n">
        <x:v>10.03225806451613</x:v>
      </x:c>
      <x:c r="V66" s="219" t="n">
        <x:v>0.004608294930875576</x:v>
      </x:c>
      <x:c r="W66" s="216" t="n">
        <x:v>18</x:v>
      </x:c>
      <x:c r="X66" s="223" t="n">
        <x:v>2010</x:v>
      </x:c>
      <x:c r="Y66" s="216" t="n">
        <x:v>76</x:v>
      </x:c>
    </x:row>
    <x:row r="67">
      <x:c r="A67" s="217" t="n">
        <x:v>18</x:v>
      </x:c>
      <x:c r="B67" s="217" t="str">
        <x:v>四維公園地下停車場</x:v>
      </x:c>
      <x:c r="C67" s="217" t="str">
        <x:v>板橋區</x:v>
      </x:c>
      <x:c r="D67" s="217" t="n">
        <x:v>93</x:v>
      </x:c>
      <x:c r="E67" s="217" t="n">
        <x:v>120</x:v>
      </x:c>
      <x:c r="F67" s="218" t="n">
        <x:v>0.9994791666666667</x:v>
      </x:c>
      <x:c r="G67" s="217" t="n">
        <x:v>63</x:v>
      </x:c>
      <x:c r="H67" s="217" t="str">
        <x:f>IF(G67&lt;='排名定義'!$B$5,"是","")</x:f>
        <x:v>是</x:v>
      </x:c>
      <x:c r="I67" s="217" t="n">
        <x:v>65</x:v>
      </x:c>
      <x:c r="J67" s="217" t="str">
        <x:f>IF(I67&lt;='排名定義'!$B$5,"是","")</x:f>
        <x:v>是</x:v>
      </x:c>
      <x:c r="K67" s="217" t="n">
        <x:v>38</x:v>
      </x:c>
      <x:c r="L67" s="217" t="str">
        <x:f>IF(K67&lt;='排名定義'!$B$5,"是","")</x:f>
        <x:v>是</x:v>
      </x:c>
      <x:c r="M67" s="217" t="n">
        <x:f>COUNTIF(H67:L67,"是")</x:f>
        <x:v>3</x:v>
      </x:c>
      <x:c r="N67" s="217" t="str">
        <x:v>三份皆入選</x:v>
      </x:c>
      <x:c r="O67" s="220" t="n">
        <x:v>150.40833333333333</x:v>
      </x:c>
      <x:c r="P67" s="220" t="n">
        <x:v>138.3</x:v>
      </x:c>
      <x:c r="Q67" s="220" t="n">
        <x:v>12.108333333333333</x:v>
      </x:c>
      <x:c r="R67" s="220" t="n">
        <x:v>0.08050307496260181</x:v>
      </x:c>
      <x:c r="S67" s="220" t="n">
        <x:v>168.6451612903226</x:v>
      </x:c>
      <x:c r="T67" s="220" t="n">
        <x:v>159.93548387096774</x:v>
      </x:c>
      <x:c r="U67" s="220" t="n">
        <x:v>8.709677419354838</x:v>
      </x:c>
      <x:c r="V67" s="218" t="n">
        <x:v>0.11290322580645161</x:v>
      </x:c>
      <x:c r="W67" s="217" t="n">
        <x:v>19</x:v>
      </x:c>
      <x:c r="X67" s="222" t="n">
        <x:v>3090</x:v>
      </x:c>
      <x:c r="Y67" s="217" t="n">
        <x:v>93</x:v>
      </x:c>
    </x:row>
    <x:row r="68">
      <x:c r="A68" s="216" t="n">
        <x:v>29</x:v>
      </x:c>
      <x:c r="B68" s="216" t="str">
        <x:v>捷運中原站</x:v>
      </x:c>
      <x:c r="C68" s="216" t="str">
        <x:v>中和區</x:v>
      </x:c>
      <x:c r="D68" s="216" t="n">
        <x:v>99</x:v>
      </x:c>
      <x:c r="E68" s="216" t="n">
        <x:v>120</x:v>
      </x:c>
      <x:c r="F68" s="219" t="n">
        <x:v>0.9994791666666667</x:v>
      </x:c>
      <x:c r="G68" s="216" t="n">
        <x:v>64</x:v>
      </x:c>
      <x:c r="H68" s="216" t="str">
        <x:f>IF(G68&lt;='排名定義'!$B$5,"是","")</x:f>
        <x:v>是</x:v>
      </x:c>
      <x:c r="I68" s="216" t="n">
        <x:v>66</x:v>
      </x:c>
      <x:c r="J68" s="216" t="str">
        <x:f>IF(I68&lt;='排名定義'!$B$5,"是","")</x:f>
        <x:v>是</x:v>
      </x:c>
      <x:c r="K68" s="216" t="n">
        <x:v>22</x:v>
      </x:c>
      <x:c r="L68" s="216" t="str">
        <x:f>IF(K68&lt;='排名定義'!$B$5,"是","")</x:f>
        <x:v>是</x:v>
      </x:c>
      <x:c r="M68" s="216" t="n">
        <x:f>COUNTIF(H68:L68,"是")</x:f>
        <x:v>3</x:v>
      </x:c>
      <x:c r="N68" s="216" t="str">
        <x:v>三份皆入選</x:v>
      </x:c>
      <x:c r="O68" s="221" t="n">
        <x:v>149.88333333333333</x:v>
      </x:c>
      <x:c r="P68" s="221" t="n">
        <x:v>136.16666666666666</x:v>
      </x:c>
      <x:c r="Q68" s="221" t="n">
        <x:v>13.716666666666667</x:v>
      </x:c>
      <x:c r="R68" s="221" t="n">
        <x:v>0.09151562326253752</x:v>
      </x:c>
      <x:c r="S68" s="221" t="n">
        <x:v>193.80645161290323</x:v>
      </x:c>
      <x:c r="T68" s="221" t="n">
        <x:v>182.83870967741936</x:v>
      </x:c>
      <x:c r="U68" s="221" t="n">
        <x:v>10.96774193548387</x:v>
      </x:c>
      <x:c r="V68" s="219" t="n">
        <x:v>0.01152073732718894</x:v>
      </x:c>
      <x:c r="W68" s="216" t="n">
        <x:v>8</x:v>
      </x:c>
      <x:c r="X68" s="223" t="n">
        <x:v>1170</x:v>
      </x:c>
      <x:c r="Y68" s="216" t="n">
        <x:v>99</x:v>
      </x:c>
    </x:row>
    <x:row r="69">
      <x:c r="A69" s="217" t="n">
        <x:v>90</x:v>
      </x:c>
      <x:c r="B69" s="217" t="str">
        <x:v>臺灣藝術大學</x:v>
      </x:c>
      <x:c r="C69" s="217" t="str">
        <x:v>板橋區</x:v>
      </x:c>
      <x:c r="D69" s="217" t="n">
        <x:v>65</x:v>
      </x:c>
      <x:c r="E69" s="217" t="n">
        <x:v>120</x:v>
      </x:c>
      <x:c r="F69" s="218" t="n">
        <x:v>0.9994791666666667</x:v>
      </x:c>
      <x:c r="G69" s="217" t="n">
        <x:v>65</x:v>
      </x:c>
      <x:c r="H69" s="217" t="str">
        <x:f>IF(G69&lt;='排名定義'!$B$5,"是","")</x:f>
        <x:v>是</x:v>
      </x:c>
      <x:c r="I69" s="217" t="n">
        <x:v>67</x:v>
      </x:c>
      <x:c r="J69" s="217" t="str">
        <x:f>IF(I69&lt;='排名定義'!$B$5,"是","")</x:f>
        <x:v>是</x:v>
      </x:c>
      <x:c r="K69" s="217" t="n">
        <x:v>39</x:v>
      </x:c>
      <x:c r="L69" s="217" t="str">
        <x:f>IF(K69&lt;='排名定義'!$B$5,"是","")</x:f>
        <x:v>是</x:v>
      </x:c>
      <x:c r="M69" s="217" t="n">
        <x:f>COUNTIF(H69:L69,"是")</x:f>
        <x:v>3</x:v>
      </x:c>
      <x:c r="N69" s="217" t="str">
        <x:v>三份皆入選</x:v>
      </x:c>
      <x:c r="O69" s="220" t="n">
        <x:v>147.68333333333334</x:v>
      </x:c>
      <x:c r="P69" s="220" t="n">
        <x:v>135.74166666666667</x:v>
      </x:c>
      <x:c r="Q69" s="220" t="n">
        <x:v>11.941666666666666</x:v>
      </x:c>
      <x:c r="R69" s="220" t="n">
        <x:v>0.08085994808712335</x:v>
      </x:c>
      <x:c r="S69" s="220" t="n">
        <x:v>210.74193548387098</x:v>
      </x:c>
      <x:c r="T69" s="220" t="n">
        <x:v>198.61290322580646</x:v>
      </x:c>
      <x:c r="U69" s="220" t="n">
        <x:v>12.129032258064516</x:v>
      </x:c>
      <x:c r="V69" s="218" t="n">
        <x:v>0.04377880184331797</x:v>
      </x:c>
      <x:c r="W69" s="217" t="n">
        <x:v>12</x:v>
      </x:c>
      <x:c r="X69" s="222" t="n">
        <x:v>1860</x:v>
      </x:c>
      <x:c r="Y69" s="217" t="n">
        <x:v>65</x:v>
      </x:c>
    </x:row>
    <x:row r="70">
      <x:c r="A70" s="216" t="n">
        <x:v>1349</x:v>
      </x:c>
      <x:c r="B70" s="216" t="str">
        <x:v>捷運新莊副都心站</x:v>
      </x:c>
      <x:c r="C70" s="216" t="str">
        <x:v>新莊區</x:v>
      </x:c>
      <x:c r="D70" s="216" t="n">
        <x:v>43</x:v>
      </x:c>
      <x:c r="E70" s="216" t="n">
        <x:v>120</x:v>
      </x:c>
      <x:c r="F70" s="219" t="n">
        <x:v>0.9994791666666667</x:v>
      </x:c>
      <x:c r="G70" s="216" t="n">
        <x:v>66</x:v>
      </x:c>
      <x:c r="H70" s="216" t="str">
        <x:f>IF(G70&lt;='排名定義'!$B$5,"是","")</x:f>
        <x:v>是</x:v>
      </x:c>
      <x:c r="I70" s="216" t="n">
        <x:v>64</x:v>
      </x:c>
      <x:c r="J70" s="216" t="str">
        <x:f>IF(I70&lt;='排名定義'!$B$5,"是","")</x:f>
        <x:v>是</x:v>
      </x:c>
      <x:c r="K70" s="216" t="n">
        <x:v>125</x:v>
      </x:c>
      <x:c r="L70" s="216" t="str">
        <x:f>IF(K70&lt;='排名定義'!$B$5,"是","")</x:f>
        <x:v>是</x:v>
      </x:c>
      <x:c r="M70" s="216" t="n">
        <x:f>COUNTIF(H70:L70,"是")</x:f>
        <x:v>3</x:v>
      </x:c>
      <x:c r="N70" s="216" t="str">
        <x:v>三份皆入選</x:v>
      </x:c>
      <x:c r="O70" s="221" t="n">
        <x:v>147.28333333333333</x:v>
      </x:c>
      <x:c r="P70" s="221" t="n">
        <x:v>139.175</x:v>
      </x:c>
      <x:c r="Q70" s="221" t="n">
        <x:v>8.108333333333333</x:v>
      </x:c>
      <x:c r="R70" s="221" t="n">
        <x:v>0.05505261966730791</x:v>
      </x:c>
      <x:c r="S70" s="221" t="n">
        <x:v>172.5483870967742</x:v>
      </x:c>
      <x:c r="T70" s="221" t="n">
        <x:v>164.1290322580645</x:v>
      </x:c>
      <x:c r="U70" s="221" t="n">
        <x:v>8.419354838709678</x:v>
      </x:c>
      <x:c r="V70" s="219" t="n">
        <x:v>0.05069124423963134</x:v>
      </x:c>
      <x:c r="W70" s="216" t="n">
        <x:v>32</x:v>
      </x:c>
      <x:c r="X70" s="223" t="n">
        <x:v>4560</x:v>
      </x:c>
      <x:c r="Y70" s="216" t="n">
        <x:v>43</x:v>
      </x:c>
    </x:row>
    <x:row r="71">
      <x:c r="A71" s="217" t="n">
        <x:v>1197</x:v>
      </x:c>
      <x:c r="B71" s="217" t="str">
        <x:v>清和里(青雲路)</x:v>
      </x:c>
      <x:c r="C71" s="217" t="str">
        <x:v>土城區</x:v>
      </x:c>
      <x:c r="D71" s="217" t="n">
        <x:v>37</x:v>
      </x:c>
      <x:c r="E71" s="217" t="n">
        <x:v>120</x:v>
      </x:c>
      <x:c r="F71" s="218" t="n">
        <x:v>0.9994791666666667</x:v>
      </x:c>
      <x:c r="G71" s="217" t="n">
        <x:v>67</x:v>
      </x:c>
      <x:c r="H71" s="217" t="str">
        <x:f>IF(G71&lt;='排名定義'!$B$5,"是","")</x:f>
        <x:v>是</x:v>
      </x:c>
      <x:c r="I71" s="217" t="n">
        <x:v>62</x:v>
      </x:c>
      <x:c r="J71" s="217" t="str">
        <x:f>IF(I71&lt;='排名定義'!$B$5,"是","")</x:f>
        <x:v>是</x:v>
      </x:c>
      <x:c r="K71" s="217" t="n">
        <x:v>164</x:v>
      </x:c>
      <x:c r="L71" s="217" t="str">
        <x:f>IF(K71&lt;='排名定義'!$B$5,"是","")</x:f>
        <x:v>是</x:v>
      </x:c>
      <x:c r="M71" s="217" t="n">
        <x:f>COUNTIF(H71:L71,"是")</x:f>
        <x:v>3</x:v>
      </x:c>
      <x:c r="N71" s="217" t="str">
        <x:v>三份皆入選</x:v>
      </x:c>
      <x:c r="O71" s="220" t="n">
        <x:v>147.00833333333333</x:v>
      </x:c>
      <x:c r="P71" s="220" t="n">
        <x:v>139.41666666666666</x:v>
      </x:c>
      <x:c r="Q71" s="220" t="n">
        <x:v>7.591666666666667</x:v>
      </x:c>
      <x:c r="R71" s="220" t="n">
        <x:v>0.051641063431778246</x:v>
      </x:c>
      <x:c r="S71" s="220" t="n">
        <x:v>153.41935483870967</x:v>
      </x:c>
      <x:c r="T71" s="220" t="n">
        <x:v>146.67741935483872</x:v>
      </x:c>
      <x:c r="U71" s="220" t="n">
        <x:v>6.741935483870968</x:v>
      </x:c>
      <x:c r="V71" s="218" t="n">
        <x:v>0.1382488479262673</x:v>
      </x:c>
      <x:c r="W71" s="217" t="n">
        <x:v>24</x:v>
      </x:c>
      <x:c r="X71" s="222" t="n">
        <x:v>3090</x:v>
      </x:c>
      <x:c r="Y71" s="217" t="n">
        <x:v>37</x:v>
      </x:c>
    </x:row>
    <x:row r="72">
      <x:c r="A72" s="216" t="n">
        <x:v>40</x:v>
      </x:c>
      <x:c r="B72" s="216" t="str">
        <x:v>捷運新埔站(4號出口)</x:v>
      </x:c>
      <x:c r="C72" s="216" t="str">
        <x:v>板橋區</x:v>
      </x:c>
      <x:c r="D72" s="216" t="n">
        <x:v>70</x:v>
      </x:c>
      <x:c r="E72" s="216" t="n">
        <x:v>120</x:v>
      </x:c>
      <x:c r="F72" s="219" t="n">
        <x:v>0.9994791666666667</x:v>
      </x:c>
      <x:c r="G72" s="216" t="n">
        <x:v>68</x:v>
      </x:c>
      <x:c r="H72" s="216" t="str">
        <x:f>IF(G72&lt;='排名定義'!$B$5,"是","")</x:f>
        <x:v>是</x:v>
      </x:c>
      <x:c r="I72" s="216" t="n">
        <x:v>68</x:v>
      </x:c>
      <x:c r="J72" s="216" t="str">
        <x:f>IF(I72&lt;='排名定義'!$B$5,"是","")</x:f>
        <x:v>是</x:v>
      </x:c>
      <x:c r="K72" s="216" t="n">
        <x:v>40</x:v>
      </x:c>
      <x:c r="L72" s="216" t="str">
        <x:f>IF(K72&lt;='排名定義'!$B$5,"是","")</x:f>
        <x:v>是</x:v>
      </x:c>
      <x:c r="M72" s="216" t="n">
        <x:f>COUNTIF(H72:L72,"是")</x:f>
        <x:v>3</x:v>
      </x:c>
      <x:c r="N72" s="216" t="str">
        <x:v>三份皆入選</x:v>
      </x:c>
      <x:c r="O72" s="221" t="n">
        <x:v>146.95</x:v>
      </x:c>
      <x:c r="P72" s="221" t="n">
        <x:v>135.2</x:v>
      </x:c>
      <x:c r="Q72" s="221" t="n">
        <x:v>11.75</x:v>
      </x:c>
      <x:c r="R72" s="221" t="n">
        <x:v>0.07995916978564137</x:v>
      </x:c>
      <x:c r="S72" s="221" t="n">
        <x:v>148.61290322580646</x:v>
      </x:c>
      <x:c r="T72" s="221" t="n">
        <x:v>142.29032258064515</x:v>
      </x:c>
      <x:c r="U72" s="221" t="n">
        <x:v>6.32258064516129</x:v>
      </x:c>
      <x:c r="V72" s="219" t="n">
        <x:v>0.08986175115207373</x:v>
      </x:c>
      <x:c r="W72" s="216" t="n">
        <x:v>54</x:v>
      </x:c>
      <x:c r="X72" s="223" t="n">
        <x:v>6600</x:v>
      </x:c>
      <x:c r="Y72" s="216" t="n">
        <x:v>70</x:v>
      </x:c>
    </x:row>
    <x:row r="73">
      <x:c r="A73" s="217" t="n">
        <x:v>79</x:v>
      </x:c>
      <x:c r="B73" s="217" t="str">
        <x:v>永福橋</x:v>
      </x:c>
      <x:c r="C73" s="217" t="str">
        <x:v>永和區</x:v>
      </x:c>
      <x:c r="D73" s="217" t="n">
        <x:v>70</x:v>
      </x:c>
      <x:c r="E73" s="217" t="n">
        <x:v>120</x:v>
      </x:c>
      <x:c r="F73" s="218" t="n">
        <x:v>0.9994791666666667</x:v>
      </x:c>
      <x:c r="G73" s="217" t="n">
        <x:v>69</x:v>
      </x:c>
      <x:c r="H73" s="217" t="str">
        <x:f>IF(G73&lt;='排名定義'!$B$5,"是","")</x:f>
        <x:v>是</x:v>
      </x:c>
      <x:c r="I73" s="217" t="n">
        <x:v>72</x:v>
      </x:c>
      <x:c r="J73" s="217" t="str">
        <x:f>IF(I73&lt;='排名定義'!$B$5,"是","")</x:f>
        <x:v>是</x:v>
      </x:c>
      <x:c r="K73" s="217" t="n">
        <x:v>44</x:v>
      </x:c>
      <x:c r="L73" s="217" t="str">
        <x:f>IF(K73&lt;='排名定義'!$B$5,"是","")</x:f>
        <x:v>是</x:v>
      </x:c>
      <x:c r="M73" s="217" t="n">
        <x:f>COUNTIF(H73:L73,"是")</x:f>
        <x:v>3</x:v>
      </x:c>
      <x:c r="N73" s="217" t="str">
        <x:v>三份皆入選</x:v>
      </x:c>
      <x:c r="O73" s="220" t="n">
        <x:v>143.84166666666667</x:v>
      </x:c>
      <x:c r="P73" s="220" t="n">
        <x:v>132.76666666666668</x:v>
      </x:c>
      <x:c r="Q73" s="220" t="n">
        <x:v>11.075</x:v>
      </x:c>
      <x:c r="R73" s="220" t="n">
        <x:v>0.07699438039511036</x:v>
      </x:c>
      <x:c r="S73" s="220" t="n">
        <x:v>192.2258064516129</x:v>
      </x:c>
      <x:c r="T73" s="220" t="n">
        <x:v>184.67741935483872</x:v>
      </x:c>
      <x:c r="U73" s="220" t="n">
        <x:v>7.548387096774194</x:v>
      </x:c>
      <x:c r="V73" s="218" t="n">
        <x:v>0.06221198156682028</x:v>
      </x:c>
      <x:c r="W73" s="217" t="n">
        <x:v>16</x:v>
      </x:c>
      <x:c r="X73" s="222" t="n">
        <x:v>2310</x:v>
      </x:c>
      <x:c r="Y73" s="217" t="n">
        <x:v>70</x:v>
      </x:c>
    </x:row>
    <x:row r="74">
      <x:c r="A74" s="216" t="n">
        <x:v>64</x:v>
      </x:c>
      <x:c r="B74" s="216" t="str">
        <x:v>新北高中</x:v>
      </x:c>
      <x:c r="C74" s="216" t="str">
        <x:v>三重區</x:v>
      </x:c>
      <x:c r="D74" s="216" t="n">
        <x:v>88</x:v>
      </x:c>
      <x:c r="E74" s="216" t="n">
        <x:v>120</x:v>
      </x:c>
      <x:c r="F74" s="219" t="n">
        <x:v>0.9994791666666667</x:v>
      </x:c>
      <x:c r="G74" s="216" t="n">
        <x:v>70</x:v>
      </x:c>
      <x:c r="H74" s="216" t="str">
        <x:f>IF(G74&lt;='排名定義'!$B$5,"是","")</x:f>
        <x:v>是</x:v>
      </x:c>
      <x:c r="I74" s="216" t="n">
        <x:v>81</x:v>
      </x:c>
      <x:c r="J74" s="216" t="str">
        <x:f>IF(I74&lt;='排名定義'!$B$5,"是","")</x:f>
        <x:v>是</x:v>
      </x:c>
      <x:c r="K74" s="216" t="n">
        <x:v>11</x:v>
      </x:c>
      <x:c r="L74" s="216" t="str">
        <x:f>IF(K74&lt;='排名定義'!$B$5,"是","")</x:f>
        <x:v>是</x:v>
      </x:c>
      <x:c r="M74" s="216" t="n">
        <x:f>COUNTIF(H74:L74,"是")</x:f>
        <x:v>3</x:v>
      </x:c>
      <x:c r="N74" s="216" t="str">
        <x:v>三份皆入選</x:v>
      </x:c>
      <x:c r="O74" s="221" t="n">
        <x:v>142.38333333333333</x:v>
      </x:c>
      <x:c r="P74" s="221" t="n">
        <x:v>127.28333333333333</x:v>
      </x:c>
      <x:c r="Q74" s="221" t="n">
        <x:v>15.1</x:v>
      </x:c>
      <x:c r="R74" s="221" t="n">
        <x:v>0.1060517382652464</x:v>
      </x:c>
      <x:c r="S74" s="221" t="n">
        <x:v>186.93548387096774</x:v>
      </x:c>
      <x:c r="T74" s="221" t="n">
        <x:v>173.25806451612902</x:v>
      </x:c>
      <x:c r="U74" s="221" t="n">
        <x:v>13.67741935483871</x:v>
      </x:c>
      <x:c r="V74" s="219" t="n">
        <x:v>0.009216589861751152</x:v>
      </x:c>
      <x:c r="W74" s="216" t="n">
        <x:v>2</x:v>
      </x:c>
      <x:c r="X74" s="223" t="n">
        <x:v>210</x:v>
      </x:c>
      <x:c r="Y74" s="216" t="n">
        <x:v>88</x:v>
      </x:c>
    </x:row>
    <x:row r="75">
      <x:c r="A75" s="217" t="n">
        <x:v>73</x:v>
      </x:c>
      <x:c r="B75" s="217" t="str">
        <x:v>林口轉運站</x:v>
      </x:c>
      <x:c r="C75" s="217" t="str">
        <x:v>林口區</x:v>
      </x:c>
      <x:c r="D75" s="217" t="n">
        <x:v>99</x:v>
      </x:c>
      <x:c r="E75" s="217" t="n">
        <x:v>120</x:v>
      </x:c>
      <x:c r="F75" s="218" t="n">
        <x:v>0.9994791666666667</x:v>
      </x:c>
      <x:c r="G75" s="217" t="n">
        <x:v>71</x:v>
      </x:c>
      <x:c r="H75" s="217" t="str">
        <x:f>IF(G75&lt;='排名定義'!$B$5,"是","")</x:f>
        <x:v>是</x:v>
      </x:c>
      <x:c r="I75" s="217" t="n">
        <x:v>75</x:v>
      </x:c>
      <x:c r="J75" s="217" t="str">
        <x:f>IF(I75&lt;='排名定義'!$B$5,"是","")</x:f>
        <x:v>是</x:v>
      </x:c>
      <x:c r="K75" s="217" t="n">
        <x:v>56</x:v>
      </x:c>
      <x:c r="L75" s="217" t="str">
        <x:f>IF(K75&lt;='排名定義'!$B$5,"是","")</x:f>
        <x:v>是</x:v>
      </x:c>
      <x:c r="M75" s="217" t="n">
        <x:f>COUNTIF(H75:L75,"是")</x:f>
        <x:v>3</x:v>
      </x:c>
      <x:c r="N75" s="217" t="str">
        <x:v>三份皆入選</x:v>
      </x:c>
      <x:c r="O75" s="220" t="n">
        <x:v>142.2</x:v>
      </x:c>
      <x:c r="P75" s="220" t="n">
        <x:v>132.05</x:v>
      </x:c>
      <x:c r="Q75" s="220" t="n">
        <x:v>10.15</x:v>
      </x:c>
      <x:c r="R75" s="220" t="n">
        <x:v>0.07137834036568214</x:v>
      </x:c>
      <x:c r="S75" s="220" t="n">
        <x:v>213.4516129032258</x:v>
      </x:c>
      <x:c r="T75" s="220" t="n">
        <x:v>206</x:v>
      </x:c>
      <x:c r="U75" s="220" t="n">
        <x:v>7.451612903225806</x:v>
      </x:c>
      <x:c r="V75" s="218" t="n">
        <x:v>0.02304147465437788</x:v>
      </x:c>
      <x:c r="W75" s="217" t="n">
        <x:v>7</x:v>
      </x:c>
      <x:c r="X75" s="222" t="n">
        <x:v>1080</x:v>
      </x:c>
      <x:c r="Y75" s="217" t="n">
        <x:v>99</x:v>
      </x:c>
    </x:row>
    <x:row r="76">
      <x:c r="A76" s="216" t="n">
        <x:v>1076</x:v>
      </x:c>
      <x:c r="B76" s="216" t="str">
        <x:v>三重永豐公園</x:v>
      </x:c>
      <x:c r="C76" s="216" t="str">
        <x:v>三重區</x:v>
      </x:c>
      <x:c r="D76" s="216" t="n">
        <x:v>31</x:v>
      </x:c>
      <x:c r="E76" s="216" t="n">
        <x:v>120</x:v>
      </x:c>
      <x:c r="F76" s="219" t="n">
        <x:v>0.9994791666666667</x:v>
      </x:c>
      <x:c r="G76" s="216" t="n">
        <x:v>72</x:v>
      </x:c>
      <x:c r="H76" s="216" t="str">
        <x:f>IF(G76&lt;='排名定義'!$B$5,"是","")</x:f>
        <x:v>是</x:v>
      </x:c>
      <x:c r="I76" s="216" t="n">
        <x:v>69</x:v>
      </x:c>
      <x:c r="J76" s="216" t="str">
        <x:f>IF(I76&lt;='排名定義'!$B$5,"是","")</x:f>
        <x:v>是</x:v>
      </x:c>
      <x:c r="K76" s="216" t="n">
        <x:v>226</x:v>
      </x:c>
      <x:c r="L76" s="216" t="str">
        <x:f>IF(K76&lt;='排名定義'!$B$5,"是","")</x:f>
        <x:v>是</x:v>
      </x:c>
      <x:c r="M76" s="216" t="n">
        <x:f>COUNTIF(H76:L76,"是")</x:f>
        <x:v>3</x:v>
      </x:c>
      <x:c r="N76" s="216" t="str">
        <x:v>三份皆入選</x:v>
      </x:c>
      <x:c r="O76" s="221" t="n">
        <x:v>141.025</x:v>
      </x:c>
      <x:c r="P76" s="221" t="n">
        <x:v>134.09166666666667</x:v>
      </x:c>
      <x:c r="Q76" s="221" t="n">
        <x:v>6.933333333333334</x:v>
      </x:c>
      <x:c r="R76" s="221" t="n">
        <x:v>0.04916385983572653</x:v>
      </x:c>
      <x:c r="S76" s="221" t="n">
        <x:v>174</x:v>
      </x:c>
      <x:c r="T76" s="221" t="n">
        <x:v>168.38709677419354</x:v>
      </x:c>
      <x:c r="U76" s="221" t="n">
        <x:v>5.612903225806452</x:v>
      </x:c>
      <x:c r="V76" s="219" t="n">
        <x:v>0.11290322580645161</x:v>
      </x:c>
      <x:c r="W76" s="216" t="n">
        <x:v>32</x:v>
      </x:c>
      <x:c r="X76" s="223" t="n">
        <x:v>3570</x:v>
      </x:c>
      <x:c r="Y76" s="216" t="n">
        <x:v>31</x:v>
      </x:c>
    </x:row>
    <x:row r="77">
      <x:c r="A77" s="217" t="n">
        <x:v>1240</x:v>
      </x:c>
      <x:c r="B77" s="217" t="str">
        <x:v>永康公園</x:v>
      </x:c>
      <x:c r="C77" s="217" t="str">
        <x:v>蘆洲區</x:v>
      </x:c>
      <x:c r="D77" s="217" t="n">
        <x:v>39</x:v>
      </x:c>
      <x:c r="E77" s="217" t="n">
        <x:v>120</x:v>
      </x:c>
      <x:c r="F77" s="218" t="n">
        <x:v>0.9994791666666667</x:v>
      </x:c>
      <x:c r="G77" s="217" t="n">
        <x:v>73</x:v>
      </x:c>
      <x:c r="H77" s="217" t="str">
        <x:f>IF(G77&lt;='排名定義'!$B$5,"是","")</x:f>
        <x:v>是</x:v>
      </x:c>
      <x:c r="I77" s="217" t="n">
        <x:v>70</x:v>
      </x:c>
      <x:c r="J77" s="217" t="str">
        <x:f>IF(I77&lt;='排名定義'!$B$5,"是","")</x:f>
        <x:v>是</x:v>
      </x:c>
      <x:c r="K77" s="217" t="n">
        <x:v>197</x:v>
      </x:c>
      <x:c r="L77" s="217" t="str">
        <x:f>IF(K77&lt;='排名定義'!$B$5,"是","")</x:f>
        <x:v>是</x:v>
      </x:c>
      <x:c r="M77" s="217" t="n">
        <x:f>COUNTIF(H77:L77,"是")</x:f>
        <x:v>3</x:v>
      </x:c>
      <x:c r="N77" s="217" t="str">
        <x:v>三份皆入選</x:v>
      </x:c>
      <x:c r="O77" s="220" t="n">
        <x:v>141.01666666666668</x:v>
      </x:c>
      <x:c r="P77" s="220" t="n">
        <x:v>133.81666666666666</x:v>
      </x:c>
      <x:c r="Q77" s="220" t="n">
        <x:v>7.2</x:v>
      </x:c>
      <x:c r="R77" s="220" t="n">
        <x:v>0.05105779458692826</x:v>
      </x:c>
      <x:c r="S77" s="220" t="n">
        <x:v>185.06451612903226</x:v>
      </x:c>
      <x:c r="T77" s="220" t="n">
        <x:v>176.7741935483871</x:v>
      </x:c>
      <x:c r="U77" s="220" t="n">
        <x:v>8.290322580645162</x:v>
      </x:c>
      <x:c r="V77" s="218" t="n">
        <x:v>0.02304147465437788</x:v>
      </x:c>
      <x:c r="W77" s="217" t="n">
        <x:v>8</x:v>
      </x:c>
      <x:c r="X77" s="222" t="n">
        <x:v>1230</x:v>
      </x:c>
      <x:c r="Y77" s="217" t="n">
        <x:v>39</x:v>
      </x:c>
    </x:row>
    <x:row r="78">
      <x:c r="A78" s="216" t="n">
        <x:v>66</x:v>
      </x:c>
      <x:c r="B78" s="216" t="str">
        <x:v>新店高中(中央路)</x:v>
      </x:c>
      <x:c r="C78" s="216" t="str">
        <x:v>新店區</x:v>
      </x:c>
      <x:c r="D78" s="216" t="n">
        <x:v>85</x:v>
      </x:c>
      <x:c r="E78" s="216" t="n">
        <x:v>120</x:v>
      </x:c>
      <x:c r="F78" s="219" t="n">
        <x:v>0.9994791666666667</x:v>
      </x:c>
      <x:c r="G78" s="216" t="n">
        <x:v>74</x:v>
      </x:c>
      <x:c r="H78" s="216" t="str">
        <x:f>IF(G78&lt;='排名定義'!$B$5,"是","")</x:f>
        <x:v>是</x:v>
      </x:c>
      <x:c r="I78" s="216" t="n">
        <x:v>76</x:v>
      </x:c>
      <x:c r="J78" s="216" t="str">
        <x:f>IF(I78&lt;='排名定義'!$B$5,"是","")</x:f>
        <x:v>是</x:v>
      </x:c>
      <x:c r="K78" s="216" t="n">
        <x:v>80</x:v>
      </x:c>
      <x:c r="L78" s="216" t="str">
        <x:f>IF(K78&lt;='排名定義'!$B$5,"是","")</x:f>
        <x:v>是</x:v>
      </x:c>
      <x:c r="M78" s="216" t="n">
        <x:f>COUNTIF(H78:L78,"是")</x:f>
        <x:v>3</x:v>
      </x:c>
      <x:c r="N78" s="216" t="str">
        <x:v>三份皆入選</x:v>
      </x:c>
      <x:c r="O78" s="221" t="n">
        <x:v>140.675</x:v>
      </x:c>
      <x:c r="P78" s="221" t="n">
        <x:v>131.625</x:v>
      </x:c>
      <x:c r="Q78" s="221" t="n">
        <x:v>9.05</x:v>
      </x:c>
      <x:c r="R78" s="221" t="n">
        <x:v>0.06433268171316865</x:v>
      </x:c>
      <x:c r="S78" s="221" t="n">
        <x:v>201.80645161290323</x:v>
      </x:c>
      <x:c r="T78" s="221" t="n">
        <x:v>192.38709677419354</x:v>
      </x:c>
      <x:c r="U78" s="221" t="n">
        <x:v>9.419354838709678</x:v>
      </x:c>
      <x:c r="V78" s="219" t="n">
        <x:v>0.02304147465437788</x:v>
      </x:c>
      <x:c r="W78" s="216" t="n">
        <x:v>4</x:v>
      </x:c>
      <x:c r="X78" s="223" t="n">
        <x:v>960</x:v>
      </x:c>
      <x:c r="Y78" s="216" t="n">
        <x:v>85</x:v>
      </x:c>
    </x:row>
    <x:row r="79">
      <x:c r="A79" s="217" t="n">
        <x:v>69</x:v>
      </x:c>
      <x:c r="B79" s="217" t="str">
        <x:v>板橋四維公園</x:v>
      </x:c>
      <x:c r="C79" s="217" t="str">
        <x:v>板橋區</x:v>
      </x:c>
      <x:c r="D79" s="217" t="n">
        <x:v>67</x:v>
      </x:c>
      <x:c r="E79" s="217" t="n">
        <x:v>120</x:v>
      </x:c>
      <x:c r="F79" s="218" t="n">
        <x:v>0.9994791666666667</x:v>
      </x:c>
      <x:c r="G79" s="217" t="n">
        <x:v>75</x:v>
      </x:c>
      <x:c r="H79" s="217" t="str">
        <x:f>IF(G79&lt;='排名定義'!$B$5,"是","")</x:f>
        <x:v>是</x:v>
      </x:c>
      <x:c r="I79" s="217" t="n">
        <x:v>77</x:v>
      </x:c>
      <x:c r="J79" s="217" t="str">
        <x:f>IF(I79&lt;='排名定義'!$B$5,"是","")</x:f>
        <x:v>是</x:v>
      </x:c>
      <x:c r="K79" s="217" t="n">
        <x:v>72</x:v>
      </x:c>
      <x:c r="L79" s="217" t="str">
        <x:f>IF(K79&lt;='排名定義'!$B$5,"是","")</x:f>
        <x:v>是</x:v>
      </x:c>
      <x:c r="M79" s="217" t="n">
        <x:f>COUNTIF(H79:L79,"是")</x:f>
        <x:v>3</x:v>
      </x:c>
      <x:c r="N79" s="217" t="str">
        <x:v>三份皆入選</x:v>
      </x:c>
      <x:c r="O79" s="220" t="n">
        <x:v>140.66666666666666</x:v>
      </x:c>
      <x:c r="P79" s="220" t="n">
        <x:v>131.30833333333334</x:v>
      </x:c>
      <x:c r="Q79" s="220" t="n">
        <x:v>9.358333333333333</x:v>
      </x:c>
      <x:c r="R79" s="220" t="n">
        <x:v>0.06652843601895735</x:v>
      </x:c>
      <x:c r="S79" s="220" t="n">
        <x:v>163.90322580645162</x:v>
      </x:c>
      <x:c r="T79" s="220" t="n">
        <x:v>157.2258064516129</x:v>
      </x:c>
      <x:c r="U79" s="220" t="n">
        <x:v>6.67741935483871</x:v>
      </x:c>
      <x:c r="V79" s="218" t="n">
        <x:v>0.07834101382488479</x:v>
      </x:c>
      <x:c r="W79" s="217" t="n">
        <x:v>15</x:v>
      </x:c>
      <x:c r="X79" s="222" t="n">
        <x:v>2610</x:v>
      </x:c>
      <x:c r="Y79" s="217" t="n">
        <x:v>67</x:v>
      </x:c>
    </x:row>
    <x:row r="80">
      <x:c r="A80" s="216" t="n">
        <x:v>1092</x:v>
      </x:c>
      <x:c r="B80" s="216" t="str">
        <x:v>仁愛街70巷口</x:v>
      </x:c>
      <x:c r="C80" s="216" t="str">
        <x:v>蘆洲區</x:v>
      </x:c>
      <x:c r="D80" s="216" t="n">
        <x:v>32</x:v>
      </x:c>
      <x:c r="E80" s="216" t="n">
        <x:v>120</x:v>
      </x:c>
      <x:c r="F80" s="219" t="n">
        <x:v>0.9994791666666667</x:v>
      </x:c>
      <x:c r="G80" s="216" t="n">
        <x:v>76</x:v>
      </x:c>
      <x:c r="H80" s="216" t="str">
        <x:f>IF(G80&lt;='排名定義'!$B$5,"是","")</x:f>
        <x:v>是</x:v>
      </x:c>
      <x:c r="I80" s="216" t="n">
        <x:v>73</x:v>
      </x:c>
      <x:c r="J80" s="216" t="str">
        <x:f>IF(I80&lt;='排名定義'!$B$5,"是","")</x:f>
        <x:v>是</x:v>
      </x:c>
      <x:c r="K80" s="216" t="n">
        <x:v>149</x:v>
      </x:c>
      <x:c r="L80" s="216" t="str">
        <x:f>IF(K80&lt;='排名定義'!$B$5,"是","")</x:f>
        <x:v>是</x:v>
      </x:c>
      <x:c r="M80" s="216" t="n">
        <x:f>COUNTIF(H80:L80,"是")</x:f>
        <x:v>3</x:v>
      </x:c>
      <x:c r="N80" s="216" t="str">
        <x:v>三份皆入選</x:v>
      </x:c>
      <x:c r="O80" s="221" t="n">
        <x:v>140.325</x:v>
      </x:c>
      <x:c r="P80" s="221" t="n">
        <x:v>132.60833333333332</x:v>
      </x:c>
      <x:c r="Q80" s="221" t="n">
        <x:v>7.716666666666667</x:v>
      </x:c>
      <x:c r="R80" s="221" t="n">
        <x:v>0.05499138903735376</x:v>
      </x:c>
      <x:c r="S80" s="221" t="n">
        <x:v>167.1290322580645</x:v>
      </x:c>
      <x:c r="T80" s="221" t="n">
        <x:v>160.93548387096774</x:v>
      </x:c>
      <x:c r="U80" s="221" t="n">
        <x:v>6.193548387096774</x:v>
      </x:c>
      <x:c r="V80" s="219" t="n">
        <x:v>0.07834101382488479</x:v>
      </x:c>
      <x:c r="W80" s="216" t="n">
        <x:v>18</x:v>
      </x:c>
      <x:c r="X80" s="223" t="n">
        <x:v>2400</x:v>
      </x:c>
      <x:c r="Y80" s="216" t="n">
        <x:v>32</x:v>
      </x:c>
    </x:row>
    <x:row r="81">
      <x:c r="A81" s="217" t="n">
        <x:v>1406</x:v>
      </x:c>
      <x:c r="B81" s="217" t="str">
        <x:v>捷運大坪林站(1號出口)</x:v>
      </x:c>
      <x:c r="C81" s="217" t="str">
        <x:v>新店區</x:v>
      </x:c>
      <x:c r="D81" s="217" t="n">
        <x:v>47</x:v>
      </x:c>
      <x:c r="E81" s="217" t="n">
        <x:v>120</x:v>
      </x:c>
      <x:c r="F81" s="218" t="n">
        <x:v>0.9994791666666667</x:v>
      </x:c>
      <x:c r="G81" s="217" t="n">
        <x:v>77</x:v>
      </x:c>
      <x:c r="H81" s="217" t="str">
        <x:f>IF(G81&lt;='排名定義'!$B$5,"是","")</x:f>
        <x:v>是</x:v>
      </x:c>
      <x:c r="I81" s="217" t="n">
        <x:v>78</x:v>
      </x:c>
      <x:c r="J81" s="217" t="str">
        <x:f>IF(I81&lt;='排名定義'!$B$5,"是","")</x:f>
        <x:v>是</x:v>
      </x:c>
      <x:c r="K81" s="217" t="n">
        <x:v>53</x:v>
      </x:c>
      <x:c r="L81" s="217" t="str">
        <x:f>IF(K81&lt;='排名定義'!$B$5,"是","")</x:f>
        <x:v>是</x:v>
      </x:c>
      <x:c r="M81" s="217" t="n">
        <x:f>COUNTIF(H81:L81,"是")</x:f>
        <x:v>3</x:v>
      </x:c>
      <x:c r="N81" s="217" t="str">
        <x:v>三份皆入選</x:v>
      </x:c>
      <x:c r="O81" s="220" t="n">
        <x:v>140.15</x:v>
      </x:c>
      <x:c r="P81" s="220" t="n">
        <x:v>129.83333333333334</x:v>
      </x:c>
      <x:c r="Q81" s="220" t="n">
        <x:v>10.316666666666666</x:v>
      </x:c>
      <x:c r="R81" s="220" t="n">
        <x:v>0.07361160661196338</x:v>
      </x:c>
      <x:c r="S81" s="220" t="n">
        <x:v>185.5483870967742</x:v>
      </x:c>
      <x:c r="T81" s="220" t="n">
        <x:v>175.41935483870967</x:v>
      </x:c>
      <x:c r="U81" s="220" t="n">
        <x:v>10.129032258064516</x:v>
      </x:c>
      <x:c r="V81" s="218" t="n">
        <x:v>0.06912442396313365</x:v>
      </x:c>
      <x:c r="W81" s="217" t="n">
        <x:v>50</x:v>
      </x:c>
      <x:c r="X81" s="222" t="n">
        <x:v>5790</x:v>
      </x:c>
      <x:c r="Y81" s="217" t="n">
        <x:v>47</x:v>
      </x:c>
    </x:row>
    <x:row r="82">
      <x:c r="A82" s="216" t="n">
        <x:v>1111</x:v>
      </x:c>
      <x:c r="B82" s="216" t="str">
        <x:v>興南路二段34巷口</x:v>
      </x:c>
      <x:c r="C82" s="216" t="str">
        <x:v>中和區</x:v>
      </x:c>
      <x:c r="D82" s="216" t="n">
        <x:v>32</x:v>
      </x:c>
      <x:c r="E82" s="216" t="n">
        <x:v>120</x:v>
      </x:c>
      <x:c r="F82" s="219" t="n">
        <x:v>0.9994791666666667</x:v>
      </x:c>
      <x:c r="G82" s="216" t="n">
        <x:v>78</x:v>
      </x:c>
      <x:c r="H82" s="216" t="str">
        <x:f>IF(G82&lt;='排名定義'!$B$5,"是","")</x:f>
        <x:v>是</x:v>
      </x:c>
      <x:c r="I82" s="216" t="n">
        <x:v>71</x:v>
      </x:c>
      <x:c r="J82" s="216" t="str">
        <x:f>IF(I82&lt;='排名定義'!$B$5,"是","")</x:f>
        <x:v>是</x:v>
      </x:c>
      <x:c r="K82" s="216" t="n">
        <x:v>277</x:v>
      </x:c>
      <x:c r="L82" s="216" t="str">
        <x:f>IF(K82&lt;='排名定義'!$B$5,"是","")</x:f>
        <x:v>是</x:v>
      </x:c>
      <x:c r="M82" s="216" t="n">
        <x:f>COUNTIF(H82:L82,"是")</x:f>
        <x:v>3</x:v>
      </x:c>
      <x:c r="N82" s="216" t="str">
        <x:v>三份皆入選</x:v>
      </x:c>
      <x:c r="O82" s="221" t="n">
        <x:v>139.64166666666668</x:v>
      </x:c>
      <x:c r="P82" s="221" t="n">
        <x:v>133.1</x:v>
      </x:c>
      <x:c r="Q82" s="221" t="n">
        <x:v>6.541666666666667</x:v>
      </x:c>
      <x:c r="R82" s="221" t="n">
        <x:v>0.04684609416960076</x:v>
      </x:c>
      <x:c r="S82" s="221" t="n">
        <x:v>172.25806451612902</x:v>
      </x:c>
      <x:c r="T82" s="221" t="n">
        <x:v>166.93548387096774</x:v>
      </x:c>
      <x:c r="U82" s="221" t="n">
        <x:v>5.32258064516129</x:v>
      </x:c>
      <x:c r="V82" s="219" t="n">
        <x:v>0.08755760368663594</x:v>
      </x:c>
      <x:c r="W82" s="216" t="n">
        <x:v>25</x:v>
      </x:c>
      <x:c r="X82" s="223" t="n">
        <x:v>3060</x:v>
      </x:c>
      <x:c r="Y82" s="216" t="n">
        <x:v>32</x:v>
      </x:c>
    </x:row>
    <x:row r="83">
      <x:c r="A83" s="217" t="n">
        <x:v>1506</x:v>
      </x:c>
      <x:c r="B83" s="217" t="str">
        <x:v>板林溪北路口</x:v>
      </x:c>
      <x:c r="C83" s="217" t="str">
        <x:v>板橋區</x:v>
      </x:c>
      <x:c r="D83" s="217" t="n">
        <x:v>57</x:v>
      </x:c>
      <x:c r="E83" s="217" t="n">
        <x:v>120</x:v>
      </x:c>
      <x:c r="F83" s="218" t="n">
        <x:v>0.9994791666666667</x:v>
      </x:c>
      <x:c r="G83" s="217" t="n">
        <x:v>79</x:v>
      </x:c>
      <x:c r="H83" s="217" t="str">
        <x:f>IF(G83&lt;='排名定義'!$B$5,"是","")</x:f>
        <x:v>是</x:v>
      </x:c>
      <x:c r="I83" s="217" t="n">
        <x:v>79</x:v>
      </x:c>
      <x:c r="J83" s="217" t="str">
        <x:f>IF(I83&lt;='排名定義'!$B$5,"是","")</x:f>
        <x:v>是</x:v>
      </x:c>
      <x:c r="K83" s="217" t="n">
        <x:v>71</x:v>
      </x:c>
      <x:c r="L83" s="217" t="str">
        <x:f>IF(K83&lt;='排名定義'!$B$5,"是","")</x:f>
        <x:v>是</x:v>
      </x:c>
      <x:c r="M83" s="217" t="n">
        <x:f>COUNTIF(H83:L83,"是")</x:f>
        <x:v>3</x:v>
      </x:c>
      <x:c r="N83" s="217" t="str">
        <x:v>三份皆入選</x:v>
      </x:c>
      <x:c r="O83" s="220" t="n">
        <x:v>139.15833333333333</x:v>
      </x:c>
      <x:c r="P83" s="220" t="n">
        <x:v>129.70833333333334</x:v>
      </x:c>
      <x:c r="Q83" s="220" t="n">
        <x:v>9.45</x:v>
      </x:c>
      <x:c r="R83" s="220" t="n">
        <x:v>0.06790825797951973</x:v>
      </x:c>
      <x:c r="S83" s="220" t="n">
        <x:v>177.80645161290323</x:v>
      </x:c>
      <x:c r="T83" s="220" t="n">
        <x:v>170.5483870967742</x:v>
      </x:c>
      <x:c r="U83" s="220" t="n">
        <x:v>7.258064516129032</x:v>
      </x:c>
      <x:c r="V83" s="218" t="n">
        <x:v>0.002304147465437788</x:v>
      </x:c>
      <x:c r="W83" s="217" t="n">
        <x:v>27</x:v>
      </x:c>
      <x:c r="X83" s="222" t="n">
        <x:v>3150</x:v>
      </x:c>
      <x:c r="Y83" s="217" t="n">
        <x:v>57</x:v>
      </x:c>
    </x:row>
    <x:row r="84">
      <x:c r="A84" s="216" t="n">
        <x:v>1033</x:v>
      </x:c>
      <x:c r="B84" s="216" t="str">
        <x:v>永和國父紀念館</x:v>
      </x:c>
      <x:c r="C84" s="216" t="str">
        <x:v>永和區</x:v>
      </x:c>
      <x:c r="D84" s="216" t="n">
        <x:v>30</x:v>
      </x:c>
      <x:c r="E84" s="216" t="n">
        <x:v>120</x:v>
      </x:c>
      <x:c r="F84" s="219" t="n">
        <x:v>0.9994791666666667</x:v>
      </x:c>
      <x:c r="G84" s="216" t="n">
        <x:v>80</x:v>
      </x:c>
      <x:c r="H84" s="216" t="str">
        <x:f>IF(G84&lt;='排名定義'!$B$5,"是","")</x:f>
        <x:v>是</x:v>
      </x:c>
      <x:c r="I84" s="216" t="n">
        <x:v>74</x:v>
      </x:c>
      <x:c r="J84" s="216" t="str">
        <x:f>IF(I84&lt;='排名定義'!$B$5,"是","")</x:f>
        <x:v>是</x:v>
      </x:c>
      <x:c r="K84" s="216" t="n">
        <x:v>235</x:v>
      </x:c>
      <x:c r="L84" s="216" t="str">
        <x:f>IF(K84&lt;='排名定義'!$B$5,"是","")</x:f>
        <x:v>是</x:v>
      </x:c>
      <x:c r="M84" s="216" t="n">
        <x:f>COUNTIF(H84:L84,"是")</x:f>
        <x:v>3</x:v>
      </x:c>
      <x:c r="N84" s="216" t="str">
        <x:v>三份皆入選</x:v>
      </x:c>
      <x:c r="O84" s="221" t="n">
        <x:v>139.06666666666666</x:v>
      </x:c>
      <x:c r="P84" s="221" t="n">
        <x:v>132.19166666666666</x:v>
      </x:c>
      <x:c r="Q84" s="221" t="n">
        <x:v>6.875</x:v>
      </x:c>
      <x:c r="R84" s="221" t="n">
        <x:v>0.04943672099712368</x:v>
      </x:c>
      <x:c r="S84" s="221" t="n">
        <x:v>179.16129032258064</x:v>
      </x:c>
      <x:c r="T84" s="221" t="n">
        <x:v>173</x:v>
      </x:c>
      <x:c r="U84" s="221" t="n">
        <x:v>6.161290322580645</x:v>
      </x:c>
      <x:c r="V84" s="219" t="n">
        <x:v>0.07834101382488479</x:v>
      </x:c>
      <x:c r="W84" s="216" t="n">
        <x:v>17</x:v>
      </x:c>
      <x:c r="X84" s="223" t="n">
        <x:v>2880</x:v>
      </x:c>
      <x:c r="Y84" s="216" t="n">
        <x:v>30</x:v>
      </x:c>
    </x:row>
    <x:row r="85">
      <x:c r="A85" s="217" t="n">
        <x:v>1466</x:v>
      </x:c>
      <x:c r="B85" s="217" t="str">
        <x:v>聯合醫院板橋院區</x:v>
      </x:c>
      <x:c r="C85" s="217" t="str">
        <x:v>板橋區</x:v>
      </x:c>
      <x:c r="D85" s="217" t="n">
        <x:v>52</x:v>
      </x:c>
      <x:c r="E85" s="217" t="n">
        <x:v>120</x:v>
      </x:c>
      <x:c r="F85" s="218" t="n">
        <x:v>0.9994791666666667</x:v>
      </x:c>
      <x:c r="G85" s="217" t="n">
        <x:v>81</x:v>
      </x:c>
      <x:c r="H85" s="217" t="str">
        <x:f>IF(G85&lt;='排名定義'!$B$5,"是","")</x:f>
        <x:v>是</x:v>
      </x:c>
      <x:c r="I85" s="217" t="n">
        <x:v>80</x:v>
      </x:c>
      <x:c r="J85" s="217" t="str">
        <x:f>IF(I85&lt;='排名定義'!$B$5,"是","")</x:f>
        <x:v>是</x:v>
      </x:c>
      <x:c r="K85" s="217" t="n">
        <x:v>70</x:v>
      </x:c>
      <x:c r="L85" s="217" t="str">
        <x:f>IF(K85&lt;='排名定義'!$B$5,"是","")</x:f>
        <x:v>是</x:v>
      </x:c>
      <x:c r="M85" s="217" t="n">
        <x:f>COUNTIF(H85:L85,"是")</x:f>
        <x:v>3</x:v>
      </x:c>
      <x:c r="N85" s="217" t="str">
        <x:v>三份皆入選</x:v>
      </x:c>
      <x:c r="O85" s="220" t="n">
        <x:v>137.93333333333334</x:v>
      </x:c>
      <x:c r="P85" s="220" t="n">
        <x:v>128.48333333333332</x:v>
      </x:c>
      <x:c r="Q85" s="220" t="n">
        <x:v>9.45</x:v>
      </x:c>
      <x:c r="R85" s="220" t="n">
        <x:v>0.06851135814403093</x:v>
      </x:c>
      <x:c r="S85" s="220" t="n">
        <x:v>152.32258064516128</x:v>
      </x:c>
      <x:c r="T85" s="220" t="n">
        <x:v>146.19354838709677</x:v>
      </x:c>
      <x:c r="U85" s="220" t="n">
        <x:v>6.129032258064516</x:v>
      </x:c>
      <x:c r="V85" s="218" t="n">
        <x:v>0.06221198156682028</x:v>
      </x:c>
      <x:c r="W85" s="217" t="n">
        <x:v>22</x:v>
      </x:c>
      <x:c r="X85" s="222" t="n">
        <x:v>2610</x:v>
      </x:c>
      <x:c r="Y85" s="217" t="n">
        <x:v>52</x:v>
      </x:c>
    </x:row>
    <x:row r="86">
      <x:c r="A86" s="216" t="n">
        <x:v>1394</x:v>
      </x:c>
      <x:c r="B86" s="216" t="str">
        <x:v>昌隆國小</x:v>
      </x:c>
      <x:c r="C86" s="216" t="str">
        <x:v>新莊區</x:v>
      </x:c>
      <x:c r="D86" s="216" t="n">
        <x:v>46</x:v>
      </x:c>
      <x:c r="E86" s="216" t="n">
        <x:v>120</x:v>
      </x:c>
      <x:c r="F86" s="219" t="n">
        <x:v>0.9994791666666667</x:v>
      </x:c>
      <x:c r="G86" s="216" t="n">
        <x:v>82</x:v>
      </x:c>
      <x:c r="H86" s="216" t="str">
        <x:f>IF(G86&lt;='排名定義'!$B$5,"是","")</x:f>
        <x:v>是</x:v>
      </x:c>
      <x:c r="I86" s="216" t="n">
        <x:v>82</x:v>
      </x:c>
      <x:c r="J86" s="216" t="str">
        <x:f>IF(I86&lt;='排名定義'!$B$5,"是","")</x:f>
        <x:v>是</x:v>
      </x:c>
      <x:c r="K86" s="216" t="n">
        <x:v>113</x:v>
      </x:c>
      <x:c r="L86" s="216" t="str">
        <x:f>IF(K86&lt;='排名定義'!$B$5,"是","")</x:f>
        <x:v>是</x:v>
      </x:c>
      <x:c r="M86" s="216" t="n">
        <x:f>COUNTIF(H86:L86,"是")</x:f>
        <x:v>3</x:v>
      </x:c>
      <x:c r="N86" s="216" t="str">
        <x:v>三份皆入選</x:v>
      </x:c>
      <x:c r="O86" s="221" t="n">
        <x:v>135.41666666666666</x:v>
      </x:c>
      <x:c r="P86" s="221" t="n">
        <x:v>127</x:v>
      </x:c>
      <x:c r="Q86" s="221" t="n">
        <x:v>8.416666666666666</x:v>
      </x:c>
      <x:c r="R86" s="221" t="n">
        <x:v>0.06215384615384616</x:v>
      </x:c>
      <x:c r="S86" s="221" t="n">
        <x:v>155.4516129032258</x:v>
      </x:c>
      <x:c r="T86" s="221" t="n">
        <x:v>148.83870967741936</x:v>
      </x:c>
      <x:c r="U86" s="221" t="n">
        <x:v>6.612903225806452</x:v>
      </x:c>
      <x:c r="V86" s="219" t="n">
        <x:v>0.05069124423963134</x:v>
      </x:c>
      <x:c r="W86" s="216" t="n">
        <x:v>13</x:v>
      </x:c>
      <x:c r="X86" s="223" t="n">
        <x:v>1740</x:v>
      </x:c>
      <x:c r="Y86" s="216" t="n">
        <x:v>46</x:v>
      </x:c>
    </x:row>
    <x:row r="87">
      <x:c r="A87" s="217" t="n">
        <x:v>1495</x:v>
      </x:c>
      <x:c r="B87" s="217" t="str">
        <x:v>捷運亞東醫院站(3號出口)</x:v>
      </x:c>
      <x:c r="C87" s="217" t="str">
        <x:v>板橋區</x:v>
      </x:c>
      <x:c r="D87" s="217" t="n">
        <x:v>56</x:v>
      </x:c>
      <x:c r="E87" s="217" t="n">
        <x:v>120</x:v>
      </x:c>
      <x:c r="F87" s="218" t="n">
        <x:v>0.9994791666666667</x:v>
      </x:c>
      <x:c r="G87" s="217" t="n">
        <x:v>83</x:v>
      </x:c>
      <x:c r="H87" s="217" t="str">
        <x:f>IF(G87&lt;='排名定義'!$B$5,"是","")</x:f>
        <x:v>是</x:v>
      </x:c>
      <x:c r="I87" s="217" t="n">
        <x:v>85</x:v>
      </x:c>
      <x:c r="J87" s="217" t="str">
        <x:f>IF(I87&lt;='排名定義'!$B$5,"是","")</x:f>
        <x:v>是</x:v>
      </x:c>
      <x:c r="K87" s="217" t="n">
        <x:v>49</x:v>
      </x:c>
      <x:c r="L87" s="217" t="str">
        <x:f>IF(K87&lt;='排名定義'!$B$5,"是","")</x:f>
        <x:v>是</x:v>
      </x:c>
      <x:c r="M87" s="217" t="n">
        <x:f>COUNTIF(H87:L87,"是")</x:f>
        <x:v>3</x:v>
      </x:c>
      <x:c r="N87" s="217" t="str">
        <x:v>三份皆入選</x:v>
      </x:c>
      <x:c r="O87" s="220" t="n">
        <x:v>134.81666666666666</x:v>
      </x:c>
      <x:c r="P87" s="220" t="n">
        <x:v>124.175</x:v>
      </x:c>
      <x:c r="Q87" s="220" t="n">
        <x:v>10.641666666666667</x:v>
      </x:c>
      <x:c r="R87" s="220" t="n">
        <x:v>0.07893435529731735</x:v>
      </x:c>
      <x:c r="S87" s="220" t="n">
        <x:v>154.1290322580645</x:v>
      </x:c>
      <x:c r="T87" s="220" t="n">
        <x:v>143.3548387096774</x:v>
      </x:c>
      <x:c r="U87" s="220" t="n">
        <x:v>10.774193548387096</x:v>
      </x:c>
      <x:c r="V87" s="218" t="n">
        <x:v>0.03686635944700461</x:v>
      </x:c>
      <x:c r="W87" s="217" t="n">
        <x:v>37</x:v>
      </x:c>
      <x:c r="X87" s="222" t="n">
        <x:v>4620</x:v>
      </x:c>
      <x:c r="Y87" s="217" t="n">
        <x:v>56</x:v>
      </x:c>
    </x:row>
    <x:row r="88">
      <x:c r="A88" s="216" t="n">
        <x:v>1367</x:v>
      </x:c>
      <x:c r="B88" s="216" t="str">
        <x:v>板橋戶政事務所</x:v>
      </x:c>
      <x:c r="C88" s="216" t="str">
        <x:v>板橋區</x:v>
      </x:c>
      <x:c r="D88" s="216" t="n">
        <x:v>44</x:v>
      </x:c>
      <x:c r="E88" s="216" t="n">
        <x:v>120</x:v>
      </x:c>
      <x:c r="F88" s="219" t="n">
        <x:v>0.9994791666666667</x:v>
      </x:c>
      <x:c r="G88" s="216" t="n">
        <x:v>84</x:v>
      </x:c>
      <x:c r="H88" s="216" t="str">
        <x:f>IF(G88&lt;='排名定義'!$B$5,"是","")</x:f>
        <x:v>是</x:v>
      </x:c>
      <x:c r="I88" s="216" t="n">
        <x:v>84</x:v>
      </x:c>
      <x:c r="J88" s="216" t="str">
        <x:f>IF(I88&lt;='排名定義'!$B$5,"是","")</x:f>
        <x:v>是</x:v>
      </x:c>
      <x:c r="K88" s="216" t="n">
        <x:v>69</x:v>
      </x:c>
      <x:c r="L88" s="216" t="str">
        <x:f>IF(K88&lt;='排名定義'!$B$5,"是","")</x:f>
        <x:v>是</x:v>
      </x:c>
      <x:c r="M88" s="216" t="n">
        <x:f>COUNTIF(H88:L88,"是")</x:f>
        <x:v>3</x:v>
      </x:c>
      <x:c r="N88" s="216" t="str">
        <x:v>三份皆入選</x:v>
      </x:c>
      <x:c r="O88" s="221" t="n">
        <x:v>134.725</x:v>
      </x:c>
      <x:c r="P88" s="221" t="n">
        <x:v>125.26666666666667</x:v>
      </x:c>
      <x:c r="Q88" s="221" t="n">
        <x:v>9.458333333333334</x:v>
      </x:c>
      <x:c r="R88" s="221" t="n">
        <x:v>0.07020473804663821</x:v>
      </x:c>
      <x:c r="S88" s="221" t="n">
        <x:v>155.19354838709677</x:v>
      </x:c>
      <x:c r="T88" s="221" t="n">
        <x:v>146.32258064516128</x:v>
      </x:c>
      <x:c r="U88" s="221" t="n">
        <x:v>8.870967741935484</x:v>
      </x:c>
      <x:c r="V88" s="219" t="n">
        <x:v>0.059907834101382486</x:v>
      </x:c>
      <x:c r="W88" s="216" t="n">
        <x:v>12</x:v>
      </x:c>
      <x:c r="X88" s="223" t="n">
        <x:v>1980</x:v>
      </x:c>
      <x:c r="Y88" s="216" t="n">
        <x:v>44</x:v>
      </x:c>
    </x:row>
    <x:row r="89">
      <x:c r="A89" s="217" t="n">
        <x:v>1319</x:v>
      </x:c>
      <x:c r="B89" s="217" t="str">
        <x:v>輔仁大學附設醫院</x:v>
      </x:c>
      <x:c r="C89" s="217" t="str">
        <x:v>新莊區</x:v>
      </x:c>
      <x:c r="D89" s="217" t="n">
        <x:v>41</x:v>
      </x:c>
      <x:c r="E89" s="217" t="n">
        <x:v>120</x:v>
      </x:c>
      <x:c r="F89" s="218" t="n">
        <x:v>0.9994791666666667</x:v>
      </x:c>
      <x:c r="G89" s="217" t="n">
        <x:v>85</x:v>
      </x:c>
      <x:c r="H89" s="217" t="str">
        <x:f>IF(G89&lt;='排名定義'!$B$5,"是","")</x:f>
        <x:v>是</x:v>
      </x:c>
      <x:c r="I89" s="217" t="n">
        <x:v>83</x:v>
      </x:c>
      <x:c r="J89" s="217" t="str">
        <x:f>IF(I89&lt;='排名定義'!$B$5,"是","")</x:f>
        <x:v>是</x:v>
      </x:c>
      <x:c r="K89" s="217" t="n">
        <x:v>105</x:v>
      </x:c>
      <x:c r="L89" s="217" t="str">
        <x:f>IF(K89&lt;='排名定義'!$B$5,"是","")</x:f>
        <x:v>是</x:v>
      </x:c>
      <x:c r="M89" s="217" t="n">
        <x:f>COUNTIF(H89:L89,"是")</x:f>
        <x:v>3</x:v>
      </x:c>
      <x:c r="N89" s="217" t="str">
        <x:v>三份皆入選</x:v>
      </x:c>
      <x:c r="O89" s="220" t="n">
        <x:v>134.36666666666667</x:v>
      </x:c>
      <x:c r="P89" s="220" t="n">
        <x:v>125.8</x:v>
      </x:c>
      <x:c r="Q89" s="220" t="n">
        <x:v>8.566666666666666</x:v>
      </x:c>
      <x:c r="R89" s="220" t="n">
        <x:v>0.06375589183825353</x:v>
      </x:c>
      <x:c r="S89" s="220" t="n">
        <x:v>176.6451612903226</x:v>
      </x:c>
      <x:c r="T89" s="220" t="n">
        <x:v>168.93548387096774</x:v>
      </x:c>
      <x:c r="U89" s="220" t="n">
        <x:v>7.709677419354839</x:v>
      </x:c>
      <x:c r="V89" s="218" t="n">
        <x:v>0.041474654377880185</x:v>
      </x:c>
      <x:c r="W89" s="217" t="n">
        <x:v>12</x:v>
      </x:c>
      <x:c r="X89" s="222" t="n">
        <x:v>1740</x:v>
      </x:c>
      <x:c r="Y89" s="217" t="n">
        <x:v>41</x:v>
      </x:c>
    </x:row>
    <x:row r="90">
      <x:c r="A90" s="216" t="n">
        <x:v>63</x:v>
      </x:c>
      <x:c r="B90" s="216" t="str">
        <x:v>新北市立圖書館總館</x:v>
      </x:c>
      <x:c r="C90" s="216" t="str">
        <x:v>板橋區</x:v>
      </x:c>
      <x:c r="D90" s="216" t="n">
        <x:v>53</x:v>
      </x:c>
      <x:c r="E90" s="216" t="n">
        <x:v>120</x:v>
      </x:c>
      <x:c r="F90" s="219" t="n">
        <x:v>0.9994791666666667</x:v>
      </x:c>
      <x:c r="G90" s="216" t="n">
        <x:v>86</x:v>
      </x:c>
      <x:c r="H90" s="216" t="str">
        <x:f>IF(G90&lt;='排名定義'!$B$5,"是","")</x:f>
        <x:v>是</x:v>
      </x:c>
      <x:c r="I90" s="216" t="n">
        <x:v>87</x:v>
      </x:c>
      <x:c r="J90" s="216" t="str">
        <x:f>IF(I90&lt;='排名定義'!$B$5,"是","")</x:f>
        <x:v>是</x:v>
      </x:c>
      <x:c r="K90" s="216" t="n">
        <x:v>57</x:v>
      </x:c>
      <x:c r="L90" s="216" t="str">
        <x:f>IF(K90&lt;='排名定義'!$B$5,"是","")</x:f>
        <x:v>是</x:v>
      </x:c>
      <x:c r="M90" s="216" t="n">
        <x:f>COUNTIF(H90:L90,"是")</x:f>
        <x:v>3</x:v>
      </x:c>
      <x:c r="N90" s="216" t="str">
        <x:v>三份皆入選</x:v>
      </x:c>
      <x:c r="O90" s="221" t="n">
        <x:v>133.04166666666666</x:v>
      </x:c>
      <x:c r="P90" s="221" t="n">
        <x:v>122.925</x:v>
      </x:c>
      <x:c r="Q90" s="221" t="n">
        <x:v>10.116666666666667</x:v>
      </x:c>
      <x:c r="R90" s="221" t="n">
        <x:v>0.07604134043219543</x:v>
      </x:c>
      <x:c r="S90" s="221" t="n">
        <x:v>182.32258064516128</x:v>
      </x:c>
      <x:c r="T90" s="221" t="n">
        <x:v>173.90322580645162</x:v>
      </x:c>
      <x:c r="U90" s="221" t="n">
        <x:v>8.419354838709678</x:v>
      </x:c>
      <x:c r="V90" s="219" t="n">
        <x:v>0.01152073732718894</x:v>
      </x:c>
      <x:c r="W90" s="216" t="n">
        <x:v>7</x:v>
      </x:c>
      <x:c r="X90" s="223" t="n">
        <x:v>1170</x:v>
      </x:c>
      <x:c r="Y90" s="216" t="n">
        <x:v>53</x:v>
      </x:c>
    </x:row>
    <x:row r="91">
      <x:c r="A91" s="217" t="n">
        <x:v>1453</x:v>
      </x:c>
      <x:c r="B91" s="217" t="str">
        <x:v>宏匯廣場</x:v>
      </x:c>
      <x:c r="C91" s="217" t="str">
        <x:v>新莊區</x:v>
      </x:c>
      <x:c r="D91" s="217" t="n">
        <x:v>51</x:v>
      </x:c>
      <x:c r="E91" s="217" t="n">
        <x:v>120</x:v>
      </x:c>
      <x:c r="F91" s="218" t="n">
        <x:v>0.9994791666666667</x:v>
      </x:c>
      <x:c r="G91" s="217" t="n">
        <x:v>87</x:v>
      </x:c>
      <x:c r="H91" s="217" t="str">
        <x:f>IF(G91&lt;='排名定義'!$B$5,"是","")</x:f>
        <x:v>是</x:v>
      </x:c>
      <x:c r="I91" s="217" t="n">
        <x:v>88</x:v>
      </x:c>
      <x:c r="J91" s="217" t="str">
        <x:f>IF(I91&lt;='排名定義'!$B$5,"是","")</x:f>
        <x:v>是</x:v>
      </x:c>
      <x:c r="K91" s="217" t="n">
        <x:v>75</x:v>
      </x:c>
      <x:c r="L91" s="217" t="str">
        <x:f>IF(K91&lt;='排名定義'!$B$5,"是","")</x:f>
        <x:v>是</x:v>
      </x:c>
      <x:c r="M91" s="217" t="n">
        <x:f>COUNTIF(H91:L91,"是")</x:f>
        <x:v>3</x:v>
      </x:c>
      <x:c r="N91" s="217" t="str">
        <x:v>三份皆入選</x:v>
      </x:c>
      <x:c r="O91" s="220" t="n">
        <x:v>132.08333333333334</x:v>
      </x:c>
      <x:c r="P91" s="220" t="n">
        <x:v>122.79166666666667</x:v>
      </x:c>
      <x:c r="Q91" s="220" t="n">
        <x:v>9.291666666666666</x:v>
      </x:c>
      <x:c r="R91" s="220" t="n">
        <x:v>0.07034700315457414</x:v>
      </x:c>
      <x:c r="S91" s="220" t="n">
        <x:v>178.16129032258064</x:v>
      </x:c>
      <x:c r="T91" s="220" t="n">
        <x:v>168.25806451612902</x:v>
      </x:c>
      <x:c r="U91" s="220" t="n">
        <x:v>9.903225806451612</x:v>
      </x:c>
      <x:c r="V91" s="218" t="n">
        <x:v>0.016129032258064516</x:v>
      </x:c>
      <x:c r="W91" s="217" t="n">
        <x:v>38</x:v>
      </x:c>
      <x:c r="X91" s="222" t="n">
        <x:v>5010</x:v>
      </x:c>
      <x:c r="Y91" s="217" t="n">
        <x:v>51</x:v>
      </x:c>
    </x:row>
    <x:row r="92">
      <x:c r="A92" s="216" t="n">
        <x:v>1261</x:v>
      </x:c>
      <x:c r="B92" s="216" t="str">
        <x:v>延和社區公園</x:v>
      </x:c>
      <x:c r="C92" s="216" t="str">
        <x:v>土城區</x:v>
      </x:c>
      <x:c r="D92" s="216" t="n">
        <x:v>40</x:v>
      </x:c>
      <x:c r="E92" s="216" t="n">
        <x:v>120</x:v>
      </x:c>
      <x:c r="F92" s="219" t="n">
        <x:v>0.9994791666666667</x:v>
      </x:c>
      <x:c r="G92" s="216" t="n">
        <x:v>88</x:v>
      </x:c>
      <x:c r="H92" s="216" t="str">
        <x:f>IF(G92&lt;='排名定義'!$B$5,"是","")</x:f>
        <x:v>是</x:v>
      </x:c>
      <x:c r="I92" s="216" t="n">
        <x:v>89</x:v>
      </x:c>
      <x:c r="J92" s="216" t="str">
        <x:f>IF(I92&lt;='排名定義'!$B$5,"是","")</x:f>
        <x:v>是</x:v>
      </x:c>
      <x:c r="K92" s="216" t="n">
        <x:v>96</x:v>
      </x:c>
      <x:c r="L92" s="216" t="str">
        <x:f>IF(K92&lt;='排名定義'!$B$5,"是","")</x:f>
        <x:v>是</x:v>
      </x:c>
      <x:c r="M92" s="216" t="n">
        <x:f>COUNTIF(H92:L92,"是")</x:f>
        <x:v>3</x:v>
      </x:c>
      <x:c r="N92" s="216" t="str">
        <x:v>三份皆入選</x:v>
      </x:c>
      <x:c r="O92" s="221" t="n">
        <x:v>131.45833333333334</x:v>
      </x:c>
      <x:c r="P92" s="221" t="n">
        <x:v>122.725</x:v>
      </x:c>
      <x:c r="Q92" s="221" t="n">
        <x:v>8.733333333333333</x:v>
      </x:c>
      <x:c r="R92" s="221" t="n">
        <x:v>0.06643423137876386</x:v>
      </x:c>
      <x:c r="S92" s="221" t="n">
        <x:v>163.58064516129033</x:v>
      </x:c>
      <x:c r="T92" s="221" t="n">
        <x:v>155.80645161290323</x:v>
      </x:c>
      <x:c r="U92" s="221" t="n">
        <x:v>7.774193548387097</x:v>
      </x:c>
      <x:c r="V92" s="219" t="n">
        <x:v>0.009216589861751152</x:v>
      </x:c>
      <x:c r="W92" s="216" t="n">
        <x:v>5</x:v>
      </x:c>
      <x:c r="X92" s="223" t="n">
        <x:v>870</x:v>
      </x:c>
      <x:c r="Y92" s="216" t="n">
        <x:v>40</x:v>
      </x:c>
    </x:row>
    <x:row r="93">
      <x:c r="A93" s="217" t="n">
        <x:v>1288</x:v>
      </x:c>
      <x:c r="B93" s="217" t="str">
        <x:v>飛駝社區(興南路)</x:v>
      </x:c>
      <x:c r="C93" s="217" t="str">
        <x:v>中和區</x:v>
      </x:c>
      <x:c r="D93" s="217" t="n">
        <x:v>40</x:v>
      </x:c>
      <x:c r="E93" s="217" t="n">
        <x:v>120</x:v>
      </x:c>
      <x:c r="F93" s="218" t="n">
        <x:v>0.9994791666666667</x:v>
      </x:c>
      <x:c r="G93" s="217" t="n">
        <x:v>89</x:v>
      </x:c>
      <x:c r="H93" s="217" t="str">
        <x:f>IF(G93&lt;='排名定義'!$B$5,"是","")</x:f>
        <x:v>是</x:v>
      </x:c>
      <x:c r="I93" s="217" t="n">
        <x:v>86</x:v>
      </x:c>
      <x:c r="J93" s="217" t="str">
        <x:f>IF(I93&lt;='排名定義'!$B$5,"是","")</x:f>
        <x:v>是</x:v>
      </x:c>
      <x:c r="K93" s="217" t="n">
        <x:v>179</x:v>
      </x:c>
      <x:c r="L93" s="217" t="str">
        <x:f>IF(K93&lt;='排名定義'!$B$5,"是","")</x:f>
        <x:v>是</x:v>
      </x:c>
      <x:c r="M93" s="217" t="n">
        <x:f>COUNTIF(H93:L93,"是")</x:f>
        <x:v>3</x:v>
      </x:c>
      <x:c r="N93" s="217" t="str">
        <x:v>三份皆入選</x:v>
      </x:c>
      <x:c r="O93" s="220" t="n">
        <x:v>131.35</x:v>
      </x:c>
      <x:c r="P93" s="220" t="n">
        <x:v>123.925</x:v>
      </x:c>
      <x:c r="Q93" s="220" t="n">
        <x:v>7.425</x:v>
      </x:c>
      <x:c r="R93" s="220" t="n">
        <x:v>0.05652835934526075</x:v>
      </x:c>
      <x:c r="S93" s="220" t="n">
        <x:v>154.03225806451613</x:v>
      </x:c>
      <x:c r="T93" s="220" t="n">
        <x:v>148.09677419354838</x:v>
      </x:c>
      <x:c r="U93" s="220" t="n">
        <x:v>5.935483870967742</x:v>
      </x:c>
      <x:c r="V93" s="218" t="n">
        <x:v>0.06221198156682028</x:v>
      </x:c>
      <x:c r="W93" s="217" t="n">
        <x:v>26</x:v>
      </x:c>
      <x:c r="X93" s="222" t="n">
        <x:v>3060</x:v>
      </x:c>
      <x:c r="Y93" s="217" t="n">
        <x:v>40</x:v>
      </x:c>
    </x:row>
    <x:row r="94">
      <x:c r="A94" s="216" t="n">
        <x:v>1238</x:v>
      </x:c>
      <x:c r="B94" s="216" t="str">
        <x:v>德光國光街口</x:v>
      </x:c>
      <x:c r="C94" s="216" t="str">
        <x:v>中和區</x:v>
      </x:c>
      <x:c r="D94" s="216" t="n">
        <x:v>39</x:v>
      </x:c>
      <x:c r="E94" s="216" t="n">
        <x:v>120</x:v>
      </x:c>
      <x:c r="F94" s="219" t="n">
        <x:v>0.9994791666666667</x:v>
      </x:c>
      <x:c r="G94" s="216" t="n">
        <x:v>90</x:v>
      </x:c>
      <x:c r="H94" s="216" t="str">
        <x:f>IF(G94&lt;='排名定義'!$B$5,"是","")</x:f>
        <x:v>是</x:v>
      </x:c>
      <x:c r="I94" s="216" t="n">
        <x:v>91</x:v>
      </x:c>
      <x:c r="J94" s="216" t="str">
        <x:f>IF(I94&lt;='排名定義'!$B$5,"是","")</x:f>
        <x:v>是</x:v>
      </x:c>
      <x:c r="K94" s="216" t="n">
        <x:v>84</x:v>
      </x:c>
      <x:c r="L94" s="216" t="str">
        <x:f>IF(K94&lt;='排名定義'!$B$5,"是","")</x:f>
        <x:v>是</x:v>
      </x:c>
      <x:c r="M94" s="216" t="n">
        <x:f>COUNTIF(H94:L94,"是")</x:f>
        <x:v>3</x:v>
      </x:c>
      <x:c r="N94" s="216" t="str">
        <x:v>三份皆入選</x:v>
      </x:c>
      <x:c r="O94" s="221" t="n">
        <x:v>130.91666666666666</x:v>
      </x:c>
      <x:c r="P94" s="221" t="n">
        <x:v>121.925</x:v>
      </x:c>
      <x:c r="Q94" s="221" t="n">
        <x:v>8.991666666666667</x:v>
      </x:c>
      <x:c r="R94" s="221" t="n">
        <x:v>0.06868236791852324</x:v>
      </x:c>
      <x:c r="S94" s="221" t="n">
        <x:v>161.4516129032258</x:v>
      </x:c>
      <x:c r="T94" s="221" t="n">
        <x:v>153.16129032258064</x:v>
      </x:c>
      <x:c r="U94" s="221" t="n">
        <x:v>8.290322580645162</x:v>
      </x:c>
      <x:c r="V94" s="219" t="n">
        <x:v>0.03917050691244239</x:v>
      </x:c>
      <x:c r="W94" s="216" t="n">
        <x:v>14</x:v>
      </x:c>
      <x:c r="X94" s="223" t="n">
        <x:v>2250</x:v>
      </x:c>
      <x:c r="Y94" s="216" t="n">
        <x:v>39</x:v>
      </x:c>
    </x:row>
    <x:row r="95">
      <x:c r="A95" s="217" t="n">
        <x:v>30</x:v>
      </x:c>
      <x:c r="B95" s="217" t="str">
        <x:v>捷運先嗇宮站(2號出口)</x:v>
      </x:c>
      <x:c r="C95" s="217" t="str">
        <x:v>三重區</x:v>
      </x:c>
      <x:c r="D95" s="217" t="n">
        <x:v>64</x:v>
      </x:c>
      <x:c r="E95" s="217" t="n">
        <x:v>120</x:v>
      </x:c>
      <x:c r="F95" s="218" t="n">
        <x:v>0.9994791666666667</x:v>
      </x:c>
      <x:c r="G95" s="217" t="n">
        <x:v>91</x:v>
      </x:c>
      <x:c r="H95" s="217" t="str">
        <x:f>IF(G95&lt;='排名定義'!$B$5,"是","")</x:f>
        <x:v>是</x:v>
      </x:c>
      <x:c r="I95" s="217" t="n">
        <x:v>94</x:v>
      </x:c>
      <x:c r="J95" s="217" t="str">
        <x:f>IF(I95&lt;='排名定義'!$B$5,"是","")</x:f>
        <x:v>是</x:v>
      </x:c>
      <x:c r="K95" s="217" t="n">
        <x:v>67</x:v>
      </x:c>
      <x:c r="L95" s="217" t="str">
        <x:f>IF(K95&lt;='排名定義'!$B$5,"是","")</x:f>
        <x:v>是</x:v>
      </x:c>
      <x:c r="M95" s="217" t="n">
        <x:f>COUNTIF(H95:L95,"是")</x:f>
        <x:v>3</x:v>
      </x:c>
      <x:c r="N95" s="217" t="str">
        <x:v>三份皆入選</x:v>
      </x:c>
      <x:c r="O95" s="220" t="n">
        <x:v>129.825</x:v>
      </x:c>
      <x:c r="P95" s="220" t="n">
        <x:v>120.19166666666666</x:v>
      </x:c>
      <x:c r="Q95" s="220" t="n">
        <x:v>9.633333333333333</x:v>
      </x:c>
      <x:c r="R95" s="220" t="n">
        <x:v>0.07420245201874318</x:v>
      </x:c>
      <x:c r="S95" s="220" t="n">
        <x:v>139.06451612903226</x:v>
      </x:c>
      <x:c r="T95" s="220" t="n">
        <x:v>131.7741935483871</x:v>
      </x:c>
      <x:c r="U95" s="220" t="n">
        <x:v>7.290322580645161</x:v>
      </x:c>
      <x:c r="V95" s="218" t="n">
        <x:v>0.03917050691244239</x:v>
      </x:c>
      <x:c r="W95" s="217" t="n">
        <x:v>28</x:v>
      </x:c>
      <x:c r="X95" s="222" t="n">
        <x:v>3090</x:v>
      </x:c>
      <x:c r="Y95" s="217" t="n">
        <x:v>64</x:v>
      </x:c>
    </x:row>
    <x:row r="96">
      <x:c r="A96" s="216" t="n">
        <x:v>41</x:v>
      </x:c>
      <x:c r="B96" s="216" t="str">
        <x:v>捷運新埔站(5號出口)</x:v>
      </x:c>
      <x:c r="C96" s="216" t="str">
        <x:v>板橋區</x:v>
      </x:c>
      <x:c r="D96" s="216" t="n">
        <x:v>79</x:v>
      </x:c>
      <x:c r="E96" s="216" t="n">
        <x:v>120</x:v>
      </x:c>
      <x:c r="F96" s="219" t="n">
        <x:v>0.9994791666666667</x:v>
      </x:c>
      <x:c r="G96" s="216" t="n">
        <x:v>92</x:v>
      </x:c>
      <x:c r="H96" s="216" t="str">
        <x:f>IF(G96&lt;='排名定義'!$B$5,"是","")</x:f>
        <x:v>是</x:v>
      </x:c>
      <x:c r="I96" s="216" t="n">
        <x:v>95</x:v>
      </x:c>
      <x:c r="J96" s="216" t="str">
        <x:f>IF(I96&lt;='排名定義'!$B$5,"是","")</x:f>
        <x:v>是</x:v>
      </x:c>
      <x:c r="K96" s="216" t="n">
        <x:v>76</x:v>
      </x:c>
      <x:c r="L96" s="216" t="str">
        <x:f>IF(K96&lt;='排名定義'!$B$5,"是","")</x:f>
        <x:v>是</x:v>
      </x:c>
      <x:c r="M96" s="216" t="n">
        <x:f>COUNTIF(H96:L96,"是")</x:f>
        <x:v>3</x:v>
      </x:c>
      <x:c r="N96" s="216" t="str">
        <x:v>三份皆入選</x:v>
      </x:c>
      <x:c r="O96" s="221" t="n">
        <x:v>129.125</x:v>
      </x:c>
      <x:c r="P96" s="221" t="n">
        <x:v>119.88333333333334</x:v>
      </x:c>
      <x:c r="Q96" s="221" t="n">
        <x:v>9.241666666666667</x:v>
      </x:c>
      <x:c r="R96" s="221" t="n">
        <x:v>0.07157147466924814</x:v>
      </x:c>
      <x:c r="S96" s="221" t="n">
        <x:v>150.5483870967742</x:v>
      </x:c>
      <x:c r="T96" s="221" t="n">
        <x:v>142.06451612903226</x:v>
      </x:c>
      <x:c r="U96" s="221" t="n">
        <x:v>8.483870967741936</x:v>
      </x:c>
      <x:c r="V96" s="219" t="n">
        <x:v>0.04838709677419355</x:v>
      </x:c>
      <x:c r="W96" s="216" t="n">
        <x:v>37</x:v>
      </x:c>
      <x:c r="X96" s="223" t="n">
        <x:v>4020</x:v>
      </x:c>
      <x:c r="Y96" s="216" t="n">
        <x:v>79</x:v>
      </x:c>
    </x:row>
    <x:row r="97">
      <x:c r="A97" s="217" t="n">
        <x:v>1274</x:v>
      </x:c>
      <x:c r="B97" s="217" t="str">
        <x:v>永安兒童公園</x:v>
      </x:c>
      <x:c r="C97" s="217" t="str">
        <x:v>蘆洲區</x:v>
      </x:c>
      <x:c r="D97" s="217" t="n">
        <x:v>40</x:v>
      </x:c>
      <x:c r="E97" s="217" t="n">
        <x:v>120</x:v>
      </x:c>
      <x:c r="F97" s="218" t="n">
        <x:v>0.9994791666666667</x:v>
      </x:c>
      <x:c r="G97" s="217" t="n">
        <x:v>93</x:v>
      </x:c>
      <x:c r="H97" s="217" t="str">
        <x:f>IF(G97&lt;='排名定義'!$B$5,"是","")</x:f>
        <x:v>是</x:v>
      </x:c>
      <x:c r="I97" s="217" t="n">
        <x:v>92</x:v>
      </x:c>
      <x:c r="J97" s="217" t="str">
        <x:f>IF(I97&lt;='排名定義'!$B$5,"是","")</x:f>
        <x:v>是</x:v>
      </x:c>
      <x:c r="K97" s="217" t="n">
        <x:v>181</x:v>
      </x:c>
      <x:c r="L97" s="217" t="str">
        <x:f>IF(K97&lt;='排名定義'!$B$5,"是","")</x:f>
        <x:v>是</x:v>
      </x:c>
      <x:c r="M97" s="217" t="n">
        <x:f>COUNTIF(H97:L97,"是")</x:f>
        <x:v>3</x:v>
      </x:c>
      <x:c r="N97" s="217" t="str">
        <x:v>三份皆入選</x:v>
      </x:c>
      <x:c r="O97" s="220" t="n">
        <x:v>129.06666666666666</x:v>
      </x:c>
      <x:c r="P97" s="220" t="n">
        <x:v>121.65833333333333</x:v>
      </x:c>
      <x:c r="Q97" s="220" t="n">
        <x:v>7.408333333333333</x:v>
      </x:c>
      <x:c r="R97" s="220" t="n">
        <x:v>0.057399276859504134</x:v>
      </x:c>
      <x:c r="S97" s="220" t="n">
        <x:v>160.67741935483872</x:v>
      </x:c>
      <x:c r="T97" s="220" t="n">
        <x:v>154.74193548387098</x:v>
      </x:c>
      <x:c r="U97" s="220" t="n">
        <x:v>5.935483870967742</x:v>
      </x:c>
      <x:c r="V97" s="218" t="n">
        <x:v>0.03225806451612903</x:v>
      </x:c>
      <x:c r="W97" s="217" t="n">
        <x:v>25</x:v>
      </x:c>
      <x:c r="X97" s="222" t="n">
        <x:v>2880</x:v>
      </x:c>
      <x:c r="Y97" s="217" t="n">
        <x:v>40</x:v>
      </x:c>
    </x:row>
    <x:row r="98">
      <x:c r="A98" s="216" t="n">
        <x:v>1482</x:v>
      </x:c>
      <x:c r="B98" s="216" t="str">
        <x:v>仁愛文化二路口</x:v>
      </x:c>
      <x:c r="C98" s="216" t="str">
        <x:v>林口區</x:v>
      </x:c>
      <x:c r="D98" s="216" t="n">
        <x:v>55</x:v>
      </x:c>
      <x:c r="E98" s="216" t="n">
        <x:v>120</x:v>
      </x:c>
      <x:c r="F98" s="219" t="n">
        <x:v>0.9994791666666667</x:v>
      </x:c>
      <x:c r="G98" s="216" t="n">
        <x:v>94</x:v>
      </x:c>
      <x:c r="H98" s="216" t="str">
        <x:f>IF(G98&lt;='排名定義'!$B$5,"是","")</x:f>
        <x:v>是</x:v>
      </x:c>
      <x:c r="I98" s="216" t="n">
        <x:v>90</x:v>
      </x:c>
      <x:c r="J98" s="216" t="str">
        <x:f>IF(I98&lt;='排名定義'!$B$5,"是","")</x:f>
        <x:v>是</x:v>
      </x:c>
      <x:c r="K98" s="216" t="n">
        <x:v>231</x:v>
      </x:c>
      <x:c r="L98" s="216" t="str">
        <x:f>IF(K98&lt;='排名定義'!$B$5,"是","")</x:f>
        <x:v>是</x:v>
      </x:c>
      <x:c r="M98" s="216" t="n">
        <x:f>COUNTIF(H98:L98,"是")</x:f>
        <x:v>3</x:v>
      </x:c>
      <x:c r="N98" s="216" t="str">
        <x:v>三份皆入選</x:v>
      </x:c>
      <x:c r="O98" s="221" t="n">
        <x:v>129.01666666666668</x:v>
      </x:c>
      <x:c r="P98" s="221" t="n">
        <x:v>122.10833333333333</x:v>
      </x:c>
      <x:c r="Q98" s="221" t="n">
        <x:v>6.908333333333333</x:v>
      </x:c>
      <x:c r="R98" s="221" t="n">
        <x:v>0.053546053481462345</x:v>
      </x:c>
      <x:c r="S98" s="221" t="n">
        <x:v>187.16129032258064</x:v>
      </x:c>
      <x:c r="T98" s="221" t="n">
        <x:v>180.51612903225808</x:v>
      </x:c>
      <x:c r="U98" s="221" t="n">
        <x:v>6.645161290322581</x:v>
      </x:c>
      <x:c r="V98" s="219" t="n">
        <x:v>0.020737327188940093</x:v>
      </x:c>
      <x:c r="W98" s="216" t="n">
        <x:v>0</x:v>
      </x:c>
      <x:c r="X98" s="223" t="n">
        <x:v>570</x:v>
      </x:c>
      <x:c r="Y98" s="216" t="n">
        <x:v>55</x:v>
      </x:c>
    </x:row>
    <x:row r="99">
      <x:c r="A99" s="217" t="n">
        <x:v>1519</x:v>
      </x:c>
      <x:c r="B99" s="217" t="str">
        <x:v>金城立體停車場</x:v>
      </x:c>
      <x:c r="C99" s="217" t="str">
        <x:v>土城區</x:v>
      </x:c>
      <x:c r="D99" s="217" t="n">
        <x:v>60</x:v>
      </x:c>
      <x:c r="E99" s="217" t="n">
        <x:v>120</x:v>
      </x:c>
      <x:c r="F99" s="218" t="n">
        <x:v>0.9994791666666667</x:v>
      </x:c>
      <x:c r="G99" s="217" t="n">
        <x:v>95</x:v>
      </x:c>
      <x:c r="H99" s="217" t="str">
        <x:f>IF(G99&lt;='排名定義'!$B$5,"是","")</x:f>
        <x:v>是</x:v>
      </x:c>
      <x:c r="I99" s="217" t="n">
        <x:v>93</x:v>
      </x:c>
      <x:c r="J99" s="217" t="str">
        <x:f>IF(I99&lt;='排名定義'!$B$5,"是","")</x:f>
        <x:v>是</x:v>
      </x:c>
      <x:c r="K99" s="217" t="n">
        <x:v>157</x:v>
      </x:c>
      <x:c r="L99" s="217" t="str">
        <x:f>IF(K99&lt;='排名定義'!$B$5,"是","")</x:f>
        <x:v>是</x:v>
      </x:c>
      <x:c r="M99" s="217" t="n">
        <x:f>COUNTIF(H99:L99,"是")</x:f>
        <x:v>3</x:v>
      </x:c>
      <x:c r="N99" s="217" t="str">
        <x:v>三份皆入選</x:v>
      </x:c>
      <x:c r="O99" s="220" t="n">
        <x:v>128.53333333333333</x:v>
      </x:c>
      <x:c r="P99" s="220" t="n">
        <x:v>120.875</x:v>
      </x:c>
      <x:c r="Q99" s="220" t="n">
        <x:v>7.658333333333333</x:v>
      </x:c>
      <x:c r="R99" s="220" t="n">
        <x:v>0.05958246887966805</x:v>
      </x:c>
      <x:c r="S99" s="220" t="n">
        <x:v>162.96774193548387</x:v>
      </x:c>
      <x:c r="T99" s="220" t="n">
        <x:v>156.80645161290323</x:v>
      </x:c>
      <x:c r="U99" s="220" t="n">
        <x:v>6.161290322580645</x:v>
      </x:c>
      <x:c r="V99" s="218" t="n">
        <x:v>0.041474654377880185</x:v>
      </x:c>
      <x:c r="W99" s="217" t="n">
        <x:v>6</x:v>
      </x:c>
      <x:c r="X99" s="222" t="n">
        <x:v>1110</x:v>
      </x:c>
      <x:c r="Y99" s="217" t="n">
        <x:v>60</x:v>
      </x:c>
    </x:row>
    <x:row r="100">
      <x:c r="A100" s="216" t="n">
        <x:v>1422</x:v>
      </x:c>
      <x:c r="B100" s="216" t="str">
        <x:v>浮洲合宜住宅(樂群路)</x:v>
      </x:c>
      <x:c r="C100" s="216" t="str">
        <x:v>板橋區</x:v>
      </x:c>
      <x:c r="D100" s="216" t="n">
        <x:v>48</x:v>
      </x:c>
      <x:c r="E100" s="216" t="n">
        <x:v>120</x:v>
      </x:c>
      <x:c r="F100" s="219" t="n">
        <x:v>0.9994791666666667</x:v>
      </x:c>
      <x:c r="G100" s="216" t="n">
        <x:v>96</x:v>
      </x:c>
      <x:c r="H100" s="216" t="str">
        <x:f>IF(G100&lt;='排名定義'!$B$5,"是","")</x:f>
        <x:v>是</x:v>
      </x:c>
      <x:c r="I100" s="216" t="n">
        <x:v>97</x:v>
      </x:c>
      <x:c r="J100" s="216" t="str">
        <x:f>IF(I100&lt;='排名定義'!$B$5,"是","")</x:f>
        <x:v>是</x:v>
      </x:c>
      <x:c r="K100" s="216" t="n">
        <x:v>94</x:v>
      </x:c>
      <x:c r="L100" s="216" t="str">
        <x:f>IF(K100&lt;='排名定義'!$B$5,"是","")</x:f>
        <x:v>是</x:v>
      </x:c>
      <x:c r="M100" s="216" t="n">
        <x:f>COUNTIF(H100:L100,"是")</x:f>
        <x:v>3</x:v>
      </x:c>
      <x:c r="N100" s="216" t="str">
        <x:v>三份皆入選</x:v>
      </x:c>
      <x:c r="O100" s="221" t="n">
        <x:v>128.26666666666668</x:v>
      </x:c>
      <x:c r="P100" s="221" t="n">
        <x:v>119.5</x:v>
      </x:c>
      <x:c r="Q100" s="221" t="n">
        <x:v>8.766666666666667</x:v>
      </x:c>
      <x:c r="R100" s="221" t="n">
        <x:v>0.06834719334719334</x:v>
      </x:c>
      <x:c r="S100" s="221" t="n">
        <x:v>156.67741935483872</x:v>
      </x:c>
      <x:c r="T100" s="221" t="n">
        <x:v>148.96774193548387</x:v>
      </x:c>
      <x:c r="U100" s="221" t="n">
        <x:v>7.709677419354839</x:v>
      </x:c>
      <x:c r="V100" s="219" t="n">
        <x:v>0.16359447004608296</x:v>
      </x:c>
      <x:c r="W100" s="216" t="n">
        <x:v>35</x:v>
      </x:c>
      <x:c r="X100" s="223" t="n">
        <x:v>4980</x:v>
      </x:c>
      <x:c r="Y100" s="216" t="n">
        <x:v>48</x:v>
      </x:c>
    </x:row>
    <x:row r="101">
      <x:c r="A101" s="217" t="n">
        <x:v>1087</x:v>
      </x:c>
      <x:c r="B101" s="217" t="str">
        <x:v>致理科技大學</x:v>
      </x:c>
      <x:c r="C101" s="217" t="str">
        <x:v>板橋區</x:v>
      </x:c>
      <x:c r="D101" s="217" t="n">
        <x:v>31</x:v>
      </x:c>
      <x:c r="E101" s="217" t="n">
        <x:v>120</x:v>
      </x:c>
      <x:c r="F101" s="218" t="n">
        <x:v>0.9994791666666667</x:v>
      </x:c>
      <x:c r="G101" s="217" t="n">
        <x:v>97</x:v>
      </x:c>
      <x:c r="H101" s="217" t="str">
        <x:f>IF(G101&lt;='排名定義'!$B$5,"是","")</x:f>
        <x:v>是</x:v>
      </x:c>
      <x:c r="I101" s="217" t="n">
        <x:v>96</x:v>
      </x:c>
      <x:c r="J101" s="217" t="str">
        <x:f>IF(I101&lt;='排名定義'!$B$5,"是","")</x:f>
        <x:v>是</x:v>
      </x:c>
      <x:c r="K101" s="217" t="n">
        <x:v>217</x:v>
      </x:c>
      <x:c r="L101" s="217" t="str">
        <x:f>IF(K101&lt;='排名定義'!$B$5,"是","")</x:f>
        <x:v>是</x:v>
      </x:c>
      <x:c r="M101" s="217" t="n">
        <x:f>COUNTIF(H101:L101,"是")</x:f>
        <x:v>3</x:v>
      </x:c>
      <x:c r="N101" s="217" t="str">
        <x:v>三份皆入選</x:v>
      </x:c>
      <x:c r="O101" s="220" t="n">
        <x:v>126.71666666666667</x:v>
      </x:c>
      <x:c r="P101" s="220" t="n">
        <x:v>119.675</x:v>
      </x:c>
      <x:c r="Q101" s="220" t="n">
        <x:v>7.041666666666667</x:v>
      </x:c>
      <x:c r="R101" s="220" t="n">
        <x:v>0.05557016966986716</x:v>
      </x:c>
      <x:c r="S101" s="220" t="n">
        <x:v>154.93548387096774</x:v>
      </x:c>
      <x:c r="T101" s="220" t="n">
        <x:v>149.16129032258064</x:v>
      </x:c>
      <x:c r="U101" s="220" t="n">
        <x:v>5.774193548387097</x:v>
      </x:c>
      <x:c r="V101" s="218" t="n">
        <x:v>0.1359447004608295</x:v>
      </x:c>
      <x:c r="W101" s="217" t="n">
        <x:v>28</x:v>
      </x:c>
      <x:c r="X101" s="222" t="n">
        <x:v>3570</x:v>
      </x:c>
      <x:c r="Y101" s="217" t="n">
        <x:v>31</x:v>
      </x:c>
    </x:row>
    <x:row r="102">
      <x:c r="A102" s="216" t="n">
        <x:v>1210</x:v>
      </x:c>
      <x:c r="B102" s="216" t="str">
        <x:v>中和環球購物中心</x:v>
      </x:c>
      <x:c r="C102" s="216" t="str">
        <x:v>中和區</x:v>
      </x:c>
      <x:c r="D102" s="216" t="n">
        <x:v>38</x:v>
      </x:c>
      <x:c r="E102" s="216" t="n">
        <x:v>120</x:v>
      </x:c>
      <x:c r="F102" s="219" t="n">
        <x:v>0.9994791666666667</x:v>
      </x:c>
      <x:c r="G102" s="216" t="n">
        <x:v>98</x:v>
      </x:c>
      <x:c r="H102" s="216" t="str">
        <x:f>IF(G102&lt;='排名定義'!$B$5,"是","")</x:f>
        <x:v>是</x:v>
      </x:c>
      <x:c r="I102" s="216" t="n">
        <x:v>98</x:v>
      </x:c>
      <x:c r="J102" s="216" t="str">
        <x:f>IF(I102&lt;='排名定義'!$B$5,"是","")</x:f>
        <x:v>是</x:v>
      </x:c>
      <x:c r="K102" s="216" t="n">
        <x:v>201</x:v>
      </x:c>
      <x:c r="L102" s="216" t="str">
        <x:f>IF(K102&lt;='排名定義'!$B$5,"是","")</x:f>
        <x:v>是</x:v>
      </x:c>
      <x:c r="M102" s="216" t="n">
        <x:f>COUNTIF(H102:L102,"是")</x:f>
        <x:v>3</x:v>
      </x:c>
      <x:c r="N102" s="216" t="str">
        <x:v>三份皆入選</x:v>
      </x:c>
      <x:c r="O102" s="221" t="n">
        <x:v>126.50833333333334</x:v>
      </x:c>
      <x:c r="P102" s="221" t="n">
        <x:v>119.33333333333333</x:v>
      </x:c>
      <x:c r="Q102" s="221" t="n">
        <x:v>7.175</x:v>
      </x:c>
      <x:c r="R102" s="221" t="n">
        <x:v>0.05671563138133193</x:v>
      </x:c>
      <x:c r="S102" s="221" t="n">
        <x:v>159.38709677419354</x:v>
      </x:c>
      <x:c r="T102" s="221" t="n">
        <x:v>153.1290322580645</x:v>
      </x:c>
      <x:c r="U102" s="221" t="n">
        <x:v>6.258064516129032</x:v>
      </x:c>
      <x:c r="V102" s="219" t="n">
        <x:v>0.05069124423963134</x:v>
      </x:c>
      <x:c r="W102" s="216" t="n">
        <x:v>6</x:v>
      </x:c>
      <x:c r="X102" s="223" t="n">
        <x:v>1020</x:v>
      </x:c>
      <x:c r="Y102" s="216" t="n">
        <x:v>38</x:v>
      </x:c>
    </x:row>
    <x:row r="103">
      <x:c r="A103" s="217" t="n">
        <x:v>1224</x:v>
      </x:c>
      <x:c r="B103" s="217" t="str">
        <x:v>黃城公園</x:v>
      </x:c>
      <x:c r="C103" s="217" t="str">
        <x:v>新莊區</x:v>
      </x:c>
      <x:c r="D103" s="217" t="n">
        <x:v>38</x:v>
      </x:c>
      <x:c r="E103" s="217" t="n">
        <x:v>120</x:v>
      </x:c>
      <x:c r="F103" s="218" t="n">
        <x:v>0.9994791666666667</x:v>
      </x:c>
      <x:c r="G103" s="217" t="n">
        <x:v>99</x:v>
      </x:c>
      <x:c r="H103" s="217" t="str">
        <x:f>IF(G103&lt;='排名定義'!$B$5,"是","")</x:f>
        <x:v>是</x:v>
      </x:c>
      <x:c r="I103" s="217" t="n">
        <x:v>100</x:v>
      </x:c>
      <x:c r="J103" s="217" t="str">
        <x:f>IF(I103&lt;='排名定義'!$B$5,"是","")</x:f>
        <x:v>是</x:v>
      </x:c>
      <x:c r="K103" s="217" t="n">
        <x:v>112</x:v>
      </x:c>
      <x:c r="L103" s="217" t="str">
        <x:f>IF(K103&lt;='排名定義'!$B$5,"是","")</x:f>
        <x:v>是</x:v>
      </x:c>
      <x:c r="M103" s="217" t="n">
        <x:f>COUNTIF(H103:L103,"是")</x:f>
        <x:v>3</x:v>
      </x:c>
      <x:c r="N103" s="217" t="str">
        <x:v>三份皆入選</x:v>
      </x:c>
      <x:c r="O103" s="220" t="n">
        <x:v>126.13333333333334</x:v>
      </x:c>
      <x:c r="P103" s="220" t="n">
        <x:v>117.71666666666667</x:v>
      </x:c>
      <x:c r="Q103" s="220" t="n">
        <x:v>8.416666666666666</x:v>
      </x:c>
      <x:c r="R103" s="220" t="n">
        <x:v>0.06672832980972516</x:v>
      </x:c>
      <x:c r="S103" s="220" t="n">
        <x:v>147.3548387096774</x:v>
      </x:c>
      <x:c r="T103" s="220" t="n">
        <x:v>140.7741935483871</x:v>
      </x:c>
      <x:c r="U103" s="220" t="n">
        <x:v>6.580645161290323</x:v>
      </x:c>
      <x:c r="V103" s="218" t="n">
        <x:v>0.02304147465437788</x:v>
      </x:c>
      <x:c r="W103" s="217" t="n">
        <x:v>4</x:v>
      </x:c>
      <x:c r="X103" s="222" t="n">
        <x:v>540</x:v>
      </x:c>
      <x:c r="Y103" s="217" t="n">
        <x:v>38</x:v>
      </x:c>
    </x:row>
    <x:row r="104">
      <x:c r="A104" s="216" t="n">
        <x:v>528</x:v>
      </x:c>
      <x:c r="B104" s="216" t="str">
        <x:v>捷運三和國中站(2號出口)</x:v>
      </x:c>
      <x:c r="C104" s="216" t="str">
        <x:v>三重區</x:v>
      </x:c>
      <x:c r="D104" s="216" t="n">
        <x:v>17</x:v>
      </x:c>
      <x:c r="E104" s="216" t="n">
        <x:v>120</x:v>
      </x:c>
      <x:c r="F104" s="219" t="n">
        <x:v>0.9980902777777778</x:v>
      </x:c>
      <x:c r="G104" s="216" t="n">
        <x:v>100</x:v>
      </x:c>
      <x:c r="H104" s="216" t="str">
        <x:f>IF(G104&lt;='排名定義'!$B$5,"是","")</x:f>
        <x:v>是</x:v>
      </x:c>
      <x:c r="I104" s="216" t="n">
        <x:v>99</x:v>
      </x:c>
      <x:c r="J104" s="216" t="str">
        <x:f>IF(I104&lt;='排名定義'!$B$5,"是","")</x:f>
        <x:v>是</x:v>
      </x:c>
      <x:c r="K104" s="216" t="n">
        <x:v>251</x:v>
      </x:c>
      <x:c r="L104" s="216" t="str">
        <x:f>IF(K104&lt;='排名定義'!$B$5,"是","")</x:f>
        <x:v>是</x:v>
      </x:c>
      <x:c r="M104" s="216" t="n">
        <x:f>COUNTIF(H104:L104,"是")</x:f>
        <x:v>3</x:v>
      </x:c>
      <x:c r="N104" s="216" t="str">
        <x:v>三份皆入選</x:v>
      </x:c>
      <x:c r="O104" s="221" t="n">
        <x:v>125.71666666666667</x:v>
      </x:c>
      <x:c r="P104" s="221" t="n">
        <x:v>118.95</x:v>
      </x:c>
      <x:c r="Q104" s="221" t="n">
        <x:v>6.766666666666667</x:v>
      </x:c>
      <x:c r="R104" s="221" t="n">
        <x:v>0.053824738167837734</x:v>
      </x:c>
      <x:c r="S104" s="221" t="n">
        <x:v>134.38709677419354</x:v>
      </x:c>
      <x:c r="T104" s="221" t="n">
        <x:v>129.93548387096774</x:v>
      </x:c>
      <x:c r="U104" s="221" t="n">
        <x:v>4.451612903225806</x:v>
      </x:c>
      <x:c r="V104" s="219" t="n">
        <x:v>0.26036866359447003</x:v>
      </x:c>
      <x:c r="W104" s="216" t="n">
        <x:v>64</x:v>
      </x:c>
      <x:c r="X104" s="223" t="n">
        <x:v>9240</x:v>
      </x:c>
      <x:c r="Y104" s="216" t="n">
        <x:v>17</x:v>
      </x:c>
    </x:row>
    <x:row r="105">
      <x:c r="A105" s="217" t="n">
        <x:v>9</x:v>
      </x:c>
      <x:c r="B105" s="217" t="str">
        <x:v>中華中原路口</x:v>
      </x:c>
      <x:c r="C105" s="217" t="str">
        <x:v>新莊區</x:v>
      </x:c>
      <x:c r="D105" s="217" t="n">
        <x:v>64</x:v>
      </x:c>
      <x:c r="E105" s="217" t="n">
        <x:v>120</x:v>
      </x:c>
      <x:c r="F105" s="218" t="n">
        <x:v>0.9994791666666667</x:v>
      </x:c>
      <x:c r="G105" s="217" t="n">
        <x:v>101</x:v>
      </x:c>
      <x:c r="H105" s="217" t="str">
        <x:f>IF(G105&lt;='排名定義'!$B$5,"是","")</x:f>
        <x:v>是</x:v>
      </x:c>
      <x:c r="I105" s="217" t="n">
        <x:v>106</x:v>
      </x:c>
      <x:c r="J105" s="217" t="str">
        <x:f>IF(I105&lt;='排名定義'!$B$5,"是","")</x:f>
        <x:v>是</x:v>
      </x:c>
      <x:c r="K105" s="217" t="n">
        <x:v>50</x:v>
      </x:c>
      <x:c r="L105" s="217" t="str">
        <x:f>IF(K105&lt;='排名定義'!$B$5,"是","")</x:f>
        <x:v>是</x:v>
      </x:c>
      <x:c r="M105" s="217" t="n">
        <x:f>COUNTIF(H105:L105,"是")</x:f>
        <x:v>3</x:v>
      </x:c>
      <x:c r="N105" s="217" t="str">
        <x:v>三份皆入選</x:v>
      </x:c>
      <x:c r="O105" s="220" t="n">
        <x:v>123</x:v>
      </x:c>
      <x:c r="P105" s="220" t="n">
        <x:v>112.43333333333334</x:v>
      </x:c>
      <x:c r="Q105" s="220" t="n">
        <x:v>10.566666666666666</x:v>
      </x:c>
      <x:c r="R105" s="220" t="n">
        <x:v>0.08590785907859079</x:v>
      </x:c>
      <x:c r="S105" s="220" t="n">
        <x:v>138.83870967741936</x:v>
      </x:c>
      <x:c r="T105" s="220" t="n">
        <x:v>131.96774193548387</x:v>
      </x:c>
      <x:c r="U105" s="220" t="n">
        <x:v>6.870967741935484</x:v>
      </x:c>
      <x:c r="V105" s="218" t="n">
        <x:v>0.03225806451612903</x:v>
      </x:c>
      <x:c r="W105" s="217" t="n">
        <x:v>7</x:v>
      </x:c>
      <x:c r="X105" s="222" t="n">
        <x:v>900</x:v>
      </x:c>
      <x:c r="Y105" s="217" t="n">
        <x:v>64</x:v>
      </x:c>
    </x:row>
    <x:row r="106">
      <x:c r="A106" s="216" t="n">
        <x:v>1474</x:v>
      </x:c>
      <x:c r="B106" s="216" t="str">
        <x:v>捷運竹圍站</x:v>
      </x:c>
      <x:c r="C106" s="216" t="str">
        <x:v>淡水區</x:v>
      </x:c>
      <x:c r="D106" s="216" t="n">
        <x:v>54</x:v>
      </x:c>
      <x:c r="E106" s="216" t="n">
        <x:v>120</x:v>
      </x:c>
      <x:c r="F106" s="219" t="n">
        <x:v>0.9994791666666667</x:v>
      </x:c>
      <x:c r="G106" s="216" t="n">
        <x:v>102</x:v>
      </x:c>
      <x:c r="H106" s="216" t="str">
        <x:f>IF(G106&lt;='排名定義'!$B$5,"是","")</x:f>
        <x:v>是</x:v>
      </x:c>
      <x:c r="I106" s="216" t="n">
        <x:v>103</x:v>
      </x:c>
      <x:c r="J106" s="216" t="str">
        <x:f>IF(I106&lt;='排名定義'!$B$5,"是","")</x:f>
        <x:v>是</x:v>
      </x:c>
      <x:c r="K106" s="216" t="n">
        <x:v>107</x:v>
      </x:c>
      <x:c r="L106" s="216" t="str">
        <x:f>IF(K106&lt;='排名定義'!$B$5,"是","")</x:f>
        <x:v>是</x:v>
      </x:c>
      <x:c r="M106" s="216" t="n">
        <x:f>COUNTIF(H106:L106,"是")</x:f>
        <x:v>3</x:v>
      </x:c>
      <x:c r="N106" s="216" t="str">
        <x:v>三份皆入選</x:v>
      </x:c>
      <x:c r="O106" s="221" t="n">
        <x:v>122.93333333333334</x:v>
      </x:c>
      <x:c r="P106" s="221" t="n">
        <x:v>114.43333333333334</x:v>
      </x:c>
      <x:c r="Q106" s="221" t="n">
        <x:v>8.5</x:v>
      </x:c>
      <x:c r="R106" s="221" t="n">
        <x:v>0.06914316702819957</x:v>
      </x:c>
      <x:c r="S106" s="221" t="n">
        <x:v>176.4516129032258</x:v>
      </x:c>
      <x:c r="T106" s="221" t="n">
        <x:v>167.83870967741936</x:v>
      </x:c>
      <x:c r="U106" s="221" t="n">
        <x:v>8.612903225806452</x:v>
      </x:c>
      <x:c r="V106" s="219" t="n">
        <x:v>0.013824884792626729</x:v>
      </x:c>
      <x:c r="W106" s="216" t="n">
        <x:v>6</x:v>
      </x:c>
      <x:c r="X106" s="223" t="n">
        <x:v>840</x:v>
      </x:c>
      <x:c r="Y106" s="216" t="n">
        <x:v>54</x:v>
      </x:c>
    </x:row>
    <x:row r="107">
      <x:c r="A107" s="217" t="n">
        <x:v>99</x:v>
      </x:c>
      <x:c r="B107" s="217" t="str">
        <x:v>鶯歌火車站(仁愛路)</x:v>
      </x:c>
      <x:c r="C107" s="217" t="str">
        <x:v>鶯歌區</x:v>
      </x:c>
      <x:c r="D107" s="217" t="n">
        <x:v>59</x:v>
      </x:c>
      <x:c r="E107" s="217" t="n">
        <x:v>120</x:v>
      </x:c>
      <x:c r="F107" s="218" t="n">
        <x:v>0.9994791666666667</x:v>
      </x:c>
      <x:c r="G107" s="217" t="n">
        <x:v>103</x:v>
      </x:c>
      <x:c r="H107" s="217" t="str">
        <x:f>IF(G107&lt;='排名定義'!$B$5,"是","")</x:f>
        <x:v>是</x:v>
      </x:c>
      <x:c r="I107" s="217" t="n">
        <x:v>102</x:v>
      </x:c>
      <x:c r="J107" s="217" t="str">
        <x:f>IF(I107&lt;='排名定義'!$B$5,"是","")</x:f>
        <x:v>是</x:v>
      </x:c>
      <x:c r="K107" s="217" t="n">
        <x:v>156</x:v>
      </x:c>
      <x:c r="L107" s="217" t="str">
        <x:f>IF(K107&lt;='排名定義'!$B$5,"是","")</x:f>
        <x:v>是</x:v>
      </x:c>
      <x:c r="M107" s="217" t="n">
        <x:f>COUNTIF(H107:L107,"是")</x:f>
        <x:v>3</x:v>
      </x:c>
      <x:c r="N107" s="217" t="str">
        <x:v>三份皆入選</x:v>
      </x:c>
      <x:c r="O107" s="220" t="n">
        <x:v>122.33333333333333</x:v>
      </x:c>
      <x:c r="P107" s="220" t="n">
        <x:v>114.675</x:v>
      </x:c>
      <x:c r="Q107" s="220" t="n">
        <x:v>7.658333333333333</x:v>
      </x:c>
      <x:c r="R107" s="220" t="n">
        <x:v>0.06260217983651226</x:v>
      </x:c>
      <x:c r="S107" s="220" t="n">
        <x:v>162.25806451612902</x:v>
      </x:c>
      <x:c r="T107" s="220" t="n">
        <x:v>155.58064516129033</x:v>
      </x:c>
      <x:c r="U107" s="220" t="n">
        <x:v>6.67741935483871</x:v>
      </x:c>
      <x:c r="V107" s="218" t="n">
        <x:v>0.013824884792626729</x:v>
      </x:c>
      <x:c r="W107" s="217" t="n">
        <x:v>14</x:v>
      </x:c>
      <x:c r="X107" s="222" t="n">
        <x:v>2490</x:v>
      </x:c>
      <x:c r="Y107" s="217" t="n">
        <x:v>59</x:v>
      </x:c>
    </x:row>
    <x:row r="108">
      <x:c r="A108" s="216" t="n">
        <x:v>1396</x:v>
      </x:c>
      <x:c r="B108" s="216" t="str">
        <x:v>浮洲火車站</x:v>
      </x:c>
      <x:c r="C108" s="216" t="str">
        <x:v>板橋區</x:v>
      </x:c>
      <x:c r="D108" s="216" t="n">
        <x:v>46</x:v>
      </x:c>
      <x:c r="E108" s="216" t="n">
        <x:v>120</x:v>
      </x:c>
      <x:c r="F108" s="219" t="n">
        <x:v>0.9994791666666667</x:v>
      </x:c>
      <x:c r="G108" s="216" t="n">
        <x:v>104</x:v>
      </x:c>
      <x:c r="H108" s="216" t="str">
        <x:f>IF(G108&lt;='排名定義'!$B$5,"是","")</x:f>
        <x:v>是</x:v>
      </x:c>
      <x:c r="I108" s="216" t="n">
        <x:v>101</x:v>
      </x:c>
      <x:c r="J108" s="216" t="str">
        <x:f>IF(I108&lt;='排名定義'!$B$5,"是","")</x:f>
        <x:v>是</x:v>
      </x:c>
      <x:c r="K108" s="216" t="n">
        <x:v>272</x:v>
      </x:c>
      <x:c r="L108" s="216" t="str">
        <x:f>IF(K108&lt;='排名定義'!$B$5,"是","")</x:f>
        <x:v>是</x:v>
      </x:c>
      <x:c r="M108" s="216" t="n">
        <x:f>COUNTIF(H108:L108,"是")</x:f>
        <x:v>3</x:v>
      </x:c>
      <x:c r="N108" s="216" t="str">
        <x:v>三份皆入選</x:v>
      </x:c>
      <x:c r="O108" s="221" t="n">
        <x:v>122.10833333333333</x:v>
      </x:c>
      <x:c r="P108" s="221" t="n">
        <x:v>115.50833333333334</x:v>
      </x:c>
      <x:c r="Q108" s="221" t="n">
        <x:v>6.6</x:v>
      </x:c>
      <x:c r="R108" s="221" t="n">
        <x:v>0.054050365112946155</x:v>
      </x:c>
      <x:c r="S108" s="221" t="n">
        <x:v>159</x:v>
      </x:c>
      <x:c r="T108" s="221" t="n">
        <x:v>152.61290322580646</x:v>
      </x:c>
      <x:c r="U108" s="221" t="n">
        <x:v>6.387096774193548</x:v>
      </x:c>
      <x:c r="V108" s="219" t="n">
        <x:v>0.029953917050691243</x:v>
      </x:c>
      <x:c r="W108" s="216" t="n">
        <x:v>26</x:v>
      </x:c>
      <x:c r="X108" s="223" t="n">
        <x:v>3870</x:v>
      </x:c>
      <x:c r="Y108" s="216" t="n">
        <x:v>76</x:v>
      </x:c>
    </x:row>
    <x:row r="109">
      <x:c r="A109" s="217" t="n">
        <x:v>2</x:v>
      </x:c>
      <x:c r="B109" s="217" t="str">
        <x:v>三重商工</x:v>
      </x:c>
      <x:c r="C109" s="217" t="str">
        <x:v>三重區</x:v>
      </x:c>
      <x:c r="D109" s="217" t="n">
        <x:v>77</x:v>
      </x:c>
      <x:c r="E109" s="217" t="n">
        <x:v>120</x:v>
      </x:c>
      <x:c r="F109" s="218" t="n">
        <x:v>0.9994791666666667</x:v>
      </x:c>
      <x:c r="G109" s="217" t="n">
        <x:v>105</x:v>
      </x:c>
      <x:c r="H109" s="217" t="str">
        <x:f>IF(G109&lt;='排名定義'!$B$5,"是","")</x:f>
        <x:v>是</x:v>
      </x:c>
      <x:c r="I109" s="217" t="n">
        <x:v>127</x:v>
      </x:c>
      <x:c r="J109" s="217" t="str">
        <x:f>IF(I109&lt;='排名定義'!$B$5,"是","")</x:f>
        <x:v>是</x:v>
      </x:c>
      <x:c r="K109" s="217" t="n">
        <x:v>3</x:v>
      </x:c>
      <x:c r="L109" s="217" t="str">
        <x:f>IF(K109&lt;='排名定義'!$B$5,"是","")</x:f>
        <x:v>是</x:v>
      </x:c>
      <x:c r="M109" s="217" t="n">
        <x:f>COUNTIF(H109:L109,"是")</x:f>
        <x:v>3</x:v>
      </x:c>
      <x:c r="N109" s="217" t="str">
        <x:v>三份皆入選</x:v>
      </x:c>
      <x:c r="O109" s="220" t="n">
        <x:v>121.45</x:v>
      </x:c>
      <x:c r="P109" s="220" t="n">
        <x:v>103.28333333333333</x:v>
      </x:c>
      <x:c r="Q109" s="220" t="n">
        <x:v>18.166666666666668</x:v>
      </x:c>
      <x:c r="R109" s="220" t="n">
        <x:v>0.1495814464114176</x:v>
      </x:c>
      <x:c r="S109" s="220" t="n">
        <x:v>155.5483870967742</x:v>
      </x:c>
      <x:c r="T109" s="220" t="n">
        <x:v>139.19354838709677</x:v>
      </x:c>
      <x:c r="U109" s="220" t="n">
        <x:v>16.35483870967742</x:v>
      </x:c>
      <x:c r="V109" s="218" t="n">
        <x:v>0.059907834101382486</x:v>
      </x:c>
      <x:c r="W109" s="217" t="n">
        <x:v>6</x:v>
      </x:c>
      <x:c r="X109" s="222" t="n">
        <x:v>930</x:v>
      </x:c>
      <x:c r="Y109" s="217" t="n">
        <x:v>77</x:v>
      </x:c>
    </x:row>
    <x:row r="110">
      <x:c r="A110" s="216" t="n">
        <x:v>1275</x:v>
      </x:c>
      <x:c r="B110" s="216" t="str">
        <x:v>永平高中</x:v>
      </x:c>
      <x:c r="C110" s="216" t="str">
        <x:v>永和區</x:v>
      </x:c>
      <x:c r="D110" s="216" t="n">
        <x:v>40</x:v>
      </x:c>
      <x:c r="E110" s="216" t="n">
        <x:v>120</x:v>
      </x:c>
      <x:c r="F110" s="219" t="n">
        <x:v>0.9994791666666667</x:v>
      </x:c>
      <x:c r="G110" s="216" t="n">
        <x:v>106</x:v>
      </x:c>
      <x:c r="H110" s="216" t="str">
        <x:f>IF(G110&lt;='排名定義'!$B$5,"是","")</x:f>
        <x:v>是</x:v>
      </x:c>
      <x:c r="I110" s="216" t="n">
        <x:v>105</x:v>
      </x:c>
      <x:c r="J110" s="216" t="str">
        <x:f>IF(I110&lt;='排名定義'!$B$5,"是","")</x:f>
        <x:v>是</x:v>
      </x:c>
      <x:c r="K110" s="216" t="n">
        <x:v>141</x:v>
      </x:c>
      <x:c r="L110" s="216" t="str">
        <x:f>IF(K110&lt;='排名定義'!$B$5,"是","")</x:f>
        <x:v>是</x:v>
      </x:c>
      <x:c r="M110" s="216" t="n">
        <x:f>COUNTIF(H110:L110,"是")</x:f>
        <x:v>3</x:v>
      </x:c>
      <x:c r="N110" s="216" t="str">
        <x:v>三份皆入選</x:v>
      </x:c>
      <x:c r="O110" s="221" t="n">
        <x:v>121.04166666666667</x:v>
      </x:c>
      <x:c r="P110" s="221" t="n">
        <x:v>113.18333333333334</x:v>
      </x:c>
      <x:c r="Q110" s="221" t="n">
        <x:v>7.858333333333333</x:v>
      </x:c>
      <x:c r="R110" s="221" t="n">
        <x:v>0.06492254733218589</x:v>
      </x:c>
      <x:c r="S110" s="221" t="n">
        <x:v>159.5483870967742</x:v>
      </x:c>
      <x:c r="T110" s="221" t="n">
        <x:v>151.90322580645162</x:v>
      </x:c>
      <x:c r="U110" s="221" t="n">
        <x:v>7.645161290322581</x:v>
      </x:c>
      <x:c r="V110" s="219" t="n">
        <x:v>0.04838709677419355</x:v>
      </x:c>
      <x:c r="W110" s="216" t="n">
        <x:v>3</x:v>
      </x:c>
      <x:c r="X110" s="223" t="n">
        <x:v>1200</x:v>
      </x:c>
      <x:c r="Y110" s="216" t="n">
        <x:v>40</x:v>
      </x:c>
    </x:row>
    <x:row r="111">
      <x:c r="A111" s="217" t="n">
        <x:v>65</x:v>
      </x:c>
      <x:c r="B111" s="217" t="str">
        <x:v>新店行政園區</x:v>
      </x:c>
      <x:c r="C111" s="217" t="str">
        <x:v>新店區</x:v>
      </x:c>
      <x:c r="D111" s="217" t="n">
        <x:v>93</x:v>
      </x:c>
      <x:c r="E111" s="217" t="n">
        <x:v>120</x:v>
      </x:c>
      <x:c r="F111" s="218" t="n">
        <x:v>0.9994791666666667</x:v>
      </x:c>
      <x:c r="G111" s="217" t="n">
        <x:v>107</x:v>
      </x:c>
      <x:c r="H111" s="217" t="str">
        <x:f>IF(G111&lt;='排名定義'!$B$5,"是","")</x:f>
        <x:v>是</x:v>
      </x:c>
      <x:c r="I111" s="217" t="n">
        <x:v>113</x:v>
      </x:c>
      <x:c r="J111" s="217" t="str">
        <x:f>IF(I111&lt;='排名定義'!$B$5,"是","")</x:f>
        <x:v>是</x:v>
      </x:c>
      <x:c r="K111" s="217" t="n">
        <x:v>36</x:v>
      </x:c>
      <x:c r="L111" s="217" t="str">
        <x:f>IF(K111&lt;='排名定義'!$B$5,"是","")</x:f>
        <x:v>是</x:v>
      </x:c>
      <x:c r="M111" s="217" t="n">
        <x:f>COUNTIF(H111:L111,"是")</x:f>
        <x:v>3</x:v>
      </x:c>
      <x:c r="N111" s="217" t="str">
        <x:v>三份皆入選</x:v>
      </x:c>
      <x:c r="O111" s="220" t="n">
        <x:v>120.98333333333333</x:v>
      </x:c>
      <x:c r="P111" s="220" t="n">
        <x:v>108.83333333333333</x:v>
      </x:c>
      <x:c r="Q111" s="220" t="n">
        <x:v>12.15</x:v>
      </x:c>
      <x:c r="R111" s="220" t="n">
        <x:v>0.10042705606832897</x:v>
      </x:c>
      <x:c r="S111" s="220" t="n">
        <x:v>154.93548387096774</x:v>
      </x:c>
      <x:c r="T111" s="220" t="n">
        <x:v>144.5483870967742</x:v>
      </x:c>
      <x:c r="U111" s="220" t="n">
        <x:v>10.387096774193548</x:v>
      </x:c>
      <x:c r="V111" s="218" t="n">
        <x:v>0.029953917050691243</x:v>
      </x:c>
      <x:c r="W111" s="217" t="n">
        <x:v>24</x:v>
      </x:c>
      <x:c r="X111" s="222" t="n">
        <x:v>2250</x:v>
      </x:c>
      <x:c r="Y111" s="217" t="n">
        <x:v>93</x:v>
      </x:c>
    </x:row>
    <x:row r="112">
      <x:c r="A112" s="216" t="n">
        <x:v>1220</x:v>
      </x:c>
      <x:c r="B112" s="216" t="str">
        <x:v>福壽公園</x:v>
      </x:c>
      <x:c r="C112" s="216" t="str">
        <x:v>新莊區</x:v>
      </x:c>
      <x:c r="D112" s="216" t="n">
        <x:v>46</x:v>
      </x:c>
      <x:c r="E112" s="216" t="n">
        <x:v>120</x:v>
      </x:c>
      <x:c r="F112" s="219" t="n">
        <x:v>0.9994791666666667</x:v>
      </x:c>
      <x:c r="G112" s="216" t="n">
        <x:v>108</x:v>
      </x:c>
      <x:c r="H112" s="216" t="str">
        <x:f>IF(G112&lt;='排名定義'!$B$5,"是","")</x:f>
        <x:v>是</x:v>
      </x:c>
      <x:c r="I112" s="216" t="n">
        <x:v>104</x:v>
      </x:c>
      <x:c r="J112" s="216" t="str">
        <x:f>IF(I112&lt;='排名定義'!$B$5,"是","")</x:f>
        <x:v>是</x:v>
      </x:c>
      <x:c r="K112" s="216" t="n">
        <x:v>170</x:v>
      </x:c>
      <x:c r="L112" s="216" t="str">
        <x:f>IF(K112&lt;='排名定義'!$B$5,"是","")</x:f>
        <x:v>是</x:v>
      </x:c>
      <x:c r="M112" s="216" t="n">
        <x:f>COUNTIF(H112:L112,"是")</x:f>
        <x:v>3</x:v>
      </x:c>
      <x:c r="N112" s="216" t="str">
        <x:v>三份皆入選</x:v>
      </x:c>
      <x:c r="O112" s="221" t="n">
        <x:v>120.95833333333333</x:v>
      </x:c>
      <x:c r="P112" s="221" t="n">
        <x:v>113.41666666666667</x:v>
      </x:c>
      <x:c r="Q112" s="221" t="n">
        <x:v>7.541666666666667</x:v>
      </x:c>
      <x:c r="R112" s="221" t="n">
        <x:v>0.06234929383396486</x:v>
      </x:c>
      <x:c r="S112" s="221" t="n">
        <x:v>152.80645161290323</x:v>
      </x:c>
      <x:c r="T112" s="221" t="n">
        <x:v>146.29032258064515</x:v>
      </x:c>
      <x:c r="U112" s="221" t="n">
        <x:v>6.516129032258065</x:v>
      </x:c>
      <x:c r="V112" s="219" t="n">
        <x:v>0.04608294930875576</x:v>
      </x:c>
      <x:c r="W112" s="216" t="n">
        <x:v>11</x:v>
      </x:c>
      <x:c r="X112" s="223" t="n">
        <x:v>1620</x:v>
      </x:c>
      <x:c r="Y112" s="216" t="n">
        <x:v>46</x:v>
      </x:c>
    </x:row>
    <x:row r="113">
      <x:c r="A113" s="217" t="n">
        <x:v>1356</x:v>
      </x:c>
      <x:c r="B113" s="217" t="str">
        <x:v>仁愛廣場</x:v>
      </x:c>
      <x:c r="C113" s="217" t="str">
        <x:v>蘆洲區</x:v>
      </x:c>
      <x:c r="D113" s="217" t="n">
        <x:v>44</x:v>
      </x:c>
      <x:c r="E113" s="217" t="n">
        <x:v>120</x:v>
      </x:c>
      <x:c r="F113" s="218" t="n">
        <x:v>0.9994791666666667</x:v>
      </x:c>
      <x:c r="G113" s="217" t="n">
        <x:v>109</x:v>
      </x:c>
      <x:c r="H113" s="217" t="str">
        <x:f>IF(G113&lt;='排名定義'!$B$5,"是","")</x:f>
        <x:v>是</x:v>
      </x:c>
      <x:c r="I113" s="217" t="n">
        <x:v>107</x:v>
      </x:c>
      <x:c r="J113" s="217" t="str">
        <x:f>IF(I113&lt;='排名定義'!$B$5,"是","")</x:f>
        <x:v>是</x:v>
      </x:c>
      <x:c r="K113" s="217" t="n">
        <x:v>122</x:v>
      </x:c>
      <x:c r="L113" s="217" t="str">
        <x:f>IF(K113&lt;='排名定義'!$B$5,"是","")</x:f>
        <x:v>是</x:v>
      </x:c>
      <x:c r="M113" s="217" t="n">
        <x:f>COUNTIF(H113:L113,"是")</x:f>
        <x:v>3</x:v>
      </x:c>
      <x:c r="N113" s="217" t="str">
        <x:v>三份皆入選</x:v>
      </x:c>
      <x:c r="O113" s="220" t="n">
        <x:v>120.18333333333334</x:v>
      </x:c>
      <x:c r="P113" s="220" t="n">
        <x:v>112.01666666666667</x:v>
      </x:c>
      <x:c r="Q113" s="220" t="n">
        <x:v>8.166666666666666</x:v>
      </x:c>
      <x:c r="R113" s="220" t="n">
        <x:v>0.06795174039661628</x:v>
      </x:c>
      <x:c r="S113" s="220" t="n">
        <x:v>144</x:v>
      </x:c>
      <x:c r="T113" s="220" t="n">
        <x:v>137.4516129032258</x:v>
      </x:c>
      <x:c r="U113" s="220" t="n">
        <x:v>6.548387096774194</x:v>
      </x:c>
      <x:c r="V113" s="218" t="n">
        <x:v>0.052995391705069124</x:v>
      </x:c>
      <x:c r="W113" s="217" t="n">
        <x:v>16</x:v>
      </x:c>
      <x:c r="X113" s="222" t="n">
        <x:v>1920</x:v>
      </x:c>
      <x:c r="Y113" s="217" t="n">
        <x:v>44</x:v>
      </x:c>
    </x:row>
    <x:row r="114">
      <x:c r="A114" s="216" t="n">
        <x:v>93</x:v>
      </x:c>
      <x:c r="B114" s="216" t="str">
        <x:v>華新街109巷11弄</x:v>
      </x:c>
      <x:c r="C114" s="216" t="str">
        <x:v>中和區</x:v>
      </x:c>
      <x:c r="D114" s="216" t="n">
        <x:v>53</x:v>
      </x:c>
      <x:c r="E114" s="216" t="n">
        <x:v>120</x:v>
      </x:c>
      <x:c r="F114" s="219" t="n">
        <x:v>0.9994791666666667</x:v>
      </x:c>
      <x:c r="G114" s="216" t="n">
        <x:v>110</x:v>
      </x:c>
      <x:c r="H114" s="216" t="str">
        <x:f>IF(G114&lt;='排名定義'!$B$5,"是","")</x:f>
        <x:v>是</x:v>
      </x:c>
      <x:c r="I114" s="216" t="n">
        <x:v>108</x:v>
      </x:c>
      <x:c r="J114" s="216" t="str">
        <x:f>IF(I114&lt;='排名定義'!$B$5,"是","")</x:f>
        <x:v>是</x:v>
      </x:c>
      <x:c r="K114" s="216" t="n">
        <x:v>121</x:v>
      </x:c>
      <x:c r="L114" s="216" t="str">
        <x:f>IF(K114&lt;='排名定義'!$B$5,"是","")</x:f>
        <x:v>是</x:v>
      </x:c>
      <x:c r="M114" s="216" t="n">
        <x:f>COUNTIF(H114:L114,"是")</x:f>
        <x:v>3</x:v>
      </x:c>
      <x:c r="N114" s="216" t="str">
        <x:v>三份皆入選</x:v>
      </x:c>
      <x:c r="O114" s="221" t="n">
        <x:v>119.525</x:v>
      </x:c>
      <x:c r="P114" s="221" t="n">
        <x:v>111.31666666666666</x:v>
      </x:c>
      <x:c r="Q114" s="221" t="n">
        <x:v>8.208333333333334</x:v>
      </x:c>
      <x:c r="R114" s="221" t="n">
        <x:v>0.06867461479467336</x:v>
      </x:c>
      <x:c r="S114" s="221" t="n">
        <x:v>130.93548387096774</x:v>
      </x:c>
      <x:c r="T114" s="221" t="n">
        <x:v>123.64516129032258</x:v>
      </x:c>
      <x:c r="U114" s="221" t="n">
        <x:v>7.290322580645161</x:v>
      </x:c>
      <x:c r="V114" s="219" t="n">
        <x:v>0.02534562211981567</x:v>
      </x:c>
      <x:c r="W114" s="216" t="n">
        <x:v>13</x:v>
      </x:c>
      <x:c r="X114" s="223" t="n">
        <x:v>1440</x:v>
      </x:c>
      <x:c r="Y114" s="216" t="n">
        <x:v>53</x:v>
      </x:c>
    </x:row>
    <x:row r="115">
      <x:c r="A115" s="217" t="n">
        <x:v>1465</x:v>
      </x:c>
      <x:c r="B115" s="217" t="str">
        <x:v>文德國小(公館街)</x:v>
      </x:c>
      <x:c r="C115" s="217" t="str">
        <x:v>板橋區</x:v>
      </x:c>
      <x:c r="D115" s="217" t="n">
        <x:v>52</x:v>
      </x:c>
      <x:c r="E115" s="217" t="n">
        <x:v>120</x:v>
      </x:c>
      <x:c r="F115" s="218" t="n">
        <x:v>0.9994791666666667</x:v>
      </x:c>
      <x:c r="G115" s="217" t="n">
        <x:v>111</x:v>
      </x:c>
      <x:c r="H115" s="217" t="str">
        <x:f>IF(G115&lt;='排名定義'!$B$5,"是","")</x:f>
        <x:v>是</x:v>
      </x:c>
      <x:c r="I115" s="217" t="n">
        <x:v>109</x:v>
      </x:c>
      <x:c r="J115" s="217" t="str">
        <x:f>IF(I115&lt;='排名定義'!$B$5,"是","")</x:f>
        <x:v>是</x:v>
      </x:c>
      <x:c r="K115" s="217" t="n">
        <x:v>106</x:v>
      </x:c>
      <x:c r="L115" s="217" t="str">
        <x:f>IF(K115&lt;='排名定義'!$B$5,"是","")</x:f>
        <x:v>是</x:v>
      </x:c>
      <x:c r="M115" s="217" t="n">
        <x:f>COUNTIF(H115:L115,"是")</x:f>
        <x:v>3</x:v>
      </x:c>
      <x:c r="N115" s="217" t="str">
        <x:v>三份皆入選</x:v>
      </x:c>
      <x:c r="O115" s="220" t="n">
        <x:v>119.375</x:v>
      </x:c>
      <x:c r="P115" s="220" t="n">
        <x:v>110.85833333333333</x:v>
      </x:c>
      <x:c r="Q115" s="220" t="n">
        <x:v>8.516666666666667</x:v>
      </x:c>
      <x:c r="R115" s="220" t="n">
        <x:v>0.07134380453752182</x:v>
      </x:c>
      <x:c r="S115" s="220" t="n">
        <x:v>136.25806451612902</x:v>
      </x:c>
      <x:c r="T115" s="220" t="n">
        <x:v>130.16129032258064</x:v>
      </x:c>
      <x:c r="U115" s="220" t="n">
        <x:v>6.096774193548387</x:v>
      </x:c>
      <x:c r="V115" s="218" t="n">
        <x:v>0.08525345622119816</x:v>
      </x:c>
      <x:c r="W115" s="217" t="n">
        <x:v>22</x:v>
      </x:c>
      <x:c r="X115" s="222" t="n">
        <x:v>3090</x:v>
      </x:c>
      <x:c r="Y115" s="217" t="n">
        <x:v>52</x:v>
      </x:c>
    </x:row>
    <x:row r="116">
      <x:c r="A116" s="216" t="n">
        <x:v>1346</x:v>
      </x:c>
      <x:c r="B116" s="216" t="str">
        <x:v>國泰街111巷口</x:v>
      </x:c>
      <x:c r="C116" s="216" t="str">
        <x:v>板橋區</x:v>
      </x:c>
      <x:c r="D116" s="216" t="n">
        <x:v>43</x:v>
      </x:c>
      <x:c r="E116" s="216" t="n">
        <x:v>120</x:v>
      </x:c>
      <x:c r="F116" s="219" t="n">
        <x:v>0.9994791666666667</x:v>
      </x:c>
      <x:c r="G116" s="216" t="n">
        <x:v>112</x:v>
      </x:c>
      <x:c r="H116" s="216" t="str">
        <x:f>IF(G116&lt;='排名定義'!$B$5,"是","")</x:f>
        <x:v>是</x:v>
      </x:c>
      <x:c r="I116" s="216" t="n">
        <x:v>110</x:v>
      </x:c>
      <x:c r="J116" s="216" t="str">
        <x:f>IF(I116&lt;='排名定義'!$B$5,"是","")</x:f>
        <x:v>是</x:v>
      </x:c>
      <x:c r="K116" s="216" t="n">
        <x:v>127</x:v>
      </x:c>
      <x:c r="L116" s="216" t="str">
        <x:f>IF(K116&lt;='排名定義'!$B$5,"是","")</x:f>
        <x:v>是</x:v>
      </x:c>
      <x:c r="M116" s="216" t="n">
        <x:f>COUNTIF(H116:L116,"是")</x:f>
        <x:v>3</x:v>
      </x:c>
      <x:c r="N116" s="216" t="str">
        <x:v>三份皆入選</x:v>
      </x:c>
      <x:c r="O116" s="221" t="n">
        <x:v>118.225</x:v>
      </x:c>
      <x:c r="P116" s="221" t="n">
        <x:v>110.14166666666667</x:v>
      </x:c>
      <x:c r="Q116" s="221" t="n">
        <x:v>8.083333333333334</x:v>
      </x:c>
      <x:c r="R116" s="221" t="n">
        <x:v>0.06837245365475435</x:v>
      </x:c>
      <x:c r="S116" s="221" t="n">
        <x:v>146.2258064516129</x:v>
      </x:c>
      <x:c r="T116" s="221" t="n">
        <x:v>139.61290322580646</x:v>
      </x:c>
      <x:c r="U116" s="221" t="n">
        <x:v>6.612903225806452</x:v>
      </x:c>
      <x:c r="V116" s="219" t="n">
        <x:v>0.10599078341013825</x:v>
      </x:c>
      <x:c r="W116" s="216" t="n">
        <x:v>21</x:v>
      </x:c>
      <x:c r="X116" s="223" t="n">
        <x:v>2940</x:v>
      </x:c>
      <x:c r="Y116" s="216" t="n">
        <x:v>43</x:v>
      </x:c>
    </x:row>
    <x:row r="117">
      <x:c r="A117" s="217" t="n">
        <x:v>1268</x:v>
      </x:c>
      <x:c r="B117" s="217" t="str">
        <x:v>捷運淡水站(中正東路)</x:v>
      </x:c>
      <x:c r="C117" s="217" t="str">
        <x:v>淡水區</x:v>
      </x:c>
      <x:c r="D117" s="217" t="n">
        <x:v>40</x:v>
      </x:c>
      <x:c r="E117" s="217" t="n">
        <x:v>120</x:v>
      </x:c>
      <x:c r="F117" s="218" t="n">
        <x:v>0.9994791666666667</x:v>
      </x:c>
      <x:c r="G117" s="217" t="n">
        <x:v>113</x:v>
      </x:c>
      <x:c r="H117" s="217" t="str">
        <x:f>IF(G117&lt;='排名定義'!$B$5,"是","")</x:f>
        <x:v>是</x:v>
      </x:c>
      <x:c r="I117" s="217" t="n">
        <x:v>112</x:v>
      </x:c>
      <x:c r="J117" s="217" t="str">
        <x:f>IF(I117&lt;='排名定義'!$B$5,"是","")</x:f>
        <x:v>是</x:v>
      </x:c>
      <x:c r="K117" s="217" t="n">
        <x:v>151</x:v>
      </x:c>
      <x:c r="L117" s="217" t="str">
        <x:f>IF(K117&lt;='排名定義'!$B$5,"是","")</x:f>
        <x:v>是</x:v>
      </x:c>
      <x:c r="M117" s="217" t="n">
        <x:f>COUNTIF(H117:L117,"是")</x:f>
        <x:v>3</x:v>
      </x:c>
      <x:c r="N117" s="217" t="str">
        <x:v>三份皆入選</x:v>
      </x:c>
      <x:c r="O117" s="220" t="n">
        <x:v>116.89166666666667</x:v>
      </x:c>
      <x:c r="P117" s="220" t="n">
        <x:v>109.19166666666666</x:v>
      </x:c>
      <x:c r="Q117" s="220" t="n">
        <x:v>7.7</x:v>
      </x:c>
      <x:c r="R117" s="220" t="n">
        <x:v>0.06587295929279247</x:v>
      </x:c>
      <x:c r="S117" s="220" t="n">
        <x:v>171.8709677419355</x:v>
      </x:c>
      <x:c r="T117" s="220" t="n">
        <x:v>164.03225806451613</x:v>
      </x:c>
      <x:c r="U117" s="220" t="n">
        <x:v>7.838709677419355</x:v>
      </x:c>
      <x:c r="V117" s="218" t="n">
        <x:v>0.07373271889400922</x:v>
      </x:c>
      <x:c r="W117" s="217" t="n">
        <x:v>16</x:v>
      </x:c>
      <x:c r="X117" s="222" t="n">
        <x:v>2010</x:v>
      </x:c>
      <x:c r="Y117" s="217" t="n">
        <x:v>40</x:v>
      </x:c>
    </x:row>
    <x:row r="118">
      <x:c r="A118" s="216" t="n">
        <x:v>970</x:v>
      </x:c>
      <x:c r="B118" s="216" t="str">
        <x:v>秀得里(成功路二段)</x:v>
      </x:c>
      <x:c r="C118" s="216" t="str">
        <x:v>永和區</x:v>
      </x:c>
      <x:c r="D118" s="216" t="n">
        <x:v>28</x:v>
      </x:c>
      <x:c r="E118" s="216" t="n">
        <x:v>120</x:v>
      </x:c>
      <x:c r="F118" s="219" t="n">
        <x:v>0.9994791666666667</x:v>
      </x:c>
      <x:c r="G118" s="216" t="n">
        <x:v>114</x:v>
      </x:c>
      <x:c r="H118" s="216" t="str">
        <x:f>IF(G118&lt;='排名定義'!$B$5,"是","")</x:f>
        <x:v>是</x:v>
      </x:c>
      <x:c r="I118" s="216" t="n">
        <x:v>111</x:v>
      </x:c>
      <x:c r="J118" s="216" t="str">
        <x:f>IF(I118&lt;='排名定義'!$B$5,"是","")</x:f>
        <x:v>是</x:v>
      </x:c>
      <x:c r="K118" s="216" t="n">
        <x:v>333</x:v>
      </x:c>
      <x:c r="L118" s="216" t="str">
        <x:f>IF(K118&lt;='排名定義'!$B$5,"是","")</x:f>
        <x:v>是</x:v>
      </x:c>
      <x:c r="M118" s="216" t="n">
        <x:f>COUNTIF(H118:L118,"是")</x:f>
        <x:v>3</x:v>
      </x:c>
      <x:c r="N118" s="216" t="str">
        <x:v>三份皆入選</x:v>
      </x:c>
      <x:c r="O118" s="221" t="n">
        <x:v>116.15</x:v>
      </x:c>
      <x:c r="P118" s="221" t="n">
        <x:v>110.04166666666667</x:v>
      </x:c>
      <x:c r="Q118" s="221" t="n">
        <x:v>6.108333333333333</x:v>
      </x:c>
      <x:c r="R118" s="221" t="n">
        <x:v>0.052590041612856936</x:v>
      </x:c>
      <x:c r="S118" s="221" t="n">
        <x:v>157.03225806451613</x:v>
      </x:c>
      <x:c r="T118" s="221" t="n">
        <x:v>151.41935483870967</x:v>
      </x:c>
      <x:c r="U118" s="221" t="n">
        <x:v>5.612903225806452</x:v>
      </x:c>
      <x:c r="V118" s="219" t="n">
        <x:v>0.03456221198156682</x:v>
      </x:c>
      <x:c r="W118" s="216" t="n">
        <x:v>10</x:v>
      </x:c>
      <x:c r="X118" s="223" t="n">
        <x:v>2130</x:v>
      </x:c>
      <x:c r="Y118" s="216" t="n">
        <x:v>28</x:v>
      </x:c>
    </x:row>
    <x:row r="119">
      <x:c r="A119" s="217" t="n">
        <x:v>10</x:v>
      </x:c>
      <x:c r="B119" s="217" t="str">
        <x:v>五堵火車站</x:v>
      </x:c>
      <x:c r="C119" s="217" t="str">
        <x:v>汐止區</x:v>
      </x:c>
      <x:c r="D119" s="217" t="n">
        <x:v>66</x:v>
      </x:c>
      <x:c r="E119" s="217" t="n">
        <x:v>120</x:v>
      </x:c>
      <x:c r="F119" s="218" t="n">
        <x:v>0.9994791666666667</x:v>
      </x:c>
      <x:c r="G119" s="217" t="n">
        <x:v>115</x:v>
      </x:c>
      <x:c r="H119" s="217" t="str">
        <x:f>IF(G119&lt;='排名定義'!$B$5,"是","")</x:f>
        <x:v>是</x:v>
      </x:c>
      <x:c r="I119" s="217" t="n">
        <x:v>120</x:v>
      </x:c>
      <x:c r="J119" s="217" t="str">
        <x:f>IF(I119&lt;='排名定義'!$B$5,"是","")</x:f>
        <x:v>是</x:v>
      </x:c>
      <x:c r="K119" s="217" t="n">
        <x:v>88</x:v>
      </x:c>
      <x:c r="L119" s="217" t="str">
        <x:f>IF(K119&lt;='排名定義'!$B$5,"是","")</x:f>
        <x:v>是</x:v>
      </x:c>
      <x:c r="M119" s="217" t="n">
        <x:f>COUNTIF(H119:L119,"是")</x:f>
        <x:v>3</x:v>
      </x:c>
      <x:c r="N119" s="217" t="str">
        <x:v>三份皆入選</x:v>
      </x:c>
      <x:c r="O119" s="220" t="n">
        <x:v>114.65</x:v>
      </x:c>
      <x:c r="P119" s="220" t="n">
        <x:v>105.80833333333334</x:v>
      </x:c>
      <x:c r="Q119" s="220" t="n">
        <x:v>8.841666666666667</x:v>
      </x:c>
      <x:c r="R119" s="220" t="n">
        <x:v>0.07711876726268353</x:v>
      </x:c>
      <x:c r="S119" s="220" t="n">
        <x:v>166.48387096774192</x:v>
      </x:c>
      <x:c r="T119" s="220" t="n">
        <x:v>155.4516129032258</x:v>
      </x:c>
      <x:c r="U119" s="220" t="n">
        <x:v>11.03225806451613</x:v>
      </x:c>
      <x:c r="V119" s="218" t="n">
        <x:v>0.009216589861751152</x:v>
      </x:c>
      <x:c r="W119" s="217" t="n">
        <x:v>13</x:v>
      </x:c>
      <x:c r="X119" s="222" t="n">
        <x:v>1500</x:v>
      </x:c>
      <x:c r="Y119" s="217" t="n">
        <x:v>66</x:v>
      </x:c>
    </x:row>
    <x:row r="120">
      <x:c r="A120" s="216" t="n">
        <x:v>1326</x:v>
      </x:c>
      <x:c r="B120" s="216" t="str">
        <x:v>國光公園</x:v>
      </x:c>
      <x:c r="C120" s="216" t="str">
        <x:v>板橋區</x:v>
      </x:c>
      <x:c r="D120" s="216" t="n">
        <x:v>42</x:v>
      </x:c>
      <x:c r="E120" s="216" t="n">
        <x:v>120</x:v>
      </x:c>
      <x:c r="F120" s="219" t="n">
        <x:v>0.9994791666666667</x:v>
      </x:c>
      <x:c r="G120" s="216" t="n">
        <x:v>116</x:v>
      </x:c>
      <x:c r="H120" s="216" t="str">
        <x:f>IF(G120&lt;='排名定義'!$B$5,"是","")</x:f>
        <x:v>是</x:v>
      </x:c>
      <x:c r="I120" s="216" t="n">
        <x:v>122</x:v>
      </x:c>
      <x:c r="J120" s="216" t="str">
        <x:f>IF(I120&lt;='排名定義'!$B$5,"是","")</x:f>
        <x:v>是</x:v>
      </x:c>
      <x:c r="K120" s="216" t="n">
        <x:v>77</x:v>
      </x:c>
      <x:c r="L120" s="216" t="str">
        <x:f>IF(K120&lt;='排名定義'!$B$5,"是","")</x:f>
        <x:v>是</x:v>
      </x:c>
      <x:c r="M120" s="216" t="n">
        <x:f>COUNTIF(H120:L120,"是")</x:f>
        <x:v>3</x:v>
      </x:c>
      <x:c r="N120" s="216" t="str">
        <x:v>三份皆入選</x:v>
      </x:c>
      <x:c r="O120" s="221" t="n">
        <x:v>114.30833333333334</x:v>
      </x:c>
      <x:c r="P120" s="221" t="n">
        <x:v>105.15</x:v>
      </x:c>
      <x:c r="Q120" s="221" t="n">
        <x:v>9.158333333333333</x:v>
      </x:c>
      <x:c r="R120" s="221" t="n">
        <x:v>0.08011955967048189</x:v>
      </x:c>
      <x:c r="S120" s="221" t="n">
        <x:v>127.58064516129032</x:v>
      </x:c>
      <x:c r="T120" s="221" t="n">
        <x:v>121.38709677419355</x:v>
      </x:c>
      <x:c r="U120" s="221" t="n">
        <x:v>6.193548387096774</x:v>
      </x:c>
      <x:c r="V120" s="219" t="n">
        <x:v>0.02304147465437788</x:v>
      </x:c>
      <x:c r="W120" s="216" t="n">
        <x:v>6</x:v>
      </x:c>
      <x:c r="X120" s="223" t="n">
        <x:v>690</x:v>
      </x:c>
      <x:c r="Y120" s="216" t="n">
        <x:v>42</x:v>
      </x:c>
    </x:row>
    <x:row r="121">
      <x:c r="A121" s="217" t="n">
        <x:v>361</x:v>
      </x:c>
      <x:c r="B121" s="217" t="str">
        <x:v>捷運頂溪站(2號出口)</x:v>
      </x:c>
      <x:c r="C121" s="217" t="str">
        <x:v>永和區</x:v>
      </x:c>
      <x:c r="D121" s="217" t="n">
        <x:v>15</x:v>
      </x:c>
      <x:c r="E121" s="217" t="n">
        <x:v>120</x:v>
      </x:c>
      <x:c r="F121" s="218" t="n">
        <x:v>0.9994791666666667</x:v>
      </x:c>
      <x:c r="G121" s="217" t="n">
        <x:v>117</x:v>
      </x:c>
      <x:c r="H121" s="217" t="str">
        <x:f>IF(G121&lt;='排名定義'!$B$5,"是","")</x:f>
        <x:v>是</x:v>
      </x:c>
      <x:c r="I121" s="217" t="n">
        <x:v>114</x:v>
      </x:c>
      <x:c r="J121" s="217" t="str">
        <x:f>IF(I121&lt;='排名定義'!$B$5,"是","")</x:f>
        <x:v>是</x:v>
      </x:c>
      <x:c r="K121" s="217" t="n">
        <x:v>297</x:v>
      </x:c>
      <x:c r="L121" s="217" t="str">
        <x:f>IF(K121&lt;='排名定義'!$B$5,"是","")</x:f>
        <x:v>是</x:v>
      </x:c>
      <x:c r="M121" s="217" t="n">
        <x:f>COUNTIF(H121:L121,"是")</x:f>
        <x:v>3</x:v>
      </x:c>
      <x:c r="N121" s="217" t="str">
        <x:v>三份皆入選</x:v>
      </x:c>
      <x:c r="O121" s="220" t="n">
        <x:v>114.28333333333333</x:v>
      </x:c>
      <x:c r="P121" s="220" t="n">
        <x:v>107.9</x:v>
      </x:c>
      <x:c r="Q121" s="220" t="n">
        <x:v>6.383333333333334</x:v>
      </x:c>
      <x:c r="R121" s="220" t="n">
        <x:v>0.055855330319381655</x:v>
      </x:c>
      <x:c r="S121" s="220" t="n">
        <x:v>127.54838709677419</x:v>
      </x:c>
      <x:c r="T121" s="220" t="n">
        <x:v>122.54838709677419</x:v>
      </x:c>
      <x:c r="U121" s="220" t="n">
        <x:v>5</x:v>
      </x:c>
      <x:c r="V121" s="218" t="n">
        <x:v>0.1912442396313364</x:v>
      </x:c>
      <x:c r="W121" s="217" t="n">
        <x:v>61</x:v>
      </x:c>
      <x:c r="X121" s="222" t="n">
        <x:v>9120</x:v>
      </x:c>
      <x:c r="Y121" s="217" t="n">
        <x:v>15</x:v>
      </x:c>
    </x:row>
    <x:row r="122">
      <x:c r="A122" s="216" t="n">
        <x:v>1180</x:v>
      </x:c>
      <x:c r="B122" s="216" t="str">
        <x:v>縣民漢生東路口(西北側)</x:v>
      </x:c>
      <x:c r="C122" s="216" t="str">
        <x:v>板橋區</x:v>
      </x:c>
      <x:c r="D122" s="216" t="n">
        <x:v>36</x:v>
      </x:c>
      <x:c r="E122" s="216" t="n">
        <x:v>120</x:v>
      </x:c>
      <x:c r="F122" s="219" t="n">
        <x:v>0.9994791666666667</x:v>
      </x:c>
      <x:c r="G122" s="216" t="n">
        <x:v>118</x:v>
      </x:c>
      <x:c r="H122" s="216" t="str">
        <x:f>IF(G122&lt;='排名定義'!$B$5,"是","")</x:f>
        <x:v>是</x:v>
      </x:c>
      <x:c r="I122" s="216" t="n">
        <x:v>116</x:v>
      </x:c>
      <x:c r="J122" s="216" t="str">
        <x:f>IF(I122&lt;='排名定義'!$B$5,"是","")</x:f>
        <x:v>是</x:v>
      </x:c>
      <x:c r="K122" s="216" t="n">
        <x:v>223</x:v>
      </x:c>
      <x:c r="L122" s="216" t="str">
        <x:f>IF(K122&lt;='排名定義'!$B$5,"是","")</x:f>
        <x:v>是</x:v>
      </x:c>
      <x:c r="M122" s="216" t="n">
        <x:f>COUNTIF(H122:L122,"是")</x:f>
        <x:v>3</x:v>
      </x:c>
      <x:c r="N122" s="216" t="str">
        <x:v>三份皆入選</x:v>
      </x:c>
      <x:c r="O122" s="221" t="n">
        <x:v>114.025</x:v>
      </x:c>
      <x:c r="P122" s="221" t="n">
        <x:v>107.025</x:v>
      </x:c>
      <x:c r="Q122" s="221" t="n">
        <x:v>7</x:v>
      </x:c>
      <x:c r="R122" s="221" t="n">
        <x:v>0.061390046042534535</x:v>
      </x:c>
      <x:c r="S122" s="221" t="n">
        <x:v>138.61290322580646</x:v>
      </x:c>
      <x:c r="T122" s="221" t="n">
        <x:v>132</x:v>
      </x:c>
      <x:c r="U122" s="221" t="n">
        <x:v>6.612903225806452</x:v>
      </x:c>
      <x:c r="V122" s="219" t="n">
        <x:v>0.0576036866359447</x:v>
      </x:c>
      <x:c r="W122" s="216" t="n">
        <x:v>38</x:v>
      </x:c>
      <x:c r="X122" s="223" t="n">
        <x:v>5790</x:v>
      </x:c>
      <x:c r="Y122" s="216" t="n">
        <x:v>36</x:v>
      </x:c>
    </x:row>
    <x:row r="123">
      <x:c r="A123" s="217" t="n">
        <x:v>1258</x:v>
      </x:c>
      <x:c r="B123" s="217" t="str">
        <x:v>伊吉邦社區</x:v>
      </x:c>
      <x:c r="C123" s="217" t="str">
        <x:v>新莊區</x:v>
      </x:c>
      <x:c r="D123" s="217" t="n">
        <x:v>40</x:v>
      </x:c>
      <x:c r="E123" s="217" t="n">
        <x:v>120</x:v>
      </x:c>
      <x:c r="F123" s="218" t="n">
        <x:v>0.9994791666666667</x:v>
      </x:c>
      <x:c r="G123" s="217" t="n">
        <x:v>119</x:v>
      </x:c>
      <x:c r="H123" s="217" t="str">
        <x:f>IF(G123&lt;='排名定義'!$B$5,"是","")</x:f>
        <x:v>是</x:v>
      </x:c>
      <x:c r="I123" s="217" t="n">
        <x:v>119</x:v>
      </x:c>
      <x:c r="J123" s="217" t="str">
        <x:f>IF(I123&lt;='排名定義'!$B$5,"是","")</x:f>
        <x:v>是</x:v>
      </x:c>
      <x:c r="K123" s="217" t="n">
        <x:v>153</x:v>
      </x:c>
      <x:c r="L123" s="217" t="str">
        <x:f>IF(K123&lt;='排名定義'!$B$5,"是","")</x:f>
        <x:v>是</x:v>
      </x:c>
      <x:c r="M123" s="217" t="n">
        <x:f>COUNTIF(H123:L123,"是")</x:f>
        <x:v>3</x:v>
      </x:c>
      <x:c r="N123" s="217" t="str">
        <x:v>三份皆入選</x:v>
      </x:c>
      <x:c r="O123" s="220" t="n">
        <x:v>113.71666666666667</x:v>
      </x:c>
      <x:c r="P123" s="220" t="n">
        <x:v>106.025</x:v>
      </x:c>
      <x:c r="Q123" s="220" t="n">
        <x:v>7.691666666666666</x:v>
      </x:c>
      <x:c r="R123" s="220" t="n">
        <x:v>0.06763886853290342</x:v>
      </x:c>
      <x:c r="S123" s="220" t="n">
        <x:v>127.80645161290323</x:v>
      </x:c>
      <x:c r="T123" s="220" t="n">
        <x:v>121.64516129032258</x:v>
      </x:c>
      <x:c r="U123" s="220" t="n">
        <x:v>6.161290322580645</x:v>
      </x:c>
      <x:c r="V123" s="218" t="n">
        <x:v>0.12672811059907835</x:v>
      </x:c>
      <x:c r="W123" s="217" t="n">
        <x:v>30</x:v>
      </x:c>
      <x:c r="X123" s="222" t="n">
        <x:v>3420</x:v>
      </x:c>
      <x:c r="Y123" s="217" t="n">
        <x:v>40</x:v>
      </x:c>
    </x:row>
    <x:row r="124">
      <x:c r="A124" s="216" t="n">
        <x:v>1196</x:v>
      </x:c>
      <x:c r="B124" s="216" t="str">
        <x:v>樹林區公所</x:v>
      </x:c>
      <x:c r="C124" s="216" t="str">
        <x:v>樹林區</x:v>
      </x:c>
      <x:c r="D124" s="216" t="n">
        <x:v>37</x:v>
      </x:c>
      <x:c r="E124" s="216" t="n">
        <x:v>120</x:v>
      </x:c>
      <x:c r="F124" s="219" t="n">
        <x:v>0.9994791666666667</x:v>
      </x:c>
      <x:c r="G124" s="216" t="n">
        <x:v>120</x:v>
      </x:c>
      <x:c r="H124" s="216" t="str">
        <x:f>IF(G124&lt;='排名定義'!$B$5,"是","")</x:f>
        <x:v>是</x:v>
      </x:c>
      <x:c r="I124" s="216" t="n">
        <x:v>121</x:v>
      </x:c>
      <x:c r="J124" s="216" t="str">
        <x:f>IF(I124&lt;='排名定義'!$B$5,"是","")</x:f>
        <x:v>是</x:v>
      </x:c>
      <x:c r="K124" s="216" t="n">
        <x:v>166</x:v>
      </x:c>
      <x:c r="L124" s="216" t="str">
        <x:f>IF(K124&lt;='排名定義'!$B$5,"是","")</x:f>
        <x:v>是</x:v>
      </x:c>
      <x:c r="M124" s="216" t="n">
        <x:f>COUNTIF(H124:L124,"是")</x:f>
        <x:v>3</x:v>
      </x:c>
      <x:c r="N124" s="216" t="str">
        <x:v>三份皆入選</x:v>
      </x:c>
      <x:c r="O124" s="221" t="n">
        <x:v>113.26666666666667</x:v>
      </x:c>
      <x:c r="P124" s="221" t="n">
        <x:v>105.68333333333334</x:v>
      </x:c>
      <x:c r="Q124" s="221" t="n">
        <x:v>7.583333333333333</x:v>
      </x:c>
      <x:c r="R124" s="221" t="n">
        <x:v>0.06695114773396116</x:v>
      </x:c>
      <x:c r="S124" s="221" t="n">
        <x:v>148.8709677419355</x:v>
      </x:c>
      <x:c r="T124" s="221" t="n">
        <x:v>142.29032258064515</x:v>
      </x:c>
      <x:c r="U124" s="221" t="n">
        <x:v>6.580645161290323</x:v>
      </x:c>
      <x:c r="V124" s="219" t="n">
        <x:v>0.009216589861751152</x:v>
      </x:c>
      <x:c r="W124" s="216" t="n">
        <x:v>27</x:v>
      </x:c>
      <x:c r="X124" s="223" t="n">
        <x:v>3540</x:v>
      </x:c>
      <x:c r="Y124" s="216" t="n">
        <x:v>37</x:v>
      </x:c>
    </x:row>
    <x:row r="125">
      <x:c r="A125" s="217" t="n">
        <x:v>1077</x:v>
      </x:c>
      <x:c r="B125" s="217" t="str">
        <x:v>大鵬華城</x:v>
      </x:c>
      <x:c r="C125" s="217" t="str">
        <x:v>新店區</x:v>
      </x:c>
      <x:c r="D125" s="217" t="n">
        <x:v>31</x:v>
      </x:c>
      <x:c r="E125" s="217" t="n">
        <x:v>120</x:v>
      </x:c>
      <x:c r="F125" s="218" t="n">
        <x:v>0.9994791666666667</x:v>
      </x:c>
      <x:c r="G125" s="217" t="n">
        <x:v>121</x:v>
      </x:c>
      <x:c r="H125" s="217" t="str">
        <x:f>IF(G125&lt;='排名定義'!$B$5,"是","")</x:f>
        <x:v>是</x:v>
      </x:c>
      <x:c r="I125" s="217" t="n">
        <x:v>118</x:v>
      </x:c>
      <x:c r="J125" s="217" t="str">
        <x:f>IF(I125&lt;='排名定義'!$B$5,"是","")</x:f>
        <x:v>是</x:v>
      </x:c>
      <x:c r="K125" s="217" t="n">
        <x:v>271</x:v>
      </x:c>
      <x:c r="L125" s="217" t="str">
        <x:f>IF(K125&lt;='排名定義'!$B$5,"是","")</x:f>
        <x:v>是</x:v>
      </x:c>
      <x:c r="M125" s="217" t="n">
        <x:f>COUNTIF(H125:L125,"是")</x:f>
        <x:v>3</x:v>
      </x:c>
      <x:c r="N125" s="217" t="str">
        <x:v>三份皆入選</x:v>
      </x:c>
      <x:c r="O125" s="220" t="n">
        <x:v>113.18333333333334</x:v>
      </x:c>
      <x:c r="P125" s="220" t="n">
        <x:v>106.58333333333333</x:v>
      </x:c>
      <x:c r="Q125" s="220" t="n">
        <x:v>6.6</x:v>
      </x:c>
      <x:c r="R125" s="220" t="n">
        <x:v>0.058312472389927844</x:v>
      </x:c>
      <x:c r="S125" s="220" t="n">
        <x:v>145.70967741935485</x:v>
      </x:c>
      <x:c r="T125" s="220" t="n">
        <x:v>139.19354838709677</x:v>
      </x:c>
      <x:c r="U125" s="220" t="n">
        <x:v>6.516129032258065</x:v>
      </x:c>
      <x:c r="V125" s="218" t="n">
        <x:v>0.05069124423963134</x:v>
      </x:c>
      <x:c r="W125" s="217" t="n">
        <x:v>21</x:v>
      </x:c>
      <x:c r="X125" s="222" t="n">
        <x:v>2490</x:v>
      </x:c>
      <x:c r="Y125" s="217" t="n">
        <x:v>31</x:v>
      </x:c>
    </x:row>
    <x:row r="126">
      <x:c r="A126" s="216" t="n">
        <x:v>1082</x:v>
      </x:c>
      <x:c r="B126" s="216" t="str">
        <x:v>捷運輔大站(1號出口)</x:v>
      </x:c>
      <x:c r="C126" s="216" t="str">
        <x:v>新莊區</x:v>
      </x:c>
      <x:c r="D126" s="216" t="n">
        <x:v>31</x:v>
      </x:c>
      <x:c r="E126" s="216" t="n">
        <x:v>120</x:v>
      </x:c>
      <x:c r="F126" s="219" t="n">
        <x:v>0.9994791666666667</x:v>
      </x:c>
      <x:c r="G126" s="216" t="n">
        <x:v>122</x:v>
      </x:c>
      <x:c r="H126" s="216" t="str">
        <x:f>IF(G126&lt;='排名定義'!$B$5,"是","")</x:f>
        <x:v>是</x:v>
      </x:c>
      <x:c r="I126" s="216" t="n">
        <x:v>115</x:v>
      </x:c>
      <x:c r="J126" s="216" t="str">
        <x:f>IF(I126&lt;='排名定義'!$B$5,"是","")</x:f>
        <x:v>是</x:v>
      </x:c>
      <x:c r="K126" s="216" t="n">
        <x:v>387</x:v>
      </x:c>
      <x:c r="L126" s="216" t="str">
        <x:f>IF(K126&lt;='排名定義'!$B$5,"是","")</x:f>
        <x:v>是</x:v>
      </x:c>
      <x:c r="M126" s="216" t="n">
        <x:f>COUNTIF(H126:L126,"是")</x:f>
        <x:v>3</x:v>
      </x:c>
      <x:c r="N126" s="216" t="str">
        <x:v>總變動＋一般變動</x:v>
      </x:c>
      <x:c r="O126" s="221" t="n">
        <x:v>112.89166666666667</x:v>
      </x:c>
      <x:c r="P126" s="221" t="n">
        <x:v>107.125</x:v>
      </x:c>
      <x:c r="Q126" s="221" t="n">
        <x:v>5.766666666666667</x:v>
      </x:c>
      <x:c r="R126" s="221" t="n">
        <x:v>0.05108142024064369</x:v>
      </x:c>
      <x:c r="S126" s="221" t="n">
        <x:v>137.61290322580646</x:v>
      </x:c>
      <x:c r="T126" s="221" t="n">
        <x:v>131.83870967741936</x:v>
      </x:c>
      <x:c r="U126" s="221" t="n">
        <x:v>5.774193548387097</x:v>
      </x:c>
      <x:c r="V126" s="219" t="n">
        <x:v>0.06451612903225806</x:v>
      </x:c>
      <x:c r="W126" s="216" t="n">
        <x:v>33</x:v>
      </x:c>
      <x:c r="X126" s="223" t="n">
        <x:v>4650</x:v>
      </x:c>
      <x:c r="Y126" s="216" t="n">
        <x:v>31</x:v>
      </x:c>
    </x:row>
    <x:row r="127">
      <x:c r="A127" s="217" t="n">
        <x:v>828</x:v>
      </x:c>
      <x:c r="B127" s="217" t="str">
        <x:v>仁愛路40巷口</x:v>
      </x:c>
      <x:c r="C127" s="217" t="str">
        <x:v>永和區</x:v>
      </x:c>
      <x:c r="D127" s="217" t="n">
        <x:v>23</x:v>
      </x:c>
      <x:c r="E127" s="217" t="n">
        <x:v>120</x:v>
      </x:c>
      <x:c r="F127" s="218" t="n">
        <x:v>0.9994791666666667</x:v>
      </x:c>
      <x:c r="G127" s="217" t="n">
        <x:v>123</x:v>
      </x:c>
      <x:c r="H127" s="217" t="str">
        <x:f>IF(G127&lt;='排名定義'!$B$5,"是","")</x:f>
        <x:v>是</x:v>
      </x:c>
      <x:c r="I127" s="217" t="n">
        <x:v>117</x:v>
      </x:c>
      <x:c r="J127" s="217" t="str">
        <x:f>IF(I127&lt;='排名定義'!$B$5,"是","")</x:f>
        <x:v>是</x:v>
      </x:c>
      <x:c r="K127" s="217" t="n">
        <x:v>326</x:v>
      </x:c>
      <x:c r="L127" s="217" t="str">
        <x:f>IF(K127&lt;='排名定義'!$B$5,"是","")</x:f>
        <x:v>是</x:v>
      </x:c>
      <x:c r="M127" s="217" t="n">
        <x:f>COUNTIF(H127:L127,"是")</x:f>
        <x:v>3</x:v>
      </x:c>
      <x:c r="N127" s="217" t="str">
        <x:v>三份皆入選</x:v>
      </x:c>
      <x:c r="O127" s="220" t="n">
        <x:v>112.85</x:v>
      </x:c>
      <x:c r="P127" s="220" t="n">
        <x:v>106.7</x:v>
      </x:c>
      <x:c r="Q127" s="220" t="n">
        <x:v>6.15</x:v>
      </x:c>
      <x:c r="R127" s="220" t="n">
        <x:v>0.05449712007089056</x:v>
      </x:c>
      <x:c r="S127" s="220" t="n">
        <x:v>137.7741935483871</x:v>
      </x:c>
      <x:c r="T127" s="220" t="n">
        <x:v>132.19354838709677</x:v>
      </x:c>
      <x:c r="U127" s="220" t="n">
        <x:v>5.580645161290323</x:v>
      </x:c>
      <x:c r="V127" s="218" t="n">
        <x:v>0.1152073732718894</x:v>
      </x:c>
      <x:c r="W127" s="217" t="n">
        <x:v>53</x:v>
      </x:c>
      <x:c r="X127" s="222" t="n">
        <x:v>6630</x:v>
      </x:c>
      <x:c r="Y127" s="217" t="n">
        <x:v>23</x:v>
      </x:c>
    </x:row>
    <x:row r="128">
      <x:c r="A128" s="216" t="n">
        <x:v>35</x:v>
      </x:c>
      <x:c r="B128" s="216" t="str">
        <x:v>捷運幸福站</x:v>
      </x:c>
      <x:c r="C128" s="216" t="str">
        <x:v>新莊區</x:v>
      </x:c>
      <x:c r="D128" s="216" t="n">
        <x:v>58</x:v>
      </x:c>
      <x:c r="E128" s="216" t="n">
        <x:v>120</x:v>
      </x:c>
      <x:c r="F128" s="219" t="n">
        <x:v>0.9994791666666667</x:v>
      </x:c>
      <x:c r="G128" s="216" t="n">
        <x:v>124</x:v>
      </x:c>
      <x:c r="H128" s="216" t="str">
        <x:f>IF(G128&lt;='排名定義'!$B$5,"是","")</x:f>
        <x:v>是</x:v>
      </x:c>
      <x:c r="I128" s="216" t="n">
        <x:v>123</x:v>
      </x:c>
      <x:c r="J128" s="216" t="str">
        <x:f>IF(I128&lt;='排名定義'!$B$5,"是","")</x:f>
        <x:v>是</x:v>
      </x:c>
      <x:c r="K128" s="216" t="n">
        <x:v>174</x:v>
      </x:c>
      <x:c r="L128" s="216" t="str">
        <x:f>IF(K128&lt;='排名定義'!$B$5,"是","")</x:f>
        <x:v>是</x:v>
      </x:c>
      <x:c r="M128" s="216" t="n">
        <x:f>COUNTIF(H128:L128,"是")</x:f>
        <x:v>3</x:v>
      </x:c>
      <x:c r="N128" s="216" t="str">
        <x:v>三份皆入選</x:v>
      </x:c>
      <x:c r="O128" s="221" t="n">
        <x:v>112.51666666666667</x:v>
      </x:c>
      <x:c r="P128" s="221" t="n">
        <x:v>105.025</x:v>
      </x:c>
      <x:c r="Q128" s="221" t="n">
        <x:v>7.491666666666666</x:v>
      </x:c>
      <x:c r="R128" s="221" t="n">
        <x:v>0.06658272848466894</x:v>
      </x:c>
      <x:c r="S128" s="221" t="n">
        <x:v>147</x:v>
      </x:c>
      <x:c r="T128" s="221" t="n">
        <x:v>141.61290322580646</x:v>
      </x:c>
      <x:c r="U128" s="221" t="n">
        <x:v>5.387096774193548</x:v>
      </x:c>
      <x:c r="V128" s="219" t="n">
        <x:v>0.027649769585253458</x:v>
      </x:c>
      <x:c r="W128" s="216" t="n">
        <x:v>21</x:v>
      </x:c>
      <x:c r="X128" s="223" t="n">
        <x:v>3030</x:v>
      </x:c>
      <x:c r="Y128" s="216" t="n">
        <x:v>58</x:v>
      </x:c>
    </x:row>
    <x:row r="129">
      <x:c r="A129" s="217" t="n">
        <x:v>1336</x:v>
      </x:c>
      <x:c r="B129" s="217" t="str">
        <x:v>青山廣場</x:v>
      </x:c>
      <x:c r="C129" s="217" t="str">
        <x:v>土城區</x:v>
      </x:c>
      <x:c r="D129" s="217" t="n">
        <x:v>42</x:v>
      </x:c>
      <x:c r="E129" s="217" t="n">
        <x:v>120</x:v>
      </x:c>
      <x:c r="F129" s="218" t="n">
        <x:v>0.9994791666666667</x:v>
      </x:c>
      <x:c r="G129" s="217" t="n">
        <x:v>125</x:v>
      </x:c>
      <x:c r="H129" s="217" t="str">
        <x:f>IF(G129&lt;='排名定義'!$B$5,"是","")</x:f>
        <x:v>是</x:v>
      </x:c>
      <x:c r="I129" s="217" t="n">
        <x:v>126</x:v>
      </x:c>
      <x:c r="J129" s="217" t="str">
        <x:f>IF(I129&lt;='排名定義'!$B$5,"是","")</x:f>
        <x:v>是</x:v>
      </x:c>
      <x:c r="K129" s="217" t="n">
        <x:v>115</x:v>
      </x:c>
      <x:c r="L129" s="217" t="str">
        <x:f>IF(K129&lt;='排名定義'!$B$5,"是","")</x:f>
        <x:v>是</x:v>
      </x:c>
      <x:c r="M129" s="217" t="n">
        <x:f>COUNTIF(H129:L129,"是")</x:f>
        <x:v>3</x:v>
      </x:c>
      <x:c r="N129" s="217" t="str">
        <x:v>三份皆入選</x:v>
      </x:c>
      <x:c r="O129" s="220" t="n">
        <x:v>112.375</x:v>
      </x:c>
      <x:c r="P129" s="220" t="n">
        <x:v>104.06666666666666</x:v>
      </x:c>
      <x:c r="Q129" s="220" t="n">
        <x:v>8.308333333333334</x:v>
      </x:c>
      <x:c r="R129" s="220" t="n">
        <x:v>0.0739340007415647</x:v>
      </x:c>
      <x:c r="S129" s="220" t="n">
        <x:v>143</x:v>
      </x:c>
      <x:c r="T129" s="220" t="n">
        <x:v>135.61290322580646</x:v>
      </x:c>
      <x:c r="U129" s="220" t="n">
        <x:v>7.387096774193548</x:v>
      </x:c>
      <x:c r="V129" s="218" t="n">
        <x:v>0.07373271889400922</x:v>
      </x:c>
      <x:c r="W129" s="217" t="n">
        <x:v>23</x:v>
      </x:c>
      <x:c r="X129" s="222" t="n">
        <x:v>2550</x:v>
      </x:c>
      <x:c r="Y129" s="217" t="n">
        <x:v>42</x:v>
      </x:c>
    </x:row>
    <x:row r="130">
      <x:c r="A130" s="216" t="n">
        <x:v>1328</x:v>
      </x:c>
      <x:c r="B130" s="216" t="str">
        <x:v>捷運新店區公所站(1號出口)</x:v>
      </x:c>
      <x:c r="C130" s="216" t="str">
        <x:v>新店區</x:v>
      </x:c>
      <x:c r="D130" s="216" t="n">
        <x:v>42</x:v>
      </x:c>
      <x:c r="E130" s="216" t="n">
        <x:v>120</x:v>
      </x:c>
      <x:c r="F130" s="219" t="n">
        <x:v>0.9994791666666667</x:v>
      </x:c>
      <x:c r="G130" s="216" t="n">
        <x:v>126</x:v>
      </x:c>
      <x:c r="H130" s="216" t="str">
        <x:f>IF(G130&lt;='排名定義'!$B$5,"是","")</x:f>
        <x:v>是</x:v>
      </x:c>
      <x:c r="I130" s="216" t="n">
        <x:v>129</x:v>
      </x:c>
      <x:c r="J130" s="216" t="str">
        <x:f>IF(I130&lt;='排名定義'!$B$5,"是","")</x:f>
        <x:v>是</x:v>
      </x:c>
      <x:c r="K130" s="216" t="n">
        <x:v>109</x:v>
      </x:c>
      <x:c r="L130" s="216" t="str">
        <x:f>IF(K130&lt;='排名定義'!$B$5,"是","")</x:f>
        <x:v>是</x:v>
      </x:c>
      <x:c r="M130" s="216" t="n">
        <x:f>COUNTIF(H130:L130,"是")</x:f>
        <x:v>3</x:v>
      </x:c>
      <x:c r="N130" s="216" t="str">
        <x:v>三份皆入選</x:v>
      </x:c>
      <x:c r="O130" s="221" t="n">
        <x:v>111.175</x:v>
      </x:c>
      <x:c r="P130" s="221" t="n">
        <x:v>102.73333333333333</x:v>
      </x:c>
      <x:c r="Q130" s="221" t="n">
        <x:v>8.441666666666666</x:v>
      </x:c>
      <x:c r="R130" s="221" t="n">
        <x:v>0.07593133947979912</x:v>
      </x:c>
      <x:c r="S130" s="221" t="n">
        <x:v>148.32258064516128</x:v>
      </x:c>
      <x:c r="T130" s="221" t="n">
        <x:v>140.09677419354838</x:v>
      </x:c>
      <x:c r="U130" s="221" t="n">
        <x:v>8.225806451612904</x:v>
      </x:c>
      <x:c r="V130" s="219" t="n">
        <x:v>0.04377880184331797</x:v>
      </x:c>
      <x:c r="W130" s="216" t="n">
        <x:v>37</x:v>
      </x:c>
      <x:c r="X130" s="223" t="n">
        <x:v>4830</x:v>
      </x:c>
      <x:c r="Y130" s="216" t="n">
        <x:v>42</x:v>
      </x:c>
    </x:row>
    <x:row r="131">
      <x:c r="A131" s="217" t="n">
        <x:v>965</x:v>
      </x:c>
      <x:c r="B131" s="217" t="str">
        <x:v>板橋車站(新站路)</x:v>
      </x:c>
      <x:c r="C131" s="217" t="str">
        <x:v>板橋區</x:v>
      </x:c>
      <x:c r="D131" s="217" t="n">
        <x:v>28</x:v>
      </x:c>
      <x:c r="E131" s="217" t="n">
        <x:v>120</x:v>
      </x:c>
      <x:c r="F131" s="218" t="n">
        <x:v>0.9994791666666667</x:v>
      </x:c>
      <x:c r="G131" s="217" t="n">
        <x:v>127</x:v>
      </x:c>
      <x:c r="H131" s="217" t="str">
        <x:f>IF(G131&lt;='排名定義'!$B$5,"是","")</x:f>
        <x:v>是</x:v>
      </x:c>
      <x:c r="I131" s="217" t="n">
        <x:v>125</x:v>
      </x:c>
      <x:c r="J131" s="217" t="str">
        <x:f>IF(I131&lt;='排名定義'!$B$5,"是","")</x:f>
        <x:v>是</x:v>
      </x:c>
      <x:c r="K131" s="217" t="n">
        <x:v>241</x:v>
      </x:c>
      <x:c r="L131" s="217" t="str">
        <x:f>IF(K131&lt;='排名定義'!$B$5,"是","")</x:f>
        <x:v>是</x:v>
      </x:c>
      <x:c r="M131" s="217" t="n">
        <x:f>COUNTIF(H131:L131,"是")</x:f>
        <x:v>3</x:v>
      </x:c>
      <x:c r="N131" s="217" t="str">
        <x:v>三份皆入選</x:v>
      </x:c>
      <x:c r="O131" s="220" t="n">
        <x:v>110.91666666666667</x:v>
      </x:c>
      <x:c r="P131" s="220" t="n">
        <x:v>104.08333333333333</x:v>
      </x:c>
      <x:c r="Q131" s="220" t="n">
        <x:v>6.833333333333333</x:v>
      </x:c>
      <x:c r="R131" s="220" t="n">
        <x:v>0.061607813673929375</x:v>
      </x:c>
      <x:c r="S131" s="220" t="n">
        <x:v>118.58064516129032</x:v>
      </x:c>
      <x:c r="T131" s="220" t="n">
        <x:v>112.83870967741936</x:v>
      </x:c>
      <x:c r="U131" s="220" t="n">
        <x:v>5.741935483870968</x:v>
      </x:c>
      <x:c r="V131" s="218" t="n">
        <x:v>0.10138248847926268</x:v>
      </x:c>
      <x:c r="W131" s="217" t="n">
        <x:v>60</x:v>
      </x:c>
      <x:c r="X131" s="222" t="n">
        <x:v>8850</x:v>
      </x:c>
      <x:c r="Y131" s="217" t="n">
        <x:v>28</x:v>
      </x:c>
    </x:row>
    <x:row r="132">
      <x:c r="A132" s="216" t="n">
        <x:v>1471</x:v>
      </x:c>
      <x:c r="B132" s="216" t="str">
        <x:v>恩主公醫院</x:v>
      </x:c>
      <x:c r="C132" s="216" t="str">
        <x:v>三峽區</x:v>
      </x:c>
      <x:c r="D132" s="216" t="n">
        <x:v>54</x:v>
      </x:c>
      <x:c r="E132" s="216" t="n">
        <x:v>120</x:v>
      </x:c>
      <x:c r="F132" s="219" t="n">
        <x:v>0.9994791666666667</x:v>
      </x:c>
      <x:c r="G132" s="216" t="n">
        <x:v>128</x:v>
      </x:c>
      <x:c r="H132" s="216" t="str">
        <x:f>IF(G132&lt;='排名定義'!$B$5,"是","")</x:f>
        <x:v>是</x:v>
      </x:c>
      <x:c r="I132" s="216" t="n">
        <x:v>128</x:v>
      </x:c>
      <x:c r="J132" s="216" t="str">
        <x:f>IF(I132&lt;='排名定義'!$B$5,"是","")</x:f>
        <x:v>是</x:v>
      </x:c>
      <x:c r="K132" s="216" t="n">
        <x:v>137</x:v>
      </x:c>
      <x:c r="L132" s="216" t="str">
        <x:f>IF(K132&lt;='排名定義'!$B$5,"是","")</x:f>
        <x:v>是</x:v>
      </x:c>
      <x:c r="M132" s="216" t="n">
        <x:f>COUNTIF(H132:L132,"是")</x:f>
        <x:v>3</x:v>
      </x:c>
      <x:c r="N132" s="216" t="str">
        <x:v>三份皆入選</x:v>
      </x:c>
      <x:c r="O132" s="221" t="n">
        <x:v>110.74166666666666</x:v>
      </x:c>
      <x:c r="P132" s="221" t="n">
        <x:v>102.80833333333334</x:v>
      </x:c>
      <x:c r="Q132" s="221" t="n">
        <x:v>7.933333333333334</x:v>
      </x:c>
      <x:c r="R132" s="221" t="n">
        <x:v>0.07163819700504176</x:v>
      </x:c>
      <x:c r="S132" s="221" t="n">
        <x:v>174.58064516129033</x:v>
      </x:c>
      <x:c r="T132" s="221" t="n">
        <x:v>164.7741935483871</x:v>
      </x:c>
      <x:c r="U132" s="221" t="n">
        <x:v>9.806451612903226</x:v>
      </x:c>
      <x:c r="V132" s="219" t="n">
        <x:v>0.009216589861751152</x:v>
      </x:c>
      <x:c r="W132" s="216" t="n">
        <x:v>2</x:v>
      </x:c>
      <x:c r="X132" s="223" t="n">
        <x:v>210</x:v>
      </x:c>
      <x:c r="Y132" s="216" t="n">
        <x:v>54</x:v>
      </x:c>
    </x:row>
    <x:row r="133">
      <x:c r="A133" s="217" t="n">
        <x:v>1457</x:v>
      </x:c>
      <x:c r="B133" s="217" t="str">
        <x:v>秀朗成功路口</x:v>
      </x:c>
      <x:c r="C133" s="217" t="str">
        <x:v>中和區</x:v>
      </x:c>
      <x:c r="D133" s="217" t="n">
        <x:v>51</x:v>
      </x:c>
      <x:c r="E133" s="217" t="n">
        <x:v>120</x:v>
      </x:c>
      <x:c r="F133" s="218" t="n">
        <x:v>0.9994791666666667</x:v>
      </x:c>
      <x:c r="G133" s="217" t="n">
        <x:v>129</x:v>
      </x:c>
      <x:c r="H133" s="217" t="str">
        <x:f>IF(G133&lt;='排名定義'!$B$5,"是","")</x:f>
        <x:v>是</x:v>
      </x:c>
      <x:c r="I133" s="217" t="n">
        <x:v>135</x:v>
      </x:c>
      <x:c r="J133" s="217" t="str">
        <x:f>IF(I133&lt;='排名定義'!$B$5,"是","")</x:f>
        <x:v>是</x:v>
      </x:c>
      <x:c r="K133" s="217" t="n">
        <x:v>79</x:v>
      </x:c>
      <x:c r="L133" s="217" t="str">
        <x:f>IF(K133&lt;='排名定義'!$B$5,"是","")</x:f>
        <x:v>是</x:v>
      </x:c>
      <x:c r="M133" s="217" t="n">
        <x:f>COUNTIF(H133:L133,"是")</x:f>
        <x:v>3</x:v>
      </x:c>
      <x:c r="N133" s="217" t="str">
        <x:v>三份皆入選</x:v>
      </x:c>
      <x:c r="O133" s="220" t="n">
        <x:v>110.63333333333334</x:v>
      </x:c>
      <x:c r="P133" s="220" t="n">
        <x:v>101.54166666666667</x:v>
      </x:c>
      <x:c r="Q133" s="220" t="n">
        <x:v>9.091666666666667</x:v>
      </x:c>
      <x:c r="R133" s="220" t="n">
        <x:v>0.08217836697800543</x:v>
      </x:c>
      <x:c r="S133" s="220" t="n">
        <x:v>157.67741935483872</x:v>
      </x:c>
      <x:c r="T133" s="220" t="n">
        <x:v>150.4516129032258</x:v>
      </x:c>
      <x:c r="U133" s="220" t="n">
        <x:v>7.225806451612903</x:v>
      </x:c>
      <x:c r="V133" s="218" t="n">
        <x:v>0.016129032258064516</x:v>
      </x:c>
      <x:c r="W133" s="217" t="n">
        <x:v>4</x:v>
      </x:c>
      <x:c r="X133" s="222" t="n">
        <x:v>1050</x:v>
      </x:c>
      <x:c r="Y133" s="217" t="n">
        <x:v>51</x:v>
      </x:c>
    </x:row>
    <x:row r="134">
      <x:c r="A134" s="216" t="n">
        <x:v>1446</x:v>
      </x:c>
      <x:c r="B134" s="216" t="str">
        <x:v>民生公園</x:v>
      </x:c>
      <x:c r="C134" s="216" t="str">
        <x:v>板橋區</x:v>
      </x:c>
      <x:c r="D134" s="216" t="n">
        <x:v>50</x:v>
      </x:c>
      <x:c r="E134" s="216" t="n">
        <x:v>120</x:v>
      </x:c>
      <x:c r="F134" s="219" t="n">
        <x:v>0.9994791666666667</x:v>
      </x:c>
      <x:c r="G134" s="216" t="n">
        <x:v>130</x:v>
      </x:c>
      <x:c r="H134" s="216" t="str">
        <x:f>IF(G134&lt;='排名定義'!$B$5,"是","")</x:f>
        <x:v>是</x:v>
      </x:c>
      <x:c r="I134" s="216" t="n">
        <x:v>124</x:v>
      </x:c>
      <x:c r="J134" s="216" t="str">
        <x:f>IF(I134&lt;='排名定義'!$B$5,"是","")</x:f>
        <x:v>是</x:v>
      </x:c>
      <x:c r="K134" s="216" t="n">
        <x:v>366</x:v>
      </x:c>
      <x:c r="L134" s="216" t="str">
        <x:f>IF(K134&lt;='排名定義'!$B$5,"是","")</x:f>
        <x:v>是</x:v>
      </x:c>
      <x:c r="M134" s="216" t="n">
        <x:f>COUNTIF(H134:L134,"是")</x:f>
        <x:v>3</x:v>
      </x:c>
      <x:c r="N134" s="216" t="str">
        <x:v>三份皆入選</x:v>
      </x:c>
      <x:c r="O134" s="221" t="n">
        <x:v>110.475</x:v>
      </x:c>
      <x:c r="P134" s="221" t="n">
        <x:v>104.55</x:v>
      </x:c>
      <x:c r="Q134" s="221" t="n">
        <x:v>5.925</x:v>
      </x:c>
      <x:c r="R134" s="221" t="n">
        <x:v>0.05363204344874406</x:v>
      </x:c>
      <x:c r="S134" s="221" t="n">
        <x:v>136.83870967741936</x:v>
      </x:c>
      <x:c r="T134" s="221" t="n">
        <x:v>131.06451612903226</x:v>
      </x:c>
      <x:c r="U134" s="221" t="n">
        <x:v>5.774193548387097</x:v>
      </x:c>
      <x:c r="V134" s="219" t="n">
        <x:v>0.055299539170506916</x:v>
      </x:c>
      <x:c r="W134" s="216" t="n">
        <x:v>8</x:v>
      </x:c>
      <x:c r="X134" s="223" t="n">
        <x:v>1230</x:v>
      </x:c>
      <x:c r="Y134" s="216" t="n">
        <x:v>50</x:v>
      </x:c>
    </x:row>
    <x:row r="135">
      <x:c r="A135" s="217" t="n">
        <x:v>1434</x:v>
      </x:c>
      <x:c r="B135" s="217" t="str">
        <x:v>原興廣場</x:v>
      </x:c>
      <x:c r="C135" s="217" t="str">
        <x:v>汐止區</x:v>
      </x:c>
      <x:c r="D135" s="217" t="n">
        <x:v>49</x:v>
      </x:c>
      <x:c r="E135" s="217" t="n">
        <x:v>120</x:v>
      </x:c>
      <x:c r="F135" s="218" t="n">
        <x:v>0.9994791666666667</x:v>
      </x:c>
      <x:c r="G135" s="217" t="n">
        <x:v>131</x:v>
      </x:c>
      <x:c r="H135" s="217" t="str">
        <x:f>IF(G135&lt;='排名定義'!$B$5,"是","")</x:f>
        <x:v>是</x:v>
      </x:c>
      <x:c r="I135" s="217" t="n">
        <x:v>131</x:v>
      </x:c>
      <x:c r="J135" s="217" t="str">
        <x:f>IF(I135&lt;='排名定義'!$B$5,"是","")</x:f>
        <x:v>是</x:v>
      </x:c>
      <x:c r="K135" s="217" t="n">
        <x:v>116</x:v>
      </x:c>
      <x:c r="L135" s="217" t="str">
        <x:f>IF(K135&lt;='排名定義'!$B$5,"是","")</x:f>
        <x:v>是</x:v>
      </x:c>
      <x:c r="M135" s="217" t="n">
        <x:f>COUNTIF(H135:L135,"是")</x:f>
        <x:v>3</x:v>
      </x:c>
      <x:c r="N135" s="217" t="str">
        <x:v>三份皆入選</x:v>
      </x:c>
      <x:c r="O135" s="220" t="n">
        <x:v>110.26666666666667</x:v>
      </x:c>
      <x:c r="P135" s="220" t="n">
        <x:v>101.99166666666666</x:v>
      </x:c>
      <x:c r="Q135" s="220" t="n">
        <x:v>8.275</x:v>
      </x:c>
      <x:c r="R135" s="220" t="n">
        <x:v>0.0750453446191052</x:v>
      </x:c>
      <x:c r="S135" s="220" t="n">
        <x:v>164.2258064516129</x:v>
      </x:c>
      <x:c r="T135" s="220" t="n">
        <x:v>156.61290322580646</x:v>
      </x:c>
      <x:c r="U135" s="220" t="n">
        <x:v>7.612903225806452</x:v>
      </x:c>
      <x:c r="V135" s="218" t="n">
        <x:v>0.06221198156682028</x:v>
      </x:c>
      <x:c r="W135" s="217" t="n">
        <x:v>4</x:v>
      </x:c>
      <x:c r="X135" s="222" t="n">
        <x:v>1110</x:v>
      </x:c>
      <x:c r="Y135" s="217" t="n">
        <x:v>49</x:v>
      </x:c>
    </x:row>
    <x:row r="136">
      <x:c r="A136" s="216" t="n">
        <x:v>1509</x:v>
      </x:c>
      <x:c r="B136" s="216" t="str">
        <x:v>音樂公園</x:v>
      </x:c>
      <x:c r="C136" s="216" t="str">
        <x:v>板橋區</x:v>
      </x:c>
      <x:c r="D136" s="216" t="n">
        <x:v>57</x:v>
      </x:c>
      <x:c r="E136" s="216" t="n">
        <x:v>120</x:v>
      </x:c>
      <x:c r="F136" s="219" t="n">
        <x:v>0.9994791666666667</x:v>
      </x:c>
      <x:c r="G136" s="216" t="n">
        <x:v>132</x:v>
      </x:c>
      <x:c r="H136" s="216" t="str">
        <x:f>IF(G136&lt;='排名定義'!$B$5,"是","")</x:f>
        <x:v>是</x:v>
      </x:c>
      <x:c r="I136" s="216" t="n">
        <x:v>136</x:v>
      </x:c>
      <x:c r="J136" s="216" t="str">
        <x:f>IF(I136&lt;='排名定義'!$B$5,"是","")</x:f>
        <x:v>是</x:v>
      </x:c>
      <x:c r="K136" s="216" t="n">
        <x:v>111</x:v>
      </x:c>
      <x:c r="L136" s="216" t="str">
        <x:f>IF(K136&lt;='排名定義'!$B$5,"是","")</x:f>
        <x:v>是</x:v>
      </x:c>
      <x:c r="M136" s="216" t="n">
        <x:f>COUNTIF(H136:L136,"是")</x:f>
        <x:v>3</x:v>
      </x:c>
      <x:c r="N136" s="216" t="str">
        <x:v>三份皆入選</x:v>
      </x:c>
      <x:c r="O136" s="221" t="n">
        <x:v>109.88333333333334</x:v>
      </x:c>
      <x:c r="P136" s="221" t="n">
        <x:v>101.45</x:v>
      </x:c>
      <x:c r="Q136" s="221" t="n">
        <x:v>8.433333333333334</x:v>
      </x:c>
      <x:c r="R136" s="221" t="n">
        <x:v>0.07674806613074472</x:v>
      </x:c>
      <x:c r="S136" s="221" t="n">
        <x:v>131.7741935483871</x:v>
      </x:c>
      <x:c r="T136" s="221" t="n">
        <x:v>126.54838709677419</x:v>
      </x:c>
      <x:c r="U136" s="221" t="n">
        <x:v>5.225806451612903</x:v>
      </x:c>
      <x:c r="V136" s="219" t="n">
        <x:v>0.06451612903225806</x:v>
      </x:c>
      <x:c r="W136" s="216" t="n">
        <x:v>16</x:v>
      </x:c>
      <x:c r="X136" s="223" t="n">
        <x:v>2130</x:v>
      </x:c>
      <x:c r="Y136" s="216" t="n">
        <x:v>57</x:v>
      </x:c>
    </x:row>
    <x:row r="137">
      <x:c r="A137" s="217" t="n">
        <x:v>8</x:v>
      </x:c>
      <x:c r="B137" s="217" t="str">
        <x:v>中興寶橋路口</x:v>
      </x:c>
      <x:c r="C137" s="217" t="str">
        <x:v>新店區</x:v>
      </x:c>
      <x:c r="D137" s="217" t="n">
        <x:v>61</x:v>
      </x:c>
      <x:c r="E137" s="217" t="n">
        <x:v>120</x:v>
      </x:c>
      <x:c r="F137" s="218" t="n">
        <x:v>0.9994791666666667</x:v>
      </x:c>
      <x:c r="G137" s="217" t="n">
        <x:v>133</x:v>
      </x:c>
      <x:c r="H137" s="217" t="str">
        <x:f>IF(G137&lt;='排名定義'!$B$5,"是","")</x:f>
        <x:v>是</x:v>
      </x:c>
      <x:c r="I137" s="217" t="n">
        <x:v>133</x:v>
      </x:c>
      <x:c r="J137" s="217" t="str">
        <x:f>IF(I137&lt;='排名定義'!$B$5,"是","")</x:f>
        <x:v>是</x:v>
      </x:c>
      <x:c r="K137" s="217" t="n">
        <x:v>126</x:v>
      </x:c>
      <x:c r="L137" s="217" t="str">
        <x:f>IF(K137&lt;='排名定義'!$B$5,"是","")</x:f>
        <x:v>是</x:v>
      </x:c>
      <x:c r="M137" s="217" t="n">
        <x:f>COUNTIF(H137:L137,"是")</x:f>
        <x:v>3</x:v>
      </x:c>
      <x:c r="N137" s="217" t="str">
        <x:v>三份皆入選</x:v>
      </x:c>
      <x:c r="O137" s="220" t="n">
        <x:v>109.81666666666666</x:v>
      </x:c>
      <x:c r="P137" s="220" t="n">
        <x:v>101.725</x:v>
      </x:c>
      <x:c r="Q137" s="220" t="n">
        <x:v>8.091666666666667</x:v>
      </x:c>
      <x:c r="R137" s="220" t="n">
        <x:v>0.07368341174685081</x:v>
      </x:c>
      <x:c r="S137" s="220" t="n">
        <x:v>150.1290322580645</x:v>
      </x:c>
      <x:c r="T137" s="220" t="n">
        <x:v>143.7741935483871</x:v>
      </x:c>
      <x:c r="U137" s="220" t="n">
        <x:v>6.354838709677419</x:v>
      </x:c>
      <x:c r="V137" s="218" t="n">
        <x:v>0.027649769585253458</x:v>
      </x:c>
      <x:c r="W137" s="217" t="n">
        <x:v>12</x:v>
      </x:c>
      <x:c r="X137" s="222" t="n">
        <x:v>1950</x:v>
      </x:c>
      <x:c r="Y137" s="217" t="n">
        <x:v>61</x:v>
      </x:c>
    </x:row>
    <x:row r="138">
      <x:c r="A138" s="216" t="n">
        <x:v>1317</x:v>
      </x:c>
      <x:c r="B138" s="216" t="str">
        <x:v>福和橋</x:v>
      </x:c>
      <x:c r="C138" s="216" t="str">
        <x:v>永和區</x:v>
      </x:c>
      <x:c r="D138" s="216" t="n">
        <x:v>41</x:v>
      </x:c>
      <x:c r="E138" s="216" t="n">
        <x:v>120</x:v>
      </x:c>
      <x:c r="F138" s="219" t="n">
        <x:v>0.9994791666666667</x:v>
      </x:c>
      <x:c r="G138" s="216" t="n">
        <x:v>134</x:v>
      </x:c>
      <x:c r="H138" s="216" t="str">
        <x:f>IF(G138&lt;='排名定義'!$B$5,"是","")</x:f>
        <x:v>是</x:v>
      </x:c>
      <x:c r="I138" s="216" t="n">
        <x:v>134</x:v>
      </x:c>
      <x:c r="J138" s="216" t="str">
        <x:f>IF(I138&lt;='排名定義'!$B$5,"是","")</x:f>
        <x:v>是</x:v>
      </x:c>
      <x:c r="K138" s="216" t="n">
        <x:v>144</x:v>
      </x:c>
      <x:c r="L138" s="216" t="str">
        <x:f>IF(K138&lt;='排名定義'!$B$5,"是","")</x:f>
        <x:v>是</x:v>
      </x:c>
      <x:c r="M138" s="216" t="n">
        <x:f>COUNTIF(H138:L138,"是")</x:f>
        <x:v>3</x:v>
      </x:c>
      <x:c r="N138" s="216" t="str">
        <x:v>三份皆入選</x:v>
      </x:c>
      <x:c r="O138" s="221" t="n">
        <x:v>109.5</x:v>
      </x:c>
      <x:c r="P138" s="221" t="n">
        <x:v>101.69166666666666</x:v>
      </x:c>
      <x:c r="Q138" s="221" t="n">
        <x:v>7.808333333333334</x:v>
      </x:c>
      <x:c r="R138" s="221" t="n">
        <x:v>0.0713089802130898</x:v>
      </x:c>
      <x:c r="S138" s="221" t="n">
        <x:v>143.41935483870967</x:v>
      </x:c>
      <x:c r="T138" s="221" t="n">
        <x:v>137.41935483870967</x:v>
      </x:c>
      <x:c r="U138" s="221" t="n">
        <x:v>6</x:v>
      </x:c>
      <x:c r="V138" s="219" t="n">
        <x:v>0.03456221198156682</x:v>
      </x:c>
      <x:c r="W138" s="216" t="n">
        <x:v>10</x:v>
      </x:c>
      <x:c r="X138" s="223" t="n">
        <x:v>1710</x:v>
      </x:c>
      <x:c r="Y138" s="216" t="n">
        <x:v>41</x:v>
      </x:c>
    </x:row>
    <x:row r="139">
      <x:c r="A139" s="217" t="n">
        <x:v>1183</x:v>
      </x:c>
      <x:c r="B139" s="217" t="str">
        <x:v>中正國小</x:v>
      </x:c>
      <x:c r="C139" s="217" t="str">
        <x:v>新店區</x:v>
      </x:c>
      <x:c r="D139" s="217" t="n">
        <x:v>36</x:v>
      </x:c>
      <x:c r="E139" s="217" t="n">
        <x:v>120</x:v>
      </x:c>
      <x:c r="F139" s="218" t="n">
        <x:v>0.9994791666666667</x:v>
      </x:c>
      <x:c r="G139" s="217" t="n">
        <x:v>135</x:v>
      </x:c>
      <x:c r="H139" s="217" t="str">
        <x:f>IF(G139&lt;='排名定義'!$B$5,"是","")</x:f>
        <x:v>是</x:v>
      </x:c>
      <x:c r="I139" s="217" t="n">
        <x:v>130</x:v>
      </x:c>
      <x:c r="J139" s="217" t="str">
        <x:f>IF(I139&lt;='排名定義'!$B$5,"是","")</x:f>
        <x:v>是</x:v>
      </x:c>
      <x:c r="K139" s="217" t="n">
        <x:v>206</x:v>
      </x:c>
      <x:c r="L139" s="217" t="str">
        <x:f>IF(K139&lt;='排名定義'!$B$5,"是","")</x:f>
        <x:v>是</x:v>
      </x:c>
      <x:c r="M139" s="217" t="n">
        <x:f>COUNTIF(H139:L139,"是")</x:f>
        <x:v>3</x:v>
      </x:c>
      <x:c r="N139" s="217" t="str">
        <x:v>三份皆入選</x:v>
      </x:c>
      <x:c r="O139" s="220" t="n">
        <x:v>109.48333333333333</x:v>
      </x:c>
      <x:c r="P139" s="220" t="n">
        <x:v>102.33333333333333</x:v>
      </x:c>
      <x:c r="Q139" s="220" t="n">
        <x:v>7.15</x:v>
      </x:c>
      <x:c r="R139" s="220" t="n">
        <x:v>0.06530674379662049</x:v>
      </x:c>
      <x:c r="S139" s="220" t="n">
        <x:v>144.29032258064515</x:v>
      </x:c>
      <x:c r="T139" s="220" t="n">
        <x:v>138.2258064516129</x:v>
      </x:c>
      <x:c r="U139" s="220" t="n">
        <x:v>6.064516129032258</x:v>
      </x:c>
      <x:c r="V139" s="218" t="n">
        <x:v>0.04608294930875576</x:v>
      </x:c>
      <x:c r="W139" s="217" t="n">
        <x:v>9</x:v>
      </x:c>
      <x:c r="X139" s="222" t="n">
        <x:v>1260</x:v>
      </x:c>
      <x:c r="Y139" s="217" t="n">
        <x:v>36</x:v>
      </x:c>
    </x:row>
    <x:row r="140">
      <x:c r="A140" s="216" t="n">
        <x:v>1347</x:v>
      </x:c>
      <x:c r="B140" s="216" t="str">
        <x:v>大明街20巷19弄口</x:v>
      </x:c>
      <x:c r="C140" s="216" t="str">
        <x:v>板橋區</x:v>
      </x:c>
      <x:c r="D140" s="216" t="n">
        <x:v>43</x:v>
      </x:c>
      <x:c r="E140" s="216" t="n">
        <x:v>120</x:v>
      </x:c>
      <x:c r="F140" s="219" t="n">
        <x:v>0.9895833333333334</x:v>
      </x:c>
      <x:c r="G140" s="216" t="n">
        <x:v>136</x:v>
      </x:c>
      <x:c r="H140" s="216" t="str">
        <x:f>IF(G140&lt;='排名定義'!$B$5,"是","")</x:f>
        <x:v>是</x:v>
      </x:c>
      <x:c r="I140" s="216" t="n">
        <x:v>138</x:v>
      </x:c>
      <x:c r="J140" s="216" t="str">
        <x:f>IF(I140&lt;='排名定義'!$B$5,"是","")</x:f>
        <x:v>是</x:v>
      </x:c>
      <x:c r="K140" s="216" t="n">
        <x:v>177</x:v>
      </x:c>
      <x:c r="L140" s="216" t="str">
        <x:f>IF(K140&lt;='排名定義'!$B$5,"是","")</x:f>
        <x:v>是</x:v>
      </x:c>
      <x:c r="M140" s="216" t="n">
        <x:f>COUNTIF(H140:L140,"是")</x:f>
        <x:v>3</x:v>
      </x:c>
      <x:c r="N140" s="216" t="str">
        <x:v>三份皆入選</x:v>
      </x:c>
      <x:c r="O140" s="221" t="n">
        <x:v>108.79166666666667</x:v>
      </x:c>
      <x:c r="P140" s="221" t="n">
        <x:v>101.35</x:v>
      </x:c>
      <x:c r="Q140" s="221" t="n">
        <x:v>7.441666666666666</x:v>
      </x:c>
      <x:c r="R140" s="221" t="n">
        <x:v>0.0684029107621601</x:v>
      </x:c>
      <x:c r="S140" s="221" t="n">
        <x:v>131.1153846153846</x:v>
      </x:c>
      <x:c r="T140" s="221" t="n">
        <x:v>123.92307692307692</x:v>
      </x:c>
      <x:c r="U140" s="221" t="n">
        <x:v>7.1923076923076925</x:v>
      </x:c>
      <x:c r="V140" s="219" t="n">
        <x:v>0.04788732394366197</x:v>
      </x:c>
      <x:c r="W140" s="216" t="n">
        <x:v>11</x:v>
      </x:c>
      <x:c r="X140" s="223" t="n">
        <x:v>1740</x:v>
      </x:c>
      <x:c r="Y140" s="216" t="n">
        <x:v>43</x:v>
      </x:c>
    </x:row>
    <x:row r="141">
      <x:c r="A141" s="217" t="n">
        <x:v>53</x:v>
      </x:c>
      <x:c r="B141" s="217" t="str">
        <x:v>捷運環狀線板橋站(5號出口)</x:v>
      </x:c>
      <x:c r="C141" s="217" t="str">
        <x:v>板橋區</x:v>
      </x:c>
      <x:c r="D141" s="217" t="n">
        <x:v>99</x:v>
      </x:c>
      <x:c r="E141" s="217" t="n">
        <x:v>120</x:v>
      </x:c>
      <x:c r="F141" s="218" t="n">
        <x:v>0.9994791666666667</x:v>
      </x:c>
      <x:c r="G141" s="217" t="n">
        <x:v>137</x:v>
      </x:c>
      <x:c r="H141" s="217" t="str">
        <x:f>IF(G141&lt;='排名定義'!$B$5,"是","")</x:f>
        <x:v>是</x:v>
      </x:c>
      <x:c r="I141" s="217" t="n">
        <x:v>149</x:v>
      </x:c>
      <x:c r="J141" s="217" t="str">
        <x:f>IF(I141&lt;='排名定義'!$B$5,"是","")</x:f>
        <x:v>是</x:v>
      </x:c>
      <x:c r="K141" s="217" t="n">
        <x:v>60</x:v>
      </x:c>
      <x:c r="L141" s="217" t="str">
        <x:f>IF(K141&lt;='排名定義'!$B$5,"是","")</x:f>
        <x:v>是</x:v>
      </x:c>
      <x:c r="M141" s="217" t="n">
        <x:f>COUNTIF(H141:L141,"是")</x:f>
        <x:v>3</x:v>
      </x:c>
      <x:c r="N141" s="217" t="str">
        <x:v>三份皆入選</x:v>
      </x:c>
      <x:c r="O141" s="220" t="n">
        <x:v>108.74166666666666</x:v>
      </x:c>
      <x:c r="P141" s="220" t="n">
        <x:v>98.7</x:v>
      </x:c>
      <x:c r="Q141" s="220" t="n">
        <x:v>10.041666666666666</x:v>
      </x:c>
      <x:c r="R141" s="220" t="n">
        <x:v>0.0923442409380029</x:v>
      </x:c>
      <x:c r="S141" s="220" t="n">
        <x:v>162.80645161290323</x:v>
      </x:c>
      <x:c r="T141" s="220" t="n">
        <x:v>154.67741935483872</x:v>
      </x:c>
      <x:c r="U141" s="220" t="n">
        <x:v>8.129032258064516</x:v>
      </x:c>
      <x:c r="V141" s="218" t="n">
        <x:v>0.02534562211981567</x:v>
      </x:c>
      <x:c r="W141" s="217" t="n">
        <x:v>28</x:v>
      </x:c>
      <x:c r="X141" s="222" t="n">
        <x:v>5220</x:v>
      </x:c>
      <x:c r="Y141" s="217" t="n">
        <x:v>99</x:v>
      </x:c>
    </x:row>
    <x:row r="142">
      <x:c r="A142" s="216" t="n">
        <x:v>1096</x:v>
      </x:c>
      <x:c r="B142" s="216" t="str">
        <x:v>建國民權路口</x:v>
      </x:c>
      <x:c r="C142" s="216" t="str">
        <x:v>新店區</x:v>
      </x:c>
      <x:c r="D142" s="216" t="n">
        <x:v>32</x:v>
      </x:c>
      <x:c r="E142" s="216" t="n">
        <x:v>120</x:v>
      </x:c>
      <x:c r="F142" s="219" t="n">
        <x:v>0.9994791666666667</x:v>
      </x:c>
      <x:c r="G142" s="216" t="n">
        <x:v>138</x:v>
      </x:c>
      <x:c r="H142" s="216" t="str">
        <x:f>IF(G142&lt;='排名定義'!$B$5,"是","")</x:f>
        <x:v>是</x:v>
      </x:c>
      <x:c r="I142" s="216" t="n">
        <x:v>137</x:v>
      </x:c>
      <x:c r="J142" s="216" t="str">
        <x:f>IF(I142&lt;='排名定義'!$B$5,"是","")</x:f>
        <x:v>是</x:v>
      </x:c>
      <x:c r="K142" s="216" t="n">
        <x:v>193</x:v>
      </x:c>
      <x:c r="L142" s="216" t="str">
        <x:f>IF(K142&lt;='排名定義'!$B$5,"是","")</x:f>
        <x:v>是</x:v>
      </x:c>
      <x:c r="M142" s="216" t="n">
        <x:f>COUNTIF(H142:L142,"是")</x:f>
        <x:v>3</x:v>
      </x:c>
      <x:c r="N142" s="216" t="str">
        <x:v>三份皆入選</x:v>
      </x:c>
      <x:c r="O142" s="221" t="n">
        <x:v>108.68333333333334</x:v>
      </x:c>
      <x:c r="P142" s="221" t="n">
        <x:v>101.44166666666666</x:v>
      </x:c>
      <x:c r="Q142" s="221" t="n">
        <x:v>7.241666666666666</x:v>
      </x:c>
      <x:c r="R142" s="221" t="n">
        <x:v>0.06663088483361447</x:v>
      </x:c>
      <x:c r="S142" s="221" t="n">
        <x:v>145.70967741935485</x:v>
      </x:c>
      <x:c r="T142" s="221" t="n">
        <x:v>138.3548387096774</x:v>
      </x:c>
      <x:c r="U142" s="221" t="n">
        <x:v>7.354838709677419</x:v>
      </x:c>
      <x:c r="V142" s="219" t="n">
        <x:v>0.08525345622119816</x:v>
      </x:c>
      <x:c r="W142" s="216" t="n">
        <x:v>32</x:v>
      </x:c>
      <x:c r="X142" s="223" t="n">
        <x:v>3780</x:v>
      </x:c>
      <x:c r="Y142" s="216" t="n">
        <x:v>32</x:v>
      </x:c>
    </x:row>
    <x:row r="143">
      <x:c r="A143" s="217" t="n">
        <x:v>21</x:v>
      </x:c>
      <x:c r="B143" s="217" t="str">
        <x:v>央北社會住宅</x:v>
      </x:c>
      <x:c r="C143" s="217" t="str">
        <x:v>新店區</x:v>
      </x:c>
      <x:c r="D143" s="217" t="n">
        <x:v>64</x:v>
      </x:c>
      <x:c r="E143" s="217" t="n">
        <x:v>120</x:v>
      </x:c>
      <x:c r="F143" s="218" t="n">
        <x:v>0.9994791666666667</x:v>
      </x:c>
      <x:c r="G143" s="217" t="n">
        <x:v>139</x:v>
      </x:c>
      <x:c r="H143" s="217" t="str">
        <x:f>IF(G143&lt;='排名定義'!$B$5,"是","")</x:f>
        <x:v>是</x:v>
      </x:c>
      <x:c r="I143" s="217" t="n">
        <x:v>141</x:v>
      </x:c>
      <x:c r="J143" s="217" t="str">
        <x:f>IF(I143&lt;='排名定義'!$B$5,"是","")</x:f>
        <x:v>是</x:v>
      </x:c>
      <x:c r="K143" s="217" t="n">
        <x:v>147</x:v>
      </x:c>
      <x:c r="L143" s="217" t="str">
        <x:f>IF(K143&lt;='排名定義'!$B$5,"是","")</x:f>
        <x:v>是</x:v>
      </x:c>
      <x:c r="M143" s="217" t="n">
        <x:f>COUNTIF(H143:L143,"是")</x:f>
        <x:v>3</x:v>
      </x:c>
      <x:c r="N143" s="217" t="str">
        <x:v>三份皆入選</x:v>
      </x:c>
      <x:c r="O143" s="220" t="n">
        <x:v>108.4</x:v>
      </x:c>
      <x:c r="P143" s="220" t="n">
        <x:v>100.65</x:v>
      </x:c>
      <x:c r="Q143" s="220" t="n">
        <x:v>7.75</x:v>
      </x:c>
      <x:c r="R143" s="220" t="n">
        <x:v>0.07149446494464945</x:v>
      </x:c>
      <x:c r="S143" s="220" t="n">
        <x:v>165.51612903225808</x:v>
      </x:c>
      <x:c r="T143" s="220" t="n">
        <x:v>155.5483870967742</x:v>
      </x:c>
      <x:c r="U143" s="220" t="n">
        <x:v>9.96774193548387</x:v>
      </x:c>
      <x:c r="V143" s="218" t="n">
        <x:v>0.02304147465437788</x:v>
      </x:c>
      <x:c r="W143" s="217" t="n">
        <x:v>8</x:v>
      </x:c>
      <x:c r="X143" s="222" t="n">
        <x:v>1080</x:v>
      </x:c>
      <x:c r="Y143" s="217" t="n">
        <x:v>64</x:v>
      </x:c>
    </x:row>
    <x:row r="144">
      <x:c r="A144" s="216" t="n">
        <x:v>1511</x:v>
      </x:c>
      <x:c r="B144" s="216" t="str">
        <x:v>小金門友誼公園</x:v>
      </x:c>
      <x:c r="C144" s="216" t="str">
        <x:v>新店區</x:v>
      </x:c>
      <x:c r="D144" s="216" t="n">
        <x:v>60</x:v>
      </x:c>
      <x:c r="E144" s="216" t="n">
        <x:v>120</x:v>
      </x:c>
      <x:c r="F144" s="219" t="n">
        <x:v>0.9994791666666667</x:v>
      </x:c>
      <x:c r="G144" s="216" t="n">
        <x:v>140</x:v>
      </x:c>
      <x:c r="H144" s="216" t="str">
        <x:f>IF(G144&lt;='排名定義'!$B$5,"是","")</x:f>
        <x:v>是</x:v>
      </x:c>
      <x:c r="I144" s="216" t="n">
        <x:v>140</x:v>
      </x:c>
      <x:c r="J144" s="216" t="str">
        <x:f>IF(I144&lt;='排名定義'!$B$5,"是","")</x:f>
        <x:v>是</x:v>
      </x:c>
      <x:c r="K144" s="216" t="n">
        <x:v>162</x:v>
      </x:c>
      <x:c r="L144" s="216" t="str">
        <x:f>IF(K144&lt;='排名定義'!$B$5,"是","")</x:f>
        <x:v>是</x:v>
      </x:c>
      <x:c r="M144" s="216" t="n">
        <x:f>COUNTIF(H144:L144,"是")</x:f>
        <x:v>3</x:v>
      </x:c>
      <x:c r="N144" s="216" t="str">
        <x:v>三份皆入選</x:v>
      </x:c>
      <x:c r="O144" s="221" t="n">
        <x:v>108.33333333333333</x:v>
      </x:c>
      <x:c r="P144" s="221" t="n">
        <x:v>100.70833333333333</x:v>
      </x:c>
      <x:c r="Q144" s="221" t="n">
        <x:v>7.625</x:v>
      </x:c>
      <x:c r="R144" s="221" t="n">
        <x:v>0.07038461538461538</x:v>
      </x:c>
      <x:c r="S144" s="221" t="n">
        <x:v>152.74193548387098</x:v>
      </x:c>
      <x:c r="T144" s="221" t="n">
        <x:v>145.7741935483871</x:v>
      </x:c>
      <x:c r="U144" s="221" t="n">
        <x:v>6.967741935483871</x:v>
      </x:c>
      <x:c r="V144" s="219" t="n">
        <x:v>0.029953917050691243</x:v>
      </x:c>
      <x:c r="W144" s="216" t="n">
        <x:v>5</x:v>
      </x:c>
      <x:c r="X144" s="223" t="n">
        <x:v>750</x:v>
      </x:c>
      <x:c r="Y144" s="216" t="n">
        <x:v>60</x:v>
      </x:c>
    </x:row>
    <x:row r="145">
      <x:c r="A145" s="217" t="n">
        <x:v>54</x:v>
      </x:c>
      <x:c r="B145" s="217" t="str">
        <x:v>捷運秀朗橋站</x:v>
      </x:c>
      <x:c r="C145" s="217" t="str">
        <x:v>中和區</x:v>
      </x:c>
      <x:c r="D145" s="217" t="n">
        <x:v>77</x:v>
      </x:c>
      <x:c r="E145" s="217" t="n">
        <x:v>120</x:v>
      </x:c>
      <x:c r="F145" s="218" t="n">
        <x:v>0.9994791666666667</x:v>
      </x:c>
      <x:c r="G145" s="217" t="n">
        <x:v>141</x:v>
      </x:c>
      <x:c r="H145" s="217" t="str">
        <x:f>IF(G145&lt;='排名定義'!$B$5,"是","")</x:f>
        <x:v>是</x:v>
      </x:c>
      <x:c r="I145" s="217" t="n">
        <x:v>142</x:v>
      </x:c>
      <x:c r="J145" s="217" t="str">
        <x:f>IF(I145&lt;='排名定義'!$B$5,"是","")</x:f>
        <x:v>是</x:v>
      </x:c>
      <x:c r="K145" s="217" t="n">
        <x:v>163</x:v>
      </x:c>
      <x:c r="L145" s="217" t="str">
        <x:f>IF(K145&lt;='排名定義'!$B$5,"是","")</x:f>
        <x:v>是</x:v>
      </x:c>
      <x:c r="M145" s="217" t="n">
        <x:f>COUNTIF(H145:L145,"是")</x:f>
        <x:v>3</x:v>
      </x:c>
      <x:c r="N145" s="217" t="str">
        <x:v>三份皆入選</x:v>
      </x:c>
      <x:c r="O145" s="220" t="n">
        <x:v>107.975</x:v>
      </x:c>
      <x:c r="P145" s="220" t="n">
        <x:v>100.38333333333334</x:v>
      </x:c>
      <x:c r="Q145" s="220" t="n">
        <x:v>7.591666666666667</x:v>
      </x:c>
      <x:c r="R145" s="220" t="n">
        <x:v>0.07030948522034422</x:v>
      </x:c>
      <x:c r="S145" s="220" t="n">
        <x:v>142.29032258064515</x:v>
      </x:c>
      <x:c r="T145" s="220" t="n">
        <x:v>136.16129032258064</x:v>
      </x:c>
      <x:c r="U145" s="220" t="n">
        <x:v>6.129032258064516</x:v>
      </x:c>
      <x:c r="V145" s="218" t="n">
        <x:v>0.01152073732718894</x:v>
      </x:c>
      <x:c r="W145" s="217" t="n">
        <x:v>8</x:v>
      </x:c>
      <x:c r="X145" s="222" t="n">
        <x:v>1350</x:v>
      </x:c>
      <x:c r="Y145" s="217" t="n">
        <x:v>77</x:v>
      </x:c>
    </x:row>
    <x:row r="146">
      <x:c r="A146" s="216" t="n">
        <x:v>1166</x:v>
      </x:c>
      <x:c r="B146" s="216" t="str">
        <x:v>福和路7巷口</x:v>
      </x:c>
      <x:c r="C146" s="216" t="str">
        <x:v>永和區</x:v>
      </x:c>
      <x:c r="D146" s="216" t="n">
        <x:v>35</x:v>
      </x:c>
      <x:c r="E146" s="216" t="n">
        <x:v>120</x:v>
      </x:c>
      <x:c r="F146" s="219" t="n">
        <x:v>0.9994791666666667</x:v>
      </x:c>
      <x:c r="G146" s="216" t="n">
        <x:v>142</x:v>
      </x:c>
      <x:c r="H146" s="216" t="str">
        <x:f>IF(G146&lt;='排名定義'!$B$5,"是","")</x:f>
        <x:v>是</x:v>
      </x:c>
      <x:c r="I146" s="216" t="n">
        <x:v>139</x:v>
      </x:c>
      <x:c r="J146" s="216" t="str">
        <x:f>IF(I146&lt;='排名定義'!$B$5,"是","")</x:f>
        <x:v>是</x:v>
      </x:c>
      <x:c r="K146" s="216" t="n">
        <x:v>219</x:v>
      </x:c>
      <x:c r="L146" s="216" t="str">
        <x:f>IF(K146&lt;='排名定義'!$B$5,"是","")</x:f>
        <x:v>是</x:v>
      </x:c>
      <x:c r="M146" s="216" t="n">
        <x:f>COUNTIF(H146:L146,"是")</x:f>
        <x:v>3</x:v>
      </x:c>
      <x:c r="N146" s="216" t="str">
        <x:v>三份皆入選</x:v>
      </x:c>
      <x:c r="O146" s="221" t="n">
        <x:v>107.95833333333333</x:v>
      </x:c>
      <x:c r="P146" s="221" t="n">
        <x:v>100.925</x:v>
      </x:c>
      <x:c r="Q146" s="221" t="n">
        <x:v>7.033333333333333</x:v>
      </x:c>
      <x:c r="R146" s="221" t="n">
        <x:v>0.06514859127749903</x:v>
      </x:c>
      <x:c r="S146" s="221" t="n">
        <x:v>148.96774193548387</x:v>
      </x:c>
      <x:c r="T146" s="221" t="n">
        <x:v>140</x:v>
      </x:c>
      <x:c r="U146" s="221" t="n">
        <x:v>8.96774193548387</x:v>
      </x:c>
      <x:c r="V146" s="219" t="n">
        <x:v>0.06912442396313365</x:v>
      </x:c>
      <x:c r="W146" s="216" t="n">
        <x:v>20</x:v>
      </x:c>
      <x:c r="X146" s="223" t="n">
        <x:v>3330</x:v>
      </x:c>
      <x:c r="Y146" s="216" t="n">
        <x:v>35</x:v>
      </x:c>
    </x:row>
    <x:row r="147">
      <x:c r="A147" s="217" t="n">
        <x:v>1330</x:v>
      </x:c>
      <x:c r="B147" s="217" t="str">
        <x:v>新莊田徑場</x:v>
      </x:c>
      <x:c r="C147" s="217" t="str">
        <x:v>新莊區</x:v>
      </x:c>
      <x:c r="D147" s="217" t="n">
        <x:v>42</x:v>
      </x:c>
      <x:c r="E147" s="217" t="n">
        <x:v>120</x:v>
      </x:c>
      <x:c r="F147" s="218" t="n">
        <x:v>0.9994791666666667</x:v>
      </x:c>
      <x:c r="G147" s="217" t="n">
        <x:v>143</x:v>
      </x:c>
      <x:c r="H147" s="217" t="str">
        <x:f>IF(G147&lt;='排名定義'!$B$5,"是","")</x:f>
        <x:v>是</x:v>
      </x:c>
      <x:c r="I147" s="217" t="n">
        <x:v>143</x:v>
      </x:c>
      <x:c r="J147" s="217" t="str">
        <x:f>IF(I147&lt;='排名定義'!$B$5,"是","")</x:f>
        <x:v>是</x:v>
      </x:c>
      <x:c r="K147" s="217" t="n">
        <x:v>176</x:v>
      </x:c>
      <x:c r="L147" s="217" t="str">
        <x:f>IF(K147&lt;='排名定義'!$B$5,"是","")</x:f>
        <x:v>是</x:v>
      </x:c>
      <x:c r="M147" s="217" t="n">
        <x:f>COUNTIF(H147:L147,"是")</x:f>
        <x:v>3</x:v>
      </x:c>
      <x:c r="N147" s="217" t="str">
        <x:v>三份皆入選</x:v>
      </x:c>
      <x:c r="O147" s="220" t="n">
        <x:v>107.775</x:v>
      </x:c>
      <x:c r="P147" s="220" t="n">
        <x:v>100.33333333333333</x:v>
      </x:c>
      <x:c r="Q147" s="220" t="n">
        <x:v>7.441666666666666</x:v>
      </x:c>
      <x:c r="R147" s="220" t="n">
        <x:v>0.06904817134462228</x:v>
      </x:c>
      <x:c r="S147" s="220" t="n">
        <x:v>141.03225806451613</x:v>
      </x:c>
      <x:c r="T147" s="220" t="n">
        <x:v>134.03225806451613</x:v>
      </x:c>
      <x:c r="U147" s="220" t="n">
        <x:v>7</x:v>
      </x:c>
      <x:c r="V147" s="218" t="n">
        <x:v>0.17972350230414746</x:v>
      </x:c>
      <x:c r="W147" s="217" t="n">
        <x:v>28</x:v>
      </x:c>
      <x:c r="X147" s="222" t="n">
        <x:v>4470</x:v>
      </x:c>
      <x:c r="Y147" s="217" t="n">
        <x:v>42</x:v>
      </x:c>
    </x:row>
    <x:row r="148">
      <x:c r="A148" s="216" t="n">
        <x:v>1314</x:v>
      </x:c>
      <x:c r="B148" s="216" t="str">
        <x:v>廣停二停車場</x:v>
      </x:c>
      <x:c r="C148" s="216" t="str">
        <x:v>林口區</x:v>
      </x:c>
      <x:c r="D148" s="216" t="n">
        <x:v>41</x:v>
      </x:c>
      <x:c r="E148" s="216" t="n">
        <x:v>120</x:v>
      </x:c>
      <x:c r="F148" s="219" t="n">
        <x:v>0.9994791666666667</x:v>
      </x:c>
      <x:c r="G148" s="216" t="n">
        <x:v>144</x:v>
      </x:c>
      <x:c r="H148" s="216" t="str">
        <x:f>IF(G148&lt;='排名定義'!$B$5,"是","")</x:f>
        <x:v>是</x:v>
      </x:c>
      <x:c r="I148" s="216" t="n">
        <x:v>147</x:v>
      </x:c>
      <x:c r="J148" s="216" t="str">
        <x:f>IF(I148&lt;='排名定義'!$B$5,"是","")</x:f>
        <x:v>是</x:v>
      </x:c>
      <x:c r="K148" s="216" t="n">
        <x:v>138</x:v>
      </x:c>
      <x:c r="L148" s="216" t="str">
        <x:f>IF(K148&lt;='排名定義'!$B$5,"是","")</x:f>
        <x:v>是</x:v>
      </x:c>
      <x:c r="M148" s="216" t="n">
        <x:f>COUNTIF(H148:L148,"是")</x:f>
        <x:v>3</x:v>
      </x:c>
      <x:c r="N148" s="216" t="str">
        <x:v>三份皆入選</x:v>
      </x:c>
      <x:c r="O148" s="221" t="n">
        <x:v>107.31666666666666</x:v>
      </x:c>
      <x:c r="P148" s="221" t="n">
        <x:v>99.425</x:v>
      </x:c>
      <x:c r="Q148" s="221" t="n">
        <x:v>7.891666666666667</x:v>
      </x:c>
      <x:c r="R148" s="221" t="n">
        <x:v>0.0735362633949371</x:v>
      </x:c>
      <x:c r="S148" s="221" t="n">
        <x:v>150.74193548387098</x:v>
      </x:c>
      <x:c r="T148" s="221" t="n">
        <x:v>141.06451612903226</x:v>
      </x:c>
      <x:c r="U148" s="221" t="n">
        <x:v>9.67741935483871</x:v>
      </x:c>
      <x:c r="V148" s="219" t="n">
        <x:v>0.02534562211981567</x:v>
      </x:c>
      <x:c r="W148" s="216" t="n">
        <x:v>3</x:v>
      </x:c>
      <x:c r="X148" s="223" t="n">
        <x:v>630</x:v>
      </x:c>
      <x:c r="Y148" s="216" t="n">
        <x:v>41</x:v>
      </x:c>
    </x:row>
    <x:row r="149">
      <x:c r="A149" s="217" t="n">
        <x:v>577</x:v>
      </x:c>
      <x:c r="B149" s="217" t="str">
        <x:v>文德新海路口</x:v>
      </x:c>
      <x:c r="C149" s="217" t="str">
        <x:v>板橋區</x:v>
      </x:c>
      <x:c r="D149" s="217" t="n">
        <x:v>18</x:v>
      </x:c>
      <x:c r="E149" s="217" t="n">
        <x:v>120</x:v>
      </x:c>
      <x:c r="F149" s="218" t="n">
        <x:v>0.9994791666666667</x:v>
      </x:c>
      <x:c r="G149" s="217" t="n">
        <x:v>145</x:v>
      </x:c>
      <x:c r="H149" s="217" t="str">
        <x:f>IF(G149&lt;='排名定義'!$B$5,"是","")</x:f>
        <x:v>是</x:v>
      </x:c>
      <x:c r="I149" s="217" t="n">
        <x:v>132</x:v>
      </x:c>
      <x:c r="J149" s="217" t="str">
        <x:f>IF(I149&lt;='排名定義'!$B$5,"是","")</x:f>
        <x:v>是</x:v>
      </x:c>
      <x:c r="K149" s="217" t="n">
        <x:v>488</x:v>
      </x:c>
      <x:c r="L149" s="217" t="str">
        <x:f>IF(K149&lt;='排名定義'!$B$5,"是","")</x:f>
        <x:v>是</x:v>
      </x:c>
      <x:c r="M149" s="217" t="n">
        <x:f>COUNTIF(H149:L149,"是")</x:f>
        <x:v>3</x:v>
      </x:c>
      <x:c r="N149" s="217" t="str">
        <x:v>總變動＋一般變動</x:v>
      </x:c>
      <x:c r="O149" s="220" t="n">
        <x:v>106.95</x:v>
      </x:c>
      <x:c r="P149" s="220" t="n">
        <x:v>101.74166666666666</x:v>
      </x:c>
      <x:c r="Q149" s="220" t="n">
        <x:v>5.208333333333333</x:v>
      </x:c>
      <x:c r="R149" s="220" t="n">
        <x:v>0.048698768895122334</x:v>
      </x:c>
      <x:c r="S149" s="220" t="n">
        <x:v>124.51612903225806</x:v>
      </x:c>
      <x:c r="T149" s="220" t="n">
        <x:v>120.51612903225806</x:v>
      </x:c>
      <x:c r="U149" s="220" t="n">
        <x:v>4</x:v>
      </x:c>
      <x:c r="V149" s="218" t="n">
        <x:v>0.22350230414746544</x:v>
      </x:c>
      <x:c r="W149" s="217" t="n">
        <x:v>39</x:v>
      </x:c>
      <x:c r="X149" s="222" t="n">
        <x:v>6270</x:v>
      </x:c>
      <x:c r="Y149" s="217" t="n">
        <x:v>18</x:v>
      </x:c>
    </x:row>
    <x:row r="150">
      <x:c r="A150" s="216" t="n">
        <x:v>1459</x:v>
      </x:c>
      <x:c r="B150" s="216" t="str">
        <x:v>頭前國中</x:v>
      </x:c>
      <x:c r="C150" s="216" t="str">
        <x:v>新莊區</x:v>
      </x:c>
      <x:c r="D150" s="216" t="n">
        <x:v>51</x:v>
      </x:c>
      <x:c r="E150" s="216" t="n">
        <x:v>120</x:v>
      </x:c>
      <x:c r="F150" s="219" t="n">
        <x:v>0.9994791666666667</x:v>
      </x:c>
      <x:c r="G150" s="216" t="n">
        <x:v>146</x:v>
      </x:c>
      <x:c r="H150" s="216" t="str">
        <x:f>IF(G150&lt;='排名定義'!$B$5,"是","")</x:f>
        <x:v>是</x:v>
      </x:c>
      <x:c r="I150" s="216" t="n">
        <x:v>151</x:v>
      </x:c>
      <x:c r="J150" s="216" t="str">
        <x:f>IF(I150&lt;='排名定義'!$B$5,"是","")</x:f>
        <x:v>是</x:v>
      </x:c>
      <x:c r="K150" s="216" t="n">
        <x:v>110</x:v>
      </x:c>
      <x:c r="L150" s="216" t="str">
        <x:f>IF(K150&lt;='排名定義'!$B$5,"是","")</x:f>
        <x:v>是</x:v>
      </x:c>
      <x:c r="M150" s="216" t="n">
        <x:f>COUNTIF(H150:L150,"是")</x:f>
        <x:v>3</x:v>
      </x:c>
      <x:c r="N150" s="216" t="str">
        <x:v>三份皆入選</x:v>
      </x:c>
      <x:c r="O150" s="221" t="n">
        <x:v>106.84166666666667</x:v>
      </x:c>
      <x:c r="P150" s="221" t="n">
        <x:v>98.40833333333333</x:v>
      </x:c>
      <x:c r="Q150" s="221" t="n">
        <x:v>8.433333333333334</x:v>
      </x:c>
      <x:c r="R150" s="221" t="n">
        <x:v>0.07893300054597925</x:v>
      </x:c>
      <x:c r="S150" s="221" t="n">
        <x:v>153.96774193548387</x:v>
      </x:c>
      <x:c r="T150" s="221" t="n">
        <x:v>145.61290322580646</x:v>
      </x:c>
      <x:c r="U150" s="221" t="n">
        <x:v>8.35483870967742</x:v>
      </x:c>
      <x:c r="V150" s="219" t="n">
        <x:v>0.07834101382488479</x:v>
      </x:c>
      <x:c r="W150" s="216" t="n">
        <x:v>14</x:v>
      </x:c>
      <x:c r="X150" s="223" t="n">
        <x:v>2280</x:v>
      </x:c>
      <x:c r="Y150" s="216" t="n">
        <x:v>51</x:v>
      </x:c>
    </x:row>
    <x:row r="151">
      <x:c r="A151" s="217" t="n">
        <x:v>82</x:v>
      </x:c>
      <x:c r="B151" s="217" t="str">
        <x:v>汐科火車站(南)</x:v>
      </x:c>
      <x:c r="C151" s="217" t="str">
        <x:v>汐止區</x:v>
      </x:c>
      <x:c r="D151" s="217" t="n">
        <x:v>77</x:v>
      </x:c>
      <x:c r="E151" s="217" t="n">
        <x:v>120</x:v>
      </x:c>
      <x:c r="F151" s="218" t="n">
        <x:v>0.9994791666666667</x:v>
      </x:c>
      <x:c r="G151" s="217" t="n">
        <x:v>147</x:v>
      </x:c>
      <x:c r="H151" s="217" t="str">
        <x:f>IF(G151&lt;='排名定義'!$B$5,"是","")</x:f>
        <x:v>是</x:v>
      </x:c>
      <x:c r="I151" s="217" t="n">
        <x:v>146</x:v>
      </x:c>
      <x:c r="J151" s="217" t="str">
        <x:f>IF(I151&lt;='排名定義'!$B$5,"是","")</x:f>
        <x:v>是</x:v>
      </x:c>
      <x:c r="K151" s="217" t="n">
        <x:v>200</x:v>
      </x:c>
      <x:c r="L151" s="217" t="str">
        <x:f>IF(K151&lt;='排名定義'!$B$5,"是","")</x:f>
        <x:v>是</x:v>
      </x:c>
      <x:c r="M151" s="217" t="n">
        <x:f>COUNTIF(H151:L151,"是")</x:f>
        <x:v>3</x:v>
      </x:c>
      <x:c r="N151" s="217" t="str">
        <x:v>三份皆入選</x:v>
      </x:c>
      <x:c r="O151" s="220" t="n">
        <x:v>106.70833333333333</x:v>
      </x:c>
      <x:c r="P151" s="220" t="n">
        <x:v>99.53333333333333</x:v>
      </x:c>
      <x:c r="Q151" s="220" t="n">
        <x:v>7.175</x:v>
      </x:c>
      <x:c r="R151" s="220" t="n">
        <x:v>0.06723935962514643</x:v>
      </x:c>
      <x:c r="S151" s="220" t="n">
        <x:v>150.58064516129033</x:v>
      </x:c>
      <x:c r="T151" s="220" t="n">
        <x:v>144.51612903225808</x:v>
      </x:c>
      <x:c r="U151" s="220" t="n">
        <x:v>6.064516129032258</x:v>
      </x:c>
      <x:c r="V151" s="218" t="n">
        <x:v>0.02304147465437788</x:v>
      </x:c>
      <x:c r="W151" s="217" t="n">
        <x:v>31</x:v>
      </x:c>
      <x:c r="X151" s="222" t="n">
        <x:v>3900</x:v>
      </x:c>
      <x:c r="Y151" s="217" t="n">
        <x:v>77</x:v>
      </x:c>
    </x:row>
    <x:row r="152">
      <x:c r="A152" s="216" t="n">
        <x:v>71</x:v>
      </x:c>
      <x:c r="B152" s="216" t="str">
        <x:v>板橋地政事務所</x:v>
      </x:c>
      <x:c r="C152" s="216" t="str">
        <x:v>板橋區</x:v>
      </x:c>
      <x:c r="D152" s="216" t="n">
        <x:v>61</x:v>
      </x:c>
      <x:c r="E152" s="216" t="n">
        <x:v>120</x:v>
      </x:c>
      <x:c r="F152" s="219" t="n">
        <x:v>0.9994791666666667</x:v>
      </x:c>
      <x:c r="G152" s="216" t="n">
        <x:v>148</x:v>
      </x:c>
      <x:c r="H152" s="216" t="str">
        <x:f>IF(G152&lt;='排名定義'!$B$5,"是","")</x:f>
        <x:v>是</x:v>
      </x:c>
      <x:c r="I152" s="216" t="n">
        <x:v>144</x:v>
      </x:c>
      <x:c r="J152" s="216" t="str">
        <x:f>IF(I152&lt;='排名定義'!$B$5,"是","")</x:f>
        <x:v>是</x:v>
      </x:c>
      <x:c r="K152" s="216" t="n">
        <x:v>224</x:v>
      </x:c>
      <x:c r="L152" s="216" t="str">
        <x:f>IF(K152&lt;='排名定義'!$B$5,"是","")</x:f>
        <x:v>是</x:v>
      </x:c>
      <x:c r="M152" s="216" t="n">
        <x:f>COUNTIF(H152:L152,"是")</x:f>
        <x:v>3</x:v>
      </x:c>
      <x:c r="N152" s="216" t="str">
        <x:v>三份皆入選</x:v>
      </x:c>
      <x:c r="O152" s="221" t="n">
        <x:v>106.60833333333333</x:v>
      </x:c>
      <x:c r="P152" s="221" t="n">
        <x:v>99.61666666666666</x:v>
      </x:c>
      <x:c r="Q152" s="221" t="n">
        <x:v>6.991666666666666</x:v>
      </x:c>
      <x:c r="R152" s="221" t="n">
        <x:v>0.06558274056124443</x:v>
      </x:c>
      <x:c r="S152" s="221" t="n">
        <x:v>134.1290322580645</x:v>
      </x:c>
      <x:c r="T152" s="221" t="n">
        <x:v>128.74193548387098</x:v>
      </x:c>
      <x:c r="U152" s="221" t="n">
        <x:v>5.387096774193548</x:v>
      </x:c>
      <x:c r="V152" s="219" t="n">
        <x:v>0.10138248847926268</x:v>
      </x:c>
      <x:c r="W152" s="216" t="n">
        <x:v>39</x:v>
      </x:c>
      <x:c r="X152" s="223" t="n">
        <x:v>5010</x:v>
      </x:c>
      <x:c r="Y152" s="216" t="n">
        <x:v>61</x:v>
      </x:c>
    </x:row>
    <x:row r="153">
      <x:c r="A153" s="217" t="n">
        <x:v>1438</x:v>
      </x:c>
      <x:c r="B153" s="217" t="str">
        <x:v>興化公園</x:v>
      </x:c>
      <x:c r="C153" s="217" t="str">
        <x:v>新莊區</x:v>
      </x:c>
      <x:c r="D153" s="217" t="n">
        <x:v>55</x:v>
      </x:c>
      <x:c r="E153" s="217" t="n">
        <x:v>120</x:v>
      </x:c>
      <x:c r="F153" s="218" t="n">
        <x:v>0.9994791666666667</x:v>
      </x:c>
      <x:c r="G153" s="217" t="n">
        <x:v>149</x:v>
      </x:c>
      <x:c r="H153" s="217" t="str">
        <x:f>IF(G153&lt;='排名定義'!$B$5,"是","")</x:f>
        <x:v>是</x:v>
      </x:c>
      <x:c r="I153" s="217" t="n">
        <x:v>155</x:v>
      </x:c>
      <x:c r="J153" s="217" t="str">
        <x:f>IF(I153&lt;='排名定義'!$B$5,"是","")</x:f>
        <x:v>是</x:v>
      </x:c>
      <x:c r="K153" s="217" t="n">
        <x:v>90</x:v>
      </x:c>
      <x:c r="L153" s="217" t="str">
        <x:f>IF(K153&lt;='排名定義'!$B$5,"是","")</x:f>
        <x:v>是</x:v>
      </x:c>
      <x:c r="M153" s="217" t="n">
        <x:f>COUNTIF(H153:L153,"是")</x:f>
        <x:v>3</x:v>
      </x:c>
      <x:c r="N153" s="217" t="str">
        <x:v>三份皆入選</x:v>
      </x:c>
      <x:c r="O153" s="220" t="n">
        <x:v>106.43333333333334</x:v>
      </x:c>
      <x:c r="P153" s="220" t="n">
        <x:v>97.60833333333333</x:v>
      </x:c>
      <x:c r="Q153" s="220" t="n">
        <x:v>8.825</x:v>
      </x:c>
      <x:c r="R153" s="220" t="n">
        <x:v>0.0829157532101472</x:v>
      </x:c>
      <x:c r="S153" s="220" t="n">
        <x:v>131.41935483870967</x:v>
      </x:c>
      <x:c r="T153" s="220" t="n">
        <x:v>123.2258064516129</x:v>
      </x:c>
      <x:c r="U153" s="220" t="n">
        <x:v>8.193548387096774</x:v>
      </x:c>
      <x:c r="V153" s="218" t="n">
        <x:v>0.03225806451612903</x:v>
      </x:c>
      <x:c r="W153" s="217" t="n">
        <x:v>9</x:v>
      </x:c>
      <x:c r="X153" s="222" t="n">
        <x:v>960</x:v>
      </x:c>
      <x:c r="Y153" s="217" t="n">
        <x:v>55</x:v>
      </x:c>
    </x:row>
    <x:row r="154">
      <x:c r="A154" s="216" t="n">
        <x:v>1226</x:v>
      </x:c>
      <x:c r="B154" s="216" t="str">
        <x:v>板橋重慶公園</x:v>
      </x:c>
      <x:c r="C154" s="216" t="str">
        <x:v>板橋區</x:v>
      </x:c>
      <x:c r="D154" s="216" t="n">
        <x:v>38</x:v>
      </x:c>
      <x:c r="E154" s="216" t="n">
        <x:v>120</x:v>
      </x:c>
      <x:c r="F154" s="219" t="n">
        <x:v>0.9994791666666667</x:v>
      </x:c>
      <x:c r="G154" s="216" t="n">
        <x:v>150</x:v>
      </x:c>
      <x:c r="H154" s="216" t="str">
        <x:f>IF(G154&lt;='排名定義'!$B$5,"是","")</x:f>
        <x:v>是</x:v>
      </x:c>
      <x:c r="I154" s="216" t="n">
        <x:v>148</x:v>
      </x:c>
      <x:c r="J154" s="216" t="str">
        <x:f>IF(I154&lt;='排名定義'!$B$5,"是","")</x:f>
        <x:v>是</x:v>
      </x:c>
      <x:c r="K154" s="216" t="n">
        <x:v>196</x:v>
      </x:c>
      <x:c r="L154" s="216" t="str">
        <x:f>IF(K154&lt;='排名定義'!$B$5,"是","")</x:f>
        <x:v>是</x:v>
      </x:c>
      <x:c r="M154" s="216" t="n">
        <x:f>COUNTIF(H154:L154,"是")</x:f>
        <x:v>3</x:v>
      </x:c>
      <x:c r="N154" s="216" t="str">
        <x:v>三份皆入選</x:v>
      </x:c>
      <x:c r="O154" s="221" t="n">
        <x:v>105.91666666666667</x:v>
      </x:c>
      <x:c r="P154" s="221" t="n">
        <x:v>98.71666666666667</x:v>
      </x:c>
      <x:c r="Q154" s="221" t="n">
        <x:v>7.2</x:v>
      </x:c>
      <x:c r="R154" s="221" t="n">
        <x:v>0.06797797010228167</x:v>
      </x:c>
      <x:c r="S154" s="221" t="n">
        <x:v>131.80645161290323</x:v>
      </x:c>
      <x:c r="T154" s="221" t="n">
        <x:v>123.3225806451613</x:v>
      </x:c>
      <x:c r="U154" s="221" t="n">
        <x:v>8.483870967741936</x:v>
      </x:c>
      <x:c r="V154" s="219" t="n">
        <x:v>0.07834101382488479</x:v>
      </x:c>
      <x:c r="W154" s="216" t="n">
        <x:v>16</x:v>
      </x:c>
      <x:c r="X154" s="223" t="n">
        <x:v>2670</x:v>
      </x:c>
      <x:c r="Y154" s="216" t="n">
        <x:v>38</x:v>
      </x:c>
    </x:row>
    <x:row r="155">
      <x:c r="A155" s="217" t="n">
        <x:v>1380</x:v>
      </x:c>
      <x:c r="B155" s="217" t="str">
        <x:v>南雅公園</x:v>
      </x:c>
      <x:c r="C155" s="217" t="str">
        <x:v>板橋區</x:v>
      </x:c>
      <x:c r="D155" s="217" t="n">
        <x:v>45</x:v>
      </x:c>
      <x:c r="E155" s="217" t="n">
        <x:v>120</x:v>
      </x:c>
      <x:c r="F155" s="218" t="n">
        <x:v>0.9994791666666667</x:v>
      </x:c>
      <x:c r="G155" s="217" t="n">
        <x:v>151</x:v>
      </x:c>
      <x:c r="H155" s="217" t="str">
        <x:f>IF(G155&lt;='排名定義'!$B$5,"是","")</x:f>
        <x:v>是</x:v>
      </x:c>
      <x:c r="I155" s="217" t="n">
        <x:v>150</x:v>
      </x:c>
      <x:c r="J155" s="217" t="str">
        <x:f>IF(I155&lt;='排名定義'!$B$5,"是","")</x:f>
        <x:v>是</x:v>
      </x:c>
      <x:c r="K155" s="217" t="n">
        <x:v>207</x:v>
      </x:c>
      <x:c r="L155" s="217" t="str">
        <x:f>IF(K155&lt;='排名定義'!$B$5,"是","")</x:f>
        <x:v>是</x:v>
      </x:c>
      <x:c r="M155" s="217" t="n">
        <x:f>COUNTIF(H155:L155,"是")</x:f>
        <x:v>3</x:v>
      </x:c>
      <x:c r="N155" s="217" t="str">
        <x:v>三份皆入選</x:v>
      </x:c>
      <x:c r="O155" s="220" t="n">
        <x:v>105.825</x:v>
      </x:c>
      <x:c r="P155" s="220" t="n">
        <x:v>98.69166666666666</x:v>
      </x:c>
      <x:c r="Q155" s="220" t="n">
        <x:v>7.133333333333334</x:v>
      </x:c>
      <x:c r="R155" s="220" t="n">
        <x:v>0.06740688243168753</x:v>
      </x:c>
      <x:c r="S155" s="220" t="n">
        <x:v>142.7741935483871</x:v>
      </x:c>
      <x:c r="T155" s="220" t="n">
        <x:v>134.29032258064515</x:v>
      </x:c>
      <x:c r="U155" s="220" t="n">
        <x:v>8.483870967741936</x:v>
      </x:c>
      <x:c r="V155" s="218" t="n">
        <x:v>0.0576036866359447</x:v>
      </x:c>
      <x:c r="W155" s="217" t="n">
        <x:v>16</x:v>
      </x:c>
      <x:c r="X155" s="222" t="n">
        <x:v>2100</x:v>
      </x:c>
      <x:c r="Y155" s="217" t="n">
        <x:v>45</x:v>
      </x:c>
    </x:row>
    <x:row r="156">
      <x:c r="A156" s="216" t="n">
        <x:v>1352</x:v>
      </x:c>
      <x:c r="B156" s="216" t="str">
        <x:v>福營行政中心</x:v>
      </x:c>
      <x:c r="C156" s="216" t="str">
        <x:v>新莊區</x:v>
      </x:c>
      <x:c r="D156" s="216" t="n">
        <x:v>43</x:v>
      </x:c>
      <x:c r="E156" s="216" t="n">
        <x:v>120</x:v>
      </x:c>
      <x:c r="F156" s="219" t="n">
        <x:v>0.9994791666666667</x:v>
      </x:c>
      <x:c r="G156" s="216" t="n">
        <x:v>152</x:v>
      </x:c>
      <x:c r="H156" s="216" t="str">
        <x:f>IF(G156&lt;='排名定義'!$B$5,"是","")</x:f>
        <x:v>是</x:v>
      </x:c>
      <x:c r="I156" s="216" t="n">
        <x:v>145</x:v>
      </x:c>
      <x:c r="J156" s="216" t="str">
        <x:f>IF(I156&lt;='排名定義'!$B$5,"是","")</x:f>
        <x:v>是</x:v>
      </x:c>
      <x:c r="K156" s="216" t="n">
        <x:v>345</x:v>
      </x:c>
      <x:c r="L156" s="216" t="str">
        <x:f>IF(K156&lt;='排名定義'!$B$5,"是","")</x:f>
        <x:v>是</x:v>
      </x:c>
      <x:c r="M156" s="216" t="n">
        <x:f>COUNTIF(H156:L156,"是")</x:f>
        <x:v>3</x:v>
      </x:c>
      <x:c r="N156" s="216" t="str">
        <x:v>三份皆入選</x:v>
      </x:c>
      <x:c r="O156" s="221" t="n">
        <x:v>105.65833333333333</x:v>
      </x:c>
      <x:c r="P156" s="221" t="n">
        <x:v>99.60833333333333</x:v>
      </x:c>
      <x:c r="Q156" s="221" t="n">
        <x:v>6.05</x:v>
      </x:c>
      <x:c r="R156" s="221" t="n">
        <x:v>0.05726003628046376</x:v>
      </x:c>
      <x:c r="S156" s="221" t="n">
        <x:v>136.67741935483872</x:v>
      </x:c>
      <x:c r="T156" s="221" t="n">
        <x:v>129.6451612903226</x:v>
      </x:c>
      <x:c r="U156" s="221" t="n">
        <x:v>7.032258064516129</x:v>
      </x:c>
      <x:c r="V156" s="219" t="n">
        <x:v>0.04377880184331797</x:v>
      </x:c>
      <x:c r="W156" s="216" t="n">
        <x:v>21</x:v>
      </x:c>
      <x:c r="X156" s="223" t="n">
        <x:v>2850</x:v>
      </x:c>
      <x:c r="Y156" s="216" t="n">
        <x:v>43</x:v>
      </x:c>
    </x:row>
    <x:row r="157">
      <x:c r="A157" s="217" t="n">
        <x:v>77</x:v>
      </x:c>
      <x:c r="B157" s="217" t="str">
        <x:v>永和國民運動中心</x:v>
      </x:c>
      <x:c r="C157" s="217" t="str">
        <x:v>永和區</x:v>
      </x:c>
      <x:c r="D157" s="217" t="n">
        <x:v>53</x:v>
      </x:c>
      <x:c r="E157" s="217" t="n">
        <x:v>120</x:v>
      </x:c>
      <x:c r="F157" s="218" t="n">
        <x:v>0.9994791666666667</x:v>
      </x:c>
      <x:c r="G157" s="217" t="n">
        <x:v>153</x:v>
      </x:c>
      <x:c r="H157" s="217" t="str">
        <x:f>IF(G157&lt;='排名定義'!$B$5,"是","")</x:f>
        <x:v>是</x:v>
      </x:c>
      <x:c r="I157" s="217" t="n">
        <x:v>152</x:v>
      </x:c>
      <x:c r="J157" s="217" t="str">
        <x:f>IF(I157&lt;='排名定義'!$B$5,"是","")</x:f>
        <x:v>是</x:v>
      </x:c>
      <x:c r="K157" s="217" t="n">
        <x:v>180</x:v>
      </x:c>
      <x:c r="L157" s="217" t="str">
        <x:f>IF(K157&lt;='排名定義'!$B$5,"是","")</x:f>
        <x:v>是</x:v>
      </x:c>
      <x:c r="M157" s="217" t="n">
        <x:f>COUNTIF(H157:L157,"是")</x:f>
        <x:v>3</x:v>
      </x:c>
      <x:c r="N157" s="217" t="str">
        <x:v>三份皆入選</x:v>
      </x:c>
      <x:c r="O157" s="220" t="n">
        <x:v>105.55</x:v>
      </x:c>
      <x:c r="P157" s="220" t="n">
        <x:v>98.14166666666667</x:v>
      </x:c>
      <x:c r="Q157" s="220" t="n">
        <x:v>7.408333333333333</x:v>
      </x:c>
      <x:c r="R157" s="220" t="n">
        <x:v>0.07018790462655929</x:v>
      </x:c>
      <x:c r="S157" s="220" t="n">
        <x:v>152.6451612903226</x:v>
      </x:c>
      <x:c r="T157" s="220" t="n">
        <x:v>144.96774193548387</x:v>
      </x:c>
      <x:c r="U157" s="220" t="n">
        <x:v>7.67741935483871</x:v>
      </x:c>
      <x:c r="V157" s="218" t="n">
        <x:v>0.029953917050691243</x:v>
      </x:c>
      <x:c r="W157" s="217" t="n">
        <x:v>4</x:v>
      </x:c>
      <x:c r="X157" s="222" t="n">
        <x:v>750</x:v>
      </x:c>
      <x:c r="Y157" s="217" t="n">
        <x:v>53</x:v>
      </x:c>
    </x:row>
    <x:row r="158">
      <x:c r="A158" s="216" t="n">
        <x:v>1200</x:v>
      </x:c>
      <x:c r="B158" s="216" t="str">
        <x:v>捷運泰山站</x:v>
      </x:c>
      <x:c r="C158" s="216" t="str">
        <x:v>泰山區</x:v>
      </x:c>
      <x:c r="D158" s="216" t="n">
        <x:v>37</x:v>
      </x:c>
      <x:c r="E158" s="216" t="n">
        <x:v>120</x:v>
      </x:c>
      <x:c r="F158" s="219" t="n">
        <x:v>0.9993055555555556</x:v>
      </x:c>
      <x:c r="G158" s="216" t="n">
        <x:v>154</x:v>
      </x:c>
      <x:c r="H158" s="216" t="str">
        <x:f>IF(G158&lt;='排名定義'!$B$5,"是","")</x:f>
        <x:v>是</x:v>
      </x:c>
      <x:c r="I158" s="216" t="n">
        <x:v>154</x:v>
      </x:c>
      <x:c r="J158" s="216" t="str">
        <x:f>IF(I158&lt;='排名定義'!$B$5,"是","")</x:f>
        <x:v>是</x:v>
      </x:c>
      <x:c r="K158" s="216" t="n">
        <x:v>168</x:v>
      </x:c>
      <x:c r="L158" s="216" t="str">
        <x:f>IF(K158&lt;='排名定義'!$B$5,"是","")</x:f>
        <x:v>是</x:v>
      </x:c>
      <x:c r="M158" s="216" t="n">
        <x:f>COUNTIF(H158:L158,"是")</x:f>
        <x:v>3</x:v>
      </x:c>
      <x:c r="N158" s="216" t="str">
        <x:v>三份皆入選</x:v>
      </x:c>
      <x:c r="O158" s="221" t="n">
        <x:v>105.375</x:v>
      </x:c>
      <x:c r="P158" s="221" t="n">
        <x:v>97.8</x:v>
      </x:c>
      <x:c r="Q158" s="221" t="n">
        <x:v>7.575</x:v>
      </x:c>
      <x:c r="R158" s="221" t="n">
        <x:v>0.07188612099644127</x:v>
      </x:c>
      <x:c r="S158" s="221" t="n">
        <x:v>133.6451612903226</x:v>
      </x:c>
      <x:c r="T158" s="221" t="n">
        <x:v>126.70967741935483</x:v>
      </x:c>
      <x:c r="U158" s="221" t="n">
        <x:v>6.935483870967742</x:v>
      </x:c>
      <x:c r="V158" s="219" t="n">
        <x:v>0.06682027649769585</x:v>
      </x:c>
      <x:c r="W158" s="216" t="n">
        <x:v>22</x:v>
      </x:c>
      <x:c r="X158" s="223" t="n">
        <x:v>3510</x:v>
      </x:c>
      <x:c r="Y158" s="216" t="n">
        <x:v>37</x:v>
      </x:c>
    </x:row>
    <x:row r="159">
      <x:c r="A159" s="217" t="n">
        <x:v>1270</x:v>
      </x:c>
      <x:c r="B159" s="217" t="str">
        <x:v>新莊文化藝術中心</x:v>
      </x:c>
      <x:c r="C159" s="217" t="str">
        <x:v>新莊區</x:v>
      </x:c>
      <x:c r="D159" s="217" t="n">
        <x:v>40</x:v>
      </x:c>
      <x:c r="E159" s="217" t="n">
        <x:v>120</x:v>
      </x:c>
      <x:c r="F159" s="218" t="n">
        <x:v>0.9994791666666667</x:v>
      </x:c>
      <x:c r="G159" s="217" t="n">
        <x:v>155</x:v>
      </x:c>
      <x:c r="H159" s="217" t="str">
        <x:f>IF(G159&lt;='排名定義'!$B$5,"是","")</x:f>
        <x:v>是</x:v>
      </x:c>
      <x:c r="I159" s="217" t="n">
        <x:v>161</x:v>
      </x:c>
      <x:c r="J159" s="217" t="str">
        <x:f>IF(I159&lt;='排名定義'!$B$5,"是","")</x:f>
        <x:v>是</x:v>
      </x:c>
      <x:c r="K159" s="217" t="n">
        <x:v>82</x:v>
      </x:c>
      <x:c r="L159" s="217" t="str">
        <x:f>IF(K159&lt;='排名定義'!$B$5,"是","")</x:f>
        <x:v>是</x:v>
      </x:c>
      <x:c r="M159" s="217" t="n">
        <x:f>COUNTIF(H159:L159,"是")</x:f>
        <x:v>3</x:v>
      </x:c>
      <x:c r="N159" s="217" t="str">
        <x:v>三份皆入選</x:v>
      </x:c>
      <x:c r="O159" s="220" t="n">
        <x:v>104.66666666666667</x:v>
      </x:c>
      <x:c r="P159" s="220" t="n">
        <x:v>95.66666666666667</x:v>
      </x:c>
      <x:c r="Q159" s="220" t="n">
        <x:v>9</x:v>
      </x:c>
      <x:c r="R159" s="220" t="n">
        <x:v>0.08598726114649681</x:v>
      </x:c>
      <x:c r="S159" s="220" t="n">
        <x:v>141.1290322580645</x:v>
      </x:c>
      <x:c r="T159" s="220" t="n">
        <x:v>130</x:v>
      </x:c>
      <x:c r="U159" s="220" t="n">
        <x:v>11.129032258064516</x:v>
      </x:c>
      <x:c r="V159" s="218" t="n">
        <x:v>0.03917050691244239</x:v>
      </x:c>
      <x:c r="W159" s="217" t="n">
        <x:v>5</x:v>
      </x:c>
      <x:c r="X159" s="222" t="n">
        <x:v>960</x:v>
      </x:c>
      <x:c r="Y159" s="217" t="n">
        <x:v>40</x:v>
      </x:c>
    </x:row>
    <x:row r="160">
      <x:c r="A160" s="216" t="n">
        <x:v>1357</x:v>
      </x:c>
      <x:c r="B160" s="216" t="str">
        <x:v>六合公園</x:v>
      </x:c>
      <x:c r="C160" s="216" t="str">
        <x:v>三重區</x:v>
      </x:c>
      <x:c r="D160" s="216" t="n">
        <x:v>44</x:v>
      </x:c>
      <x:c r="E160" s="216" t="n">
        <x:v>120</x:v>
      </x:c>
      <x:c r="F160" s="219" t="n">
        <x:v>0.9994791666666667</x:v>
      </x:c>
      <x:c r="G160" s="216" t="n">
        <x:v>156</x:v>
      </x:c>
      <x:c r="H160" s="216" t="str">
        <x:f>IF(G160&lt;='排名定義'!$B$5,"是","")</x:f>
        <x:v>是</x:v>
      </x:c>
      <x:c r="I160" s="216" t="n">
        <x:v>156</x:v>
      </x:c>
      <x:c r="J160" s="216" t="str">
        <x:f>IF(I160&lt;='排名定義'!$B$5,"是","")</x:f>
        <x:v>是</x:v>
      </x:c>
      <x:c r="K160" s="216" t="n">
        <x:v>237</x:v>
      </x:c>
      <x:c r="L160" s="216" t="str">
        <x:f>IF(K160&lt;='排名定義'!$B$5,"是","")</x:f>
        <x:v>是</x:v>
      </x:c>
      <x:c r="M160" s="216" t="n">
        <x:f>COUNTIF(H160:L160,"是")</x:f>
        <x:v>3</x:v>
      </x:c>
      <x:c r="N160" s="216" t="str">
        <x:v>三份皆入選</x:v>
      </x:c>
      <x:c r="O160" s="221" t="n">
        <x:v>104.24166666666666</x:v>
      </x:c>
      <x:c r="P160" s="221" t="n">
        <x:v>97.36666666666666</x:v>
      </x:c>
      <x:c r="Q160" s="221" t="n">
        <x:v>6.875</x:v>
      </x:c>
      <x:c r="R160" s="221" t="n">
        <x:v>0.06595251418978336</x:v>
      </x:c>
      <x:c r="S160" s="221" t="n">
        <x:v>133</x:v>
      </x:c>
      <x:c r="T160" s="221" t="n">
        <x:v>127.58064516129032</x:v>
      </x:c>
      <x:c r="U160" s="221" t="n">
        <x:v>5.419354838709677</x:v>
      </x:c>
      <x:c r="V160" s="219" t="n">
        <x:v>0.06221198156682028</x:v>
      </x:c>
      <x:c r="W160" s="216" t="n">
        <x:v>13</x:v>
      </x:c>
      <x:c r="X160" s="223" t="n">
        <x:v>1800</x:v>
      </x:c>
      <x:c r="Y160" s="216" t="n">
        <x:v>44</x:v>
      </x:c>
    </x:row>
    <x:row r="161">
      <x:c r="A161" s="217" t="n">
        <x:v>1359</x:v>
      </x:c>
      <x:c r="B161" s="217" t="str">
        <x:v>國泰綜合醫院</x:v>
      </x:c>
      <x:c r="C161" s="217" t="str">
        <x:v>汐止區</x:v>
      </x:c>
      <x:c r="D161" s="217" t="n">
        <x:v>44</x:v>
      </x:c>
      <x:c r="E161" s="217" t="n">
        <x:v>120</x:v>
      </x:c>
      <x:c r="F161" s="218" t="n">
        <x:v>0.9994791666666667</x:v>
      </x:c>
      <x:c r="G161" s="217" t="n">
        <x:v>157</x:v>
      </x:c>
      <x:c r="H161" s="217" t="str">
        <x:f>IF(G161&lt;='排名定義'!$B$5,"是","")</x:f>
        <x:v>是</x:v>
      </x:c>
      <x:c r="I161" s="217" t="n">
        <x:v>164</x:v>
      </x:c>
      <x:c r="J161" s="217" t="str">
        <x:f>IF(I161&lt;='排名定義'!$B$5,"是","")</x:f>
        <x:v>是</x:v>
      </x:c>
      <x:c r="K161" s="217" t="n">
        <x:v>89</x:v>
      </x:c>
      <x:c r="L161" s="217" t="str">
        <x:f>IF(K161&lt;='排名定義'!$B$5,"是","")</x:f>
        <x:v>是</x:v>
      </x:c>
      <x:c r="M161" s="217" t="n">
        <x:f>COUNTIF(H161:L161,"是")</x:f>
        <x:v>3</x:v>
      </x:c>
      <x:c r="N161" s="217" t="str">
        <x:v>三份皆入選</x:v>
      </x:c>
      <x:c r="O161" s="220" t="n">
        <x:v>104.2</x:v>
      </x:c>
      <x:c r="P161" s="220" t="n">
        <x:v>95.36666666666666</x:v>
      </x:c>
      <x:c r="Q161" s="220" t="n">
        <x:v>8.833333333333334</x:v>
      </x:c>
      <x:c r="R161" s="220" t="n">
        <x:v>0.08477287268074216</x:v>
      </x:c>
      <x:c r="S161" s="220" t="n">
        <x:v>150.70967741935485</x:v>
      </x:c>
      <x:c r="T161" s="220" t="n">
        <x:v>142.80645161290323</x:v>
      </x:c>
      <x:c r="U161" s="220" t="n">
        <x:v>7.903225806451613</x:v>
      </x:c>
      <x:c r="V161" s="218" t="n">
        <x:v>0.020737327188940093</x:v>
      </x:c>
      <x:c r="W161" s="217" t="n">
        <x:v>2</x:v>
      </x:c>
      <x:c r="X161" s="222" t="n">
        <x:v>630</x:v>
      </x:c>
      <x:c r="Y161" s="217" t="n">
        <x:v>44</x:v>
      </x:c>
    </x:row>
    <x:row r="162">
      <x:c r="A162" s="216" t="n">
        <x:v>1254</x:v>
      </x:c>
      <x:c r="B162" s="216" t="str">
        <x:v>中山路31巷(波爾多2社區)</x:v>
      </x:c>
      <x:c r="C162" s="216" t="str">
        <x:v>新店區</x:v>
      </x:c>
      <x:c r="D162" s="216" t="n">
        <x:v>40</x:v>
      </x:c>
      <x:c r="E162" s="216" t="n">
        <x:v>120</x:v>
      </x:c>
      <x:c r="F162" s="219" t="n">
        <x:v>0.9994791666666667</x:v>
      </x:c>
      <x:c r="G162" s="216" t="n">
        <x:v>158</x:v>
      </x:c>
      <x:c r="H162" s="216" t="str">
        <x:f>IF(G162&lt;='排名定義'!$B$5,"是","")</x:f>
        <x:v>是</x:v>
      </x:c>
      <x:c r="I162" s="216" t="n">
        <x:v>157</x:v>
      </x:c>
      <x:c r="J162" s="216" t="str">
        <x:f>IF(I162&lt;='排名定義'!$B$5,"是","")</x:f>
        <x:v>是</x:v>
      </x:c>
      <x:c r="K162" s="216" t="n">
        <x:v>210</x:v>
      </x:c>
      <x:c r="L162" s="216" t="str">
        <x:f>IF(K162&lt;='排名定義'!$B$5,"是","")</x:f>
        <x:v>是</x:v>
      </x:c>
      <x:c r="M162" s="216" t="n">
        <x:f>COUNTIF(H162:L162,"是")</x:f>
        <x:v>3</x:v>
      </x:c>
      <x:c r="N162" s="216" t="str">
        <x:v>三份皆入選</x:v>
      </x:c>
      <x:c r="O162" s="221" t="n">
        <x:v>104.15</x:v>
      </x:c>
      <x:c r="P162" s="221" t="n">
        <x:v>97.04166666666667</x:v>
      </x:c>
      <x:c r="Q162" s="221" t="n">
        <x:v>7.108333333333333</x:v>
      </x:c>
      <x:c r="R162" s="221" t="n">
        <x:v>0.06825092014722356</x:v>
      </x:c>
      <x:c r="S162" s="221" t="n">
        <x:v>147.3548387096774</x:v>
      </x:c>
      <x:c r="T162" s="221" t="n">
        <x:v>138.3548387096774</x:v>
      </x:c>
      <x:c r="U162" s="221" t="n">
        <x:v>9</x:v>
      </x:c>
      <x:c r="V162" s="219" t="n">
        <x:v>0.027649769585253458</x:v>
      </x:c>
      <x:c r="W162" s="216" t="n">
        <x:v>12</x:v>
      </x:c>
      <x:c r="X162" s="223" t="n">
        <x:v>1530</x:v>
      </x:c>
      <x:c r="Y162" s="216" t="n">
        <x:v>40</x:v>
      </x:c>
    </x:row>
    <x:row r="163">
      <x:c r="A163" s="217" t="n">
        <x:v>1503</x:v>
      </x:c>
      <x:c r="B163" s="217" t="str">
        <x:v>中和青年社會住宅</x:v>
      </x:c>
      <x:c r="C163" s="217" t="str">
        <x:v>中和區</x:v>
      </x:c>
      <x:c r="D163" s="217" t="n">
        <x:v>57</x:v>
      </x:c>
      <x:c r="E163" s="217" t="n">
        <x:v>120</x:v>
      </x:c>
      <x:c r="F163" s="218" t="n">
        <x:v>0.9994791666666667</x:v>
      </x:c>
      <x:c r="G163" s="217" t="n">
        <x:v>159</x:v>
      </x:c>
      <x:c r="H163" s="217" t="str">
        <x:f>IF(G163&lt;='排名定義'!$B$5,"是","")</x:f>
        <x:v>是</x:v>
      </x:c>
      <x:c r="I163" s="217" t="n">
        <x:v>162</x:v>
      </x:c>
      <x:c r="J163" s="217" t="str">
        <x:f>IF(I163&lt;='排名定義'!$B$5,"是","")</x:f>
        <x:v>是</x:v>
      </x:c>
      <x:c r="K163" s="217" t="n">
        <x:v>114</x:v>
      </x:c>
      <x:c r="L163" s="217" t="str">
        <x:f>IF(K163&lt;='排名定義'!$B$5,"是","")</x:f>
        <x:v>是</x:v>
      </x:c>
      <x:c r="M163" s="217" t="n">
        <x:f>COUNTIF(H163:L163,"是")</x:f>
        <x:v>3</x:v>
      </x:c>
      <x:c r="N163" s="217" t="str">
        <x:v>三份皆入選</x:v>
      </x:c>
      <x:c r="O163" s="220" t="n">
        <x:v>103.99166666666666</x:v>
      </x:c>
      <x:c r="P163" s="220" t="n">
        <x:v>95.61666666666666</x:v>
      </x:c>
      <x:c r="Q163" s="220" t="n">
        <x:v>8.375</x:v>
      </x:c>
      <x:c r="R163" s="220" t="n">
        <x:v>0.08053529930282875</x:v>
      </x:c>
      <x:c r="S163" s="220" t="n">
        <x:v>128.06451612903226</x:v>
      </x:c>
      <x:c r="T163" s="220" t="n">
        <x:v>119.74193548387096</x:v>
      </x:c>
      <x:c r="U163" s="220" t="n">
        <x:v>8.32258064516129</x:v>
      </x:c>
      <x:c r="V163" s="218" t="n">
        <x:v>0.0576036866359447</x:v>
      </x:c>
      <x:c r="W163" s="217" t="n">
        <x:v>15</x:v>
      </x:c>
      <x:c r="X163" s="222" t="n">
        <x:v>1830</x:v>
      </x:c>
      <x:c r="Y163" s="217" t="n">
        <x:v>57</x:v>
      </x:c>
    </x:row>
    <x:row r="164">
      <x:c r="A164" s="216" t="n">
        <x:v>1454</x:v>
      </x:c>
      <x:c r="B164" s="216" t="str">
        <x:v>捷運景平站</x:v>
      </x:c>
      <x:c r="C164" s="216" t="str">
        <x:v>中和區</x:v>
      </x:c>
      <x:c r="D164" s="216" t="n">
        <x:v>51</x:v>
      </x:c>
      <x:c r="E164" s="216" t="n">
        <x:v>120</x:v>
      </x:c>
      <x:c r="F164" s="219" t="n">
        <x:v>0.9994791666666667</x:v>
      </x:c>
      <x:c r="G164" s="216" t="n">
        <x:v>160</x:v>
      </x:c>
      <x:c r="H164" s="216" t="str">
        <x:f>IF(G164&lt;='排名定義'!$B$5,"是","")</x:f>
        <x:v>是</x:v>
      </x:c>
      <x:c r="I164" s="216" t="n">
        <x:v>153</x:v>
      </x:c>
      <x:c r="J164" s="216" t="str">
        <x:f>IF(I164&lt;='排名定義'!$B$5,"是","")</x:f>
        <x:v>是</x:v>
      </x:c>
      <x:c r="K164" s="216" t="n">
        <x:v>396</x:v>
      </x:c>
      <x:c r="L164" s="216" t="str">
        <x:f>IF(K164&lt;='排名定義'!$B$5,"是","")</x:f>
        <x:v>是</x:v>
      </x:c>
      <x:c r="M164" s="216" t="n">
        <x:f>COUNTIF(H164:L164,"是")</x:f>
        <x:v>3</x:v>
      </x:c>
      <x:c r="N164" s="216" t="str">
        <x:v>總變動＋一般變動</x:v>
      </x:c>
      <x:c r="O164" s="221" t="n">
        <x:v>103.65833333333333</x:v>
      </x:c>
      <x:c r="P164" s="221" t="n">
        <x:v>97.91666666666667</x:v>
      </x:c>
      <x:c r="Q164" s="221" t="n">
        <x:v>5.741666666666666</x:v>
      </x:c>
      <x:c r="R164" s="221" t="n">
        <x:v>0.055390304686871936</x:v>
      </x:c>
      <x:c r="S164" s="221" t="n">
        <x:v>147.1290322580645</x:v>
      </x:c>
      <x:c r="T164" s="221" t="n">
        <x:v>141.8709677419355</x:v>
      </x:c>
      <x:c r="U164" s="221" t="n">
        <x:v>5.258064516129032</x:v>
      </x:c>
      <x:c r="V164" s="219" t="n">
        <x:v>0.004608294930875576</x:v>
      </x:c>
      <x:c r="W164" s="216" t="n">
        <x:v>3</x:v>
      </x:c>
      <x:c r="X164" s="223" t="n">
        <x:v>390</x:v>
      </x:c>
      <x:c r="Y164" s="216" t="n">
        <x:v>51</x:v>
      </x:c>
    </x:row>
    <x:row r="165">
      <x:c r="A165" s="217" t="n">
        <x:v>1100</x:v>
      </x:c>
      <x:c r="B165" s="217" t="str">
        <x:v>民德立體停車場</x:v>
      </x:c>
      <x:c r="C165" s="217" t="str">
        <x:v>中和區</x:v>
      </x:c>
      <x:c r="D165" s="217" t="n">
        <x:v>32</x:v>
      </x:c>
      <x:c r="E165" s="217" t="n">
        <x:v>120</x:v>
      </x:c>
      <x:c r="F165" s="218" t="n">
        <x:v>0.9994791666666667</x:v>
      </x:c>
      <x:c r="G165" s="217" t="n">
        <x:v>161</x:v>
      </x:c>
      <x:c r="H165" s="217" t="str">
        <x:f>IF(G165&lt;='排名定義'!$B$5,"是","")</x:f>
        <x:v>是</x:v>
      </x:c>
      <x:c r="I165" s="217" t="n">
        <x:v>159</x:v>
      </x:c>
      <x:c r="J165" s="217" t="str">
        <x:f>IF(I165&lt;='排名定義'!$B$5,"是","")</x:f>
        <x:v>是</x:v>
      </x:c>
      <x:c r="K165" s="217" t="n">
        <x:v>227</x:v>
      </x:c>
      <x:c r="L165" s="217" t="str">
        <x:f>IF(K165&lt;='排名定義'!$B$5,"是","")</x:f>
        <x:v>是</x:v>
      </x:c>
      <x:c r="M165" s="217" t="n">
        <x:f>COUNTIF(H165:L165,"是")</x:f>
        <x:v>3</x:v>
      </x:c>
      <x:c r="N165" s="217" t="str">
        <x:v>三份皆入選</x:v>
      </x:c>
      <x:c r="O165" s="220" t="n">
        <x:v>103.50833333333334</x:v>
      </x:c>
      <x:c r="P165" s="220" t="n">
        <x:v>96.575</x:v>
      </x:c>
      <x:c r="Q165" s="220" t="n">
        <x:v>6.933333333333334</x:v>
      </x:c>
      <x:c r="R165" s="220" t="n">
        <x:v>0.06698333467514693</x:v>
      </x:c>
      <x:c r="S165" s="220" t="n">
        <x:v>132.09677419354838</x:v>
      </x:c>
      <x:c r="T165" s="220" t="n">
        <x:v>125.87096774193549</x:v>
      </x:c>
      <x:c r="U165" s="220" t="n">
        <x:v>6.225806451612903</x:v>
      </x:c>
      <x:c r="V165" s="218" t="n">
        <x:v>0.07373271889400922</x:v>
      </x:c>
      <x:c r="W165" s="217" t="n">
        <x:v>17</x:v>
      </x:c>
      <x:c r="X165" s="222" t="n">
        <x:v>2580</x:v>
      </x:c>
      <x:c r="Y165" s="217" t="n">
        <x:v>32</x:v>
      </x:c>
    </x:row>
    <x:row r="166">
      <x:c r="A166" s="216" t="n">
        <x:v>1348</x:v>
      </x:c>
      <x:c r="B166" s="216" t="str">
        <x:v>廣福派出所</x:v>
      </x:c>
      <x:c r="C166" s="216" t="str">
        <x:v>土城區</x:v>
      </x:c>
      <x:c r="D166" s="216" t="n">
        <x:v>43</x:v>
      </x:c>
      <x:c r="E166" s="216" t="n">
        <x:v>120</x:v>
      </x:c>
      <x:c r="F166" s="219" t="n">
        <x:v>0.9994791666666667</x:v>
      </x:c>
      <x:c r="G166" s="216" t="n">
        <x:v>162</x:v>
      </x:c>
      <x:c r="H166" s="216" t="str">
        <x:f>IF(G166&lt;='排名定義'!$B$5,"是","")</x:f>
        <x:v>是</x:v>
      </x:c>
      <x:c r="I166" s="216" t="n">
        <x:v>165</x:v>
      </x:c>
      <x:c r="J166" s="216" t="str">
        <x:f>IF(I166&lt;='排名定義'!$B$5,"是","")</x:f>
        <x:v>是</x:v>
      </x:c>
      <x:c r="K166" s="216" t="n">
        <x:v>123</x:v>
      </x:c>
      <x:c r="L166" s="216" t="str">
        <x:f>IF(K166&lt;='排名定義'!$B$5,"是","")</x:f>
        <x:v>是</x:v>
      </x:c>
      <x:c r="M166" s="216" t="n">
        <x:f>COUNTIF(H166:L166,"是")</x:f>
        <x:v>3</x:v>
      </x:c>
      <x:c r="N166" s="216" t="str">
        <x:v>三份皆入選</x:v>
      </x:c>
      <x:c r="O166" s="221" t="n">
        <x:v>103.34166666666667</x:v>
      </x:c>
      <x:c r="P166" s="221" t="n">
        <x:v>95.21666666666667</x:v>
      </x:c>
      <x:c r="Q166" s="221" t="n">
        <x:v>8.125</x:v>
      </x:c>
      <x:c r="R166" s="221" t="n">
        <x:v>0.07862269171840981</x:v>
      </x:c>
      <x:c r="S166" s="221" t="n">
        <x:v>134.4516129032258</x:v>
      </x:c>
      <x:c r="T166" s="221" t="n">
        <x:v>125.70967741935483</x:v>
      </x:c>
      <x:c r="U166" s="221" t="n">
        <x:v>8.741935483870968</x:v>
      </x:c>
      <x:c r="V166" s="219" t="n">
        <x:v>0.11981566820276497</x:v>
      </x:c>
      <x:c r="W166" s="216" t="n">
        <x:v>26</x:v>
      </x:c>
      <x:c r="X166" s="223" t="n">
        <x:v>3210</x:v>
      </x:c>
      <x:c r="Y166" s="216" t="n">
        <x:v>43</x:v>
      </x:c>
    </x:row>
    <x:row r="167">
      <x:c r="A167" s="217" t="n">
        <x:v>1403</x:v>
      </x:c>
      <x:c r="B167" s="217" t="str">
        <x:v>保安永平路口</x:v>
      </x:c>
      <x:c r="C167" s="217" t="str">
        <x:v>永和區</x:v>
      </x:c>
      <x:c r="D167" s="217" t="n">
        <x:v>47</x:v>
      </x:c>
      <x:c r="E167" s="217" t="n">
        <x:v>120</x:v>
      </x:c>
      <x:c r="F167" s="218" t="n">
        <x:v>0.9994791666666667</x:v>
      </x:c>
      <x:c r="G167" s="217" t="n">
        <x:v>163</x:v>
      </x:c>
      <x:c r="H167" s="217" t="str">
        <x:f>IF(G167&lt;='排名定義'!$B$5,"是","")</x:f>
        <x:v>是</x:v>
      </x:c>
      <x:c r="I167" s="217" t="n">
        <x:v>160</x:v>
      </x:c>
      <x:c r="J167" s="217" t="str">
        <x:f>IF(I167&lt;='排名定義'!$B$5,"是","")</x:f>
        <x:v>是</x:v>
      </x:c>
      <x:c r="K167" s="217" t="n">
        <x:v>192</x:v>
      </x:c>
      <x:c r="L167" s="217" t="str">
        <x:f>IF(K167&lt;='排名定義'!$B$5,"是","")</x:f>
        <x:v>是</x:v>
      </x:c>
      <x:c r="M167" s="217" t="n">
        <x:f>COUNTIF(H167:L167,"是")</x:f>
        <x:v>3</x:v>
      </x:c>
      <x:c r="N167" s="217" t="str">
        <x:v>三份皆入選</x:v>
      </x:c>
      <x:c r="O167" s="220" t="n">
        <x:v>103.24166666666666</x:v>
      </x:c>
      <x:c r="P167" s="220" t="n">
        <x:v>95.95833333333333</x:v>
      </x:c>
      <x:c r="Q167" s="220" t="n">
        <x:v>7.283333333333333</x:v>
      </x:c>
      <x:c r="R167" s="220" t="n">
        <x:v>0.07054645249818388</x:v>
      </x:c>
      <x:c r="S167" s="220" t="n">
        <x:v>131.41935483870967</x:v>
      </x:c>
      <x:c r="T167" s="220" t="n">
        <x:v>125.83870967741936</x:v>
      </x:c>
      <x:c r="U167" s="220" t="n">
        <x:v>5.580645161290323</x:v>
      </x:c>
      <x:c r="V167" s="218" t="n">
        <x:v>0.02534562211981567</x:v>
      </x:c>
      <x:c r="W167" s="217" t="n">
        <x:v>9</x:v>
      </x:c>
      <x:c r="X167" s="222" t="n">
        <x:v>1410</x:v>
      </x:c>
      <x:c r="Y167" s="217" t="n">
        <x:v>47</x:v>
      </x:c>
    </x:row>
    <x:row r="168">
      <x:c r="A168" s="216" t="n">
        <x:v>1081</x:v>
      </x:c>
      <x:c r="B168" s="216" t="str">
        <x:v>學士龍山二街口(金城舞2社區)</x:v>
      </x:c>
      <x:c r="C168" s="216" t="str">
        <x:v>土城區</x:v>
      </x:c>
      <x:c r="D168" s="216" t="n">
        <x:v>31</x:v>
      </x:c>
      <x:c r="E168" s="216" t="n">
        <x:v>120</x:v>
      </x:c>
      <x:c r="F168" s="219" t="n">
        <x:v>0.9994791666666667</x:v>
      </x:c>
      <x:c r="G168" s="216" t="n">
        <x:v>164</x:v>
      </x:c>
      <x:c r="H168" s="216" t="str">
        <x:f>IF(G168&lt;='排名定義'!$B$5,"是","")</x:f>
        <x:v>是</x:v>
      </x:c>
      <x:c r="I168" s="216" t="n">
        <x:v>158</x:v>
      </x:c>
      <x:c r="J168" s="216" t="str">
        <x:f>IF(I168&lt;='排名定義'!$B$5,"是","")</x:f>
        <x:v>是</x:v>
      </x:c>
      <x:c r="K168" s="216" t="n">
        <x:v>273</x:v>
      </x:c>
      <x:c r="L168" s="216" t="str">
        <x:f>IF(K168&lt;='排名定義'!$B$5,"是","")</x:f>
        <x:v>是</x:v>
      </x:c>
      <x:c r="M168" s="216" t="n">
        <x:f>COUNTIF(H168:L168,"是")</x:f>
        <x:v>3</x:v>
      </x:c>
      <x:c r="N168" s="216" t="str">
        <x:v>三份皆入選</x:v>
      </x:c>
      <x:c r="O168" s="221" t="n">
        <x:v>103.23333333333333</x:v>
      </x:c>
      <x:c r="P168" s="221" t="n">
        <x:v>96.65</x:v>
      </x:c>
      <x:c r="Q168" s="221" t="n">
        <x:v>6.583333333333333</x:v>
      </x:c>
      <x:c r="R168" s="221" t="n">
        <x:v>0.06377139166935744</x:v>
      </x:c>
      <x:c r="S168" s="221" t="n">
        <x:v>121.41935483870968</x:v>
      </x:c>
      <x:c r="T168" s="221" t="n">
        <x:v>115.2258064516129</x:v>
      </x:c>
      <x:c r="U168" s="221" t="n">
        <x:v>6.193548387096774</x:v>
      </x:c>
      <x:c r="V168" s="219" t="n">
        <x:v>0.12903225806451613</x:v>
      </x:c>
      <x:c r="W168" s="216" t="n">
        <x:v>29</x:v>
      </x:c>
      <x:c r="X168" s="223" t="n">
        <x:v>3690</x:v>
      </x:c>
      <x:c r="Y168" s="216" t="n">
        <x:v>31</x:v>
      </x:c>
    </x:row>
    <x:row r="169">
      <x:c r="A169" s="217" t="n">
        <x:v>1508</x:v>
      </x:c>
      <x:c r="B169" s="217" t="str">
        <x:v>福和宮</x:v>
      </x:c>
      <x:c r="C169" s="217" t="str">
        <x:v>中和區</x:v>
      </x:c>
      <x:c r="D169" s="217" t="n">
        <x:v>57</x:v>
      </x:c>
      <x:c r="E169" s="217" t="n">
        <x:v>120</x:v>
      </x:c>
      <x:c r="F169" s="218" t="n">
        <x:v>0.9994791666666667</x:v>
      </x:c>
      <x:c r="G169" s="217" t="n">
        <x:v>165</x:v>
      </x:c>
      <x:c r="H169" s="217" t="str">
        <x:f>IF(G169&lt;='排名定義'!$B$5,"是","")</x:f>
        <x:v>是</x:v>
      </x:c>
      <x:c r="I169" s="217" t="n">
        <x:v>170</x:v>
      </x:c>
      <x:c r="J169" s="217" t="str">
        <x:f>IF(I169&lt;='排名定義'!$B$5,"是","")</x:f>
        <x:v>是</x:v>
      </x:c>
      <x:c r="K169" s="217" t="n">
        <x:v>62</x:v>
      </x:c>
      <x:c r="L169" s="217" t="str">
        <x:f>IF(K169&lt;='排名定義'!$B$5,"是","")</x:f>
        <x:v>是</x:v>
      </x:c>
      <x:c r="M169" s="217" t="n">
        <x:f>COUNTIF(H169:L169,"是")</x:f>
        <x:v>3</x:v>
      </x:c>
      <x:c r="N169" s="217" t="str">
        <x:v>三份皆入選</x:v>
      </x:c>
      <x:c r="O169" s="220" t="n">
        <x:v>103.125</x:v>
      </x:c>
      <x:c r="P169" s="220" t="n">
        <x:v>93.23333333333333</x:v>
      </x:c>
      <x:c r="Q169" s="220" t="n">
        <x:v>9.891666666666667</x:v>
      </x:c>
      <x:c r="R169" s="220" t="n">
        <x:v>0.09591919191919192</x:v>
      </x:c>
      <x:c r="S169" s="220" t="n">
        <x:v>134.58064516129033</x:v>
      </x:c>
      <x:c r="T169" s="220" t="n">
        <x:v>125.51612903225806</x:v>
      </x:c>
      <x:c r="U169" s="220" t="n">
        <x:v>9.064516129032258</x:v>
      </x:c>
      <x:c r="V169" s="218" t="n">
        <x:v>0.004608294930875576</x:v>
      </x:c>
      <x:c r="W169" s="217" t="n">
        <x:v>3</x:v>
      </x:c>
      <x:c r="X169" s="222" t="n">
        <x:v>510</x:v>
      </x:c>
      <x:c r="Y169" s="217" t="n">
        <x:v>57</x:v>
      </x:c>
    </x:row>
    <x:row r="170">
      <x:c r="A170" s="216" t="n">
        <x:v>1493</x:v>
      </x:c>
      <x:c r="B170" s="216" t="str">
        <x:v>中正路161巷口</x:v>
      </x:c>
      <x:c r="C170" s="216" t="str">
        <x:v>中和區</x:v>
      </x:c>
      <x:c r="D170" s="216" t="n">
        <x:v>56</x:v>
      </x:c>
      <x:c r="E170" s="216" t="n">
        <x:v>120</x:v>
      </x:c>
      <x:c r="F170" s="219" t="n">
        <x:v>0.9994791666666667</x:v>
      </x:c>
      <x:c r="G170" s="216" t="n">
        <x:v>166</x:v>
      </x:c>
      <x:c r="H170" s="216" t="str">
        <x:f>IF(G170&lt;='排名定義'!$B$5,"是","")</x:f>
        <x:v>是</x:v>
      </x:c>
      <x:c r="I170" s="216" t="n">
        <x:v>167</x:v>
      </x:c>
      <x:c r="J170" s="216" t="str">
        <x:f>IF(I170&lt;='排名定義'!$B$5,"是","")</x:f>
        <x:v>是</x:v>
      </x:c>
      <x:c r="K170" s="216" t="n">
        <x:v>120</x:v>
      </x:c>
      <x:c r="L170" s="216" t="str">
        <x:f>IF(K170&lt;='排名定義'!$B$5,"是","")</x:f>
        <x:v>是</x:v>
      </x:c>
      <x:c r="M170" s="216" t="n">
        <x:f>COUNTIF(H170:L170,"是")</x:f>
        <x:v>3</x:v>
      </x:c>
      <x:c r="N170" s="216" t="str">
        <x:v>三份皆入選</x:v>
      </x:c>
      <x:c r="O170" s="221" t="n">
        <x:v>102.63333333333334</x:v>
      </x:c>
      <x:c r="P170" s="221" t="n">
        <x:v>94.41666666666667</x:v>
      </x:c>
      <x:c r="Q170" s="221" t="n">
        <x:v>8.216666666666667</x:v>
      </x:c>
      <x:c r="R170" s="221" t="n">
        <x:v>0.08005846053913608</x:v>
      </x:c>
      <x:c r="S170" s="221" t="n">
        <x:v>132.5483870967742</x:v>
      </x:c>
      <x:c r="T170" s="221" t="n">
        <x:v>126.3225806451613</x:v>
      </x:c>
      <x:c r="U170" s="221" t="n">
        <x:v>6.225806451612903</x:v>
      </x:c>
      <x:c r="V170" s="219" t="n">
        <x:v>0.10829493087557604</x:v>
      </x:c>
      <x:c r="W170" s="216" t="n">
        <x:v>27</x:v>
      </x:c>
      <x:c r="X170" s="223" t="n">
        <x:v>3300</x:v>
      </x:c>
      <x:c r="Y170" s="216" t="n">
        <x:v>56</x:v>
      </x:c>
    </x:row>
    <x:row r="171">
      <x:c r="A171" s="217" t="n">
        <x:v>1141</x:v>
      </x:c>
      <x:c r="B171" s="217" t="str">
        <x:v>員和公園</x:v>
      </x:c>
      <x:c r="C171" s="217" t="str">
        <x:v>土城區</x:v>
      </x:c>
      <x:c r="D171" s="217" t="n">
        <x:v>34</x:v>
      </x:c>
      <x:c r="E171" s="217" t="n">
        <x:v>120</x:v>
      </x:c>
      <x:c r="F171" s="218" t="n">
        <x:v>0.9994791666666667</x:v>
      </x:c>
      <x:c r="G171" s="217" t="n">
        <x:v>167</x:v>
      </x:c>
      <x:c r="H171" s="217" t="str">
        <x:f>IF(G171&lt;='排名定義'!$B$5,"是","")</x:f>
        <x:v>是</x:v>
      </x:c>
      <x:c r="I171" s="217" t="n">
        <x:v>163</x:v>
      </x:c>
      <x:c r="J171" s="217" t="str">
        <x:f>IF(I171&lt;='排名定義'!$B$5,"是","")</x:f>
        <x:v>是</x:v>
      </x:c>
      <x:c r="K171" s="217" t="n">
        <x:v>312</x:v>
      </x:c>
      <x:c r="L171" s="217" t="str">
        <x:f>IF(K171&lt;='排名定義'!$B$5,"是","")</x:f>
        <x:v>是</x:v>
      </x:c>
      <x:c r="M171" s="217" t="n">
        <x:f>COUNTIF(H171:L171,"是")</x:f>
        <x:v>3</x:v>
      </x:c>
      <x:c r="N171" s="217" t="str">
        <x:v>三份皆入選</x:v>
      </x:c>
      <x:c r="O171" s="220" t="n">
        <x:v>101.73333333333333</x:v>
      </x:c>
      <x:c r="P171" s="220" t="n">
        <x:v>95.46666666666667</x:v>
      </x:c>
      <x:c r="Q171" s="220" t="n">
        <x:v>6.266666666666667</x:v>
      </x:c>
      <x:c r="R171" s="220" t="n">
        <x:v>0.061598951507208385</x:v>
      </x:c>
      <x:c r="S171" s="220" t="n">
        <x:v>145.58064516129033</x:v>
      </x:c>
      <x:c r="T171" s="220" t="n">
        <x:v>139.70967741935485</x:v>
      </x:c>
      <x:c r="U171" s="220" t="n">
        <x:v>5.870967741935484</x:v>
      </x:c>
      <x:c r="V171" s="218" t="n">
        <x:v>0.0576036866359447</x:v>
      </x:c>
      <x:c r="W171" s="217" t="n">
        <x:v>11</x:v>
      </x:c>
      <x:c r="X171" s="222" t="n">
        <x:v>1710</x:v>
      </x:c>
      <x:c r="Y171" s="217" t="n">
        <x:v>34</x:v>
      </x:c>
    </x:row>
    <x:row r="172">
      <x:c r="A172" s="216" t="n">
        <x:v>1387</x:v>
      </x:c>
      <x:c r="B172" s="216" t="str">
        <x:v>興華公園</x:v>
      </x:c>
      <x:c r="C172" s="216" t="str">
        <x:v>三重區</x:v>
      </x:c>
      <x:c r="D172" s="216" t="n">
        <x:v>45</x:v>
      </x:c>
      <x:c r="E172" s="216" t="n">
        <x:v>120</x:v>
      </x:c>
      <x:c r="F172" s="219" t="n">
        <x:v>0.9994791666666667</x:v>
      </x:c>
      <x:c r="G172" s="216" t="n">
        <x:v>168</x:v>
      </x:c>
      <x:c r="H172" s="216" t="str">
        <x:f>IF(G172&lt;='排名定義'!$B$5,"是","")</x:f>
        <x:v>是</x:v>
      </x:c>
      <x:c r="I172" s="216" t="n">
        <x:v>172</x:v>
      </x:c>
      <x:c r="J172" s="216" t="str">
        <x:f>IF(I172&lt;='排名定義'!$B$5,"是","")</x:f>
        <x:v>是</x:v>
      </x:c>
      <x:c r="K172" s="216" t="n">
        <x:v>97</x:v>
      </x:c>
      <x:c r="L172" s="216" t="str">
        <x:f>IF(K172&lt;='排名定義'!$B$5,"是","")</x:f>
        <x:v>是</x:v>
      </x:c>
      <x:c r="M172" s="216" t="n">
        <x:f>COUNTIF(H172:L172,"是")</x:f>
        <x:v>3</x:v>
      </x:c>
      <x:c r="N172" s="216" t="str">
        <x:v>三份皆入選</x:v>
      </x:c>
      <x:c r="O172" s="221" t="n">
        <x:v>101.43333333333334</x:v>
      </x:c>
      <x:c r="P172" s="221" t="n">
        <x:v>92.70833333333333</x:v>
      </x:c>
      <x:c r="Q172" s="221" t="n">
        <x:v>8.725</x:v>
      </x:c>
      <x:c r="R172" s="221" t="n">
        <x:v>0.08601708839960565</x:v>
      </x:c>
      <x:c r="S172" s="221" t="n">
        <x:v>0</x:v>
      </x:c>
      <x:c r="T172" s="221" t="n">
        <x:v>0</x:v>
      </x:c>
      <x:c r="U172" s="221" t="n">
        <x:v>0</x:v>
      </x:c>
      <x:c r="V172" s="219" t="n">
        <x:v>1</x:v>
      </x:c>
      <x:c r="W172" s="216" t="n">
        <x:v>1</x:v>
      </x:c>
      <x:c r="X172" s="223" t="n">
        <x:v>44640</x:v>
      </x:c>
      <x:c r="Y172" s="216" t="n">
        <x:v>45</x:v>
      </x:c>
    </x:row>
    <x:row r="173">
      <x:c r="A173" s="217" t="n">
        <x:v>964</x:v>
      </x:c>
      <x:c r="B173" s="217" t="str">
        <x:v>新北高工(學士路)</x:v>
      </x:c>
      <x:c r="C173" s="217" t="str">
        <x:v>土城區</x:v>
      </x:c>
      <x:c r="D173" s="217" t="n">
        <x:v>28</x:v>
      </x:c>
      <x:c r="E173" s="217" t="n">
        <x:v>120</x:v>
      </x:c>
      <x:c r="F173" s="218" t="n">
        <x:v>0.9994791666666667</x:v>
      </x:c>
      <x:c r="G173" s="217" t="n">
        <x:v>169</x:v>
      </x:c>
      <x:c r="H173" s="217" t="str">
        <x:f>IF(G173&lt;='排名定義'!$B$5,"是","")</x:f>
        <x:v>是</x:v>
      </x:c>
      <x:c r="I173" s="217" t="n">
        <x:v>166</x:v>
      </x:c>
      <x:c r="J173" s="217" t="str">
        <x:f>IF(I173&lt;='排名定義'!$B$5,"是","")</x:f>
        <x:v>是</x:v>
      </x:c>
      <x:c r="K173" s="217" t="n">
        <x:v>269</x:v>
      </x:c>
      <x:c r="L173" s="217" t="str">
        <x:f>IF(K173&lt;='排名定義'!$B$5,"是","")</x:f>
        <x:v>是</x:v>
      </x:c>
      <x:c r="M173" s="217" t="n">
        <x:f>COUNTIF(H173:L173,"是")</x:f>
        <x:v>3</x:v>
      </x:c>
      <x:c r="N173" s="217" t="str">
        <x:v>三份皆入選</x:v>
      </x:c>
      <x:c r="O173" s="220" t="n">
        <x:v>101.39166666666667</x:v>
      </x:c>
      <x:c r="P173" s="220" t="n">
        <x:v>94.76666666666667</x:v>
      </x:c>
      <x:c r="Q173" s="220" t="n">
        <x:v>6.625</x:v>
      </x:c>
      <x:c r="R173" s="220" t="n">
        <x:v>0.06534067559792882</x:v>
      </x:c>
      <x:c r="S173" s="220" t="n">
        <x:v>124.2258064516129</x:v>
      </x:c>
      <x:c r="T173" s="220" t="n">
        <x:v>117.35483870967742</x:v>
      </x:c>
      <x:c r="U173" s="220" t="n">
        <x:v>6.870967741935484</x:v>
      </x:c>
      <x:c r="V173" s="218" t="n">
        <x:v>0.16820276497695852</x:v>
      </x:c>
      <x:c r="W173" s="217" t="n">
        <x:v>40</x:v>
      </x:c>
      <x:c r="X173" s="222" t="n">
        <x:v>4950</x:v>
      </x:c>
      <x:c r="Y173" s="217" t="n">
        <x:v>28</x:v>
      </x:c>
    </x:row>
    <x:row r="174">
      <x:c r="A174" s="216" t="n">
        <x:v>1199</x:v>
      </x:c>
      <x:c r="B174" s="216" t="str">
        <x:v>福美公園</x:v>
      </x:c>
      <x:c r="C174" s="216" t="str">
        <x:v>新莊區</x:v>
      </x:c>
      <x:c r="D174" s="216" t="n">
        <x:v>45</x:v>
      </x:c>
      <x:c r="E174" s="216" t="n">
        <x:v>120</x:v>
      </x:c>
      <x:c r="F174" s="219" t="n">
        <x:v>0.9994791666666667</x:v>
      </x:c>
      <x:c r="G174" s="216" t="n">
        <x:v>170</x:v>
      </x:c>
      <x:c r="H174" s="216" t="str">
        <x:f>IF(G174&lt;='排名定義'!$B$5,"是","")</x:f>
        <x:v>是</x:v>
      </x:c>
      <x:c r="I174" s="216" t="n">
        <x:v>168</x:v>
      </x:c>
      <x:c r="J174" s="216" t="str">
        <x:f>IF(I174&lt;='排名定義'!$B$5,"是","")</x:f>
        <x:v>是</x:v>
      </x:c>
      <x:c r="K174" s="216" t="n">
        <x:v>232</x:v>
      </x:c>
      <x:c r="L174" s="216" t="str">
        <x:f>IF(K174&lt;='排名定義'!$B$5,"是","")</x:f>
        <x:v>是</x:v>
      </x:c>
      <x:c r="M174" s="216" t="n">
        <x:f>COUNTIF(H174:L174,"是")</x:f>
        <x:v>3</x:v>
      </x:c>
      <x:c r="N174" s="216" t="str">
        <x:v>三份皆入選</x:v>
      </x:c>
      <x:c r="O174" s="221" t="n">
        <x:v>101.24166666666666</x:v>
      </x:c>
      <x:c r="P174" s="221" t="n">
        <x:v>94.35</x:v>
      </x:c>
      <x:c r="Q174" s="221" t="n">
        <x:v>6.891666666666667</x:v>
      </x:c>
      <x:c r="R174" s="221" t="n">
        <x:v>0.06807144620956457</x:v>
      </x:c>
      <x:c r="S174" s="221" t="n">
        <x:v>127.25806451612904</x:v>
      </x:c>
      <x:c r="T174" s="221" t="n">
        <x:v>122.03225806451613</x:v>
      </x:c>
      <x:c r="U174" s="221" t="n">
        <x:v>5.225806451612903</x:v>
      </x:c>
      <x:c r="V174" s="219" t="n">
        <x:v>0.04838709677419355</x:v>
      </x:c>
      <x:c r="W174" s="216" t="n">
        <x:v>8</x:v>
      </x:c>
      <x:c r="X174" s="223" t="n">
        <x:v>1470</x:v>
      </x:c>
      <x:c r="Y174" s="216" t="n">
        <x:v>45</x:v>
      </x:c>
    </x:row>
    <x:row r="175">
      <x:c r="A175" s="217" t="n">
        <x:v>15</x:v>
      </x:c>
      <x:c r="B175" s="217" t="str">
        <x:v>保順環河西路口</x:v>
      </x:c>
      <x:c r="C175" s="217" t="str">
        <x:v>永和區</x:v>
      </x:c>
      <x:c r="D175" s="217" t="n">
        <x:v>69</x:v>
      </x:c>
      <x:c r="E175" s="217" t="n">
        <x:v>120</x:v>
      </x:c>
      <x:c r="F175" s="218" t="n">
        <x:v>0.9994791666666667</x:v>
      </x:c>
      <x:c r="G175" s="217" t="n">
        <x:v>171</x:v>
      </x:c>
      <x:c r="H175" s="217" t="str">
        <x:f>IF(G175&lt;='排名定義'!$B$5,"是","")</x:f>
        <x:v>是</x:v>
      </x:c>
      <x:c r="I175" s="217" t="n">
        <x:v>171</x:v>
      </x:c>
      <x:c r="J175" s="217" t="str">
        <x:f>IF(I175&lt;='排名定義'!$B$5,"是","")</x:f>
        <x:v>是</x:v>
      </x:c>
      <x:c r="K175" s="217" t="n">
        <x:v>124</x:v>
      </x:c>
      <x:c r="L175" s="217" t="str">
        <x:f>IF(K175&lt;='排名定義'!$B$5,"是","")</x:f>
        <x:v>是</x:v>
      </x:c>
      <x:c r="M175" s="217" t="n">
        <x:f>COUNTIF(H175:L175,"是")</x:f>
        <x:v>3</x:v>
      </x:c>
      <x:c r="N175" s="217" t="str">
        <x:v>三份皆入選</x:v>
      </x:c>
      <x:c r="O175" s="220" t="n">
        <x:v>101.13333333333334</x:v>
      </x:c>
      <x:c r="P175" s="220" t="n">
        <x:v>93.01666666666667</x:v>
      </x:c>
      <x:c r="Q175" s="220" t="n">
        <x:v>8.116666666666667</x:v>
      </x:c>
      <x:c r="R175" s="220" t="n">
        <x:v>0.08025708635464733</x:v>
      </x:c>
      <x:c r="S175" s="220" t="n">
        <x:v>131.48387096774192</x:v>
      </x:c>
      <x:c r="T175" s="220" t="n">
        <x:v>124.87096774193549</x:v>
      </x:c>
      <x:c r="U175" s="220" t="n">
        <x:v>6.612903225806452</x:v>
      </x:c>
      <x:c r="V175" s="218" t="n">
        <x:v>0.004608294930875576</x:v>
      </x:c>
      <x:c r="W175" s="217" t="n">
        <x:v>3</x:v>
      </x:c>
      <x:c r="X175" s="222" t="n">
        <x:v>600</x:v>
      </x:c>
      <x:c r="Y175" s="217" t="n">
        <x:v>69</x:v>
      </x:c>
    </x:row>
    <x:row r="176">
      <x:c r="A176" s="216" t="n">
        <x:v>1425</x:v>
      </x:c>
      <x:c r="B176" s="216" t="str">
        <x:v>福和國中停車場</x:v>
      </x:c>
      <x:c r="C176" s="216" t="str">
        <x:v>永和區</x:v>
      </x:c>
      <x:c r="D176" s="216" t="n">
        <x:v>48</x:v>
      </x:c>
      <x:c r="E176" s="216" t="n">
        <x:v>120</x:v>
      </x:c>
      <x:c r="F176" s="219" t="n">
        <x:v>0.9994791666666667</x:v>
      </x:c>
      <x:c r="G176" s="216" t="n">
        <x:v>172</x:v>
      </x:c>
      <x:c r="H176" s="216" t="str">
        <x:f>IF(G176&lt;='排名定義'!$B$5,"是","")</x:f>
        <x:v>是</x:v>
      </x:c>
      <x:c r="I176" s="216" t="n">
        <x:v>173</x:v>
      </x:c>
      <x:c r="J176" s="216" t="str">
        <x:f>IF(I176&lt;='排名定義'!$B$5,"是","")</x:f>
        <x:v>是</x:v>
      </x:c>
      <x:c r="K176" s="216" t="n">
        <x:v>104</x:v>
      </x:c>
      <x:c r="L176" s="216" t="str">
        <x:f>IF(K176&lt;='排名定義'!$B$5,"是","")</x:f>
        <x:v>是</x:v>
      </x:c>
      <x:c r="M176" s="216" t="n">
        <x:f>COUNTIF(H176:L176,"是")</x:f>
        <x:v>3</x:v>
      </x:c>
      <x:c r="N176" s="216" t="str">
        <x:v>三份皆入選</x:v>
      </x:c>
      <x:c r="O176" s="221" t="n">
        <x:v>100.80833333333334</x:v>
      </x:c>
      <x:c r="P176" s="221" t="n">
        <x:v>92.225</x:v>
      </x:c>
      <x:c r="Q176" s="221" t="n">
        <x:v>8.583333333333334</x:v>
      </x:c>
      <x:c r="R176" s="221" t="n">
        <x:v>0.08514507729189055</x:v>
      </x:c>
      <x:c r="S176" s="221" t="n">
        <x:v>137.1290322580645</x:v>
      </x:c>
      <x:c r="T176" s="221" t="n">
        <x:v>126.93548387096774</x:v>
      </x:c>
      <x:c r="U176" s="221" t="n">
        <x:v>10.193548387096774</x:v>
      </x:c>
      <x:c r="V176" s="219" t="n">
        <x:v>0.12442396313364056</x:v>
      </x:c>
      <x:c r="W176" s="216" t="n">
        <x:v>10</x:v>
      </x:c>
      <x:c r="X176" s="223" t="n">
        <x:v>1980</x:v>
      </x:c>
      <x:c r="Y176" s="216" t="n">
        <x:v>48</x:v>
      </x:c>
    </x:row>
    <x:row r="177">
      <x:c r="A177" s="217" t="n">
        <x:v>957</x:v>
      </x:c>
      <x:c r="B177" s="217" t="str">
        <x:v>中和地政事務所</x:v>
      </x:c>
      <x:c r="C177" s="217" t="str">
        <x:v>中和區</x:v>
      </x:c>
      <x:c r="D177" s="217" t="n">
        <x:v>28</x:v>
      </x:c>
      <x:c r="E177" s="217" t="n">
        <x:v>120</x:v>
      </x:c>
      <x:c r="F177" s="218" t="n">
        <x:v>0.9994791666666667</x:v>
      </x:c>
      <x:c r="G177" s="217" t="n">
        <x:v>173</x:v>
      </x:c>
      <x:c r="H177" s="217" t="str">
        <x:f>IF(G177&lt;='排名定義'!$B$5,"是","")</x:f>
        <x:v>是</x:v>
      </x:c>
      <x:c r="I177" s="217" t="n">
        <x:v>169</x:v>
      </x:c>
      <x:c r="J177" s="217" t="str">
        <x:f>IF(I177&lt;='排名定義'!$B$5,"是","")</x:f>
        <x:v>是</x:v>
      </x:c>
      <x:c r="K177" s="217" t="n">
        <x:v>335</x:v>
      </x:c>
      <x:c r="L177" s="217" t="str">
        <x:f>IF(K177&lt;='排名定義'!$B$5,"是","")</x:f>
        <x:v>是</x:v>
      </x:c>
      <x:c r="M177" s="217" t="n">
        <x:f>COUNTIF(H177:L177,"是")</x:f>
        <x:v>3</x:v>
      </x:c>
      <x:c r="N177" s="217" t="str">
        <x:v>三份皆入選</x:v>
      </x:c>
      <x:c r="O177" s="220" t="n">
        <x:v>100.025</x:v>
      </x:c>
      <x:c r="P177" s="220" t="n">
        <x:v>93.925</x:v>
      </x:c>
      <x:c r="Q177" s="220" t="n">
        <x:v>6.1</x:v>
      </x:c>
      <x:c r="R177" s="220" t="n">
        <x:v>0.06098475381154711</x:v>
      </x:c>
      <x:c r="S177" s="220" t="n">
        <x:v>133.74193548387098</x:v>
      </x:c>
      <x:c r="T177" s="220" t="n">
        <x:v>127.06451612903226</x:v>
      </x:c>
      <x:c r="U177" s="220" t="n">
        <x:v>6.67741935483871</x:v>
      </x:c>
      <x:c r="V177" s="218" t="n">
        <x:v>0.07373271889400922</x:v>
      </x:c>
      <x:c r="W177" s="217" t="n">
        <x:v>17</x:v>
      </x:c>
      <x:c r="X177" s="222" t="n">
        <x:v>2340</x:v>
      </x:c>
      <x:c r="Y177" s="217" t="n">
        <x:v>28</x:v>
      </x:c>
    </x:row>
    <x:row r="178">
      <x:c r="A178" s="216" t="n">
        <x:v>1252</x:v>
      </x:c>
      <x:c r="B178" s="216" t="str">
        <x:v>三重高中</x:v>
      </x:c>
      <x:c r="C178" s="216" t="str">
        <x:v>三重區</x:v>
      </x:c>
      <x:c r="D178" s="216" t="n">
        <x:v>48</x:v>
      </x:c>
      <x:c r="E178" s="216" t="n">
        <x:v>120</x:v>
      </x:c>
      <x:c r="F178" s="219" t="n">
        <x:v>0.9994791666666667</x:v>
      </x:c>
      <x:c r="G178" s="216" t="n">
        <x:v>174</x:v>
      </x:c>
      <x:c r="H178" s="216" t="str">
        <x:f>IF(G178&lt;='排名定義'!$B$5,"是","")</x:f>
        <x:v>是</x:v>
      </x:c>
      <x:c r="I178" s="216" t="n">
        <x:v>174</x:v>
      </x:c>
      <x:c r="J178" s="216" t="str">
        <x:f>IF(I178&lt;='排名定義'!$B$5,"是","")</x:f>
        <x:v>是</x:v>
      </x:c>
      <x:c r="K178" s="216" t="n">
        <x:v>117</x:v>
      </x:c>
      <x:c r="L178" s="216" t="str">
        <x:f>IF(K178&lt;='排名定義'!$B$5,"是","")</x:f>
        <x:v>是</x:v>
      </x:c>
      <x:c r="M178" s="216" t="n">
        <x:f>COUNTIF(H178:L178,"是")</x:f>
        <x:v>3</x:v>
      </x:c>
      <x:c r="N178" s="216" t="str">
        <x:v>三份皆入選</x:v>
      </x:c>
      <x:c r="O178" s="221" t="n">
        <x:v>99.86666666666666</x:v>
      </x:c>
      <x:c r="P178" s="221" t="n">
        <x:v>91.6</x:v>
      </x:c>
      <x:c r="Q178" s="221" t="n">
        <x:v>8.266666666666667</x:v>
      </x:c>
      <x:c r="R178" s="221" t="n">
        <x:v>0.08277703604806408</x:v>
      </x:c>
      <x:c r="S178" s="221" t="n">
        <x:v>121.58064516129032</x:v>
      </x:c>
      <x:c r="T178" s="221" t="n">
        <x:v>112.29032258064517</x:v>
      </x:c>
      <x:c r="U178" s="221" t="n">
        <x:v>9.290322580645162</x:v>
      </x:c>
      <x:c r="V178" s="219" t="n">
        <x:v>0.059907834101382486</x:v>
      </x:c>
      <x:c r="W178" s="216" t="n">
        <x:v>8</x:v>
      </x:c>
      <x:c r="X178" s="223" t="n">
        <x:v>1230</x:v>
      </x:c>
      <x:c r="Y178" s="216" t="n">
        <x:v>48</x:v>
      </x:c>
    </x:row>
    <x:row r="179">
      <x:c r="A179" s="217" t="n">
        <x:v>1283</x:v>
      </x:c>
      <x:c r="B179" s="217" t="str">
        <x:v>華江九華江一路口(匯翠社區)</x:v>
      </x:c>
      <x:c r="C179" s="217" t="str">
        <x:v>板橋區</x:v>
      </x:c>
      <x:c r="D179" s="217" t="n">
        <x:v>40</x:v>
      </x:c>
      <x:c r="E179" s="217" t="n">
        <x:v>120</x:v>
      </x:c>
      <x:c r="F179" s="218" t="n">
        <x:v>0.9994791666666667</x:v>
      </x:c>
      <x:c r="G179" s="217" t="n">
        <x:v>175</x:v>
      </x:c>
      <x:c r="H179" s="217" t="str">
        <x:f>IF(G179&lt;='排名定義'!$B$5,"是","")</x:f>
        <x:v>是</x:v>
      </x:c>
      <x:c r="I179" s="217" t="n">
        <x:v>179</x:v>
      </x:c>
      <x:c r="J179" s="217" t="str">
        <x:f>IF(I179&lt;='排名定義'!$B$5,"是","")</x:f>
        <x:v>是</x:v>
      </x:c>
      <x:c r="K179" s="217" t="n">
        <x:v>171</x:v>
      </x:c>
      <x:c r="L179" s="217" t="str">
        <x:f>IF(K179&lt;='排名定義'!$B$5,"是","")</x:f>
        <x:v>是</x:v>
      </x:c>
      <x:c r="M179" s="217" t="n">
        <x:f>COUNTIF(H179:L179,"是")</x:f>
        <x:v>3</x:v>
      </x:c>
      <x:c r="N179" s="217" t="str">
        <x:v>三份皆入選</x:v>
      </x:c>
      <x:c r="O179" s="220" t="n">
        <x:v>98.425</x:v>
      </x:c>
      <x:c r="P179" s="220" t="n">
        <x:v>90.89166666666667</x:v>
      </x:c>
      <x:c r="Q179" s="220" t="n">
        <x:v>7.533333333333333</x:v>
      </x:c>
      <x:c r="R179" s="220" t="n">
        <x:v>0.07653881974430615</x:v>
      </x:c>
      <x:c r="S179" s="220" t="n">
        <x:v>128.70967741935485</x:v>
      </x:c>
      <x:c r="T179" s="220" t="n">
        <x:v>121.35483870967742</x:v>
      </x:c>
      <x:c r="U179" s="220" t="n">
        <x:v>7.354838709677419</x:v>
      </x:c>
      <x:c r="V179" s="218" t="n">
        <x:v>0.14746543778801843</x:v>
      </x:c>
      <x:c r="W179" s="217" t="n">
        <x:v>36</x:v>
      </x:c>
      <x:c r="X179" s="222" t="n">
        <x:v>4440</x:v>
      </x:c>
      <x:c r="Y179" s="217" t="n">
        <x:v>40</x:v>
      </x:c>
    </x:row>
    <x:row r="180">
      <x:c r="A180" s="216" t="n">
        <x:v>1341</x:v>
      </x:c>
      <x:c r="B180" s="216" t="str">
        <x:v>捷運七張站(1號出口)</x:v>
      </x:c>
      <x:c r="C180" s="216" t="str">
        <x:v>新店區</x:v>
      </x:c>
      <x:c r="D180" s="216" t="n">
        <x:v>42</x:v>
      </x:c>
      <x:c r="E180" s="216" t="n">
        <x:v>120</x:v>
      </x:c>
      <x:c r="F180" s="219" t="n">
        <x:v>0.9994791666666667</x:v>
      </x:c>
      <x:c r="G180" s="216" t="n">
        <x:v>176</x:v>
      </x:c>
      <x:c r="H180" s="216" t="str">
        <x:f>IF(G180&lt;='排名定義'!$B$5,"是","")</x:f>
        <x:v>是</x:v>
      </x:c>
      <x:c r="I180" s="216" t="n">
        <x:v>175</x:v>
      </x:c>
      <x:c r="J180" s="216" t="str">
        <x:f>IF(I180&lt;='排名定義'!$B$5,"是","")</x:f>
        <x:v>是</x:v>
      </x:c>
      <x:c r="K180" s="216" t="n">
        <x:v>233</x:v>
      </x:c>
      <x:c r="L180" s="216" t="str">
        <x:f>IF(K180&lt;='排名定義'!$B$5,"是","")</x:f>
        <x:v>是</x:v>
      </x:c>
      <x:c r="M180" s="216" t="n">
        <x:f>COUNTIF(H180:L180,"是")</x:f>
        <x:v>3</x:v>
      </x:c>
      <x:c r="N180" s="216" t="str">
        <x:v>三份皆入選</x:v>
      </x:c>
      <x:c r="O180" s="221" t="n">
        <x:v>98.09166666666667</x:v>
      </x:c>
      <x:c r="P180" s="221" t="n">
        <x:v>91.2</x:v>
      </x:c>
      <x:c r="Q180" s="221" t="n">
        <x:v>6.891666666666667</x:v>
      </x:c>
      <x:c r="R180" s="221" t="n">
        <x:v>0.07025741228442783</x:v>
      </x:c>
      <x:c r="S180" s="221" t="n">
        <x:v>139.67741935483872</x:v>
      </x:c>
      <x:c r="T180" s="221" t="n">
        <x:v>134.51612903225808</x:v>
      </x:c>
      <x:c r="U180" s="221" t="n">
        <x:v>5.161290322580645</x:v>
      </x:c>
      <x:c r="V180" s="219" t="n">
        <x:v>0.04838709677419355</x:v>
      </x:c>
      <x:c r="W180" s="216" t="n">
        <x:v>32</x:v>
      </x:c>
      <x:c r="X180" s="223" t="n">
        <x:v>4200</x:v>
      </x:c>
      <x:c r="Y180" s="216" t="n">
        <x:v>42</x:v>
      </x:c>
    </x:row>
    <x:row r="181">
      <x:c r="A181" s="217" t="n">
        <x:v>1157</x:v>
      </x:c>
      <x:c r="B181" s="217" t="str">
        <x:v>後港公園</x:v>
      </x:c>
      <x:c r="C181" s="217" t="str">
        <x:v>新莊區</x:v>
      </x:c>
      <x:c r="D181" s="217" t="n">
        <x:v>35</x:v>
      </x:c>
      <x:c r="E181" s="217" t="n">
        <x:v>120</x:v>
      </x:c>
      <x:c r="F181" s="218" t="n">
        <x:v>0.9994791666666667</x:v>
      </x:c>
      <x:c r="G181" s="217" t="n">
        <x:v>177</x:v>
      </x:c>
      <x:c r="H181" s="217" t="str">
        <x:f>IF(G181&lt;='排名定義'!$B$5,"是","")</x:f>
        <x:v>是</x:v>
      </x:c>
      <x:c r="I181" s="217" t="n">
        <x:v>177</x:v>
      </x:c>
      <x:c r="J181" s="217" t="str">
        <x:f>IF(I181&lt;='排名定義'!$B$5,"是","")</x:f>
        <x:v>是</x:v>
      </x:c>
      <x:c r="K181" s="217" t="n">
        <x:v>290</x:v>
      </x:c>
      <x:c r="L181" s="217" t="str">
        <x:f>IF(K181&lt;='排名定義'!$B$5,"是","")</x:f>
        <x:v>是</x:v>
      </x:c>
      <x:c r="M181" s="217" t="n">
        <x:f>COUNTIF(H181:L181,"是")</x:f>
        <x:v>3</x:v>
      </x:c>
      <x:c r="N181" s="217" t="str">
        <x:v>三份皆入選</x:v>
      </x:c>
      <x:c r="O181" s="220" t="n">
        <x:v>97.39166666666667</x:v>
      </x:c>
      <x:c r="P181" s="220" t="n">
        <x:v>90.95833333333333</x:v>
      </x:c>
      <x:c r="Q181" s="220" t="n">
        <x:v>6.433333333333334</x:v>
      </x:c>
      <x:c r="R181" s="220" t="n">
        <x:v>0.06605630187387695</x:v>
      </x:c>
      <x:c r="S181" s="220" t="n">
        <x:v>125.80645161290323</x:v>
      </x:c>
      <x:c r="T181" s="220" t="n">
        <x:v>118.25806451612904</x:v>
      </x:c>
      <x:c r="U181" s="220" t="n">
        <x:v>7.548387096774194</x:v>
      </x:c>
      <x:c r="V181" s="218" t="n">
        <x:v>0.06451612903225806</x:v>
      </x:c>
      <x:c r="W181" s="217" t="n">
        <x:v>14</x:v>
      </x:c>
      <x:c r="X181" s="222" t="n">
        <x:v>1950</x:v>
      </x:c>
      <x:c r="Y181" s="217" t="n">
        <x:v>35</x:v>
      </x:c>
    </x:row>
    <x:row r="182">
      <x:c r="A182" s="216" t="n">
        <x:v>84</x:v>
      </x:c>
      <x:c r="B182" s="216" t="str">
        <x:v>海山高中</x:v>
      </x:c>
      <x:c r="C182" s="216" t="str">
        <x:v>板橋區</x:v>
      </x:c>
      <x:c r="D182" s="216" t="n">
        <x:v>80</x:v>
      </x:c>
      <x:c r="E182" s="216" t="n">
        <x:v>120</x:v>
      </x:c>
      <x:c r="F182" s="219" t="n">
        <x:v>0.9994791666666667</x:v>
      </x:c>
      <x:c r="G182" s="216" t="n">
        <x:v>178</x:v>
      </x:c>
      <x:c r="H182" s="216" t="str">
        <x:f>IF(G182&lt;='排名定義'!$B$5,"是","")</x:f>
        <x:v>是</x:v>
      </x:c>
      <x:c r="I182" s="216" t="n">
        <x:v>183</x:v>
      </x:c>
      <x:c r="J182" s="216" t="str">
        <x:f>IF(I182&lt;='排名定義'!$B$5,"是","")</x:f>
        <x:v>是</x:v>
      </x:c>
      <x:c r="K182" s="216" t="n">
        <x:v>178</x:v>
      </x:c>
      <x:c r="L182" s="216" t="str">
        <x:f>IF(K182&lt;='排名定義'!$B$5,"是","")</x:f>
        <x:v>是</x:v>
      </x:c>
      <x:c r="M182" s="216" t="n">
        <x:f>COUNTIF(H182:L182,"是")</x:f>
        <x:v>3</x:v>
      </x:c>
      <x:c r="N182" s="216" t="str">
        <x:v>三份皆入選</x:v>
      </x:c>
      <x:c r="O182" s="221" t="n">
        <x:v>97.35833333333333</x:v>
      </x:c>
      <x:c r="P182" s="221" t="n">
        <x:v>89.925</x:v>
      </x:c>
      <x:c r="Q182" s="221" t="n">
        <x:v>7.433333333333334</x:v>
      </x:c>
      <x:c r="R182" s="221" t="n">
        <x:v>0.07635025250363776</x:v>
      </x:c>
      <x:c r="S182" s="221" t="n">
        <x:v>130.61290322580646</x:v>
      </x:c>
      <x:c r="T182" s="221" t="n">
        <x:v>123.41935483870968</x:v>
      </x:c>
      <x:c r="U182" s="221" t="n">
        <x:v>7.193548387096774</x:v>
      </x:c>
      <x:c r="V182" s="219" t="n">
        <x:v>0.06221198156682028</x:v>
      </x:c>
      <x:c r="W182" s="216" t="n">
        <x:v>10</x:v>
      </x:c>
      <x:c r="X182" s="223" t="n">
        <x:v>1620</x:v>
      </x:c>
      <x:c r="Y182" s="216" t="n">
        <x:v>80</x:v>
      </x:c>
    </x:row>
    <x:row r="183">
      <x:c r="A183" s="217" t="n">
        <x:v>1222</x:v>
      </x:c>
      <x:c r="B183" s="217" t="str">
        <x:v>蘆洲延平派出所</x:v>
      </x:c>
      <x:c r="C183" s="217" t="str">
        <x:v>蘆洲區</x:v>
      </x:c>
      <x:c r="D183" s="217" t="n">
        <x:v>38</x:v>
      </x:c>
      <x:c r="E183" s="217" t="n">
        <x:v>120</x:v>
      </x:c>
      <x:c r="F183" s="218" t="n">
        <x:v>0.9994791666666667</x:v>
      </x:c>
      <x:c r="G183" s="217" t="n">
        <x:v>179</x:v>
      </x:c>
      <x:c r="H183" s="217" t="str">
        <x:f>IF(G183&lt;='排名定義'!$B$5,"是","")</x:f>
        <x:v>是</x:v>
      </x:c>
      <x:c r="I183" s="217" t="n">
        <x:v>176</x:v>
      </x:c>
      <x:c r="J183" s="217" t="str">
        <x:f>IF(I183&lt;='排名定義'!$B$5,"是","")</x:f>
        <x:v>是</x:v>
      </x:c>
      <x:c r="K183" s="217" t="n">
        <x:v>329</x:v>
      </x:c>
      <x:c r="L183" s="217" t="str">
        <x:f>IF(K183&lt;='排名定義'!$B$5,"是","")</x:f>
        <x:v>是</x:v>
      </x:c>
      <x:c r="M183" s="217" t="n">
        <x:f>COUNTIF(H183:L183,"是")</x:f>
        <x:v>3</x:v>
      </x:c>
      <x:c r="N183" s="217" t="str">
        <x:v>三份皆入選</x:v>
      </x:c>
      <x:c r="O183" s="220" t="n">
        <x:v>97.29166666666667</x:v>
      </x:c>
      <x:c r="P183" s="220" t="n">
        <x:v>91.15833333333333</x:v>
      </x:c>
      <x:c r="Q183" s="220" t="n">
        <x:v>6.133333333333334</x:v>
      </x:c>
      <x:c r="R183" s="220" t="n">
        <x:v>0.0630406852248394</x:v>
      </x:c>
      <x:c r="S183" s="220" t="n">
        <x:v>122.38709677419355</x:v>
      </x:c>
      <x:c r="T183" s="220" t="n">
        <x:v>116.29032258064517</x:v>
      </x:c>
      <x:c r="U183" s="220" t="n">
        <x:v>6.096774193548387</x:v>
      </x:c>
      <x:c r="V183" s="218" t="n">
        <x:v>0.03456221198156682</x:v>
      </x:c>
      <x:c r="W183" s="217" t="n">
        <x:v>14</x:v>
      </x:c>
      <x:c r="X183" s="222" t="n">
        <x:v>1320</x:v>
      </x:c>
      <x:c r="Y183" s="217" t="n">
        <x:v>38</x:v>
      </x:c>
    </x:row>
    <x:row r="184">
      <x:c r="A184" s="216" t="n">
        <x:v>1431</x:v>
      </x:c>
      <x:c r="B184" s="216" t="str">
        <x:v>中興寶慶街口</x:v>
      </x:c>
      <x:c r="C184" s="216" t="str">
        <x:v>新店區</x:v>
      </x:c>
      <x:c r="D184" s="216" t="n">
        <x:v>49</x:v>
      </x:c>
      <x:c r="E184" s="216" t="n">
        <x:v>120</x:v>
      </x:c>
      <x:c r="F184" s="219" t="n">
        <x:v>0.9994791666666667</x:v>
      </x:c>
      <x:c r="G184" s="216" t="n">
        <x:v>180</x:v>
      </x:c>
      <x:c r="H184" s="216" t="str">
        <x:f>IF(G184&lt;='排名定義'!$B$5,"是","")</x:f>
        <x:v>是</x:v>
      </x:c>
      <x:c r="I184" s="216" t="n">
        <x:v>181</x:v>
      </x:c>
      <x:c r="J184" s="216" t="str">
        <x:f>IF(I184&lt;='排名定義'!$B$5,"是","")</x:f>
        <x:v>是</x:v>
      </x:c>
      <x:c r="K184" s="216" t="n">
        <x:v>255</x:v>
      </x:c>
      <x:c r="L184" s="216" t="str">
        <x:f>IF(K184&lt;='排名定義'!$B$5,"是","")</x:f>
        <x:v>是</x:v>
      </x:c>
      <x:c r="M184" s="216" t="n">
        <x:f>COUNTIF(H184:L184,"是")</x:f>
        <x:v>3</x:v>
      </x:c>
      <x:c r="N184" s="216" t="str">
        <x:v>三份皆入選</x:v>
      </x:c>
      <x:c r="O184" s="221" t="n">
        <x:v>97.25833333333334</x:v>
      </x:c>
      <x:c r="P184" s="221" t="n">
        <x:v>90.51666666666667</x:v>
      </x:c>
      <x:c r="Q184" s="221" t="n">
        <x:v>6.741666666666666</x:v>
      </x:c>
      <x:c r="R184" s="221" t="n">
        <x:v>0.06931711078742181</x:v>
      </x:c>
      <x:c r="S184" s="221" t="n">
        <x:v>139.32258064516128</x:v>
      </x:c>
      <x:c r="T184" s="221" t="n">
        <x:v>132.93548387096774</x:v>
      </x:c>
      <x:c r="U184" s="221" t="n">
        <x:v>6.387096774193548</x:v>
      </x:c>
      <x:c r="V184" s="219" t="n">
        <x:v>0.016129032258064516</x:v>
      </x:c>
      <x:c r="W184" s="216" t="n">
        <x:v>3</x:v>
      </x:c>
      <x:c r="X184" s="223" t="n">
        <x:v>330</x:v>
      </x:c>
      <x:c r="Y184" s="216" t="n">
        <x:v>49</x:v>
      </x:c>
    </x:row>
    <x:row r="185">
      <x:c r="A185" s="217" t="n">
        <x:v>927</x:v>
      </x:c>
      <x:c r="B185" s="217" t="str">
        <x:v>榮富國小</x:v>
      </x:c>
      <x:c r="C185" s="217" t="str">
        <x:v>新莊區</x:v>
      </x:c>
      <x:c r="D185" s="217" t="n">
        <x:v>26</x:v>
      </x:c>
      <x:c r="E185" s="217" t="n">
        <x:v>120</x:v>
      </x:c>
      <x:c r="F185" s="218" t="n">
        <x:v>0.9994791666666667</x:v>
      </x:c>
      <x:c r="G185" s="217" t="n">
        <x:v>181</x:v>
      </x:c>
      <x:c r="H185" s="217" t="str">
        <x:f>IF(G185&lt;='排名定義'!$B$5,"是","")</x:f>
        <x:v>是</x:v>
      </x:c>
      <x:c r="I185" s="217" t="n">
        <x:v>178</x:v>
      </x:c>
      <x:c r="J185" s="217" t="str">
        <x:f>IF(I185&lt;='排名定義'!$B$5,"是","")</x:f>
        <x:v>是</x:v>
      </x:c>
      <x:c r="K185" s="217" t="n">
        <x:v>332</x:v>
      </x:c>
      <x:c r="L185" s="217" t="str">
        <x:f>IF(K185&lt;='排名定義'!$B$5,"是","")</x:f>
        <x:v>是</x:v>
      </x:c>
      <x:c r="M185" s="217" t="n">
        <x:f>COUNTIF(H185:L185,"是")</x:f>
        <x:v>3</x:v>
      </x:c>
      <x:c r="N185" s="217" t="str">
        <x:v>三份皆入選</x:v>
      </x:c>
      <x:c r="O185" s="220" t="n">
        <x:v>97.05833333333334</x:v>
      </x:c>
      <x:c r="P185" s="220" t="n">
        <x:v>90.95</x:v>
      </x:c>
      <x:c r="Q185" s="220" t="n">
        <x:v>6.108333333333333</x:v>
      </x:c>
      <x:c r="R185" s="220" t="n">
        <x:v>0.0629346612861681</x:v>
      </x:c>
      <x:c r="S185" s="220" t="n">
        <x:v>126.12903225806451</x:v>
      </x:c>
      <x:c r="T185" s="220" t="n">
        <x:v>120.54838709677419</x:v>
      </x:c>
      <x:c r="U185" s="220" t="n">
        <x:v>5.580645161290323</x:v>
      </x:c>
      <x:c r="V185" s="218" t="n">
        <x:v>0.06221198156682028</x:v>
      </x:c>
      <x:c r="W185" s="217" t="n">
        <x:v>12</x:v>
      </x:c>
      <x:c r="X185" s="222" t="n">
        <x:v>2400</x:v>
      </x:c>
      <x:c r="Y185" s="217" t="n">
        <x:v>26</x:v>
      </x:c>
    </x:row>
    <x:row r="186">
      <x:c r="A186" s="216" t="n">
        <x:v>26</x:v>
      </x:c>
      <x:c r="B186" s="216" t="str">
        <x:v>思賢國小</x:v>
      </x:c>
      <x:c r="C186" s="216" t="str">
        <x:v>新莊區</x:v>
      </x:c>
      <x:c r="D186" s="216" t="n">
        <x:v>65</x:v>
      </x:c>
      <x:c r="E186" s="216" t="n">
        <x:v>120</x:v>
      </x:c>
      <x:c r="F186" s="219" t="n">
        <x:v>0.9994791666666667</x:v>
      </x:c>
      <x:c r="G186" s="216" t="n">
        <x:v>182</x:v>
      </x:c>
      <x:c r="H186" s="216" t="str">
        <x:f>IF(G186&lt;='排名定義'!$B$5,"是","")</x:f>
        <x:v>是</x:v>
      </x:c>
      <x:c r="I186" s="216" t="n">
        <x:v>184</x:v>
      </x:c>
      <x:c r="J186" s="216" t="str">
        <x:f>IF(I186&lt;='排名定義'!$B$5,"是","")</x:f>
        <x:v>是</x:v>
      </x:c>
      <x:c r="K186" s="216" t="n">
        <x:v>131</x:v>
      </x:c>
      <x:c r="L186" s="216" t="str">
        <x:f>IF(K186&lt;='排名定義'!$B$5,"是","")</x:f>
        <x:v>是</x:v>
      </x:c>
      <x:c r="M186" s="216" t="n">
        <x:f>COUNTIF(H186:L186,"是")</x:f>
        <x:v>3</x:v>
      </x:c>
      <x:c r="N186" s="216" t="str">
        <x:v>三份皆入選</x:v>
      </x:c>
      <x:c r="O186" s="221" t="n">
        <x:v>97.04166666666667</x:v>
      </x:c>
      <x:c r="P186" s="221" t="n">
        <x:v>89.025</x:v>
      </x:c>
      <x:c r="Q186" s="221" t="n">
        <x:v>8.016666666666667</x:v>
      </x:c>
      <x:c r="R186" s="221" t="n">
        <x:v>0.08261056247316445</x:v>
      </x:c>
      <x:c r="S186" s="221" t="n">
        <x:v>120.64516129032258</x:v>
      </x:c>
      <x:c r="T186" s="221" t="n">
        <x:v>114.87096774193549</x:v>
      </x:c>
      <x:c r="U186" s="221" t="n">
        <x:v>5.774193548387097</x:v>
      </x:c>
      <x:c r="V186" s="219" t="n">
        <x:v>0.06912442396313365</x:v>
      </x:c>
      <x:c r="W186" s="216" t="n">
        <x:v>10</x:v>
      </x:c>
      <x:c r="X186" s="223" t="n">
        <x:v>1230</x:v>
      </x:c>
      <x:c r="Y186" s="216" t="n">
        <x:v>65</x:v>
      </x:c>
    </x:row>
    <x:row r="187">
      <x:c r="A187" s="217" t="n">
        <x:v>1435</x:v>
      </x:c>
      <x:c r="B187" s="217" t="str">
        <x:v>央北新村平面停車場</x:v>
      </x:c>
      <x:c r="C187" s="217" t="str">
        <x:v>新店區</x:v>
      </x:c>
      <x:c r="D187" s="217" t="n">
        <x:v>49</x:v>
      </x:c>
      <x:c r="E187" s="217" t="n">
        <x:v>120</x:v>
      </x:c>
      <x:c r="F187" s="218" t="n">
        <x:v>0.9994791666666667</x:v>
      </x:c>
      <x:c r="G187" s="217" t="n">
        <x:v>183</x:v>
      </x:c>
      <x:c r="H187" s="217" t="str">
        <x:f>IF(G187&lt;='排名定義'!$B$5,"是","")</x:f>
        <x:v>是</x:v>
      </x:c>
      <x:c r="I187" s="217" t="n">
        <x:v>182</x:v>
      </x:c>
      <x:c r="J187" s="217" t="str">
        <x:f>IF(I187&lt;='排名定義'!$B$5,"是","")</x:f>
        <x:v>是</x:v>
      </x:c>
      <x:c r="K187" s="217" t="n">
        <x:v>259</x:v>
      </x:c>
      <x:c r="L187" s="217" t="str">
        <x:f>IF(K187&lt;='排名定義'!$B$5,"是","")</x:f>
        <x:v>是</x:v>
      </x:c>
      <x:c r="M187" s="217" t="n">
        <x:f>COUNTIF(H187:L187,"是")</x:f>
        <x:v>3</x:v>
      </x:c>
      <x:c r="N187" s="217" t="str">
        <x:v>三份皆入選</x:v>
      </x:c>
      <x:c r="O187" s="220" t="n">
        <x:v>96.73333333333333</x:v>
      </x:c>
      <x:c r="P187" s="220" t="n">
        <x:v>90</x:v>
      </x:c>
      <x:c r="Q187" s="220" t="n">
        <x:v>6.733333333333333</x:v>
      </x:c>
      <x:c r="R187" s="220" t="n">
        <x:v>0.06960716747070986</x:v>
      </x:c>
      <x:c r="S187" s="220" t="n">
        <x:v>130.41935483870967</x:v>
      </x:c>
      <x:c r="T187" s="220" t="n">
        <x:v>123.25806451612904</x:v>
      </x:c>
      <x:c r="U187" s="220" t="n">
        <x:v>7.161290322580645</x:v>
      </x:c>
      <x:c r="V187" s="218" t="n">
        <x:v>0.013824884792626729</x:v>
      </x:c>
      <x:c r="W187" s="217" t="n">
        <x:v>4</x:v>
      </x:c>
      <x:c r="X187" s="222" t="n">
        <x:v>750</x:v>
      </x:c>
      <x:c r="Y187" s="217" t="n">
        <x:v>49</x:v>
      </x:c>
    </x:row>
    <x:row r="188">
      <x:c r="A188" s="216" t="n">
        <x:v>928</x:v>
      </x:c>
      <x:c r="B188" s="216" t="str">
        <x:v>永平公園</x:v>
      </x:c>
      <x:c r="C188" s="216" t="str">
        <x:v>蘆洲區</x:v>
      </x:c>
      <x:c r="D188" s="216" t="n">
        <x:v>26</x:v>
      </x:c>
      <x:c r="E188" s="216" t="n">
        <x:v>120</x:v>
      </x:c>
      <x:c r="F188" s="219" t="n">
        <x:v>0.9994791666666667</x:v>
      </x:c>
      <x:c r="G188" s="216" t="n">
        <x:v>184</x:v>
      </x:c>
      <x:c r="H188" s="216" t="str">
        <x:f>IF(G188&lt;='排名定義'!$B$5,"是","")</x:f>
        <x:v>是</x:v>
      </x:c>
      <x:c r="I188" s="216" t="n">
        <x:v>180</x:v>
      </x:c>
      <x:c r="J188" s="216" t="str">
        <x:f>IF(I188&lt;='排名定義'!$B$5,"是","")</x:f>
        <x:v>是</x:v>
      </x:c>
      <x:c r="K188" s="216" t="n">
        <x:v>359</x:v>
      </x:c>
      <x:c r="L188" s="216" t="str">
        <x:f>IF(K188&lt;='排名定義'!$B$5,"是","")</x:f>
        <x:v>是</x:v>
      </x:c>
      <x:c r="M188" s="216" t="n">
        <x:f>COUNTIF(H188:L188,"是")</x:f>
        <x:v>3</x:v>
      </x:c>
      <x:c r="N188" s="216" t="str">
        <x:v>三份皆入選</x:v>
      </x:c>
      <x:c r="O188" s="221" t="n">
        <x:v>96.475</x:v>
      </x:c>
      <x:c r="P188" s="221" t="n">
        <x:v>90.51666666666667</x:v>
      </x:c>
      <x:c r="Q188" s="221" t="n">
        <x:v>5.958333333333333</x:v>
      </x:c>
      <x:c r="R188" s="221" t="n">
        <x:v>0.06176038697417293</x:v>
      </x:c>
      <x:c r="S188" s="221" t="n">
        <x:v>121.70967741935483</x:v>
      </x:c>
      <x:c r="T188" s="221" t="n">
        <x:v>116.6774193548387</x:v>
      </x:c>
      <x:c r="U188" s="221" t="n">
        <x:v>5.032258064516129</x:v>
      </x:c>
      <x:c r="V188" s="219" t="n">
        <x:v>0.08525345622119816</x:v>
      </x:c>
      <x:c r="W188" s="216" t="n">
        <x:v>13</x:v>
      </x:c>
      <x:c r="X188" s="223" t="n">
        <x:v>2310</x:v>
      </x:c>
      <x:c r="Y188" s="216" t="n">
        <x:v>26</x:v>
      </x:c>
    </x:row>
    <x:row r="189">
      <x:c r="A189" s="217" t="n">
        <x:v>1365</x:v>
      </x:c>
      <x:c r="B189" s="217" t="str">
        <x:v>文中小停車場</x:v>
      </x:c>
      <x:c r="C189" s="217" t="str">
        <x:v>三重區</x:v>
      </x:c>
      <x:c r="D189" s="217" t="n">
        <x:v>44</x:v>
      </x:c>
      <x:c r="E189" s="217" t="n">
        <x:v>120</x:v>
      </x:c>
      <x:c r="F189" s="218" t="n">
        <x:v>0.9994791666666667</x:v>
      </x:c>
      <x:c r="G189" s="217" t="n">
        <x:v>185</x:v>
      </x:c>
      <x:c r="H189" s="217" t="str">
        <x:f>IF(G189&lt;='排名定義'!$B$5,"是","")</x:f>
        <x:v>是</x:v>
      </x:c>
      <x:c r="I189" s="217" t="n">
        <x:v>189</x:v>
      </x:c>
      <x:c r="J189" s="217" t="str">
        <x:f>IF(I189&lt;='排名定義'!$B$5,"是","")</x:f>
        <x:v>是</x:v>
      </x:c>
      <x:c r="K189" s="217" t="n">
        <x:v>152</x:v>
      </x:c>
      <x:c r="L189" s="217" t="str">
        <x:f>IF(K189&lt;='排名定義'!$B$5,"是","")</x:f>
        <x:v>是</x:v>
      </x:c>
      <x:c r="M189" s="217" t="n">
        <x:f>COUNTIF(H189:L189,"是")</x:f>
        <x:v>3</x:v>
      </x:c>
      <x:c r="N189" s="217" t="str">
        <x:v>三份皆入選</x:v>
      </x:c>
      <x:c r="O189" s="220" t="n">
        <x:v>96.225</x:v>
      </x:c>
      <x:c r="P189" s="220" t="n">
        <x:v>88.525</x:v>
      </x:c>
      <x:c r="Q189" s="220" t="n">
        <x:v>7.7</x:v>
      </x:c>
      <x:c r="R189" s="220" t="n">
        <x:v>0.08002078461938165</x:v>
      </x:c>
      <x:c r="S189" s="220" t="n">
        <x:v>143.58064516129033</x:v>
      </x:c>
      <x:c r="T189" s="220" t="n">
        <x:v>136.90322580645162</x:v>
      </x:c>
      <x:c r="U189" s="220" t="n">
        <x:v>6.67741935483871</x:v>
      </x:c>
      <x:c r="V189" s="218" t="n">
        <x:v>0.07373271889400922</x:v>
      </x:c>
      <x:c r="W189" s="217" t="n">
        <x:v>12</x:v>
      </x:c>
      <x:c r="X189" s="222" t="n">
        <x:v>1650</x:v>
      </x:c>
      <x:c r="Y189" s="217" t="n">
        <x:v>44</x:v>
      </x:c>
    </x:row>
    <x:row r="190">
      <x:c r="A190" s="216" t="n">
        <x:v>67</x:v>
      </x:c>
      <x:c r="B190" s="216" t="str">
        <x:v>新莊棒球場</x:v>
      </x:c>
      <x:c r="C190" s="216" t="str">
        <x:v>新莊區</x:v>
      </x:c>
      <x:c r="D190" s="216" t="n">
        <x:v>69</x:v>
      </x:c>
      <x:c r="E190" s="216" t="n">
        <x:v>120</x:v>
      </x:c>
      <x:c r="F190" s="219" t="n">
        <x:v>0.9994791666666667</x:v>
      </x:c>
      <x:c r="G190" s="216" t="n">
        <x:v>186</x:v>
      </x:c>
      <x:c r="H190" s="216" t="str">
        <x:f>IF(G190&lt;='排名定義'!$B$5,"是","")</x:f>
        <x:v>是</x:v>
      </x:c>
      <x:c r="I190" s="216" t="n">
        <x:v>191</x:v>
      </x:c>
      <x:c r="J190" s="216" t="str">
        <x:f>IF(I190&lt;='排名定義'!$B$5,"是","")</x:f>
        <x:v>是</x:v>
      </x:c>
      <x:c r="K190" s="216" t="n">
        <x:v>129</x:v>
      </x:c>
      <x:c r="L190" s="216" t="str">
        <x:f>IF(K190&lt;='排名定義'!$B$5,"是","")</x:f>
        <x:v>是</x:v>
      </x:c>
      <x:c r="M190" s="216" t="n">
        <x:f>COUNTIF(H190:L190,"是")</x:f>
        <x:v>3</x:v>
      </x:c>
      <x:c r="N190" s="216" t="str">
        <x:v>三份皆入選</x:v>
      </x:c>
      <x:c r="O190" s="221" t="n">
        <x:v>96.21666666666667</x:v>
      </x:c>
      <x:c r="P190" s="221" t="n">
        <x:v>88.16666666666667</x:v>
      </x:c>
      <x:c r="Q190" s="221" t="n">
        <x:v>8.05</x:v>
      </x:c>
      <x:c r="R190" s="221" t="n">
        <x:v>0.08366533864541832</x:v>
      </x:c>
      <x:c r="S190" s="221" t="n">
        <x:v>142.29032258064515</x:v>
      </x:c>
      <x:c r="T190" s="221" t="n">
        <x:v>134.48387096774192</x:v>
      </x:c>
      <x:c r="U190" s="221" t="n">
        <x:v>7.806451612903226</x:v>
      </x:c>
      <x:c r="V190" s="219" t="n">
        <x:v>0.052995391705069124</x:v>
      </x:c>
      <x:c r="W190" s="216" t="n">
        <x:v>5</x:v>
      </x:c>
      <x:c r="X190" s="223" t="n">
        <x:v>930</x:v>
      </x:c>
      <x:c r="Y190" s="216" t="n">
        <x:v>69</x:v>
      </x:c>
    </x:row>
    <x:row r="191">
      <x:c r="A191" s="217" t="n">
        <x:v>1478</x:v>
      </x:c>
      <x:c r="B191" s="217" t="str">
        <x:v>萬板文聖街口</x:v>
      </x:c>
      <x:c r="C191" s="217" t="str">
        <x:v>板橋區</x:v>
      </x:c>
      <x:c r="D191" s="217" t="n">
        <x:v>54</x:v>
      </x:c>
      <x:c r="E191" s="217" t="n">
        <x:v>120</x:v>
      </x:c>
      <x:c r="F191" s="218" t="n">
        <x:v>0.9994791666666667</x:v>
      </x:c>
      <x:c r="G191" s="217" t="n">
        <x:v>187</x:v>
      </x:c>
      <x:c r="H191" s="217" t="str">
        <x:f>IF(G191&lt;='排名定義'!$B$5,"是","")</x:f>
        <x:v>是</x:v>
      </x:c>
      <x:c r="I191" s="217" t="n">
        <x:v>187</x:v>
      </x:c>
      <x:c r="J191" s="217" t="str">
        <x:f>IF(I191&lt;='排名定義'!$B$5,"是","")</x:f>
        <x:v>是</x:v>
      </x:c>
      <x:c r="K191" s="217" t="n">
        <x:v>214</x:v>
      </x:c>
      <x:c r="L191" s="217" t="str">
        <x:f>IF(K191&lt;='排名定義'!$B$5,"是","")</x:f>
        <x:v>是</x:v>
      </x:c>
      <x:c r="M191" s="217" t="n">
        <x:f>COUNTIF(H191:L191,"是")</x:f>
        <x:v>3</x:v>
      </x:c>
      <x:c r="N191" s="217" t="str">
        <x:v>三份皆入選</x:v>
      </x:c>
      <x:c r="O191" s="220" t="n">
        <x:v>95.975</x:v>
      </x:c>
      <x:c r="P191" s="220" t="n">
        <x:v>88.89166666666667</x:v>
      </x:c>
      <x:c r="Q191" s="220" t="n">
        <x:v>7.083333333333333</x:v>
      </x:c>
      <x:c r="R191" s="220" t="n">
        <x:v>0.0738039419987844</x:v>
      </x:c>
      <x:c r="S191" s="220" t="n">
        <x:v>114.90322580645162</x:v>
      </x:c>
      <x:c r="T191" s="220" t="n">
        <x:v>109.35483870967742</x:v>
      </x:c>
      <x:c r="U191" s="220" t="n">
        <x:v>5.548387096774194</x:v>
      </x:c>
      <x:c r="V191" s="218" t="n">
        <x:v>0.12672811059907835</x:v>
      </x:c>
      <x:c r="W191" s="217" t="n">
        <x:v>32</x:v>
      </x:c>
      <x:c r="X191" s="222" t="n">
        <x:v>3660</x:v>
      </x:c>
      <x:c r="Y191" s="217" t="n">
        <x:v>54</x:v>
      </x:c>
    </x:row>
    <x:row r="192">
      <x:c r="A192" s="216" t="n">
        <x:v>87</x:v>
      </x:c>
      <x:c r="B192" s="216" t="str">
        <x:v>福和國中</x:v>
      </x:c>
      <x:c r="C192" s="216" t="str">
        <x:v>永和區</x:v>
      </x:c>
      <x:c r="D192" s="216" t="n">
        <x:v>63</x:v>
      </x:c>
      <x:c r="E192" s="216" t="n">
        <x:v>120</x:v>
      </x:c>
      <x:c r="F192" s="219" t="n">
        <x:v>0.9994791666666667</x:v>
      </x:c>
      <x:c r="G192" s="216" t="n">
        <x:v>188</x:v>
      </x:c>
      <x:c r="H192" s="216" t="str">
        <x:f>IF(G192&lt;='排名定義'!$B$5,"是","")</x:f>
        <x:v>是</x:v>
      </x:c>
      <x:c r="I192" s="216" t="n">
        <x:v>193</x:v>
      </x:c>
      <x:c r="J192" s="216" t="str">
        <x:f>IF(I192&lt;='排名定義'!$B$5,"是","")</x:f>
        <x:v>是</x:v>
      </x:c>
      <x:c r="K192" s="216" t="n">
        <x:v>132</x:v>
      </x:c>
      <x:c r="L192" s="216" t="str">
        <x:f>IF(K192&lt;='排名定義'!$B$5,"是","")</x:f>
        <x:v>是</x:v>
      </x:c>
      <x:c r="M192" s="216" t="n">
        <x:f>COUNTIF(H192:L192,"是")</x:f>
        <x:v>3</x:v>
      </x:c>
      <x:c r="N192" s="216" t="str">
        <x:v>三份皆入選</x:v>
      </x:c>
      <x:c r="O192" s="221" t="n">
        <x:v>95.81666666666666</x:v>
      </x:c>
      <x:c r="P192" s="221" t="n">
        <x:v>87.8</x:v>
      </x:c>
      <x:c r="Q192" s="221" t="n">
        <x:v>8.016666666666667</x:v>
      </x:c>
      <x:c r="R192" s="221" t="n">
        <x:v>0.08366672464776483</x:v>
      </x:c>
      <x:c r="S192" s="221" t="n">
        <x:v>144.90322580645162</x:v>
      </x:c>
      <x:c r="T192" s="221" t="n">
        <x:v>134.90322580645162</x:v>
      </x:c>
      <x:c r="U192" s="221" t="n">
        <x:v>10</x:v>
      </x:c>
      <x:c r="V192" s="219" t="n">
        <x:v>0.05069124423963134</x:v>
      </x:c>
      <x:c r="W192" s="216" t="n">
        <x:v>8</x:v>
      </x:c>
      <x:c r="X192" s="223" t="n">
        <x:v>1110</x:v>
      </x:c>
      <x:c r="Y192" s="216" t="n">
        <x:v>63</x:v>
      </x:c>
    </x:row>
    <x:row r="193">
      <x:c r="A193" s="217" t="n">
        <x:v>1430</x:v>
      </x:c>
      <x:c r="B193" s="217" t="str">
        <x:v>中山北新春街口</x:v>
      </x:c>
      <x:c r="C193" s="217" t="str">
        <x:v>淡水區</x:v>
      </x:c>
      <x:c r="D193" s="217" t="n">
        <x:v>49</x:v>
      </x:c>
      <x:c r="E193" s="217" t="n">
        <x:v>120</x:v>
      </x:c>
      <x:c r="F193" s="218" t="n">
        <x:v>0.9994791666666667</x:v>
      </x:c>
      <x:c r="G193" s="217" t="n">
        <x:v>189</x:v>
      </x:c>
      <x:c r="H193" s="217" t="str">
        <x:f>IF(G193&lt;='排名定義'!$B$5,"是","")</x:f>
        <x:v>是</x:v>
      </x:c>
      <x:c r="I193" s="217" t="n">
        <x:v>185</x:v>
      </x:c>
      <x:c r="J193" s="217" t="str">
        <x:f>IF(I193&lt;='排名定義'!$B$5,"是","")</x:f>
        <x:v>是</x:v>
      </x:c>
      <x:c r="K193" s="217" t="n">
        <x:v>247</x:v>
      </x:c>
      <x:c r="L193" s="217" t="str">
        <x:f>IF(K193&lt;='排名定義'!$B$5,"是","")</x:f>
        <x:v>是</x:v>
      </x:c>
      <x:c r="M193" s="217" t="n">
        <x:f>COUNTIF(H193:L193,"是")</x:f>
        <x:v>3</x:v>
      </x:c>
      <x:c r="N193" s="217" t="str">
        <x:v>三份皆入選</x:v>
      </x:c>
      <x:c r="O193" s="220" t="n">
        <x:v>95.80833333333334</x:v>
      </x:c>
      <x:c r="P193" s="220" t="n">
        <x:v>88.99166666666666</x:v>
      </x:c>
      <x:c r="Q193" s="220" t="n">
        <x:v>6.816666666666666</x:v>
      </x:c>
      <x:c r="R193" s="220" t="n">
        <x:v>0.07114899539010176</x:v>
      </x:c>
      <x:c r="S193" s="220" t="n">
        <x:v>136.25806451612902</x:v>
      </x:c>
      <x:c r="T193" s="220" t="n">
        <x:v>129.06451612903226</x:v>
      </x:c>
      <x:c r="U193" s="220" t="n">
        <x:v>7.193548387096774</x:v>
      </x:c>
      <x:c r="V193" s="218" t="n">
        <x:v>0.1774193548387097</x:v>
      </x:c>
      <x:c r="W193" s="217" t="n">
        <x:v>36</x:v>
      </x:c>
      <x:c r="X193" s="222" t="n">
        <x:v>4140</x:v>
      </x:c>
      <x:c r="Y193" s="217" t="n">
        <x:v>49</x:v>
      </x:c>
    </x:row>
    <x:row r="194">
      <x:c r="A194" s="216" t="n">
        <x:v>1429</x:v>
      </x:c>
      <x:c r="B194" s="216" t="str">
        <x:v>龍門公園</x:v>
      </x:c>
      <x:c r="C194" s="216" t="str">
        <x:v>三重區</x:v>
      </x:c>
      <x:c r="D194" s="216" t="n">
        <x:v>48</x:v>
      </x:c>
      <x:c r="E194" s="216" t="n">
        <x:v>120</x:v>
      </x:c>
      <x:c r="F194" s="219" t="n">
        <x:v>0.9994791666666667</x:v>
      </x:c>
      <x:c r="G194" s="216" t="n">
        <x:v>190</x:v>
      </x:c>
      <x:c r="H194" s="216" t="str">
        <x:f>IF(G194&lt;='排名定義'!$B$5,"是","")</x:f>
        <x:v>是</x:v>
      </x:c>
      <x:c r="I194" s="216" t="n">
        <x:v>186</x:v>
      </x:c>
      <x:c r="J194" s="216" t="str">
        <x:f>IF(I194&lt;='排名定義'!$B$5,"是","")</x:f>
        <x:v>是</x:v>
      </x:c>
      <x:c r="K194" s="216" t="n">
        <x:v>258</x:v>
      </x:c>
      <x:c r="L194" s="216" t="str">
        <x:f>IF(K194&lt;='排名定義'!$B$5,"是","")</x:f>
        <x:v>是</x:v>
      </x:c>
      <x:c r="M194" s="216" t="n">
        <x:f>COUNTIF(H194:L194,"是")</x:f>
        <x:v>3</x:v>
      </x:c>
      <x:c r="N194" s="216" t="str">
        <x:v>三份皆入選</x:v>
      </x:c>
      <x:c r="O194" s="221" t="n">
        <x:v>95.68333333333334</x:v>
      </x:c>
      <x:c r="P194" s="221" t="n">
        <x:v>88.95</x:v>
      </x:c>
      <x:c r="Q194" s="221" t="n">
        <x:v>6.733333333333333</x:v>
      </x:c>
      <x:c r="R194" s="221" t="n">
        <x:v>0.0703710155025257</x:v>
      </x:c>
      <x:c r="S194" s="221" t="n">
        <x:v>109.2258064516129</x:v>
      </x:c>
      <x:c r="T194" s="221" t="n">
        <x:v>104.93548387096774</x:v>
      </x:c>
      <x:c r="U194" s="221" t="n">
        <x:v>4.290322580645161</x:v>
      </x:c>
      <x:c r="V194" s="219" t="n">
        <x:v>0.09216589861751152</x:v>
      </x:c>
      <x:c r="W194" s="216" t="n">
        <x:v>26</x:v>
      </x:c>
      <x:c r="X194" s="223" t="n">
        <x:v>2880</x:v>
      </x:c>
      <x:c r="Y194" s="216" t="n">
        <x:v>48</x:v>
      </x:c>
    </x:row>
    <x:row r="195">
      <x:c r="A195" s="217" t="n">
        <x:v>1315</x:v>
      </x:c>
      <x:c r="B195" s="217" t="str">
        <x:v>柳堤公園</x:v>
      </x:c>
      <x:c r="C195" s="217" t="str">
        <x:v>蘆洲區</x:v>
      </x:c>
      <x:c r="D195" s="217" t="n">
        <x:v>41</x:v>
      </x:c>
      <x:c r="E195" s="217" t="n">
        <x:v>120</x:v>
      </x:c>
      <x:c r="F195" s="218" t="n">
        <x:v>0.9994791666666667</x:v>
      </x:c>
      <x:c r="G195" s="217" t="n">
        <x:v>191</x:v>
      </x:c>
      <x:c r="H195" s="217" t="str">
        <x:f>IF(G195&lt;='排名定義'!$B$5,"是","")</x:f>
        <x:v>是</x:v>
      </x:c>
      <x:c r="I195" s="217" t="n">
        <x:v>188</x:v>
      </x:c>
      <x:c r="J195" s="217" t="str">
        <x:f>IF(I195&lt;='排名定義'!$B$5,"是","")</x:f>
        <x:v>是</x:v>
      </x:c>
      <x:c r="K195" s="217" t="n">
        <x:v>225</x:v>
      </x:c>
      <x:c r="L195" s="217" t="str">
        <x:f>IF(K195&lt;='排名定義'!$B$5,"是","")</x:f>
        <x:v>是</x:v>
      </x:c>
      <x:c r="M195" s="217" t="n">
        <x:f>COUNTIF(H195:L195,"是")</x:f>
        <x:v>3</x:v>
      </x:c>
      <x:c r="N195" s="217" t="str">
        <x:v>三份皆入選</x:v>
      </x:c>
      <x:c r="O195" s="220" t="n">
        <x:v>95.50833333333334</x:v>
      </x:c>
      <x:c r="P195" s="220" t="n">
        <x:v>88.53333333333333</x:v>
      </x:c>
      <x:c r="Q195" s="220" t="n">
        <x:v>6.975</x:v>
      </x:c>
      <x:c r="R195" s="220" t="n">
        <x:v>0.07303027659017537</x:v>
      </x:c>
      <x:c r="S195" s="220" t="n">
        <x:v>112.45161290322581</x:v>
      </x:c>
      <x:c r="T195" s="220" t="n">
        <x:v>106.29032258064517</x:v>
      </x:c>
      <x:c r="U195" s="220" t="n">
        <x:v>6.161290322580645</x:v>
      </x:c>
      <x:c r="V195" s="218" t="n">
        <x:v>0.04838709677419355</x:v>
      </x:c>
      <x:c r="W195" s="217" t="n">
        <x:v>13</x:v>
      </x:c>
      <x:c r="X195" s="222" t="n">
        <x:v>1950</x:v>
      </x:c>
      <x:c r="Y195" s="217" t="n">
        <x:v>41</x:v>
      </x:c>
    </x:row>
    <x:row r="196">
      <x:c r="A196" s="216" t="n">
        <x:v>1409</x:v>
      </x:c>
      <x:c r="B196" s="216" t="str">
        <x:v>新莊體育館</x:v>
      </x:c>
      <x:c r="C196" s="216" t="str">
        <x:v>新莊區</x:v>
      </x:c>
      <x:c r="D196" s="216" t="n">
        <x:v>47</x:v>
      </x:c>
      <x:c r="E196" s="216" t="n">
        <x:v>120</x:v>
      </x:c>
      <x:c r="F196" s="219" t="n">
        <x:v>0.9994791666666667</x:v>
      </x:c>
      <x:c r="G196" s="216" t="n">
        <x:v>192</x:v>
      </x:c>
      <x:c r="H196" s="216" t="str">
        <x:f>IF(G196&lt;='排名定義'!$B$5,"是","")</x:f>
        <x:v>是</x:v>
      </x:c>
      <x:c r="I196" s="216" t="n">
        <x:v>196</x:v>
      </x:c>
      <x:c r="J196" s="216" t="str">
        <x:f>IF(I196&lt;='排名定義'!$B$5,"是","")</x:f>
        <x:v>是</x:v>
      </x:c>
      <x:c r="K196" s="216" t="n">
        <x:v>154</x:v>
      </x:c>
      <x:c r="L196" s="216" t="str">
        <x:f>IF(K196&lt;='排名定義'!$B$5,"是","")</x:f>
        <x:v>是</x:v>
      </x:c>
      <x:c r="M196" s="216" t="n">
        <x:f>COUNTIF(H196:L196,"是")</x:f>
        <x:v>3</x:v>
      </x:c>
      <x:c r="N196" s="216" t="str">
        <x:v>三份皆入選</x:v>
      </x:c>
      <x:c r="O196" s="221" t="n">
        <x:v>95.25833333333334</x:v>
      </x:c>
      <x:c r="P196" s="221" t="n">
        <x:v>87.56666666666666</x:v>
      </x:c>
      <x:c r="Q196" s="221" t="n">
        <x:v>7.691666666666666</x:v>
      </x:c>
      <x:c r="R196" s="221" t="n">
        <x:v>0.08074534161490683</x:v>
      </x:c>
      <x:c r="S196" s="221" t="n">
        <x:v>121.19354838709677</x:v>
      </x:c>
      <x:c r="T196" s="221" t="n">
        <x:v>114.03225806451613</x:v>
      </x:c>
      <x:c r="U196" s="221" t="n">
        <x:v>7.161290322580645</x:v>
      </x:c>
      <x:c r="V196" s="219" t="n">
        <x:v>0.14516129032258066</x:v>
      </x:c>
      <x:c r="W196" s="216" t="n">
        <x:v>32</x:v>
      </x:c>
      <x:c r="X196" s="223" t="n">
        <x:v>4350</x:v>
      </x:c>
      <x:c r="Y196" s="216" t="n">
        <x:v>47</x:v>
      </x:c>
    </x:row>
    <x:row r="197">
      <x:c r="A197" s="217" t="n">
        <x:v>13</x:v>
      </x:c>
      <x:c r="B197" s="217" t="str">
        <x:v>仁愛路151巷口</x:v>
      </x:c>
      <x:c r="C197" s="217" t="str">
        <x:v>汐止區</x:v>
      </x:c>
      <x:c r="D197" s="217" t="n">
        <x:v>59</x:v>
      </x:c>
      <x:c r="E197" s="217" t="n">
        <x:v>120</x:v>
      </x:c>
      <x:c r="F197" s="218" t="n">
        <x:v>0.9994791666666667</x:v>
      </x:c>
      <x:c r="G197" s="217" t="n">
        <x:v>193</x:v>
      </x:c>
      <x:c r="H197" s="217" t="str">
        <x:f>IF(G197&lt;='排名定義'!$B$5,"是","")</x:f>
        <x:v>是</x:v>
      </x:c>
      <x:c r="I197" s="217" t="n">
        <x:v>192</x:v>
      </x:c>
      <x:c r="J197" s="217" t="str">
        <x:f>IF(I197&lt;='排名定義'!$B$5,"是","")</x:f>
        <x:v>是</x:v>
      </x:c>
      <x:c r="K197" s="217" t="n">
        <x:v>199</x:v>
      </x:c>
      <x:c r="L197" s="217" t="str">
        <x:f>IF(K197&lt;='排名定義'!$B$5,"是","")</x:f>
        <x:v>是</x:v>
      </x:c>
      <x:c r="M197" s="217" t="n">
        <x:f>COUNTIF(H197:L197,"是")</x:f>
        <x:v>3</x:v>
      </x:c>
      <x:c r="N197" s="217" t="str">
        <x:v>三份皆入選</x:v>
      </x:c>
      <x:c r="O197" s="220" t="n">
        <x:v>95.11666666666666</x:v>
      </x:c>
      <x:c r="P197" s="220" t="n">
        <x:v>87.93333333333334</x:v>
      </x:c>
      <x:c r="Q197" s="220" t="n">
        <x:v>7.183333333333334</x:v>
      </x:c>
      <x:c r="R197" s="220" t="n">
        <x:v>0.07552128964429648</x:v>
      </x:c>
      <x:c r="S197" s="220" t="n">
        <x:v>144.67741935483872</x:v>
      </x:c>
      <x:c r="T197" s="220" t="n">
        <x:v>136.90322580645162</x:v>
      </x:c>
      <x:c r="U197" s="220" t="n">
        <x:v>7.774193548387097</x:v>
      </x:c>
      <x:c r="V197" s="218" t="n">
        <x:v>0.016129032258064516</x:v>
      </x:c>
      <x:c r="W197" s="217" t="n">
        <x:v>3</x:v>
      </x:c>
      <x:c r="X197" s="222" t="n">
        <x:v>360</x:v>
      </x:c>
      <x:c r="Y197" s="217" t="n">
        <x:v>59</x:v>
      </x:c>
    </x:row>
    <x:row r="198">
      <x:c r="A198" s="216" t="n">
        <x:v>1445</x:v>
      </x:c>
      <x:c r="B198" s="216" t="str">
        <x:v>民享藝文特區</x:v>
      </x:c>
      <x:c r="C198" s="216" t="str">
        <x:v>中和區</x:v>
      </x:c>
      <x:c r="D198" s="216" t="n">
        <x:v>50</x:v>
      </x:c>
      <x:c r="E198" s="216" t="n">
        <x:v>120</x:v>
      </x:c>
      <x:c r="F198" s="219" t="n">
        <x:v>0.9994791666666667</x:v>
      </x:c>
      <x:c r="G198" s="216" t="n">
        <x:v>194</x:v>
      </x:c>
      <x:c r="H198" s="216" t="str">
        <x:f>IF(G198&lt;='排名定義'!$B$5,"是","")</x:f>
        <x:v>是</x:v>
      </x:c>
      <x:c r="I198" s="216" t="n">
        <x:v>197</x:v>
      </x:c>
      <x:c r="J198" s="216" t="str">
        <x:f>IF(I198&lt;='排名定義'!$B$5,"是","")</x:f>
        <x:v>是</x:v>
      </x:c>
      <x:c r="K198" s="216" t="n">
        <x:v>203</x:v>
      </x:c>
      <x:c r="L198" s="216" t="str">
        <x:f>IF(K198&lt;='排名定義'!$B$5,"是","")</x:f>
        <x:v>是</x:v>
      </x:c>
      <x:c r="M198" s="216" t="n">
        <x:f>COUNTIF(H198:L198,"是")</x:f>
        <x:v>3</x:v>
      </x:c>
      <x:c r="N198" s="216" t="str">
        <x:v>三份皆入選</x:v>
      </x:c>
      <x:c r="O198" s="221" t="n">
        <x:v>94.61666666666666</x:v>
      </x:c>
      <x:c r="P198" s="221" t="n">
        <x:v>87.45</x:v>
      </x:c>
      <x:c r="Q198" s="221" t="n">
        <x:v>7.166666666666667</x:v>
      </x:c>
      <x:c r="R198" s="221" t="n">
        <x:v>0.07574423110797956</x:v>
      </x:c>
      <x:c r="S198" s="221" t="n">
        <x:v>126.3225806451613</x:v>
      </x:c>
      <x:c r="T198" s="221" t="n">
        <x:v>118.74193548387096</x:v>
      </x:c>
      <x:c r="U198" s="221" t="n">
        <x:v>7.580645161290323</x:v>
      </x:c>
      <x:c r="V198" s="219" t="n">
        <x:v>0.03225806451612903</x:v>
      </x:c>
      <x:c r="W198" s="216" t="n">
        <x:v>6</x:v>
      </x:c>
      <x:c r="X198" s="223" t="n">
        <x:v>600</x:v>
      </x:c>
      <x:c r="Y198" s="216" t="n">
        <x:v>50</x:v>
      </x:c>
    </x:row>
    <x:row r="199">
      <x:c r="A199" s="217" t="n">
        <x:v>1232</x:v>
      </x:c>
      <x:c r="B199" s="217" t="str">
        <x:v>五福里(五華街)</x:v>
      </x:c>
      <x:c r="C199" s="217" t="str">
        <x:v>三重區</x:v>
      </x:c>
      <x:c r="D199" s="217" t="n">
        <x:v>39</x:v>
      </x:c>
      <x:c r="E199" s="217" t="n">
        <x:v>120</x:v>
      </x:c>
      <x:c r="F199" s="218" t="n">
        <x:v>0.9994791666666667</x:v>
      </x:c>
      <x:c r="G199" s="217" t="n">
        <x:v>195</x:v>
      </x:c>
      <x:c r="H199" s="217" t="str">
        <x:f>IF(G199&lt;='排名定義'!$B$5,"是","")</x:f>
        <x:v>是</x:v>
      </x:c>
      <x:c r="I199" s="217" t="n">
        <x:v>190</x:v>
      </x:c>
      <x:c r="J199" s="217" t="str">
        <x:f>IF(I199&lt;='排名定義'!$B$5,"是","")</x:f>
        <x:v>是</x:v>
      </x:c>
      <x:c r="K199" s="217" t="n">
        <x:v>308</x:v>
      </x:c>
      <x:c r="L199" s="217" t="str">
        <x:f>IF(K199&lt;='排名定義'!$B$5,"是","")</x:f>
        <x:v>是</x:v>
      </x:c>
      <x:c r="M199" s="217" t="n">
        <x:f>COUNTIF(H199:L199,"是")</x:f>
        <x:v>3</x:v>
      </x:c>
      <x:c r="N199" s="217" t="str">
        <x:v>三份皆入選</x:v>
      </x:c>
      <x:c r="O199" s="220" t="n">
        <x:v>94.5</x:v>
      </x:c>
      <x:c r="P199" s="220" t="n">
        <x:v>88.19166666666666</x:v>
      </x:c>
      <x:c r="Q199" s="220" t="n">
        <x:v>6.308333333333334</x:v>
      </x:c>
      <x:c r="R199" s="220" t="n">
        <x:v>0.06675485008818342</x:v>
      </x:c>
      <x:c r="S199" s="220" t="n">
        <x:v>114.96774193548387</x:v>
      </x:c>
      <x:c r="T199" s="220" t="n">
        <x:v>109.87096774193549</x:v>
      </x:c>
      <x:c r="U199" s="220" t="n">
        <x:v>5.096774193548387</x:v>
      </x:c>
      <x:c r="V199" s="218" t="n">
        <x:v>0.08986175115207373</x:v>
      </x:c>
      <x:c r="W199" s="217" t="n">
        <x:v>15</x:v>
      </x:c>
      <x:c r="X199" s="222" t="n">
        <x:v>2340</x:v>
      </x:c>
      <x:c r="Y199" s="217" t="n">
        <x:v>39</x:v>
      </x:c>
    </x:row>
    <x:row r="200">
      <x:c r="A200" s="216" t="n">
        <x:v>1047</x:v>
      </x:c>
      <x:c r="B200" s="216" t="str">
        <x:v>中興中正路口</x:v>
      </x:c>
      <x:c r="C200" s="216" t="str">
        <x:v>新店區</x:v>
      </x:c>
      <x:c r="D200" s="216" t="n">
        <x:v>30</x:v>
      </x:c>
      <x:c r="E200" s="216" t="n">
        <x:v>120</x:v>
      </x:c>
      <x:c r="F200" s="219" t="n">
        <x:v>0.9994791666666667</x:v>
      </x:c>
      <x:c r="G200" s="216" t="n">
        <x:v>196</x:v>
      </x:c>
      <x:c r="H200" s="216" t="str">
        <x:f>IF(G200&lt;='排名定義'!$B$5,"是","")</x:f>
        <x:v>是</x:v>
      </x:c>
      <x:c r="I200" s="216" t="n">
        <x:v>195</x:v>
      </x:c>
      <x:c r="J200" s="216" t="str">
        <x:f>IF(I200&lt;='排名定義'!$B$5,"是","")</x:f>
        <x:v>是</x:v>
      </x:c>
      <x:c r="K200" s="216" t="n">
        <x:v>283</x:v>
      </x:c>
      <x:c r="L200" s="216" t="str">
        <x:f>IF(K200&lt;='排名定義'!$B$5,"是","")</x:f>
        <x:v>是</x:v>
      </x:c>
      <x:c r="M200" s="216" t="n">
        <x:f>COUNTIF(H200:L200,"是")</x:f>
        <x:v>3</x:v>
      </x:c>
      <x:c r="N200" s="216" t="str">
        <x:v>三份皆入選</x:v>
      </x:c>
      <x:c r="O200" s="221" t="n">
        <x:v>94.19166666666666</x:v>
      </x:c>
      <x:c r="P200" s="221" t="n">
        <x:v>87.7</x:v>
      </x:c>
      <x:c r="Q200" s="221" t="n">
        <x:v>6.491666666666666</x:v>
      </x:c>
      <x:c r="R200" s="221" t="n">
        <x:v>0.06891975581703973</x:v>
      </x:c>
      <x:c r="S200" s="221" t="n">
        <x:v>133.96774193548387</x:v>
      </x:c>
      <x:c r="T200" s="221" t="n">
        <x:v>128.29032258064515</x:v>
      </x:c>
      <x:c r="U200" s="221" t="n">
        <x:v>5.67741935483871</x:v>
      </x:c>
      <x:c r="V200" s="219" t="n">
        <x:v>0.055299539170506916</x:v>
      </x:c>
      <x:c r="W200" s="216" t="n">
        <x:v>8</x:v>
      </x:c>
      <x:c r="X200" s="223" t="n">
        <x:v>1170</x:v>
      </x:c>
      <x:c r="Y200" s="216" t="n">
        <x:v>30</x:v>
      </x:c>
    </x:row>
    <x:row r="201">
      <x:c r="A201" s="217" t="n">
        <x:v>1496</x:v>
      </x:c>
      <x:c r="B201" s="217" t="str">
        <x:v>新北市林口行政園區</x:v>
      </x:c>
      <x:c r="C201" s="217" t="str">
        <x:v>林口區</x:v>
      </x:c>
      <x:c r="D201" s="217" t="n">
        <x:v>56</x:v>
      </x:c>
      <x:c r="E201" s="217" t="n">
        <x:v>120</x:v>
      </x:c>
      <x:c r="F201" s="218" t="n">
        <x:v>0.9994791666666667</x:v>
      </x:c>
      <x:c r="G201" s="217" t="n">
        <x:v>197</x:v>
      </x:c>
      <x:c r="H201" s="217" t="str">
        <x:f>IF(G201&lt;='排名定義'!$B$5,"是","")</x:f>
        <x:v>是</x:v>
      </x:c>
      <x:c r="I201" s="217" t="n">
        <x:v>204</x:v>
      </x:c>
      <x:c r="J201" s="217" t="str">
        <x:f>IF(I201&lt;='排名定義'!$B$5,"是","")</x:f>
        <x:v>是</x:v>
      </x:c>
      <x:c r="K201" s="217" t="n">
        <x:v>92</x:v>
      </x:c>
      <x:c r="L201" s="217" t="str">
        <x:f>IF(K201&lt;='排名定義'!$B$5,"是","")</x:f>
        <x:v>是</x:v>
      </x:c>
      <x:c r="M201" s="217" t="n">
        <x:f>COUNTIF(H201:L201,"是")</x:f>
        <x:v>3</x:v>
      </x:c>
      <x:c r="N201" s="217" t="str">
        <x:v>三份皆入選</x:v>
      </x:c>
      <x:c r="O201" s="220" t="n">
        <x:v>94.175</x:v>
      </x:c>
      <x:c r="P201" s="220" t="n">
        <x:v>85.38333333333334</x:v>
      </x:c>
      <x:c r="Q201" s="220" t="n">
        <x:v>8.791666666666666</x:v>
      </x:c>
      <x:c r="R201" s="220" t="n">
        <x:v>0.09335457039200071</x:v>
      </x:c>
      <x:c r="S201" s="220" t="n">
        <x:v>121.45161290322581</x:v>
      </x:c>
      <x:c r="T201" s="220" t="n">
        <x:v>114.38709677419355</x:v>
      </x:c>
      <x:c r="U201" s="220" t="n">
        <x:v>7.064516129032258</x:v>
      </x:c>
      <x:c r="V201" s="218" t="n">
        <x:v>0.009216589861751152</x:v>
      </x:c>
      <x:c r="W201" s="217" t="n">
        <x:v>23</x:v>
      </x:c>
      <x:c r="X201" s="222" t="n">
        <x:v>3150</x:v>
      </x:c>
      <x:c r="Y201" s="217" t="n">
        <x:v>56</x:v>
      </x:c>
    </x:row>
    <x:row r="202">
      <x:c r="A202" s="216" t="n">
        <x:v>1179</x:v>
      </x:c>
      <x:c r="B202" s="216" t="str">
        <x:v>溪墘公園</x:v>
      </x:c>
      <x:c r="C202" s="216" t="str">
        <x:v>蘆洲區</x:v>
      </x:c>
      <x:c r="D202" s="216" t="n">
        <x:v>36</x:v>
      </x:c>
      <x:c r="E202" s="216" t="n">
        <x:v>120</x:v>
      </x:c>
      <x:c r="F202" s="219" t="n">
        <x:v>0.9994791666666667</x:v>
      </x:c>
      <x:c r="G202" s="216" t="n">
        <x:v>198</x:v>
      </x:c>
      <x:c r="H202" s="216" t="str">
        <x:f>IF(G202&lt;='排名定義'!$B$5,"是","")</x:f>
        <x:v>是</x:v>
      </x:c>
      <x:c r="I202" s="216" t="n">
        <x:v>194</x:v>
      </x:c>
      <x:c r="J202" s="216" t="str">
        <x:f>IF(I202&lt;='排名定義'!$B$5,"是","")</x:f>
        <x:v>是</x:v>
      </x:c>
      <x:c r="K202" s="216" t="n">
        <x:v>288</x:v>
      </x:c>
      <x:c r="L202" s="216" t="str">
        <x:f>IF(K202&lt;='排名定義'!$B$5,"是","")</x:f>
        <x:v>是</x:v>
      </x:c>
      <x:c r="M202" s="216" t="n">
        <x:f>COUNTIF(H202:L202,"是")</x:f>
        <x:v>3</x:v>
      </x:c>
      <x:c r="N202" s="216" t="str">
        <x:v>三份皆入選</x:v>
      </x:c>
      <x:c r="O202" s="221" t="n">
        <x:v>94.16666666666667</x:v>
      </x:c>
      <x:c r="P202" s="221" t="n">
        <x:v>87.70833333333333</x:v>
      </x:c>
      <x:c r="Q202" s="221" t="n">
        <x:v>6.458333333333333</x:v>
      </x:c>
      <x:c r="R202" s="221" t="n">
        <x:v>0.06858407079646017</x:v>
      </x:c>
      <x:c r="S202" s="221" t="n">
        <x:v>115.12903225806451</x:v>
      </x:c>
      <x:c r="T202" s="221" t="n">
        <x:v>110.29032258064517</x:v>
      </x:c>
      <x:c r="U202" s="221" t="n">
        <x:v>4.838709677419355</x:v>
      </x:c>
      <x:c r="V202" s="219" t="n">
        <x:v>0.027649769585253458</x:v>
      </x:c>
      <x:c r="W202" s="216" t="n">
        <x:v>8</x:v>
      </x:c>
      <x:c r="X202" s="223" t="n">
        <x:v>1170</x:v>
      </x:c>
      <x:c r="Y202" s="216" t="n">
        <x:v>43</x:v>
      </x:c>
    </x:row>
    <x:row r="203">
      <x:c r="A203" s="217" t="n">
        <x:v>1504</x:v>
      </x:c>
      <x:c r="B203" s="217" t="str">
        <x:v>新北高工</x:v>
      </x:c>
      <x:c r="C203" s="217" t="str">
        <x:v>土城區</x:v>
      </x:c>
      <x:c r="D203" s="217" t="n">
        <x:v>57</x:v>
      </x:c>
      <x:c r="E203" s="217" t="n">
        <x:v>120</x:v>
      </x:c>
      <x:c r="F203" s="218" t="n">
        <x:v>0.9994791666666667</x:v>
      </x:c>
      <x:c r="G203" s="217" t="n">
        <x:v>199</x:v>
      </x:c>
      <x:c r="H203" s="217" t="str">
        <x:f>IF(G203&lt;='排名定義'!$B$5,"是","")</x:f>
        <x:v>是</x:v>
      </x:c>
      <x:c r="I203" s="217" t="n">
        <x:v>211</x:v>
      </x:c>
      <x:c r="J203" s="217" t="str">
        <x:f>IF(I203&lt;='排名定義'!$B$5,"是","")</x:f>
        <x:v>是</x:v>
      </x:c>
      <x:c r="K203" s="217" t="n">
        <x:v>83</x:v>
      </x:c>
      <x:c r="L203" s="217" t="str">
        <x:f>IF(K203&lt;='排名定義'!$B$5,"是","")</x:f>
        <x:v>是</x:v>
      </x:c>
      <x:c r="M203" s="217" t="n">
        <x:f>COUNTIF(H203:L203,"是")</x:f>
        <x:v>3</x:v>
      </x:c>
      <x:c r="N203" s="217" t="str">
        <x:v>三份皆入選</x:v>
      </x:c>
      <x:c r="O203" s="220" t="n">
        <x:v>94.01666666666667</x:v>
      </x:c>
      <x:c r="P203" s="220" t="n">
        <x:v>85.01666666666667</x:v>
      </x:c>
      <x:c r="Q203" s="220" t="n">
        <x:v>9</x:v>
      </x:c>
      <x:c r="R203" s="220" t="n">
        <x:v>0.09572770785321752</x:v>
      </x:c>
      <x:c r="S203" s="220" t="n">
        <x:v>124</x:v>
      </x:c>
      <x:c r="T203" s="220" t="n">
        <x:v>116.54838709677419</x:v>
      </x:c>
      <x:c r="U203" s="220" t="n">
        <x:v>7.451612903225806</x:v>
      </x:c>
      <x:c r="V203" s="218" t="n">
        <x:v>0.03917050691244239</x:v>
      </x:c>
      <x:c r="W203" s="217" t="n">
        <x:v>19</x:v>
      </x:c>
      <x:c r="X203" s="222" t="n">
        <x:v>2400</x:v>
      </x:c>
      <x:c r="Y203" s="217" t="n">
        <x:v>57</x:v>
      </x:c>
    </x:row>
    <x:row r="204">
      <x:c r="A204" s="216" t="n">
        <x:v>979</x:v>
      </x:c>
      <x:c r="B204" s="216" t="str">
        <x:v>麗林公有市場</x:v>
      </x:c>
      <x:c r="C204" s="216" t="str">
        <x:v>林口區</x:v>
      </x:c>
      <x:c r="D204" s="216" t="n">
        <x:v>28</x:v>
      </x:c>
      <x:c r="E204" s="216" t="n">
        <x:v>120</x:v>
      </x:c>
      <x:c r="F204" s="219" t="n">
        <x:v>0.9994791666666667</x:v>
      </x:c>
      <x:c r="G204" s="216" t="n">
        <x:v>200</x:v>
      </x:c>
      <x:c r="H204" s="216" t="str">
        <x:f>IF(G204&lt;='排名定義'!$B$5,"是","")</x:f>
        <x:v>是</x:v>
      </x:c>
      <x:c r="I204" s="216" t="n">
        <x:v>198</x:v>
      </x:c>
      <x:c r="J204" s="216" t="str">
        <x:f>IF(I204&lt;='排名定義'!$B$5,"是","")</x:f>
        <x:v>是</x:v>
      </x:c>
      <x:c r="K204" s="216" t="n">
        <x:v>264</x:v>
      </x:c>
      <x:c r="L204" s="216" t="str">
        <x:f>IF(K204&lt;='排名定義'!$B$5,"是","")</x:f>
        <x:v>是</x:v>
      </x:c>
      <x:c r="M204" s="216" t="n">
        <x:f>COUNTIF(H204:L204,"是")</x:f>
        <x:v>3</x:v>
      </x:c>
      <x:c r="N204" s="216" t="str">
        <x:v>三份皆入選</x:v>
      </x:c>
      <x:c r="O204" s="221" t="n">
        <x:v>93.83333333333333</x:v>
      </x:c>
      <x:c r="P204" s="221" t="n">
        <x:v>87.18333333333334</x:v>
      </x:c>
      <x:c r="Q204" s="221" t="n">
        <x:v>6.65</x:v>
      </x:c>
      <x:c r="R204" s="221" t="n">
        <x:v>0.07087033747779752</x:v>
      </x:c>
      <x:c r="S204" s="221" t="n">
        <x:v>126.80645161290323</x:v>
      </x:c>
      <x:c r="T204" s="221" t="n">
        <x:v>121.80645161290323</x:v>
      </x:c>
      <x:c r="U204" s="221" t="n">
        <x:v>5</x:v>
      </x:c>
      <x:c r="V204" s="219" t="n">
        <x:v>0.02534562211981567</x:v>
      </x:c>
      <x:c r="W204" s="216" t="n">
        <x:v>4</x:v>
      </x:c>
      <x:c r="X204" s="223" t="n">
        <x:v>660</x:v>
      </x:c>
      <x:c r="Y204" s="216" t="n">
        <x:v>28</x:v>
      </x:c>
    </x:row>
    <x:row r="205">
      <x:c r="A205" s="217" t="n">
        <x:v>23</x:v>
      </x:c>
      <x:c r="B205" s="217" t="str">
        <x:v>安邦公園</x:v>
      </x:c>
      <x:c r="C205" s="217" t="str">
        <x:v>中和區</x:v>
      </x:c>
      <x:c r="D205" s="217" t="n">
        <x:v>53</x:v>
      </x:c>
      <x:c r="E205" s="217" t="n">
        <x:v>120</x:v>
      </x:c>
      <x:c r="F205" s="218" t="n">
        <x:v>0.9994791666666667</x:v>
      </x:c>
      <x:c r="G205" s="217" t="n">
        <x:v>201</x:v>
      </x:c>
      <x:c r="H205" s="217" t="str">
        <x:f>IF(G205&lt;='排名定義'!$B$5,"是","")</x:f>
        <x:v>是</x:v>
      </x:c>
      <x:c r="I205" s="217" t="n">
        <x:v>202</x:v>
      </x:c>
      <x:c r="J205" s="217" t="str">
        <x:f>IF(I205&lt;='排名定義'!$B$5,"是","")</x:f>
        <x:v>是</x:v>
      </x:c>
      <x:c r="K205" s="217" t="n">
        <x:v>182</x:v>
      </x:c>
      <x:c r="L205" s="217" t="str">
        <x:f>IF(K205&lt;='排名定義'!$B$5,"是","")</x:f>
        <x:v>是</x:v>
      </x:c>
      <x:c r="M205" s="217" t="n">
        <x:f>COUNTIF(H205:L205,"是")</x:f>
        <x:v>3</x:v>
      </x:c>
      <x:c r="N205" s="217" t="str">
        <x:v>三份皆入選</x:v>
      </x:c>
      <x:c r="O205" s="220" t="n">
        <x:v>93.5</x:v>
      </x:c>
      <x:c r="P205" s="220" t="n">
        <x:v>86.10833333333333</x:v>
      </x:c>
      <x:c r="Q205" s="220" t="n">
        <x:v>7.391666666666667</x:v>
      </x:c>
      <x:c r="R205" s="220" t="n">
        <x:v>0.07905525846702317</x:v>
      </x:c>
      <x:c r="S205" s="220" t="n">
        <x:v>128.70967741935485</x:v>
      </x:c>
      <x:c r="T205" s="220" t="n">
        <x:v>122.6774193548387</x:v>
      </x:c>
      <x:c r="U205" s="220" t="n">
        <x:v>6.032258064516129</x:v>
      </x:c>
      <x:c r="V205" s="218" t="n">
        <x:v>0.03686635944700461</x:v>
      </x:c>
      <x:c r="W205" s="217" t="n">
        <x:v>5</x:v>
      </x:c>
      <x:c r="X205" s="222" t="n">
        <x:v>1110</x:v>
      </x:c>
      <x:c r="Y205" s="217" t="n">
        <x:v>53</x:v>
      </x:c>
    </x:row>
    <x:row r="206">
      <x:c r="A206" s="216" t="n">
        <x:v>1228</x:v>
      </x:c>
      <x:c r="B206" s="216" t="str">
        <x:v>自強溪尾街口</x:v>
      </x:c>
      <x:c r="C206" s="216" t="str">
        <x:v>三重區</x:v>
      </x:c>
      <x:c r="D206" s="216" t="n">
        <x:v>52</x:v>
      </x:c>
      <x:c r="E206" s="216" t="n">
        <x:v>120</x:v>
      </x:c>
      <x:c r="F206" s="219" t="n">
        <x:v>0.9994791666666667</x:v>
      </x:c>
      <x:c r="G206" s="216" t="n">
        <x:v>202</x:v>
      </x:c>
      <x:c r="H206" s="216" t="str">
        <x:f>IF(G206&lt;='排名定義'!$B$5,"是","")</x:f>
        <x:v>是</x:v>
      </x:c>
      <x:c r="I206" s="216" t="n">
        <x:v>201</x:v>
      </x:c>
      <x:c r="J206" s="216" t="str">
        <x:f>IF(I206&lt;='排名定義'!$B$5,"是","")</x:f>
        <x:v>是</x:v>
      </x:c>
      <x:c r="K206" s="216" t="n">
        <x:v>249</x:v>
      </x:c>
      <x:c r="L206" s="216" t="str">
        <x:f>IF(K206&lt;='排名定義'!$B$5,"是","")</x:f>
        <x:v>是</x:v>
      </x:c>
      <x:c r="M206" s="216" t="n">
        <x:f>COUNTIF(H206:L206,"是")</x:f>
        <x:v>3</x:v>
      </x:c>
      <x:c r="N206" s="216" t="str">
        <x:v>三份皆入選</x:v>
      </x:c>
      <x:c r="O206" s="221" t="n">
        <x:v>93.00833333333334</x:v>
      </x:c>
      <x:c r="P206" s="221" t="n">
        <x:v>86.21666666666667</x:v>
      </x:c>
      <x:c r="Q206" s="221" t="n">
        <x:v>6.791666666666667</x:v>
      </x:c>
      <x:c r="R206" s="221" t="n">
        <x:v>0.07302213063345578</x:v>
      </x:c>
      <x:c r="S206" s="221" t="n">
        <x:v>111.2258064516129</x:v>
      </x:c>
      <x:c r="T206" s="221" t="n">
        <x:v>104.93548387096774</x:v>
      </x:c>
      <x:c r="U206" s="221" t="n">
        <x:v>6.290322580645161</x:v>
      </x:c>
      <x:c r="V206" s="219" t="n">
        <x:v>0.10138248847926268</x:v>
      </x:c>
      <x:c r="W206" s="216" t="n">
        <x:v>27</x:v>
      </x:c>
      <x:c r="X206" s="223" t="n">
        <x:v>3900</x:v>
      </x:c>
      <x:c r="Y206" s="216" t="n">
        <x:v>52</x:v>
      </x:c>
    </x:row>
    <x:row r="207">
      <x:c r="A207" s="217" t="n">
        <x:v>1458</x:v>
      </x:c>
      <x:c r="B207" s="217" t="str">
        <x:v>行政院新莊聯合辦公大樓</x:v>
      </x:c>
      <x:c r="C207" s="217" t="str">
        <x:v>新莊區</x:v>
      </x:c>
      <x:c r="D207" s="217" t="n">
        <x:v>51</x:v>
      </x:c>
      <x:c r="E207" s="217" t="n">
        <x:v>120</x:v>
      </x:c>
      <x:c r="F207" s="218" t="n">
        <x:v>0.9994791666666667</x:v>
      </x:c>
      <x:c r="G207" s="217" t="n">
        <x:v>203</x:v>
      </x:c>
      <x:c r="H207" s="217" t="str">
        <x:f>IF(G207&lt;='排名定義'!$B$5,"是","")</x:f>
        <x:v>是</x:v>
      </x:c>
      <x:c r="I207" s="217" t="n">
        <x:v>206</x:v>
      </x:c>
      <x:c r="J207" s="217" t="str">
        <x:f>IF(I207&lt;='排名定義'!$B$5,"是","")</x:f>
        <x:v>是</x:v>
      </x:c>
      <x:c r="K207" s="217" t="n">
        <x:v>161</x:v>
      </x:c>
      <x:c r="L207" s="217" t="str">
        <x:f>IF(K207&lt;='排名定義'!$B$5,"是","")</x:f>
        <x:v>是</x:v>
      </x:c>
      <x:c r="M207" s="217" t="n">
        <x:f>COUNTIF(H207:L207,"是")</x:f>
        <x:v>3</x:v>
      </x:c>
      <x:c r="N207" s="217" t="str">
        <x:v>三份皆入選</x:v>
      </x:c>
      <x:c r="O207" s="220" t="n">
        <x:v>92.85</x:v>
      </x:c>
      <x:c r="P207" s="220" t="n">
        <x:v>85.20833333333333</x:v>
      </x:c>
      <x:c r="Q207" s="220" t="n">
        <x:v>7.641666666666667</x:v>
      </x:c>
      <x:c r="R207" s="220" t="n">
        <x:v>0.08230120265661461</x:v>
      </x:c>
      <x:c r="S207" s="220" t="n">
        <x:v>134.29032258064515</x:v>
      </x:c>
      <x:c r="T207" s="220" t="n">
        <x:v>127.25806451612904</x:v>
      </x:c>
      <x:c r="U207" s="220" t="n">
        <x:v>7.032258064516129</x:v>
      </x:c>
      <x:c r="V207" s="218" t="n">
        <x:v>0.03917050691244239</x:v>
      </x:c>
      <x:c r="W207" s="217" t="n">
        <x:v>10</x:v>
      </x:c>
      <x:c r="X207" s="222" t="n">
        <x:v>1560</x:v>
      </x:c>
      <x:c r="Y207" s="217" t="n">
        <x:v>51</x:v>
      </x:c>
    </x:row>
    <x:row r="208">
      <x:c r="A208" s="216" t="n">
        <x:v>1060</x:v>
      </x:c>
      <x:c r="B208" s="216" t="str">
        <x:v>新泰公園</x:v>
      </x:c>
      <x:c r="C208" s="216" t="str">
        <x:v>新莊區</x:v>
      </x:c>
      <x:c r="D208" s="216" t="n">
        <x:v>30</x:v>
      </x:c>
      <x:c r="E208" s="216" t="n">
        <x:v>120</x:v>
      </x:c>
      <x:c r="F208" s="219" t="n">
        <x:v>0.9994791666666667</x:v>
      </x:c>
      <x:c r="G208" s="216" t="n">
        <x:v>204</x:v>
      </x:c>
      <x:c r="H208" s="216" t="str">
        <x:f>IF(G208&lt;='排名定義'!$B$5,"是","")</x:f>
        <x:v>是</x:v>
      </x:c>
      <x:c r="I208" s="216" t="n">
        <x:v>199</x:v>
      </x:c>
      <x:c r="J208" s="216" t="str">
        <x:f>IF(I208&lt;='排名定義'!$B$5,"是","")</x:f>
        <x:v>是</x:v>
      </x:c>
      <x:c r="K208" s="216" t="n">
        <x:v>375</x:v>
      </x:c>
      <x:c r="L208" s="216" t="str">
        <x:f>IF(K208&lt;='排名定義'!$B$5,"是","")</x:f>
        <x:v>是</x:v>
      </x:c>
      <x:c r="M208" s="216" t="n">
        <x:f>COUNTIF(H208:L208,"是")</x:f>
        <x:v>3</x:v>
      </x:c>
      <x:c r="N208" s="216" t="str">
        <x:v>總變動＋一般變動</x:v>
      </x:c>
      <x:c r="O208" s="221" t="n">
        <x:v>92.75833333333334</x:v>
      </x:c>
      <x:c r="P208" s="221" t="n">
        <x:v>86.89166666666667</x:v>
      </x:c>
      <x:c r="Q208" s="221" t="n">
        <x:v>5.866666666666666</x:v>
      </x:c>
      <x:c r="R208" s="221" t="n">
        <x:v>0.06324678824903422</x:v>
      </x:c>
      <x:c r="S208" s="221" t="n">
        <x:v>120.03225806451613</x:v>
      </x:c>
      <x:c r="T208" s="221" t="n">
        <x:v>115.41935483870968</x:v>
      </x:c>
      <x:c r="U208" s="221" t="n">
        <x:v>4.612903225806452</x:v>
      </x:c>
      <x:c r="V208" s="219" t="n">
        <x:v>0.07142857142857142</x:v>
      </x:c>
      <x:c r="W208" s="216" t="n">
        <x:v>8</x:v>
      </x:c>
      <x:c r="X208" s="223" t="n">
        <x:v>1380</x:v>
      </x:c>
      <x:c r="Y208" s="216" t="n">
        <x:v>30</x:v>
      </x:c>
    </x:row>
    <x:row r="209">
      <x:c r="A209" s="217" t="n">
        <x:v>951</x:v>
      </x:c>
      <x:c r="B209" s="217" t="str">
        <x:v>四維公園</x:v>
      </x:c>
      <x:c r="C209" s="217" t="str">
        <x:v>新莊區</x:v>
      </x:c>
      <x:c r="D209" s="217" t="n">
        <x:v>27</x:v>
      </x:c>
      <x:c r="E209" s="217" t="n">
        <x:v>120</x:v>
      </x:c>
      <x:c r="F209" s="218" t="n">
        <x:v>0.9994791666666667</x:v>
      </x:c>
      <x:c r="G209" s="217" t="n">
        <x:v>205</x:v>
      </x:c>
      <x:c r="H209" s="217" t="str">
        <x:f>IF(G209&lt;='排名定義'!$B$5,"是","")</x:f>
        <x:v>是</x:v>
      </x:c>
      <x:c r="I209" s="217" t="n">
        <x:v>200</x:v>
      </x:c>
      <x:c r="J209" s="217" t="str">
        <x:f>IF(I209&lt;='排名定義'!$B$5,"是","")</x:f>
        <x:v>是</x:v>
      </x:c>
      <x:c r="K209" s="217" t="n">
        <x:v>379</x:v>
      </x:c>
      <x:c r="L209" s="217" t="str">
        <x:f>IF(K209&lt;='排名定義'!$B$5,"是","")</x:f>
        <x:v>是</x:v>
      </x:c>
      <x:c r="M209" s="217" t="n">
        <x:f>COUNTIF(H209:L209,"是")</x:f>
        <x:v>3</x:v>
      </x:c>
      <x:c r="N209" s="217" t="str">
        <x:v>總變動＋一般變動</x:v>
      </x:c>
      <x:c r="O209" s="220" t="n">
        <x:v>92.7</x:v>
      </x:c>
      <x:c r="P209" s="220" t="n">
        <x:v>86.86666666666666</x:v>
      </x:c>
      <x:c r="Q209" s="220" t="n">
        <x:v>5.833333333333333</x:v>
      </x:c>
      <x:c r="R209" s="220" t="n">
        <x:v>0.06292700467457749</x:v>
      </x:c>
      <x:c r="S209" s="220" t="n">
        <x:v>115.19354838709677</x:v>
      </x:c>
      <x:c r="T209" s="220" t="n">
        <x:v>108.41935483870968</x:v>
      </x:c>
      <x:c r="U209" s="220" t="n">
        <x:v>6.774193548387097</x:v>
      </x:c>
      <x:c r="V209" s="218" t="n">
        <x:v>0.15898617511520738</x:v>
      </x:c>
      <x:c r="W209" s="217" t="n">
        <x:v>17</x:v>
      </x:c>
      <x:c r="X209" s="222" t="n">
        <x:v>4560</x:v>
      </x:c>
      <x:c r="Y209" s="217" t="n">
        <x:v>27</x:v>
      </x:c>
    </x:row>
    <x:row r="210">
      <x:c r="A210" s="216" t="n">
        <x:v>1492</x:v>
      </x:c>
      <x:c r="B210" s="216" t="str">
        <x:v>臺北大學(音律資訊大樓)</x:v>
      </x:c>
      <x:c r="C210" s="216" t="str">
        <x:v>三峽區</x:v>
      </x:c>
      <x:c r="D210" s="216" t="n">
        <x:v>55</x:v>
      </x:c>
      <x:c r="E210" s="216" t="n">
        <x:v>120</x:v>
      </x:c>
      <x:c r="F210" s="219" t="n">
        <x:v>0.9994791666666667</x:v>
      </x:c>
      <x:c r="G210" s="216" t="n">
        <x:v>206</x:v>
      </x:c>
      <x:c r="H210" s="216" t="str">
        <x:f>IF(G210&lt;='排名定義'!$B$5,"是","")</x:f>
        <x:v>是</x:v>
      </x:c>
      <x:c r="I210" s="216" t="n">
        <x:v>209</x:v>
      </x:c>
      <x:c r="J210" s="216" t="str">
        <x:f>IF(I210&lt;='排名定義'!$B$5,"是","")</x:f>
        <x:v>是</x:v>
      </x:c>
      <x:c r="K210" s="216" t="n">
        <x:v>185</x:v>
      </x:c>
      <x:c r="L210" s="216" t="str">
        <x:f>IF(K210&lt;='排名定義'!$B$5,"是","")</x:f>
        <x:v>是</x:v>
      </x:c>
      <x:c r="M210" s="216" t="n">
        <x:f>COUNTIF(H210:L210,"是")</x:f>
        <x:v>3</x:v>
      </x:c>
      <x:c r="N210" s="216" t="str">
        <x:v>三份皆入選</x:v>
      </x:c>
      <x:c r="O210" s="221" t="n">
        <x:v>92.40833333333333</x:v>
      </x:c>
      <x:c r="P210" s="221" t="n">
        <x:v>85.075</x:v>
      </x:c>
      <x:c r="Q210" s="221" t="n">
        <x:v>7.333333333333333</x:v>
      </x:c>
      <x:c r="R210" s="221" t="n">
        <x:v>0.07935792226530797</x:v>
      </x:c>
      <x:c r="S210" s="221" t="n">
        <x:v>176.1290322580645</x:v>
      </x:c>
      <x:c r="T210" s="221" t="n">
        <x:v>165.70967741935485</x:v>
      </x:c>
      <x:c r="U210" s="221" t="n">
        <x:v>10.419354838709678</x:v>
      </x:c>
      <x:c r="V210" s="219" t="n">
        <x:v>0.0069124423963133645</x:v>
      </x:c>
      <x:c r="W210" s="216" t="n">
        <x:v>1</x:v>
      </x:c>
      <x:c r="X210" s="223" t="n">
        <x:v>330</x:v>
      </x:c>
      <x:c r="Y210" s="216" t="n">
        <x:v>78</x:v>
      </x:c>
    </x:row>
    <x:row r="211">
      <x:c r="A211" s="217" t="n">
        <x:v>1433</x:v>
      </x:c>
      <x:c r="B211" s="217" t="str">
        <x:v>北新國小</x:v>
      </x:c>
      <x:c r="C211" s="217" t="str">
        <x:v>新店區</x:v>
      </x:c>
      <x:c r="D211" s="217" t="n">
        <x:v>49</x:v>
      </x:c>
      <x:c r="E211" s="217" t="n">
        <x:v>120</x:v>
      </x:c>
      <x:c r="F211" s="218" t="n">
        <x:v>0.9994791666666667</x:v>
      </x:c>
      <x:c r="G211" s="217" t="n">
        <x:v>207</x:v>
      </x:c>
      <x:c r="H211" s="217" t="str">
        <x:f>IF(G211&lt;='排名定義'!$B$5,"是","")</x:f>
        <x:v>是</x:v>
      </x:c>
      <x:c r="I211" s="217" t="n">
        <x:v>208</x:v>
      </x:c>
      <x:c r="J211" s="217" t="str">
        <x:f>IF(I211&lt;='排名定義'!$B$5,"是","")</x:f>
        <x:v>是</x:v>
      </x:c>
      <x:c r="K211" s="217" t="n">
        <x:v>243</x:v>
      </x:c>
      <x:c r="L211" s="217" t="str">
        <x:f>IF(K211&lt;='排名定義'!$B$5,"是","")</x:f>
        <x:v>是</x:v>
      </x:c>
      <x:c r="M211" s="217" t="n">
        <x:f>COUNTIF(H211:L211,"是")</x:f>
        <x:v>3</x:v>
      </x:c>
      <x:c r="N211" s="217" t="str">
        <x:v>三份皆入選</x:v>
      </x:c>
      <x:c r="O211" s="220" t="n">
        <x:v>91.95833333333333</x:v>
      </x:c>
      <x:c r="P211" s="220" t="n">
        <x:v>85.125</x:v>
      </x:c>
      <x:c r="Q211" s="220" t="n">
        <x:v>6.833333333333333</x:v>
      </x:c>
      <x:c r="R211" s="220" t="n">
        <x:v>0.07430901676483914</x:v>
      </x:c>
      <x:c r="S211" s="220" t="n">
        <x:v>121.6774193548387</x:v>
      </x:c>
      <x:c r="T211" s="220" t="n">
        <x:v>116.3225806451613</x:v>
      </x:c>
      <x:c r="U211" s="220" t="n">
        <x:v>5.354838709677419</x:v>
      </x:c>
      <x:c r="V211" s="218" t="n">
        <x:v>0.03917050691244239</x:v>
      </x:c>
      <x:c r="W211" s="217" t="n">
        <x:v>21</x:v>
      </x:c>
      <x:c r="X211" s="222" t="n">
        <x:v>2310</x:v>
      </x:c>
      <x:c r="Y211" s="217" t="n">
        <x:v>49</x:v>
      </x:c>
    </x:row>
    <x:row r="212">
      <x:c r="A212" s="216" t="n">
        <x:v>1426</x:v>
      </x:c>
      <x:c r="B212" s="216" t="str">
        <x:v>秀朗國小</x:v>
      </x:c>
      <x:c r="C212" s="216" t="str">
        <x:v>永和區</x:v>
      </x:c>
      <x:c r="D212" s="216" t="n">
        <x:v>48</x:v>
      </x:c>
      <x:c r="E212" s="216" t="n">
        <x:v>120</x:v>
      </x:c>
      <x:c r="F212" s="219" t="n">
        <x:v>0.9994791666666667</x:v>
      </x:c>
      <x:c r="G212" s="216" t="n">
        <x:v>208</x:v>
      </x:c>
      <x:c r="H212" s="216" t="str">
        <x:f>IF(G212&lt;='排名定義'!$B$5,"是","")</x:f>
        <x:v>是</x:v>
      </x:c>
      <x:c r="I212" s="216" t="n">
        <x:v>213</x:v>
      </x:c>
      <x:c r="J212" s="216" t="str">
        <x:f>IF(I212&lt;='排名定義'!$B$5,"是","")</x:f>
        <x:v>是</x:v>
      </x:c>
      <x:c r="K212" s="216" t="n">
        <x:v>234</x:v>
      </x:c>
      <x:c r="L212" s="216" t="str">
        <x:f>IF(K212&lt;='排名定義'!$B$5,"是","")</x:f>
        <x:v>是</x:v>
      </x:c>
      <x:c r="M212" s="216" t="n">
        <x:f>COUNTIF(H212:L212,"是")</x:f>
        <x:v>3</x:v>
      </x:c>
      <x:c r="N212" s="216" t="str">
        <x:v>三份皆入選</x:v>
      </x:c>
      <x:c r="O212" s="221" t="n">
        <x:v>91.85833333333333</x:v>
      </x:c>
      <x:c r="P212" s="221" t="n">
        <x:v>84.96666666666667</x:v>
      </x:c>
      <x:c r="Q212" s="221" t="n">
        <x:v>6.891666666666667</x:v>
      </x:c>
      <x:c r="R212" s="221" t="n">
        <x:v>0.0750249478363422</x:v>
      </x:c>
      <x:c r="S212" s="221" t="n">
        <x:v>115</x:v>
      </x:c>
      <x:c r="T212" s="221" t="n">
        <x:v>110.2258064516129</x:v>
      </x:c>
      <x:c r="U212" s="221" t="n">
        <x:v>4.774193548387097</x:v>
      </x:c>
      <x:c r="V212" s="219" t="n">
        <x:v>0.013824884792626729</x:v>
      </x:c>
      <x:c r="W212" s="216" t="n">
        <x:v>5</x:v>
      </x:c>
      <x:c r="X212" s="223" t="n">
        <x:v>780</x:v>
      </x:c>
      <x:c r="Y212" s="216" t="n">
        <x:v>48</x:v>
      </x:c>
    </x:row>
    <x:row r="213">
      <x:c r="A213" s="217" t="n">
        <x:v>1159</x:v>
      </x:c>
      <x:c r="B213" s="217" t="str">
        <x:v>民權社區活動中心</x:v>
      </x:c>
      <x:c r="C213" s="217" t="str">
        <x:v>永和區</x:v>
      </x:c>
      <x:c r="D213" s="217" t="n">
        <x:v>35</x:v>
      </x:c>
      <x:c r="E213" s="217" t="n">
        <x:v>120</x:v>
      </x:c>
      <x:c r="F213" s="218" t="n">
        <x:v>0.9994791666666667</x:v>
      </x:c>
      <x:c r="G213" s="217" t="n">
        <x:v>209</x:v>
      </x:c>
      <x:c r="H213" s="217" t="str">
        <x:f>IF(G213&lt;='排名定義'!$B$5,"是","")</x:f>
        <x:v>是</x:v>
      </x:c>
      <x:c r="I213" s="217" t="n">
        <x:v>215</x:v>
      </x:c>
      <x:c r="J213" s="217" t="str">
        <x:f>IF(I213&lt;='排名定義'!$B$5,"是","")</x:f>
        <x:v>是</x:v>
      </x:c>
      <x:c r="K213" s="217" t="n">
        <x:v>248</x:v>
      </x:c>
      <x:c r="L213" s="217" t="str">
        <x:f>IF(K213&lt;='排名定義'!$B$5,"是","")</x:f>
        <x:v>是</x:v>
      </x:c>
      <x:c r="M213" s="217" t="n">
        <x:f>COUNTIF(H213:L213,"是")</x:f>
        <x:v>3</x:v>
      </x:c>
      <x:c r="N213" s="217" t="str">
        <x:v>三份皆入選</x:v>
      </x:c>
      <x:c r="O213" s="220" t="n">
        <x:v>91.53333333333333</x:v>
      </x:c>
      <x:c r="P213" s="220" t="n">
        <x:v>84.725</x:v>
      </x:c>
      <x:c r="Q213" s="220" t="n">
        <x:v>6.808333333333334</x:v>
      </x:c>
      <x:c r="R213" s="220" t="n">
        <x:v>0.07438091769847051</x:v>
      </x:c>
      <x:c r="S213" s="220" t="n">
        <x:v>114.12903225806451</x:v>
      </x:c>
      <x:c r="T213" s="220" t="n">
        <x:v>108.70967741935483</x:v>
      </x:c>
      <x:c r="U213" s="220" t="n">
        <x:v>5.419354838709677</x:v>
      </x:c>
      <x:c r="V213" s="218" t="n">
        <x:v>0.02534562211981567</x:v>
      </x:c>
      <x:c r="W213" s="217" t="n">
        <x:v>4</x:v>
      </x:c>
      <x:c r="X213" s="222" t="n">
        <x:v>810</x:v>
      </x:c>
      <x:c r="Y213" s="217" t="n">
        <x:v>35</x:v>
      </x:c>
    </x:row>
    <x:row r="214">
      <x:c r="A214" s="216" t="n">
        <x:v>1498</x:v>
      </x:c>
      <x:c r="B214" s="216" t="str">
        <x:v>新海長江路口</x:v>
      </x:c>
      <x:c r="C214" s="216" t="str">
        <x:v>板橋區</x:v>
      </x:c>
      <x:c r="D214" s="216" t="n">
        <x:v>56</x:v>
      </x:c>
      <x:c r="E214" s="216" t="n">
        <x:v>120</x:v>
      </x:c>
      <x:c r="F214" s="219" t="n">
        <x:v>0.9994791666666667</x:v>
      </x:c>
      <x:c r="G214" s="216" t="n">
        <x:v>210</x:v>
      </x:c>
      <x:c r="H214" s="216" t="str">
        <x:f>IF(G214&lt;='排名定義'!$B$5,"是","")</x:f>
        <x:v>是</x:v>
      </x:c>
      <x:c r="I214" s="216" t="n">
        <x:v>210</x:v>
      </x:c>
      <x:c r="J214" s="216" t="str">
        <x:f>IF(I214&lt;='排名定義'!$B$5,"是","")</x:f>
        <x:v>是</x:v>
      </x:c>
      <x:c r="K214" s="216" t="n">
        <x:v>302</x:v>
      </x:c>
      <x:c r="L214" s="216" t="str">
        <x:f>IF(K214&lt;='排名定義'!$B$5,"是","")</x:f>
        <x:v>是</x:v>
      </x:c>
      <x:c r="M214" s="216" t="n">
        <x:f>COUNTIF(H214:L214,"是")</x:f>
        <x:v>3</x:v>
      </x:c>
      <x:c r="N214" s="216" t="str">
        <x:v>三份皆入選</x:v>
      </x:c>
      <x:c r="O214" s="221" t="n">
        <x:v>91.41666666666667</x:v>
      </x:c>
      <x:c r="P214" s="221" t="n">
        <x:v>85.05833333333334</x:v>
      </x:c>
      <x:c r="Q214" s="221" t="n">
        <x:v>6.358333333333333</x:v>
      </x:c>
      <x:c r="R214" s="221" t="n">
        <x:v>0.06955332725615314</x:v>
      </x:c>
      <x:c r="S214" s="221" t="n">
        <x:v>123.06451612903226</x:v>
      </x:c>
      <x:c r="T214" s="221" t="n">
        <x:v>117.58064516129032</x:v>
      </x:c>
      <x:c r="U214" s="221" t="n">
        <x:v>5.483870967741935</x:v>
      </x:c>
      <x:c r="V214" s="219" t="n">
        <x:v>0.004608294930875576</x:v>
      </x:c>
      <x:c r="W214" s="216" t="n">
        <x:v>2</x:v>
      </x:c>
      <x:c r="X214" s="223" t="n">
        <x:v>150</x:v>
      </x:c>
      <x:c r="Y214" s="216" t="n">
        <x:v>61</x:v>
      </x:c>
    </x:row>
    <x:row r="215">
      <x:c r="A215" s="217" t="n">
        <x:v>976</x:v>
      </x:c>
      <x:c r="B215" s="217" t="str">
        <x:v>淡水老街廣場</x:v>
      </x:c>
      <x:c r="C215" s="217" t="str">
        <x:v>淡水區</x:v>
      </x:c>
      <x:c r="D215" s="217" t="n">
        <x:v>28</x:v>
      </x:c>
      <x:c r="E215" s="217" t="n">
        <x:v>120</x:v>
      </x:c>
      <x:c r="F215" s="218" t="n">
        <x:v>0.9994791666666667</x:v>
      </x:c>
      <x:c r="G215" s="217" t="n">
        <x:v>211</x:v>
      </x:c>
      <x:c r="H215" s="217" t="str">
        <x:f>IF(G215&lt;='排名定義'!$B$5,"是","")</x:f>
        <x:v>是</x:v>
      </x:c>
      <x:c r="I215" s="217" t="n">
        <x:v>205</x:v>
      </x:c>
      <x:c r="J215" s="217" t="str">
        <x:f>IF(I215&lt;='排名定義'!$B$5,"是","")</x:f>
        <x:v>是</x:v>
      </x:c>
      <x:c r="K215" s="217" t="n">
        <x:v>351</x:v>
      </x:c>
      <x:c r="L215" s="217" t="str">
        <x:f>IF(K215&lt;='排名定義'!$B$5,"是","")</x:f>
        <x:v>是</x:v>
      </x:c>
      <x:c r="M215" s="217" t="n">
        <x:f>COUNTIF(H215:L215,"是")</x:f>
        <x:v>3</x:v>
      </x:c>
      <x:c r="N215" s="217" t="str">
        <x:v>三份皆入選</x:v>
      </x:c>
      <x:c r="O215" s="220" t="n">
        <x:v>91.23333333333333</x:v>
      </x:c>
      <x:c r="P215" s="220" t="n">
        <x:v>85.21666666666667</x:v>
      </x:c>
      <x:c r="Q215" s="220" t="n">
        <x:v>6.016666666666667</x:v>
      </x:c>
      <x:c r="R215" s="220" t="n">
        <x:v>0.0659481183777859</x:v>
      </x:c>
      <x:c r="S215" s="220" t="n">
        <x:v>141.19354838709677</x:v>
      </x:c>
      <x:c r="T215" s="220" t="n">
        <x:v>134.41935483870967</x:v>
      </x:c>
      <x:c r="U215" s="220" t="n">
        <x:v>6.774193548387097</x:v>
      </x:c>
      <x:c r="V215" s="218" t="n">
        <x:v>0.03456221198156682</x:v>
      </x:c>
      <x:c r="W215" s="217" t="n">
        <x:v>16</x:v>
      </x:c>
      <x:c r="X215" s="222" t="n">
        <x:v>2430</x:v>
      </x:c>
      <x:c r="Y215" s="217" t="n">
        <x:v>28</x:v>
      </x:c>
    </x:row>
    <x:row r="216">
      <x:c r="A216" s="216" t="n">
        <x:v>1467</x:v>
      </x:c>
      <x:c r="B216" s="216" t="str">
        <x:v>龍鳳公園</x:v>
      </x:c>
      <x:c r="C216" s="216" t="str">
        <x:v>新莊區</x:v>
      </x:c>
      <x:c r="D216" s="216" t="n">
        <x:v>52</x:v>
      </x:c>
      <x:c r="E216" s="216" t="n">
        <x:v>120</x:v>
      </x:c>
      <x:c r="F216" s="219" t="n">
        <x:v>0.9994791666666667</x:v>
      </x:c>
      <x:c r="G216" s="216" t="n">
        <x:v>212</x:v>
      </x:c>
      <x:c r="H216" s="216" t="str">
        <x:f>IF(G216&lt;='排名定義'!$B$5,"是","")</x:f>
        <x:v>是</x:v>
      </x:c>
      <x:c r="I216" s="216" t="n">
        <x:v>231</x:v>
      </x:c>
      <x:c r="J216" s="216" t="str">
        <x:f>IF(I216&lt;='排名定義'!$B$5,"是","")</x:f>
        <x:v>是</x:v>
      </x:c>
      <x:c r="K216" s="216" t="n">
        <x:v>101</x:v>
      </x:c>
      <x:c r="L216" s="216" t="str">
        <x:f>IF(K216&lt;='排名定義'!$B$5,"是","")</x:f>
        <x:v>是</x:v>
      </x:c>
      <x:c r="M216" s="216" t="n">
        <x:f>COUNTIF(H216:L216,"是")</x:f>
        <x:v>3</x:v>
      </x:c>
      <x:c r="N216" s="216" t="str">
        <x:v>三份皆入選</x:v>
      </x:c>
      <x:c r="O216" s="221" t="n">
        <x:v>91.14166666666667</x:v>
      </x:c>
      <x:c r="P216" s="221" t="n">
        <x:v>82.51666666666667</x:v>
      </x:c>
      <x:c r="Q216" s="221" t="n">
        <x:v>8.625</x:v>
      </x:c>
      <x:c r="R216" s="221" t="n">
        <x:v>0.0946328975038859</x:v>
      </x:c>
      <x:c r="S216" s="221" t="n">
        <x:v>117.45161290322581</x:v>
      </x:c>
      <x:c r="T216" s="221" t="n">
        <x:v>111.38709677419355</x:v>
      </x:c>
      <x:c r="U216" s="221" t="n">
        <x:v>6.064516129032258</x:v>
      </x:c>
      <x:c r="V216" s="219" t="n">
        <x:v>0.10138248847926268</x:v>
      </x:c>
      <x:c r="W216" s="216" t="n">
        <x:v>17</x:v>
      </x:c>
      <x:c r="X216" s="223" t="n">
        <x:v>1890</x:v>
      </x:c>
      <x:c r="Y216" s="216" t="n">
        <x:v>52</x:v>
      </x:c>
    </x:row>
    <x:row r="217">
      <x:c r="A217" s="217" t="n">
        <x:v>1404</x:v>
      </x:c>
      <x:c r="B217" s="217" t="str">
        <x:v>員勝公園</x:v>
      </x:c>
      <x:c r="C217" s="217" t="str">
        <x:v>中和區</x:v>
      </x:c>
      <x:c r="D217" s="217" t="n">
        <x:v>47</x:v>
      </x:c>
      <x:c r="E217" s="217" t="n">
        <x:v>120</x:v>
      </x:c>
      <x:c r="F217" s="218" t="n">
        <x:v>0.9994791666666667</x:v>
      </x:c>
      <x:c r="G217" s="217" t="n">
        <x:v>213</x:v>
      </x:c>
      <x:c r="H217" s="217" t="str">
        <x:f>IF(G217&lt;='排名定義'!$B$5,"是","")</x:f>
        <x:v>是</x:v>
      </x:c>
      <x:c r="I217" s="217" t="n">
        <x:v>216</x:v>
      </x:c>
      <x:c r="J217" s="217" t="str">
        <x:f>IF(I217&lt;='排名定義'!$B$5,"是","")</x:f>
        <x:v>是</x:v>
      </x:c>
      <x:c r="K217" s="217" t="n">
        <x:v>287</x:v>
      </x:c>
      <x:c r="L217" s="217" t="str">
        <x:f>IF(K217&lt;='排名定義'!$B$5,"是","")</x:f>
        <x:v>是</x:v>
      </x:c>
      <x:c r="M217" s="217" t="n">
        <x:f>COUNTIF(H217:L217,"是")</x:f>
        <x:v>3</x:v>
      </x:c>
      <x:c r="N217" s="217" t="str">
        <x:v>三份皆入選</x:v>
      </x:c>
      <x:c r="O217" s="220" t="n">
        <x:v>91.11666666666666</x:v>
      </x:c>
      <x:c r="P217" s="220" t="n">
        <x:v>84.65</x:v>
      </x:c>
      <x:c r="Q217" s="220" t="n">
        <x:v>6.466666666666667</x:v>
      </x:c>
      <x:c r="R217" s="220" t="n">
        <x:v>0.07097128223888788</x:v>
      </x:c>
      <x:c r="S217" s="220" t="n">
        <x:v>126.29032258064517</x:v>
      </x:c>
      <x:c r="T217" s="220" t="n">
        <x:v>120.25806451612904</x:v>
      </x:c>
      <x:c r="U217" s="220" t="n">
        <x:v>6.032258064516129</x:v>
      </x:c>
      <x:c r="V217" s="218" t="n">
        <x:v>0.0576036866359447</x:v>
      </x:c>
      <x:c r="W217" s="217" t="n">
        <x:v>6</x:v>
      </x:c>
      <x:c r="X217" s="222" t="n">
        <x:v>1770</x:v>
      </x:c>
      <x:c r="Y217" s="217" t="n">
        <x:v>47</x:v>
      </x:c>
    </x:row>
    <x:row r="218">
      <x:c r="A218" s="216" t="n">
        <x:v>1104</x:v>
      </x:c>
      <x:c r="B218" s="216" t="str">
        <x:v>中和區公所</x:v>
      </x:c>
      <x:c r="C218" s="216" t="str">
        <x:v>中和區</x:v>
      </x:c>
      <x:c r="D218" s="216" t="n">
        <x:v>32</x:v>
      </x:c>
      <x:c r="E218" s="216" t="n">
        <x:v>120</x:v>
      </x:c>
      <x:c r="F218" s="219" t="n">
        <x:v>0.9994791666666667</x:v>
      </x:c>
      <x:c r="G218" s="216" t="n">
        <x:v>214</x:v>
      </x:c>
      <x:c r="H218" s="216" t="str">
        <x:f>IF(G218&lt;='排名定義'!$B$5,"是","")</x:f>
        <x:v>是</x:v>
      </x:c>
      <x:c r="I218" s="216" t="n">
        <x:v>203</x:v>
      </x:c>
      <x:c r="J218" s="216" t="str">
        <x:f>IF(I218&lt;='排名定義'!$B$5,"是","")</x:f>
        <x:v>是</x:v>
      </x:c>
      <x:c r="K218" s="216" t="n">
        <x:v>472</x:v>
      </x:c>
      <x:c r="L218" s="216" t="str">
        <x:f>IF(K218&lt;='排名定義'!$B$5,"是","")</x:f>
        <x:v>是</x:v>
      </x:c>
      <x:c r="M218" s="216" t="n">
        <x:f>COUNTIF(H218:L218,"是")</x:f>
        <x:v>3</x:v>
      </x:c>
      <x:c r="N218" s="216" t="str">
        <x:v>總變動＋一般變動</x:v>
      </x:c>
      <x:c r="O218" s="221" t="n">
        <x:v>90.95</x:v>
      </x:c>
      <x:c r="P218" s="221" t="n">
        <x:v>85.66666666666667</x:v>
      </x:c>
      <x:c r="Q218" s="221" t="n">
        <x:v>5.283333333333333</x:v>
      </x:c>
      <x:c r="R218" s="221" t="n">
        <x:v>0.058090525929998166</x:v>
      </x:c>
      <x:c r="S218" s="221" t="n">
        <x:v>121.03225806451613</x:v>
      </x:c>
      <x:c r="T218" s="221" t="n">
        <x:v>114.80645161290323</x:v>
      </x:c>
      <x:c r="U218" s="221" t="n">
        <x:v>6.225806451612903</x:v>
      </x:c>
      <x:c r="V218" s="219" t="n">
        <x:v>0.059907834101382486</x:v>
      </x:c>
      <x:c r="W218" s="216" t="n">
        <x:v>12</x:v>
      </x:c>
      <x:c r="X218" s="223" t="n">
        <x:v>1650</x:v>
      </x:c>
      <x:c r="Y218" s="216" t="n">
        <x:v>32</x:v>
      </x:c>
    </x:row>
    <x:row r="219">
      <x:c r="A219" s="217" t="n">
        <x:v>988</x:v>
      </x:c>
      <x:c r="B219" s="217" t="str">
        <x:v>中正路284巷</x:v>
      </x:c>
      <x:c r="C219" s="217" t="str">
        <x:v>新店區</x:v>
      </x:c>
      <x:c r="D219" s="217" t="n">
        <x:v>29</x:v>
      </x:c>
      <x:c r="E219" s="217" t="n">
        <x:v>120</x:v>
      </x:c>
      <x:c r="F219" s="218" t="n">
        <x:v>0.9994791666666667</x:v>
      </x:c>
      <x:c r="G219" s="217" t="n">
        <x:v>215</x:v>
      </x:c>
      <x:c r="H219" s="217" t="str">
        <x:f>IF(G219&lt;='排名定義'!$B$5,"是","")</x:f>
        <x:v>是</x:v>
      </x:c>
      <x:c r="I219" s="217" t="n">
        <x:v>212</x:v>
      </x:c>
      <x:c r="J219" s="217" t="str">
        <x:f>IF(I219&lt;='排名定義'!$B$5,"是","")</x:f>
        <x:v>是</x:v>
      </x:c>
      <x:c r="K219" s="217" t="n">
        <x:v>371</x:v>
      </x:c>
      <x:c r="L219" s="217" t="str">
        <x:f>IF(K219&lt;='排名定義'!$B$5,"是","")</x:f>
        <x:v>是</x:v>
      </x:c>
      <x:c r="M219" s="217" t="n">
        <x:f>COUNTIF(H219:L219,"是")</x:f>
        <x:v>3</x:v>
      </x:c>
      <x:c r="N219" s="217" t="str">
        <x:v>三份皆入選</x:v>
      </x:c>
      <x:c r="O219" s="220" t="n">
        <x:v>90.89166666666667</x:v>
      </x:c>
      <x:c r="P219" s="220" t="n">
        <x:v>85.00833333333334</x:v>
      </x:c>
      <x:c r="Q219" s="220" t="n">
        <x:v>5.883333333333334</x:v>
      </x:c>
      <x:c r="R219" s="220" t="n">
        <x:v>0.06472907307233887</x:v>
      </x:c>
      <x:c r="S219" s="220" t="n">
        <x:v>118.90322580645162</x:v>
      </x:c>
      <x:c r="T219" s="220" t="n">
        <x:v>113.38709677419355</x:v>
      </x:c>
      <x:c r="U219" s="220" t="n">
        <x:v>5.516129032258065</x:v>
      </x:c>
      <x:c r="V219" s="218" t="n">
        <x:v>0.06912442396313365</x:v>
      </x:c>
      <x:c r="W219" s="217" t="n">
        <x:v>19</x:v>
      </x:c>
      <x:c r="X219" s="222" t="n">
        <x:v>2340</x:v>
      </x:c>
      <x:c r="Y219" s="217" t="n">
        <x:v>29</x:v>
      </x:c>
    </x:row>
    <x:row r="220">
      <x:c r="A220" s="216" t="n">
        <x:v>1408</x:v>
      </x:c>
      <x:c r="B220" s="216" t="str">
        <x:v>新店高中</x:v>
      </x:c>
      <x:c r="C220" s="216" t="str">
        <x:v>新店區</x:v>
      </x:c>
      <x:c r="D220" s="216" t="n">
        <x:v>47</x:v>
      </x:c>
      <x:c r="E220" s="216" t="n">
        <x:v>120</x:v>
      </x:c>
      <x:c r="F220" s="219" t="n">
        <x:v>0.9994791666666667</x:v>
      </x:c>
      <x:c r="G220" s="216" t="n">
        <x:v>216</x:v>
      </x:c>
      <x:c r="H220" s="216" t="str">
        <x:f>IF(G220&lt;='排名定義'!$B$5,"是","")</x:f>
        <x:v>是</x:v>
      </x:c>
      <x:c r="I220" s="216" t="n">
        <x:v>220</x:v>
      </x:c>
      <x:c r="J220" s="216" t="str">
        <x:f>IF(I220&lt;='排名定義'!$B$5,"是","")</x:f>
        <x:v>是</x:v>
      </x:c>
      <x:c r="K220" s="216" t="n">
        <x:v>240</x:v>
      </x:c>
      <x:c r="L220" s="216" t="str">
        <x:f>IF(K220&lt;='排名定義'!$B$5,"是","")</x:f>
        <x:v>是</x:v>
      </x:c>
      <x:c r="M220" s="216" t="n">
        <x:f>COUNTIF(H220:L220,"是")</x:f>
        <x:v>3</x:v>
      </x:c>
      <x:c r="N220" s="216" t="str">
        <x:v>三份皆入選</x:v>
      </x:c>
      <x:c r="O220" s="221" t="n">
        <x:v>90.88333333333334</x:v>
      </x:c>
      <x:c r="P220" s="221" t="n">
        <x:v>84.04166666666667</x:v>
      </x:c>
      <x:c r="Q220" s="221" t="n">
        <x:v>6.841666666666667</x:v>
      </x:c>
      <x:c r="R220" s="221" t="n">
        <x:v>0.0752796625710618</x:v>
      </x:c>
      <x:c r="S220" s="221" t="n">
        <x:v>126.29032258064517</x:v>
      </x:c>
      <x:c r="T220" s="221" t="n">
        <x:v>120.87096774193549</x:v>
      </x:c>
      <x:c r="U220" s="221" t="n">
        <x:v>5.419354838709677</x:v>
      </x:c>
      <x:c r="V220" s="219" t="n">
        <x:v>0.029953917050691243</x:v>
      </x:c>
      <x:c r="W220" s="216" t="n">
        <x:v>5</x:v>
      </x:c>
      <x:c r="X220" s="223" t="n">
        <x:v>750</x:v>
      </x:c>
      <x:c r="Y220" s="216" t="n">
        <x:v>47</x:v>
      </x:c>
    </x:row>
    <x:row r="221">
      <x:c r="A221" s="217" t="n">
        <x:v>1181</x:v>
      </x:c>
      <x:c r="B221" s="217" t="str">
        <x:v>翔譽雙子星</x:v>
      </x:c>
      <x:c r="C221" s="217" t="str">
        <x:v>三重區</x:v>
      </x:c>
      <x:c r="D221" s="217" t="n">
        <x:v>36</x:v>
      </x:c>
      <x:c r="E221" s="217" t="n">
        <x:v>120</x:v>
      </x:c>
      <x:c r="F221" s="218" t="n">
        <x:v>0.9994791666666667</x:v>
      </x:c>
      <x:c r="G221" s="217" t="n">
        <x:v>217</x:v>
      </x:c>
      <x:c r="H221" s="217" t="str">
        <x:f>IF(G221&lt;='排名定義'!$B$5,"是","")</x:f>
        <x:v>是</x:v>
      </x:c>
      <x:c r="I221" s="217" t="n">
        <x:v>214</x:v>
      </x:c>
      <x:c r="J221" s="217" t="str">
        <x:f>IF(I221&lt;='排名定義'!$B$5,"是","")</x:f>
        <x:v>是</x:v>
      </x:c>
      <x:c r="K221" s="217" t="n">
        <x:v>347</x:v>
      </x:c>
      <x:c r="L221" s="217" t="str">
        <x:f>IF(K221&lt;='排名定義'!$B$5,"是","")</x:f>
        <x:v>是</x:v>
      </x:c>
      <x:c r="M221" s="217" t="n">
        <x:f>COUNTIF(H221:L221,"是")</x:f>
        <x:v>3</x:v>
      </x:c>
      <x:c r="N221" s="217" t="str">
        <x:v>三份皆入選</x:v>
      </x:c>
      <x:c r="O221" s="220" t="n">
        <x:v>90.83333333333333</x:v>
      </x:c>
      <x:c r="P221" s="220" t="n">
        <x:v>84.79166666666667</x:v>
      </x:c>
      <x:c r="Q221" s="220" t="n">
        <x:v>6.041666666666667</x:v>
      </x:c>
      <x:c r="R221" s="220" t="n">
        <x:v>0.06651376146788991</x:v>
      </x:c>
      <x:c r="S221" s="220" t="n">
        <x:v>127.16129032258064</x:v>
      </x:c>
      <x:c r="T221" s="220" t="n">
        <x:v>121.51612903225806</x:v>
      </x:c>
      <x:c r="U221" s="220" t="n">
        <x:v>5.645161290322581</x:v>
      </x:c>
      <x:c r="V221" s="218" t="n">
        <x:v>0.04377880184331797</x:v>
      </x:c>
      <x:c r="W221" s="217" t="n">
        <x:v>7</x:v>
      </x:c>
      <x:c r="X221" s="222" t="n">
        <x:v>960</x:v>
      </x:c>
      <x:c r="Y221" s="217" t="n">
        <x:v>36</x:v>
      </x:c>
    </x:row>
    <x:row r="222">
      <x:c r="A222" s="216" t="n">
        <x:v>59</x:v>
      </x:c>
      <x:c r="B222" s="216" t="str">
        <x:v>文化白雲公園</x:v>
      </x:c>
      <x:c r="C222" s="216" t="str">
        <x:v>汐止區</x:v>
      </x:c>
      <x:c r="D222" s="216" t="n">
        <x:v>76</x:v>
      </x:c>
      <x:c r="E222" s="216" t="n">
        <x:v>120</x:v>
      </x:c>
      <x:c r="F222" s="219" t="n">
        <x:v>0.9994791666666667</x:v>
      </x:c>
      <x:c r="G222" s="216" t="n">
        <x:v>218</x:v>
      </x:c>
      <x:c r="H222" s="216" t="str">
        <x:f>IF(G222&lt;='排名定義'!$B$5,"是","")</x:f>
        <x:v>是</x:v>
      </x:c>
      <x:c r="I222" s="216" t="n">
        <x:v>236</x:v>
      </x:c>
      <x:c r="J222" s="216" t="str">
        <x:f>IF(I222&lt;='排名定義'!$B$5,"是","")</x:f>
        <x:v>是</x:v>
      </x:c>
      <x:c r="K222" s="216" t="n">
        <x:v>86</x:v>
      </x:c>
      <x:c r="L222" s="216" t="str">
        <x:f>IF(K222&lt;='排名定義'!$B$5,"是","")</x:f>
        <x:v>是</x:v>
      </x:c>
      <x:c r="M222" s="216" t="n">
        <x:f>COUNTIF(H222:L222,"是")</x:f>
        <x:v>3</x:v>
      </x:c>
      <x:c r="N222" s="216" t="str">
        <x:v>三份皆入選</x:v>
      </x:c>
      <x:c r="O222" s="221" t="n">
        <x:v>90.8</x:v>
      </x:c>
      <x:c r="P222" s="221" t="n">
        <x:v>81.85833333333333</x:v>
      </x:c>
      <x:c r="Q222" s="221" t="n">
        <x:v>8.941666666666666</x:v>
      </x:c>
      <x:c r="R222" s="221" t="n">
        <x:v>0.09847650513950074</x:v>
      </x:c>
      <x:c r="S222" s="221" t="n">
        <x:v>108.41935483870968</x:v>
      </x:c>
      <x:c r="T222" s="221" t="n">
        <x:v>101.6774193548387</x:v>
      </x:c>
      <x:c r="U222" s="221" t="n">
        <x:v>6.741935483870968</x:v>
      </x:c>
      <x:c r="V222" s="219" t="n">
        <x:v>0.11981566820276497</x:v>
      </x:c>
      <x:c r="W222" s="216" t="n">
        <x:v>35</x:v>
      </x:c>
      <x:c r="X222" s="223" t="n">
        <x:v>3780</x:v>
      </x:c>
      <x:c r="Y222" s="216" t="n">
        <x:v>76</x:v>
      </x:c>
    </x:row>
    <x:row r="223">
      <x:c r="A223" s="217" t="n">
        <x:v>1160</x:v>
      </x:c>
      <x:c r="B223" s="217" t="str">
        <x:v>潤泰社區</x:v>
      </x:c>
      <x:c r="C223" s="217" t="str">
        <x:v>板橋區</x:v>
      </x:c>
      <x:c r="D223" s="217" t="n">
        <x:v>35</x:v>
      </x:c>
      <x:c r="E223" s="217" t="n">
        <x:v>120</x:v>
      </x:c>
      <x:c r="F223" s="218" t="n">
        <x:v>0.9994791666666667</x:v>
      </x:c>
      <x:c r="G223" s="217" t="n">
        <x:v>219</x:v>
      </x:c>
      <x:c r="H223" s="217" t="str">
        <x:f>IF(G223&lt;='排名定義'!$B$5,"是","")</x:f>
        <x:v>是</x:v>
      </x:c>
      <x:c r="I223" s="217" t="n">
        <x:v>219</x:v>
      </x:c>
      <x:c r="J223" s="217" t="str">
        <x:f>IF(I223&lt;='排名定義'!$B$5,"是","")</x:f>
        <x:v>是</x:v>
      </x:c>
      <x:c r="K223" s="217" t="n">
        <x:v>303</x:v>
      </x:c>
      <x:c r="L223" s="217" t="str">
        <x:f>IF(K223&lt;='排名定義'!$B$5,"是","")</x:f>
        <x:v>是</x:v>
      </x:c>
      <x:c r="M223" s="217" t="n">
        <x:f>COUNTIF(H223:L223,"是")</x:f>
        <x:v>3</x:v>
      </x:c>
      <x:c r="N223" s="217" t="str">
        <x:v>三份皆入選</x:v>
      </x:c>
      <x:c r="O223" s="220" t="n">
        <x:v>90.49166666666666</x:v>
      </x:c>
      <x:c r="P223" s="220" t="n">
        <x:v>84.14166666666667</x:v>
      </x:c>
      <x:c r="Q223" s="220" t="n">
        <x:v>6.35</x:v>
      </x:c>
      <x:c r="R223" s="220" t="n">
        <x:v>0.07017220738557878</x:v>
      </x:c>
      <x:c r="S223" s="220" t="n">
        <x:v>114.80645161290323</x:v>
      </x:c>
      <x:c r="T223" s="220" t="n">
        <x:v>110</x:v>
      </x:c>
      <x:c r="U223" s="220" t="n">
        <x:v>4.806451612903226</x:v>
      </x:c>
      <x:c r="V223" s="218" t="n">
        <x:v>0.0576036866359447</x:v>
      </x:c>
      <x:c r="W223" s="217" t="n">
        <x:v>8</x:v>
      </x:c>
      <x:c r="X223" s="222" t="n">
        <x:v>1560</x:v>
      </x:c>
      <x:c r="Y223" s="217" t="n">
        <x:v>35</x:v>
      </x:c>
    </x:row>
    <x:row r="224">
      <x:c r="A224" s="216" t="n">
        <x:v>1320</x:v>
      </x:c>
      <x:c r="B224" s="216" t="str">
        <x:v>重慶國小</x:v>
      </x:c>
      <x:c r="C224" s="216" t="str">
        <x:v>板橋區</x:v>
      </x:c>
      <x:c r="D224" s="216" t="n">
        <x:v>41</x:v>
      </x:c>
      <x:c r="E224" s="216" t="n">
        <x:v>120</x:v>
      </x:c>
      <x:c r="F224" s="219" t="n">
        <x:v>0.9994791666666667</x:v>
      </x:c>
      <x:c r="G224" s="216" t="n">
        <x:v>220</x:v>
      </x:c>
      <x:c r="H224" s="216" t="str">
        <x:f>IF(G224&lt;='排名定義'!$B$5,"是","")</x:f>
        <x:v>是</x:v>
      </x:c>
      <x:c r="I224" s="216" t="n">
        <x:v>224</x:v>
      </x:c>
      <x:c r="J224" s="216" t="str">
        <x:f>IF(I224&lt;='排名定義'!$B$5,"是","")</x:f>
        <x:v>是</x:v>
      </x:c>
      <x:c r="K224" s="216" t="n">
        <x:v>284</x:v>
      </x:c>
      <x:c r="L224" s="216" t="str">
        <x:f>IF(K224&lt;='排名定義'!$B$5,"是","")</x:f>
        <x:v>是</x:v>
      </x:c>
      <x:c r="M224" s="216" t="n">
        <x:f>COUNTIF(H224:L224,"是")</x:f>
        <x:v>3</x:v>
      </x:c>
      <x:c r="N224" s="216" t="str">
        <x:v>三份皆入選</x:v>
      </x:c>
      <x:c r="O224" s="221" t="n">
        <x:v>90.21666666666667</x:v>
      </x:c>
      <x:c r="P224" s="221" t="n">
        <x:v>83.725</x:v>
      </x:c>
      <x:c r="Q224" s="221" t="n">
        <x:v>6.491666666666666</x:v>
      </x:c>
      <x:c r="R224" s="221" t="n">
        <x:v>0.071956401256235</x:v>
      </x:c>
      <x:c r="S224" s="221" t="n">
        <x:v>113.29032258064517</x:v>
      </x:c>
      <x:c r="T224" s="221" t="n">
        <x:v>108.96774193548387</x:v>
      </x:c>
      <x:c r="U224" s="221" t="n">
        <x:v>4.32258064516129</x:v>
      </x:c>
      <x:c r="V224" s="219" t="n">
        <x:v>0.04608294930875576</x:v>
      </x:c>
      <x:c r="W224" s="216" t="n">
        <x:v>13</x:v>
      </x:c>
      <x:c r="X224" s="223" t="n">
        <x:v>1680</x:v>
      </x:c>
      <x:c r="Y224" s="216" t="n">
        <x:v>41</x:v>
      </x:c>
    </x:row>
    <x:row r="225">
      <x:c r="A225" s="217" t="n">
        <x:v>44</x:v>
      </x:c>
      <x:c r="B225" s="217" t="str">
        <x:v>捷運板新站</x:v>
      </x:c>
      <x:c r="C225" s="217" t="str">
        <x:v>板橋區</x:v>
      </x:c>
      <x:c r="D225" s="217" t="n">
        <x:v>96</x:v>
      </x:c>
      <x:c r="E225" s="217" t="n">
        <x:v>120</x:v>
      </x:c>
      <x:c r="F225" s="218" t="n">
        <x:v>0.9994791666666667</x:v>
      </x:c>
      <x:c r="G225" s="217" t="n">
        <x:v>221</x:v>
      </x:c>
      <x:c r="H225" s="217" t="str">
        <x:f>IF(G225&lt;='排名定義'!$B$5,"是","")</x:f>
        <x:v>是</x:v>
      </x:c>
      <x:c r="I225" s="217" t="n">
        <x:v>239</x:v>
      </x:c>
      <x:c r="J225" s="217" t="str">
        <x:f>IF(I225&lt;='排名定義'!$B$5,"是","")</x:f>
        <x:v>是</x:v>
      </x:c>
      <x:c r="K225" s="217" t="n">
        <x:v>91</x:v>
      </x:c>
      <x:c r="L225" s="217" t="str">
        <x:f>IF(K225&lt;='排名定義'!$B$5,"是","")</x:f>
        <x:v>是</x:v>
      </x:c>
      <x:c r="M225" s="217" t="n">
        <x:f>COUNTIF(H225:L225,"是")</x:f>
        <x:v>3</x:v>
      </x:c>
      <x:c r="N225" s="217" t="str">
        <x:v>三份皆入選</x:v>
      </x:c>
      <x:c r="O225" s="220" t="n">
        <x:v>90.20833333333333</x:v>
      </x:c>
      <x:c r="P225" s="220" t="n">
        <x:v>81.4</x:v>
      </x:c>
      <x:c r="Q225" s="220" t="n">
        <x:v>8.808333333333334</x:v>
      </x:c>
      <x:c r="R225" s="220" t="n">
        <x:v>0.09764434180138568</x:v>
      </x:c>
      <x:c r="S225" s="220" t="n">
        <x:v>131.29032258064515</x:v>
      </x:c>
      <x:c r="T225" s="220" t="n">
        <x:v>125.41935483870968</x:v>
      </x:c>
      <x:c r="U225" s="220" t="n">
        <x:v>5.870967741935484</x:v>
      </x:c>
      <x:c r="V225" s="218" t="n">
        <x:v>0.029953917050691243</x:v>
      </x:c>
      <x:c r="W225" s="217" t="n">
        <x:v>10</x:v>
      </x:c>
      <x:c r="X225" s="222" t="n">
        <x:v>1590</x:v>
      </x:c>
      <x:c r="Y225" s="217" t="n">
        <x:v>96</x:v>
      </x:c>
    </x:row>
    <x:row r="226">
      <x:c r="A226" s="216" t="n">
        <x:v>1192</x:v>
      </x:c>
      <x:c r="B226" s="216" t="str">
        <x:v>埤墘公園</x:v>
      </x:c>
      <x:c r="C226" s="216" t="str">
        <x:v>板橋區</x:v>
      </x:c>
      <x:c r="D226" s="216" t="n">
        <x:v>37</x:v>
      </x:c>
      <x:c r="E226" s="216" t="n">
        <x:v>120</x:v>
      </x:c>
      <x:c r="F226" s="219" t="n">
        <x:v>0.9994791666666667</x:v>
      </x:c>
      <x:c r="G226" s="216" t="n">
        <x:v>222</x:v>
      </x:c>
      <x:c r="H226" s="216" t="str">
        <x:f>IF(G226&lt;='排名定義'!$B$5,"是","")</x:f>
        <x:v>是</x:v>
      </x:c>
      <x:c r="I226" s="216" t="n">
        <x:v>207</x:v>
      </x:c>
      <x:c r="J226" s="216" t="str">
        <x:f>IF(I226&lt;='排名定義'!$B$5,"是","")</x:f>
        <x:v>是</x:v>
      </x:c>
      <x:c r="K226" s="216" t="n">
        <x:v>528</x:v>
      </x:c>
      <x:c r="L226" s="216" t="str">
        <x:f>IF(K226&lt;='排名定義'!$B$5,"是","")</x:f>
        <x:v>是</x:v>
      </x:c>
      <x:c r="M226" s="216" t="n">
        <x:f>COUNTIF(H226:L226,"是")</x:f>
        <x:v>3</x:v>
      </x:c>
      <x:c r="N226" s="216" t="str">
        <x:v>總變動＋一般變動</x:v>
      </x:c>
      <x:c r="O226" s="221" t="n">
        <x:v>90.20833333333333</x:v>
      </x:c>
      <x:c r="P226" s="221" t="n">
        <x:v>85.175</x:v>
      </x:c>
      <x:c r="Q226" s="221" t="n">
        <x:v>5.033333333333333</x:v>
      </x:c>
      <x:c r="R226" s="221" t="n">
        <x:v>0.05579676674364896</x:v>
      </x:c>
      <x:c r="S226" s="221" t="n">
        <x:v>109.64516129032258</x:v>
      </x:c>
      <x:c r="T226" s="221" t="n">
        <x:v>104.45161290322581</x:v>
      </x:c>
      <x:c r="U226" s="221" t="n">
        <x:v>5.193548387096774</x:v>
      </x:c>
      <x:c r="V226" s="219" t="n">
        <x:v>0.17511520737327188</x:v>
      </x:c>
      <x:c r="W226" s="216" t="n">
        <x:v>35</x:v>
      </x:c>
      <x:c r="X226" s="223" t="n">
        <x:v>4140</x:v>
      </x:c>
      <x:c r="Y226" s="216" t="n">
        <x:v>37</x:v>
      </x:c>
    </x:row>
    <x:row r="227">
      <x:c r="A227" s="217" t="n">
        <x:v>865</x:v>
      </x:c>
      <x:c r="B227" s="217" t="str">
        <x:v>西盛公園</x:v>
      </x:c>
      <x:c r="C227" s="217" t="str">
        <x:v>新莊區</x:v>
      </x:c>
      <x:c r="D227" s="217" t="n">
        <x:v>24</x:v>
      </x:c>
      <x:c r="E227" s="217" t="n">
        <x:v>120</x:v>
      </x:c>
      <x:c r="F227" s="218" t="n">
        <x:v>0.9994791666666667</x:v>
      </x:c>
      <x:c r="G227" s="217" t="n">
        <x:v>223</x:v>
      </x:c>
      <x:c r="H227" s="217" t="str">
        <x:f>IF(G227&lt;='排名定義'!$B$5,"是","")</x:f>
        <x:v>是</x:v>
      </x:c>
      <x:c r="I227" s="217" t="n">
        <x:v>217</x:v>
      </x:c>
      <x:c r="J227" s="217" t="str">
        <x:f>IF(I227&lt;='排名定義'!$B$5,"是","")</x:f>
        <x:v>是</x:v>
      </x:c>
      <x:c r="K227" s="217" t="n">
        <x:v>516</x:v>
      </x:c>
      <x:c r="L227" s="217" t="str">
        <x:f>IF(K227&lt;='排名定義'!$B$5,"是","")</x:f>
        <x:v>是</x:v>
      </x:c>
      <x:c r="M227" s="217" t="n">
        <x:f>COUNTIF(H227:L227,"是")</x:f>
        <x:v>3</x:v>
      </x:c>
      <x:c r="N227" s="217" t="str">
        <x:v>總變動＋一般變動</x:v>
      </x:c>
      <x:c r="O227" s="220" t="n">
        <x:v>89.64166666666667</x:v>
      </x:c>
      <x:c r="P227" s="220" t="n">
        <x:v>84.55833333333334</x:v>
      </x:c>
      <x:c r="Q227" s="220" t="n">
        <x:v>5.083333333333333</x:v>
      </x:c>
      <x:c r="R227" s="220" t="n">
        <x:v>0.05670726038858418</x:v>
      </x:c>
      <x:c r="S227" s="220" t="n">
        <x:v>116.38709677419355</x:v>
      </x:c>
      <x:c r="T227" s="220" t="n">
        <x:v>110.70967741935483</x:v>
      </x:c>
      <x:c r="U227" s="220" t="n">
        <x:v>5.67741935483871</x:v>
      </x:c>
      <x:c r="V227" s="218" t="n">
        <x:v>0.055299539170506916</x:v>
      </x:c>
      <x:c r="W227" s="217" t="n">
        <x:v>5</x:v>
      </x:c>
      <x:c r="X227" s="222" t="n">
        <x:v>1080</x:v>
      </x:c>
      <x:c r="Y227" s="217" t="n">
        <x:v>24</x:v>
      </x:c>
    </x:row>
    <x:row r="228">
      <x:c r="A228" s="216" t="n">
        <x:v>1</x:v>
      </x:c>
      <x:c r="B228" s="216" t="str">
        <x:v>三井Outlet</x:v>
      </x:c>
      <x:c r="C228" s="216" t="str">
        <x:v>林口區</x:v>
      </x:c>
      <x:c r="D228" s="216" t="n">
        <x:v>63</x:v>
      </x:c>
      <x:c r="E228" s="216" t="n">
        <x:v>120</x:v>
      </x:c>
      <x:c r="F228" s="219" t="n">
        <x:v>0.9994791666666667</x:v>
      </x:c>
      <x:c r="G228" s="216" t="n">
        <x:v>224</x:v>
      </x:c>
      <x:c r="H228" s="216" t="str">
        <x:f>IF(G228&lt;='排名定義'!$B$5,"是","")</x:f>
        <x:v>是</x:v>
      </x:c>
      <x:c r="I228" s="216" t="n">
        <x:v>232</x:v>
      </x:c>
      <x:c r="J228" s="216" t="str">
        <x:f>IF(I228&lt;='排名定義'!$B$5,"是","")</x:f>
        <x:v>是</x:v>
      </x:c>
      <x:c r="K228" s="216" t="n">
        <x:v>211</x:v>
      </x:c>
      <x:c r="L228" s="216" t="str">
        <x:f>IF(K228&lt;='排名定義'!$B$5,"是","")</x:f>
        <x:v>是</x:v>
      </x:c>
      <x:c r="M228" s="216" t="n">
        <x:f>COUNTIF(H228:L228,"是")</x:f>
        <x:v>3</x:v>
      </x:c>
      <x:c r="N228" s="216" t="str">
        <x:v>三份皆入選</x:v>
      </x:c>
      <x:c r="O228" s="221" t="n">
        <x:v>89.59166666666667</x:v>
      </x:c>
      <x:c r="P228" s="221" t="n">
        <x:v>82.49166666666666</x:v>
      </x:c>
      <x:c r="Q228" s="221" t="n">
        <x:v>7.1</x:v>
      </x:c>
      <x:c r="R228" s="221" t="n">
        <x:v>0.07924844200539485</x:v>
      </x:c>
      <x:c r="S228" s="221" t="n">
        <x:v>131.6451612903226</x:v>
      </x:c>
      <x:c r="T228" s="221" t="n">
        <x:v>125.90322580645162</x:v>
      </x:c>
      <x:c r="U228" s="221" t="n">
        <x:v>5.741935483870968</x:v>
      </x:c>
      <x:c r="V228" s="219" t="n">
        <x:v>0.02304147465437788</x:v>
      </x:c>
      <x:c r="W228" s="216" t="n">
        <x:v>13</x:v>
      </x:c>
      <x:c r="X228" s="223" t="n">
        <x:v>1530</x:v>
      </x:c>
      <x:c r="Y228" s="216" t="n">
        <x:v>63</x:v>
      </x:c>
    </x:row>
    <x:row r="229">
      <x:c r="A229" s="217" t="n">
        <x:v>1110</x:v>
      </x:c>
      <x:c r="B229" s="217" t="str">
        <x:v>永豐公園活動中心</x:v>
      </x:c>
      <x:c r="C229" s="217" t="str">
        <x:v>板橋區</x:v>
      </x:c>
      <x:c r="D229" s="217" t="n">
        <x:v>32</x:v>
      </x:c>
      <x:c r="E229" s="217" t="n">
        <x:v>120</x:v>
      </x:c>
      <x:c r="F229" s="218" t="n">
        <x:v>0.9994791666666667</x:v>
      </x:c>
      <x:c r="G229" s="217" t="n">
        <x:v>225</x:v>
      </x:c>
      <x:c r="H229" s="217" t="str">
        <x:f>IF(G229&lt;='排名定義'!$B$5,"是","")</x:f>
        <x:v>是</x:v>
      </x:c>
      <x:c r="I229" s="217" t="n">
        <x:v>223</x:v>
      </x:c>
      <x:c r="J229" s="217" t="str">
        <x:f>IF(I229&lt;='排名定義'!$B$5,"是","")</x:f>
        <x:v>是</x:v>
      </x:c>
      <x:c r="K229" s="217" t="n">
        <x:v>398</x:v>
      </x:c>
      <x:c r="L229" s="217" t="str">
        <x:f>IF(K229&lt;='排名定義'!$B$5,"是","")</x:f>
        <x:v>是</x:v>
      </x:c>
      <x:c r="M229" s="217" t="n">
        <x:f>COUNTIF(H229:L229,"是")</x:f>
        <x:v>3</x:v>
      </x:c>
      <x:c r="N229" s="217" t="str">
        <x:v>總變動＋一般變動</x:v>
      </x:c>
      <x:c r="O229" s="220" t="n">
        <x:v>89.54166666666667</x:v>
      </x:c>
      <x:c r="P229" s="220" t="n">
        <x:v>83.80833333333334</x:v>
      </x:c>
      <x:c r="Q229" s="220" t="n">
        <x:v>5.733333333333333</x:v>
      </x:c>
      <x:c r="R229" s="220" t="n">
        <x:v>0.06402978129362494</x:v>
      </x:c>
      <x:c r="S229" s="220" t="n">
        <x:v>110.29032258064517</x:v>
      </x:c>
      <x:c r="T229" s="220" t="n">
        <x:v>105.35483870967742</x:v>
      </x:c>
      <x:c r="U229" s="220" t="n">
        <x:v>4.935483870967742</x:v>
      </x:c>
      <x:c r="V229" s="218" t="n">
        <x:v>0.0944700460829493</x:v>
      </x:c>
      <x:c r="W229" s="217" t="n">
        <x:v>30</x:v>
      </x:c>
      <x:c r="X229" s="222" t="n">
        <x:v>3390</x:v>
      </x:c>
      <x:c r="Y229" s="217" t="n">
        <x:v>32</x:v>
      </x:c>
    </x:row>
    <x:row r="230">
      <x:c r="A230" s="216" t="n">
        <x:v>1213</x:v>
      </x:c>
      <x:c r="B230" s="216" t="str">
        <x:v>光復國小</x:v>
      </x:c>
      <x:c r="C230" s="216" t="str">
        <x:v>板橋區</x:v>
      </x:c>
      <x:c r="D230" s="216" t="n">
        <x:v>38</x:v>
      </x:c>
      <x:c r="E230" s="216" t="n">
        <x:v>120</x:v>
      </x:c>
      <x:c r="F230" s="219" t="n">
        <x:v>0.9994791666666667</x:v>
      </x:c>
      <x:c r="G230" s="216" t="n">
        <x:v>226</x:v>
      </x:c>
      <x:c r="H230" s="216" t="str">
        <x:f>IF(G230&lt;='排名定義'!$B$5,"是","")</x:f>
        <x:v>是</x:v>
      </x:c>
      <x:c r="I230" s="216" t="n">
        <x:v>225</x:v>
      </x:c>
      <x:c r="J230" s="216" t="str">
        <x:f>IF(I230&lt;='排名定義'!$B$5,"是","")</x:f>
        <x:v>是</x:v>
      </x:c>
      <x:c r="K230" s="216" t="n">
        <x:v>314</x:v>
      </x:c>
      <x:c r="L230" s="216" t="str">
        <x:f>IF(K230&lt;='排名定義'!$B$5,"是","")</x:f>
        <x:v>是</x:v>
      </x:c>
      <x:c r="M230" s="216" t="n">
        <x:f>COUNTIF(H230:L230,"是")</x:f>
        <x:v>3</x:v>
      </x:c>
      <x:c r="N230" s="216" t="str">
        <x:v>三份皆入選</x:v>
      </x:c>
      <x:c r="O230" s="221" t="n">
        <x:v>89.525</x:v>
      </x:c>
      <x:c r="P230" s="221" t="n">
        <x:v>83.26666666666667</x:v>
      </x:c>
      <x:c r="Q230" s="221" t="n">
        <x:v>6.258333333333334</x:v>
      </x:c>
      <x:c r="R230" s="221" t="n">
        <x:v>0.06990598529274877</x:v>
      </x:c>
      <x:c r="S230" s="221" t="n">
        <x:v>126.48387096774194</x:v>
      </x:c>
      <x:c r="T230" s="221" t="n">
        <x:v>121.41935483870968</x:v>
      </x:c>
      <x:c r="U230" s="221" t="n">
        <x:v>5.064516129032258</x:v>
      </x:c>
      <x:c r="V230" s="219" t="n">
        <x:v>0.07373271889400922</x:v>
      </x:c>
      <x:c r="W230" s="216" t="n">
        <x:v>9</x:v>
      </x:c>
      <x:c r="X230" s="223" t="n">
        <x:v>2160</x:v>
      </x:c>
      <x:c r="Y230" s="216" t="n">
        <x:v>38</x:v>
      </x:c>
    </x:row>
    <x:row r="231">
      <x:c r="A231" s="217" t="n">
        <x:v>654</x:v>
      </x:c>
      <x:c r="B231" s="217" t="str">
        <x:v>廣福國小</x:v>
      </x:c>
      <x:c r="C231" s="217" t="str">
        <x:v>土城區</x:v>
      </x:c>
      <x:c r="D231" s="217" t="n">
        <x:v>20</x:v>
      </x:c>
      <x:c r="E231" s="217" t="n">
        <x:v>120</x:v>
      </x:c>
      <x:c r="F231" s="218" t="n">
        <x:v>0.9994791666666667</x:v>
      </x:c>
      <x:c r="G231" s="217" t="n">
        <x:v>227</x:v>
      </x:c>
      <x:c r="H231" s="217" t="str">
        <x:f>IF(G231&lt;='排名定義'!$B$5,"是","")</x:f>
        <x:v>是</x:v>
      </x:c>
      <x:c r="I231" s="217" t="n">
        <x:v>218</x:v>
      </x:c>
      <x:c r="J231" s="217" t="str">
        <x:f>IF(I231&lt;='排名定義'!$B$5,"是","")</x:f>
        <x:v>是</x:v>
      </x:c>
      <x:c r="K231" s="217" t="n">
        <x:v>529</x:v>
      </x:c>
      <x:c r="L231" s="217" t="str">
        <x:f>IF(K231&lt;='排名定義'!$B$5,"是","")</x:f>
        <x:v>是</x:v>
      </x:c>
      <x:c r="M231" s="217" t="n">
        <x:f>COUNTIF(H231:L231,"是")</x:f>
        <x:v>3</x:v>
      </x:c>
      <x:c r="N231" s="217" t="str">
        <x:v>總變動＋一般變動</x:v>
      </x:c>
      <x:c r="O231" s="220" t="n">
        <x:v>89.48333333333333</x:v>
      </x:c>
      <x:c r="P231" s="220" t="n">
        <x:v>84.45833333333333</x:v>
      </x:c>
      <x:c r="Q231" s="220" t="n">
        <x:v>5.025</x:v>
      </x:c>
      <x:c r="R231" s="220" t="n">
        <x:v>0.05615570869808158</x:v>
      </x:c>
      <x:c r="S231" s="220" t="n">
        <x:v>116.2258064516129</x:v>
      </x:c>
      <x:c r="T231" s="220" t="n">
        <x:v>110.19354838709677</x:v>
      </x:c>
      <x:c r="U231" s="220" t="n">
        <x:v>6.032258064516129</x:v>
      </x:c>
      <x:c r="V231" s="218" t="n">
        <x:v>0.11981566820276497</x:v>
      </x:c>
      <x:c r="W231" s="217" t="n">
        <x:v>28</x:v>
      </x:c>
      <x:c r="X231" s="222" t="n">
        <x:v>4230</x:v>
      </x:c>
      <x:c r="Y231" s="217" t="n">
        <x:v>20</x:v>
      </x:c>
    </x:row>
    <x:row r="232">
      <x:c r="A232" s="216" t="n">
        <x:v>910</x:v>
      </x:c>
      <x:c r="B232" s="216" t="str">
        <x:v>捷運江子翠站(2號出口)</x:v>
      </x:c>
      <x:c r="C232" s="216" t="str">
        <x:v>板橋區</x:v>
      </x:c>
      <x:c r="D232" s="216" t="n">
        <x:v>26</x:v>
      </x:c>
      <x:c r="E232" s="216" t="n">
        <x:v>120</x:v>
      </x:c>
      <x:c r="F232" s="219" t="n">
        <x:v>0.9994791666666667</x:v>
      </x:c>
      <x:c r="G232" s="216" t="n">
        <x:v>228</x:v>
      </x:c>
      <x:c r="H232" s="216" t="str">
        <x:f>IF(G232&lt;='排名定義'!$B$5,"是","")</x:f>
        <x:v>是</x:v>
      </x:c>
      <x:c r="I232" s="216" t="n">
        <x:v>235</x:v>
      </x:c>
      <x:c r="J232" s="216" t="str">
        <x:f>IF(I232&lt;='排名定義'!$B$5,"是","")</x:f>
        <x:v>是</x:v>
      </x:c>
      <x:c r="K232" s="216" t="n">
        <x:v>186</x:v>
      </x:c>
      <x:c r="L232" s="216" t="str">
        <x:f>IF(K232&lt;='排名定義'!$B$5,"是","")</x:f>
        <x:v>是</x:v>
      </x:c>
      <x:c r="M232" s="216" t="n">
        <x:f>COUNTIF(H232:L232,"是")</x:f>
        <x:v>3</x:v>
      </x:c>
      <x:c r="N232" s="216" t="str">
        <x:v>三份皆入選</x:v>
      </x:c>
      <x:c r="O232" s="221" t="n">
        <x:v>89.43333333333334</x:v>
      </x:c>
      <x:c r="P232" s="221" t="n">
        <x:v>82.10833333333333</x:v>
      </x:c>
      <x:c r="Q232" s="221" t="n">
        <x:v>7.325</x:v>
      </x:c>
      <x:c r="R232" s="221" t="n">
        <x:v>0.08190458442042489</x:v>
      </x:c>
      <x:c r="S232" s="221" t="n">
        <x:v>97.90322580645162</x:v>
      </x:c>
      <x:c r="T232" s="221" t="n">
        <x:v>92.87096774193549</x:v>
      </x:c>
      <x:c r="U232" s="221" t="n">
        <x:v>5.032258064516129</x:v>
      </x:c>
      <x:c r="V232" s="219" t="n">
        <x:v>0.2119815668202765</x:v>
      </x:c>
      <x:c r="W232" s="216" t="n">
        <x:v>81</x:v>
      </x:c>
      <x:c r="X232" s="223" t="n">
        <x:v>9450</x:v>
      </x:c>
      <x:c r="Y232" s="216" t="n">
        <x:v>26</x:v>
      </x:c>
    </x:row>
    <x:row r="233">
      <x:c r="A233" s="217" t="n">
        <x:v>20</x:v>
      </x:c>
      <x:c r="B233" s="217" t="str">
        <x:v>央北三中央路口(全陽大璽)</x:v>
      </x:c>
      <x:c r="C233" s="217" t="str">
        <x:v>新店區</x:v>
      </x:c>
      <x:c r="D233" s="217" t="n">
        <x:v>73</x:v>
      </x:c>
      <x:c r="E233" s="217" t="n">
        <x:v>120</x:v>
      </x:c>
      <x:c r="F233" s="218" t="n">
        <x:v>0.9994791666666667</x:v>
      </x:c>
      <x:c r="G233" s="217" t="n">
        <x:v>229</x:v>
      </x:c>
      <x:c r="H233" s="217" t="str">
        <x:f>IF(G233&lt;='排名定義'!$B$5,"是","")</x:f>
        <x:v>是</x:v>
      </x:c>
      <x:c r="I233" s="217" t="n">
        <x:v>222</x:v>
      </x:c>
      <x:c r="J233" s="217" t="str">
        <x:f>IF(I233&lt;='排名定義'!$B$5,"是","")</x:f>
        <x:v>是</x:v>
      </x:c>
      <x:c r="K233" s="217" t="n">
        <x:v>436</x:v>
      </x:c>
      <x:c r="L233" s="217" t="str">
        <x:f>IF(K233&lt;='排名定義'!$B$5,"是","")</x:f>
        <x:v>是</x:v>
      </x:c>
      <x:c r="M233" s="217" t="n">
        <x:f>COUNTIF(H233:L233,"是")</x:f>
        <x:v>3</x:v>
      </x:c>
      <x:c r="N233" s="217" t="str">
        <x:v>總變動＋一般變動</x:v>
      </x:c>
      <x:c r="O233" s="220" t="n">
        <x:v>89.35833333333333</x:v>
      </x:c>
      <x:c r="P233" s="220" t="n">
        <x:v>83.85833333333333</x:v>
      </x:c>
      <x:c r="Q233" s="220" t="n">
        <x:v>5.5</x:v>
      </x:c>
      <x:c r="R233" s="220" t="n">
        <x:v>0.061549939382635456</x:v>
      </x:c>
      <x:c r="S233" s="220" t="n">
        <x:v>130.03225806451613</x:v>
      </x:c>
      <x:c r="T233" s="220" t="n">
        <x:v>123.45161290322581</x:v>
      </x:c>
      <x:c r="U233" s="220" t="n">
        <x:v>6.580645161290323</x:v>
      </x:c>
      <x:c r="V233" s="218" t="n">
        <x:v>0.027649769585253458</x:v>
      </x:c>
      <x:c r="W233" s="217" t="n">
        <x:v>4</x:v>
      </x:c>
      <x:c r="X233" s="222" t="n">
        <x:v>600</x:v>
      </x:c>
      <x:c r="Y233" s="217" t="n">
        <x:v>73</x:v>
      </x:c>
    </x:row>
    <x:row r="234">
      <x:c r="A234" s="216" t="n">
        <x:v>1485</x:v>
      </x:c>
      <x:c r="B234" s="216" t="str">
        <x:v>捷運新店站</x:v>
      </x:c>
      <x:c r="C234" s="216" t="str">
        <x:v>新店區</x:v>
      </x:c>
      <x:c r="D234" s="216" t="n">
        <x:v>55</x:v>
      </x:c>
      <x:c r="E234" s="216" t="n">
        <x:v>120</x:v>
      </x:c>
      <x:c r="F234" s="219" t="n">
        <x:v>0.9994791666666667</x:v>
      </x:c>
      <x:c r="G234" s="216" t="n">
        <x:v>230</x:v>
      </x:c>
      <x:c r="H234" s="216" t="str">
        <x:f>IF(G234&lt;='排名定義'!$B$5,"是","")</x:f>
        <x:v>是</x:v>
      </x:c>
      <x:c r="I234" s="216" t="n">
        <x:v>230</x:v>
      </x:c>
      <x:c r="J234" s="216" t="str">
        <x:f>IF(I234&lt;='排名定義'!$B$5,"是","")</x:f>
        <x:v>是</x:v>
      </x:c>
      <x:c r="K234" s="216" t="n">
        <x:v>257</x:v>
      </x:c>
      <x:c r="L234" s="216" t="str">
        <x:f>IF(K234&lt;='排名定義'!$B$5,"是","")</x:f>
        <x:v>是</x:v>
      </x:c>
      <x:c r="M234" s="216" t="n">
        <x:f>COUNTIF(H234:L234,"是")</x:f>
        <x:v>3</x:v>
      </x:c>
      <x:c r="N234" s="216" t="str">
        <x:v>三份皆入選</x:v>
      </x:c>
      <x:c r="O234" s="221" t="n">
        <x:v>89.30833333333334</x:v>
      </x:c>
      <x:c r="P234" s="221" t="n">
        <x:v>82.56666666666666</x:v>
      </x:c>
      <x:c r="Q234" s="221" t="n">
        <x:v>6.741666666666666</x:v>
      </x:c>
      <x:c r="R234" s="221" t="n">
        <x:v>0.07548754315573387</x:v>
      </x:c>
      <x:c r="S234" s="221" t="n">
        <x:v>148.61290322580646</x:v>
      </x:c>
      <x:c r="T234" s="221" t="n">
        <x:v>141.83870967741936</x:v>
      </x:c>
      <x:c r="U234" s="221" t="n">
        <x:v>6.774193548387097</x:v>
      </x:c>
      <x:c r="V234" s="219" t="n">
        <x:v>0.0069124423963133645</x:v>
      </x:c>
      <x:c r="W234" s="216" t="n">
        <x:v>2</x:v>
      </x:c>
      <x:c r="X234" s="223" t="n">
        <x:v>330</x:v>
      </x:c>
      <x:c r="Y234" s="216" t="n">
        <x:v>55</x:v>
      </x:c>
    </x:row>
    <x:row r="235">
      <x:c r="A235" s="217" t="n">
        <x:v>994</x:v>
      </x:c>
      <x:c r="B235" s="217" t="str">
        <x:v>民生中山路口</x:v>
      </x:c>
      <x:c r="C235" s="217" t="str">
        <x:v>板橋區</x:v>
      </x:c>
      <x:c r="D235" s="217" t="n">
        <x:v>29</x:v>
      </x:c>
      <x:c r="E235" s="217" t="n">
        <x:v>120</x:v>
      </x:c>
      <x:c r="F235" s="218" t="n">
        <x:v>0.9994791666666667</x:v>
      </x:c>
      <x:c r="G235" s="217" t="n">
        <x:v>231</x:v>
      </x:c>
      <x:c r="H235" s="217" t="str">
        <x:f>IF(G235&lt;='排名定義'!$B$5,"是","")</x:f>
        <x:v>是</x:v>
      </x:c>
      <x:c r="I235" s="217" t="n">
        <x:v>221</x:v>
      </x:c>
      <x:c r="J235" s="217" t="str">
        <x:f>IF(I235&lt;='排名定義'!$B$5,"是","")</x:f>
        <x:v>是</x:v>
      </x:c>
      <x:c r="K235" s="217" t="n">
        <x:v>496</x:v>
      </x:c>
      <x:c r="L235" s="217" t="str">
        <x:f>IF(K235&lt;='排名定義'!$B$5,"是","")</x:f>
        <x:v>是</x:v>
      </x:c>
      <x:c r="M235" s="217" t="n">
        <x:f>COUNTIF(H235:L235,"是")</x:f>
        <x:v>3</x:v>
      </x:c>
      <x:c r="N235" s="217" t="str">
        <x:v>總變動＋一般變動</x:v>
      </x:c>
      <x:c r="O235" s="220" t="n">
        <x:v>89.04166666666667</x:v>
      </x:c>
      <x:c r="P235" s="220" t="n">
        <x:v>83.875</x:v>
      </x:c>
      <x:c r="Q235" s="220" t="n">
        <x:v>5.166666666666667</x:v>
      </x:c>
      <x:c r="R235" s="220" t="n">
        <x:v>0.05802526906878802</x:v>
      </x:c>
      <x:c r="S235" s="220" t="n">
        <x:v>109.58064516129032</x:v>
      </x:c>
      <x:c r="T235" s="220" t="n">
        <x:v>105.09677419354838</x:v>
      </x:c>
      <x:c r="U235" s="220" t="n">
        <x:v>4.483870967741935</x:v>
      </x:c>
      <x:c r="V235" s="218" t="n">
        <x:v>0.12903225806451613</x:v>
      </x:c>
      <x:c r="W235" s="217" t="n">
        <x:v>27</x:v>
      </x:c>
      <x:c r="X235" s="222" t="n">
        <x:v>3570</x:v>
      </x:c>
      <x:c r="Y235" s="217" t="n">
        <x:v>29</x:v>
      </x:c>
    </x:row>
    <x:row r="236">
      <x:c r="A236" s="216" t="n">
        <x:v>1295</x:v>
      </x:c>
      <x:c r="B236" s="216" t="str">
        <x:v>台北慈濟醫院</x:v>
      </x:c>
      <x:c r="C236" s="216" t="str">
        <x:v>新店區</x:v>
      </x:c>
      <x:c r="D236" s="216" t="n">
        <x:v>40</x:v>
      </x:c>
      <x:c r="E236" s="216" t="n">
        <x:v>120</x:v>
      </x:c>
      <x:c r="F236" s="219" t="n">
        <x:v>0.9994791666666667</x:v>
      </x:c>
      <x:c r="G236" s="216" t="n">
        <x:v>232</x:v>
      </x:c>
      <x:c r="H236" s="216" t="str">
        <x:f>IF(G236&lt;='排名定義'!$B$5,"是","")</x:f>
        <x:v>是</x:v>
      </x:c>
      <x:c r="I236" s="216" t="n">
        <x:v>237</x:v>
      </x:c>
      <x:c r="J236" s="216" t="str">
        <x:f>IF(I236&lt;='排名定義'!$B$5,"是","")</x:f>
        <x:v>是</x:v>
      </x:c>
      <x:c r="K236" s="216" t="n">
        <x:v>194</x:v>
      </x:c>
      <x:c r="L236" s="216" t="str">
        <x:f>IF(K236&lt;='排名定義'!$B$5,"是","")</x:f>
        <x:v>是</x:v>
      </x:c>
      <x:c r="M236" s="216" t="n">
        <x:f>COUNTIF(H236:L236,"是")</x:f>
        <x:v>3</x:v>
      </x:c>
      <x:c r="N236" s="216" t="str">
        <x:v>三份皆入選</x:v>
      </x:c>
      <x:c r="O236" s="221" t="n">
        <x:v>89.00833333333334</x:v>
      </x:c>
      <x:c r="P236" s="221" t="n">
        <x:v>81.79166666666667</x:v>
      </x:c>
      <x:c r="Q236" s="221" t="n">
        <x:v>7.216666666666667</x:v>
      </x:c>
      <x:c r="R236" s="221" t="n">
        <x:v>0.08107855069750024</x:v>
      </x:c>
      <x:c r="S236" s="221" t="n">
        <x:v>130.96774193548387</x:v>
      </x:c>
      <x:c r="T236" s="221" t="n">
        <x:v>124.41935483870968</x:v>
      </x:c>
      <x:c r="U236" s="221" t="n">
        <x:v>6.548387096774194</x:v>
      </x:c>
      <x:c r="V236" s="219" t="n">
        <x:v>0.03456221198156682</x:v>
      </x:c>
      <x:c r="W236" s="216" t="n">
        <x:v>5</x:v>
      </x:c>
      <x:c r="X236" s="223" t="n">
        <x:v>1050</x:v>
      </x:c>
      <x:c r="Y236" s="216" t="n">
        <x:v>40</x:v>
      </x:c>
    </x:row>
    <x:row r="237">
      <x:c r="A237" s="217" t="n">
        <x:v>989</x:v>
      </x:c>
      <x:c r="B237" s="217" t="str">
        <x:v>元氣大鎮社區</x:v>
      </x:c>
      <x:c r="C237" s="217" t="str">
        <x:v>中和區</x:v>
      </x:c>
      <x:c r="D237" s="217" t="n">
        <x:v>29</x:v>
      </x:c>
      <x:c r="E237" s="217" t="n">
        <x:v>120</x:v>
      </x:c>
      <x:c r="F237" s="218" t="n">
        <x:v>0.9994791666666667</x:v>
      </x:c>
      <x:c r="G237" s="217" t="n">
        <x:v>233</x:v>
      </x:c>
      <x:c r="H237" s="217" t="str">
        <x:f>IF(G237&lt;='排名定義'!$B$5,"是","")</x:f>
        <x:v>是</x:v>
      </x:c>
      <x:c r="I237" s="217" t="n">
        <x:v>227</x:v>
      </x:c>
      <x:c r="J237" s="217" t="str">
        <x:f>IF(I237&lt;='排名定義'!$B$5,"是","")</x:f>
        <x:v>是</x:v>
      </x:c>
      <x:c r="K237" s="217" t="n">
        <x:v>376</x:v>
      </x:c>
      <x:c r="L237" s="217" t="str">
        <x:f>IF(K237&lt;='排名定義'!$B$5,"是","")</x:f>
        <x:v>是</x:v>
      </x:c>
      <x:c r="M237" s="217" t="n">
        <x:f>COUNTIF(H237:L237,"是")</x:f>
        <x:v>3</x:v>
      </x:c>
      <x:c r="N237" s="217" t="str">
        <x:v>總變動＋一般變動</x:v>
      </x:c>
      <x:c r="O237" s="220" t="n">
        <x:v>88.98333333333333</x:v>
      </x:c>
      <x:c r="P237" s="220" t="n">
        <x:v>83.125</x:v>
      </x:c>
      <x:c r="Q237" s="220" t="n">
        <x:v>5.858333333333333</x:v>
      </x:c>
      <x:c r="R237" s="220" t="n">
        <x:v>0.06583629893238434</x:v>
      </x:c>
      <x:c r="S237" s="220" t="n">
        <x:v>129.48387096774192</x:v>
      </x:c>
      <x:c r="T237" s="220" t="n">
        <x:v>123.38709677419355</x:v>
      </x:c>
      <x:c r="U237" s="220" t="n">
        <x:v>6.096774193548387</x:v>
      </x:c>
      <x:c r="V237" s="218" t="n">
        <x:v>0.01152073732718894</x:v>
      </x:c>
      <x:c r="W237" s="217" t="n">
        <x:v>2</x:v>
      </x:c>
      <x:c r="X237" s="222" t="n">
        <x:v>360</x:v>
      </x:c>
      <x:c r="Y237" s="217" t="n">
        <x:v>29</x:v>
      </x:c>
    </x:row>
    <x:row r="238">
      <x:c r="A238" s="216" t="n">
        <x:v>1271</x:v>
      </x:c>
      <x:c r="B238" s="216" t="str">
        <x:v>林口新創園</x:v>
      </x:c>
      <x:c r="C238" s="216" t="str">
        <x:v>林口區</x:v>
      </x:c>
      <x:c r="D238" s="216" t="n">
        <x:v>40</x:v>
      </x:c>
      <x:c r="E238" s="216" t="n">
        <x:v>120</x:v>
      </x:c>
      <x:c r="F238" s="219" t="n">
        <x:v>0.9994791666666667</x:v>
      </x:c>
      <x:c r="G238" s="216" t="n">
        <x:v>234</x:v>
      </x:c>
      <x:c r="H238" s="216" t="str">
        <x:f>IF(G238&lt;='排名定義'!$B$5,"是","")</x:f>
        <x:v>是</x:v>
      </x:c>
      <x:c r="I238" s="216" t="n">
        <x:v>243</x:v>
      </x:c>
      <x:c r="J238" s="216" t="str">
        <x:f>IF(I238&lt;='排名定義'!$B$5,"是","")</x:f>
        <x:v>是</x:v>
      </x:c>
      <x:c r="K238" s="216" t="n">
        <x:v>146</x:v>
      </x:c>
      <x:c r="L238" s="216" t="str">
        <x:f>IF(K238&lt;='排名定義'!$B$5,"是","")</x:f>
        <x:v>是</x:v>
      </x:c>
      <x:c r="M238" s="216" t="n">
        <x:f>COUNTIF(H238:L238,"是")</x:f>
        <x:v>3</x:v>
      </x:c>
      <x:c r="N238" s="216" t="str">
        <x:v>三份皆入選</x:v>
      </x:c>
      <x:c r="O238" s="221" t="n">
        <x:v>88.91666666666667</x:v>
      </x:c>
      <x:c r="P238" s="221" t="n">
        <x:v>81.11666666666666</x:v>
      </x:c>
      <x:c r="Q238" s="221" t="n">
        <x:v>7.8</x:v>
      </x:c>
      <x:c r="R238" s="221" t="n">
        <x:v>0.08772258669165886</x:v>
      </x:c>
      <x:c r="S238" s="221" t="n">
        <x:v>129.93548387096774</x:v>
      </x:c>
      <x:c r="T238" s="221" t="n">
        <x:v>121.58064516129032</x:v>
      </x:c>
      <x:c r="U238" s="221" t="n">
        <x:v>8.35483870967742</x:v>
      </x:c>
      <x:c r="V238" s="219" t="n">
        <x:v>0.09907834101382489</x:v>
      </x:c>
      <x:c r="W238" s="216" t="n">
        <x:v>17</x:v>
      </x:c>
      <x:c r="X238" s="223" t="n">
        <x:v>2190</x:v>
      </x:c>
      <x:c r="Y238" s="216" t="n">
        <x:v>40</x:v>
      </x:c>
    </x:row>
    <x:row r="239">
      <x:c r="A239" s="217" t="n">
        <x:v>83</x:v>
      </x:c>
      <x:c r="B239" s="217" t="str">
        <x:v>浮洲合宜住宅(合安一合宜路口)</x:v>
      </x:c>
      <x:c r="C239" s="217" t="str">
        <x:v>板橋區</x:v>
      </x:c>
      <x:c r="D239" s="217" t="n">
        <x:v>58</x:v>
      </x:c>
      <x:c r="E239" s="217" t="n">
        <x:v>120</x:v>
      </x:c>
      <x:c r="F239" s="218" t="n">
        <x:v>0.9994791666666667</x:v>
      </x:c>
      <x:c r="G239" s="217" t="n">
        <x:v>235</x:v>
      </x:c>
      <x:c r="H239" s="217" t="str">
        <x:f>IF(G239&lt;='排名定義'!$B$5,"是","")</x:f>
        <x:v>是</x:v>
      </x:c>
      <x:c r="I239" s="217" t="n">
        <x:v>241</x:v>
      </x:c>
      <x:c r="J239" s="217" t="str">
        <x:f>IF(I239&lt;='排名定義'!$B$5,"是","")</x:f>
        <x:v>是</x:v>
      </x:c>
      <x:c r="K239" s="217" t="n">
        <x:v>173</x:v>
      </x:c>
      <x:c r="L239" s="217" t="str">
        <x:f>IF(K239&lt;='排名定義'!$B$5,"是","")</x:f>
        <x:v>是</x:v>
      </x:c>
      <x:c r="M239" s="217" t="n">
        <x:f>COUNTIF(H239:L239,"是")</x:f>
        <x:v>3</x:v>
      </x:c>
      <x:c r="N239" s="217" t="str">
        <x:v>三份皆入選</x:v>
      </x:c>
      <x:c r="O239" s="220" t="n">
        <x:v>88.83333333333333</x:v>
      </x:c>
      <x:c r="P239" s="220" t="n">
        <x:v>81.31666666666666</x:v>
      </x:c>
      <x:c r="Q239" s="220" t="n">
        <x:v>7.516666666666667</x:v>
      </x:c>
      <x:c r="R239" s="220" t="n">
        <x:v>0.08461538461538462</x:v>
      </x:c>
      <x:c r="S239" s="220" t="n">
        <x:v>115.16129032258064</x:v>
      </x:c>
      <x:c r="T239" s="220" t="n">
        <x:v>109.45161290322581</x:v>
      </x:c>
      <x:c r="U239" s="220" t="n">
        <x:v>5.709677419354839</x:v>
      </x:c>
      <x:c r="V239" s="218" t="n">
        <x:v>0.1175115207373272</x:v>
      </x:c>
      <x:c r="W239" s="217" t="n">
        <x:v>39</x:v>
      </x:c>
      <x:c r="X239" s="222" t="n">
        <x:v>4830</x:v>
      </x:c>
      <x:c r="Y239" s="217" t="n">
        <x:v>58</x:v>
      </x:c>
    </x:row>
    <x:row r="240">
      <x:c r="A240" s="216" t="n">
        <x:v>1455</x:v>
      </x:c>
      <x:c r="B240" s="216" t="str">
        <x:v>新麗園社區</x:v>
      </x:c>
      <x:c r="C240" s="216" t="str">
        <x:v>林口區</x:v>
      </x:c>
      <x:c r="D240" s="216" t="n">
        <x:v>51</x:v>
      </x:c>
      <x:c r="E240" s="216" t="n">
        <x:v>120</x:v>
      </x:c>
      <x:c r="F240" s="219" t="n">
        <x:v>0.9994791666666667</x:v>
      </x:c>
      <x:c r="G240" s="216" t="n">
        <x:v>236</x:v>
      </x:c>
      <x:c r="H240" s="216" t="str">
        <x:f>IF(G240&lt;='排名定義'!$B$5,"是","")</x:f>
        <x:v>是</x:v>
      </x:c>
      <x:c r="I240" s="216" t="n">
        <x:v>244</x:v>
      </x:c>
      <x:c r="J240" s="216" t="str">
        <x:f>IF(I240&lt;='排名定義'!$B$5,"是","")</x:f>
        <x:v>是</x:v>
      </x:c>
      <x:c r="K240" s="216" t="n">
        <x:v>159</x:v>
      </x:c>
      <x:c r="L240" s="216" t="str">
        <x:f>IF(K240&lt;='排名定義'!$B$5,"是","")</x:f>
        <x:v>是</x:v>
      </x:c>
      <x:c r="M240" s="216" t="n">
        <x:f>COUNTIF(H240:L240,"是")</x:f>
        <x:v>3</x:v>
      </x:c>
      <x:c r="N240" s="216" t="str">
        <x:v>三份皆入選</x:v>
      </x:c>
      <x:c r="O240" s="221" t="n">
        <x:v>88.675</x:v>
      </x:c>
      <x:c r="P240" s="221" t="n">
        <x:v>81.025</x:v>
      </x:c>
      <x:c r="Q240" s="221" t="n">
        <x:v>7.65</x:v>
      </x:c>
      <x:c r="R240" s="221" t="n">
        <x:v>0.08627008739780095</x:v>
      </x:c>
      <x:c r="S240" s="221" t="n">
        <x:v>128.51612903225808</x:v>
      </x:c>
      <x:c r="T240" s="221" t="n">
        <x:v>121.58064516129032</x:v>
      </x:c>
      <x:c r="U240" s="221" t="n">
        <x:v>6.935483870967742</x:v>
      </x:c>
      <x:c r="V240" s="219" t="n">
        <x:v>0.009216589861751152</x:v>
      </x:c>
      <x:c r="W240" s="216" t="n">
        <x:v>3</x:v>
      </x:c>
      <x:c r="X240" s="223" t="n">
        <x:v>540</x:v>
      </x:c>
      <x:c r="Y240" s="216" t="n">
        <x:v>51</x:v>
      </x:c>
    </x:row>
    <x:row r="241">
      <x:c r="A241" s="217" t="n">
        <x:v>1331</x:v>
      </x:c>
      <x:c r="B241" s="217" t="str">
        <x:v>板橋國民運動中心</x:v>
      </x:c>
      <x:c r="C241" s="217" t="str">
        <x:v>板橋區</x:v>
      </x:c>
      <x:c r="D241" s="217" t="n">
        <x:v>42</x:v>
      </x:c>
      <x:c r="E241" s="217" t="n">
        <x:v>120</x:v>
      </x:c>
      <x:c r="F241" s="218" t="n">
        <x:v>0.9994791666666667</x:v>
      </x:c>
      <x:c r="G241" s="217" t="n">
        <x:v>237</x:v>
      </x:c>
      <x:c r="H241" s="217" t="str">
        <x:f>IF(G241&lt;='排名定義'!$B$5,"是","")</x:f>
        <x:v>是</x:v>
      </x:c>
      <x:c r="I241" s="217" t="n">
        <x:v>228</x:v>
      </x:c>
      <x:c r="J241" s="217" t="str">
        <x:f>IF(I241&lt;='排名定義'!$B$5,"是","")</x:f>
        <x:v>是</x:v>
      </x:c>
      <x:c r="K241" s="217" t="n">
        <x:v>402</x:v>
      </x:c>
      <x:c r="L241" s="217" t="str">
        <x:f>IF(K241&lt;='排名定義'!$B$5,"是","")</x:f>
        <x:v>是</x:v>
      </x:c>
      <x:c r="M241" s="217" t="n">
        <x:f>COUNTIF(H241:L241,"是")</x:f>
        <x:v>3</x:v>
      </x:c>
      <x:c r="N241" s="217" t="str">
        <x:v>總變動＋一般變動</x:v>
      </x:c>
      <x:c r="O241" s="220" t="n">
        <x:v>88.525</x:v>
      </x:c>
      <x:c r="P241" s="220" t="n">
        <x:v>82.825</x:v>
      </x:c>
      <x:c r="Q241" s="220" t="n">
        <x:v>5.7</x:v>
      </x:c>
      <x:c r="R241" s="220" t="n">
        <x:v>0.06438859079356114</x:v>
      </x:c>
      <x:c r="S241" s="220" t="n">
        <x:v>122.54838709677419</x:v>
      </x:c>
      <x:c r="T241" s="220" t="n">
        <x:v>118.03225806451613</x:v>
      </x:c>
      <x:c r="U241" s="220" t="n">
        <x:v>4.516129032258065</x:v>
      </x:c>
      <x:c r="V241" s="218" t="n">
        <x:v>0.03917050691244239</x:v>
      </x:c>
      <x:c r="W241" s="217" t="n">
        <x:v>9</x:v>
      </x:c>
      <x:c r="X241" s="222" t="n">
        <x:v>1980</x:v>
      </x:c>
      <x:c r="Y241" s="217" t="n">
        <x:v>42</x:v>
      </x:c>
    </x:row>
    <x:row r="242">
      <x:c r="A242" s="216" t="n">
        <x:v>1475</x:v>
      </x:c>
      <x:c r="B242" s="216" t="str">
        <x:v>新北市藝文中心</x:v>
      </x:c>
      <x:c r="C242" s="216" t="str">
        <x:v>板橋區</x:v>
      </x:c>
      <x:c r="D242" s="216" t="n">
        <x:v>54</x:v>
      </x:c>
      <x:c r="E242" s="216" t="n">
        <x:v>120</x:v>
      </x:c>
      <x:c r="F242" s="219" t="n">
        <x:v>0.9994791666666667</x:v>
      </x:c>
      <x:c r="G242" s="216" t="n">
        <x:v>238</x:v>
      </x:c>
      <x:c r="H242" s="216" t="str">
        <x:f>IF(G242&lt;='排名定義'!$B$5,"是","")</x:f>
        <x:v>是</x:v>
      </x:c>
      <x:c r="I242" s="216" t="n">
        <x:v>242</x:v>
      </x:c>
      <x:c r="J242" s="216" t="str">
        <x:f>IF(I242&lt;='排名定義'!$B$5,"是","")</x:f>
        <x:v>是</x:v>
      </x:c>
      <x:c r="K242" s="216" t="n">
        <x:v>204</x:v>
      </x:c>
      <x:c r="L242" s="216" t="str">
        <x:f>IF(K242&lt;='排名定義'!$B$5,"是","")</x:f>
        <x:v>是</x:v>
      </x:c>
      <x:c r="M242" s="216" t="n">
        <x:f>COUNTIF(H242:L242,"是")</x:f>
        <x:v>3</x:v>
      </x:c>
      <x:c r="N242" s="216" t="str">
        <x:v>三份皆入選</x:v>
      </x:c>
      <x:c r="O242" s="221" t="n">
        <x:v>88.44166666666666</x:v>
      </x:c>
      <x:c r="P242" s="221" t="n">
        <x:v>81.275</x:v>
      </x:c>
      <x:c r="Q242" s="221" t="n">
        <x:v>7.166666666666667</x:v>
      </x:c>
      <x:c r="R242" s="221" t="n">
        <x:v>0.08103269575049468</x:v>
      </x:c>
      <x:c r="S242" s="221" t="n">
        <x:v>127.90322580645162</x:v>
      </x:c>
      <x:c r="T242" s="221" t="n">
        <x:v>122.54838709677419</x:v>
      </x:c>
      <x:c r="U242" s="221" t="n">
        <x:v>5.354838709677419</x:v>
      </x:c>
      <x:c r="V242" s="219" t="n">
        <x:v>0.04838709677419355</x:v>
      </x:c>
      <x:c r="W242" s="216" t="n">
        <x:v>20</x:v>
      </x:c>
      <x:c r="X242" s="223" t="n">
        <x:v>2670</x:v>
      </x:c>
      <x:c r="Y242" s="216" t="n">
        <x:v>54</x:v>
      </x:c>
    </x:row>
    <x:row r="243">
      <x:c r="A243" s="217" t="n">
        <x:v>560</x:v>
      </x:c>
      <x:c r="B243" s="217" t="str">
        <x:v>中正路145巷口</x:v>
      </x:c>
      <x:c r="C243" s="217" t="str">
        <x:v>板橋區</x:v>
      </x:c>
      <x:c r="D243" s="217" t="n">
        <x:v>18</x:v>
      </x:c>
      <x:c r="E243" s="217" t="n">
        <x:v>120</x:v>
      </x:c>
      <x:c r="F243" s="218" t="n">
        <x:v>0.9994791666666667</x:v>
      </x:c>
      <x:c r="G243" s="217" t="n">
        <x:v>239</x:v>
      </x:c>
      <x:c r="H243" s="217" t="str">
        <x:f>IF(G243&lt;='排名定義'!$B$5,"是","")</x:f>
        <x:v>是</x:v>
      </x:c>
      <x:c r="I243" s="217" t="n">
        <x:v>226</x:v>
      </x:c>
      <x:c r="J243" s="217" t="str">
        <x:f>IF(I243&lt;='排名定義'!$B$5,"是","")</x:f>
        <x:v>是</x:v>
      </x:c>
      <x:c r="K243" s="217" t="n">
        <x:v>501</x:v>
      </x:c>
      <x:c r="L243" s="217" t="str">
        <x:f>IF(K243&lt;='排名定義'!$B$5,"是","")</x:f>
        <x:v>是</x:v>
      </x:c>
      <x:c r="M243" s="217" t="n">
        <x:f>COUNTIF(H243:L243,"是")</x:f>
        <x:v>3</x:v>
      </x:c>
      <x:c r="N243" s="217" t="str">
        <x:v>總變動＋一般變動</x:v>
      </x:c>
      <x:c r="O243" s="220" t="n">
        <x:v>88.31666666666666</x:v>
      </x:c>
      <x:c r="P243" s="220" t="n">
        <x:v>83.18333333333334</x:v>
      </x:c>
      <x:c r="Q243" s="220" t="n">
        <x:v>5.133333333333334</x:v>
      </x:c>
      <x:c r="R243" s="220" t="n">
        <x:v>0.05812417437252312</x:v>
      </x:c>
      <x:c r="S243" s="220" t="n">
        <x:v>109.45161290322581</x:v>
      </x:c>
      <x:c r="T243" s="220" t="n">
        <x:v>104.29032258064517</x:v>
      </x:c>
      <x:c r="U243" s="220" t="n">
        <x:v>5.161290322580645</x:v>
      </x:c>
      <x:c r="V243" s="218" t="n">
        <x:v>0.17972350230414746</x:v>
      </x:c>
      <x:c r="W243" s="217" t="n">
        <x:v>30</x:v>
      </x:c>
      <x:c r="X243" s="222" t="n">
        <x:v>4440</x:v>
      </x:c>
      <x:c r="Y243" s="217" t="n">
        <x:v>18</x:v>
      </x:c>
    </x:row>
    <x:row r="244">
      <x:c r="A244" s="216" t="n">
        <x:v>1516</x:v>
      </x:c>
      <x:c r="B244" s="216" t="str">
        <x:v>板橋公車站</x:v>
      </x:c>
      <x:c r="C244" s="216" t="str">
        <x:v>板橋區</x:v>
      </x:c>
      <x:c r="D244" s="216" t="n">
        <x:v>60</x:v>
      </x:c>
      <x:c r="E244" s="216" t="n">
        <x:v>120</x:v>
      </x:c>
      <x:c r="F244" s="219" t="n">
        <x:v>0.9994791666666667</x:v>
      </x:c>
      <x:c r="G244" s="216" t="n">
        <x:v>240</x:v>
      </x:c>
      <x:c r="H244" s="216" t="str">
        <x:f>IF(G244&lt;='排名定義'!$B$5,"是","")</x:f>
        <x:v>是</x:v>
      </x:c>
      <x:c r="I244" s="216" t="n">
        <x:v>249</x:v>
      </x:c>
      <x:c r="J244" s="216" t="str">
        <x:f>IF(I244&lt;='排名定義'!$B$5,"是","")</x:f>
        <x:v>是</x:v>
      </x:c>
      <x:c r="K244" s="216" t="n">
        <x:v>142</x:v>
      </x:c>
      <x:c r="L244" s="216" t="str">
        <x:f>IF(K244&lt;='排名定義'!$B$5,"是","")</x:f>
        <x:v>是</x:v>
      </x:c>
      <x:c r="M244" s="216" t="n">
        <x:f>COUNTIF(H244:L244,"是")</x:f>
        <x:v>3</x:v>
      </x:c>
      <x:c r="N244" s="216" t="str">
        <x:v>三份皆入選</x:v>
      </x:c>
      <x:c r="O244" s="221" t="n">
        <x:v>88.25833333333334</x:v>
      </x:c>
      <x:c r="P244" s="221" t="n">
        <x:v>80.425</x:v>
      </x:c>
      <x:c r="Q244" s="221" t="n">
        <x:v>7.833333333333333</x:v>
      </x:c>
      <x:c r="R244" s="221" t="n">
        <x:v>0.08875460296478142</x:v>
      </x:c>
      <x:c r="S244" s="221" t="n">
        <x:v>103.6774193548387</x:v>
      </x:c>
      <x:c r="T244" s="221" t="n">
        <x:v>97.19354838709677</x:v>
      </x:c>
      <x:c r="U244" s="221" t="n">
        <x:v>6.483870967741935</x:v>
      </x:c>
      <x:c r="V244" s="219" t="n">
        <x:v>0.07834101382488479</x:v>
      </x:c>
      <x:c r="W244" s="216" t="n">
        <x:v>57</x:v>
      </x:c>
      <x:c r="X244" s="223" t="n">
        <x:v>8370</x:v>
      </x:c>
      <x:c r="Y244" s="216" t="n">
        <x:v>60</x:v>
      </x:c>
    </x:row>
    <x:row r="245">
      <x:c r="A245" s="217" t="n">
        <x:v>1246</x:v>
      </x:c>
      <x:c r="B245" s="217" t="str">
        <x:v>景安板南路口</x:v>
      </x:c>
      <x:c r="C245" s="217" t="str">
        <x:v>中和區</x:v>
      </x:c>
      <x:c r="D245" s="217" t="n">
        <x:v>39</x:v>
      </x:c>
      <x:c r="E245" s="217" t="n">
        <x:v>105</x:v>
      </x:c>
      <x:c r="F245" s="218" t="n">
        <x:v>0.9938492063492064</x:v>
      </x:c>
      <x:c r="G245" s="217" t="n">
        <x:v>241</x:v>
      </x:c>
      <x:c r="H245" s="217" t="str">
        <x:f>IF(G245&lt;='排名定義'!$B$5,"是","")</x:f>
        <x:v>是</x:v>
      </x:c>
      <x:c r="I245" s="217" t="n">
        <x:v>234</x:v>
      </x:c>
      <x:c r="J245" s="217" t="str">
        <x:f>IF(I245&lt;='排名定義'!$B$5,"是","")</x:f>
        <x:v>是</x:v>
      </x:c>
      <x:c r="K245" s="217" t="n">
        <x:v>339</x:v>
      </x:c>
      <x:c r="L245" s="217" t="str">
        <x:f>IF(K245&lt;='排名定義'!$B$5,"是","")</x:f>
        <x:v>是</x:v>
      </x:c>
      <x:c r="M245" s="217" t="n">
        <x:f>COUNTIF(H245:L245,"是")</x:f>
        <x:v>3</x:v>
      </x:c>
      <x:c r="N245" s="217" t="str">
        <x:v>三份皆入選</x:v>
      </x:c>
      <x:c r="O245" s="220" t="n">
        <x:v>88.21904761904761</x:v>
      </x:c>
      <x:c r="P245" s="220" t="n">
        <x:v>82.12380952380953</x:v>
      </x:c>
      <x:c r="Q245" s="220" t="n">
        <x:v>6.095238095238095</x:v>
      </x:c>
      <x:c r="R245" s="220" t="n">
        <x:v>0.06909208679693404</x:v>
      </x:c>
      <x:c r="S245" s="220" t="n">
        <x:v>134.25806451612902</x:v>
      </x:c>
      <x:c r="T245" s="220" t="n">
        <x:v>125.87096774193549</x:v>
      </x:c>
      <x:c r="U245" s="220" t="n">
        <x:v>8.387096774193548</x:v>
      </x:c>
      <x:c r="V245" s="218" t="n">
        <x:v>0.03456221198156682</x:v>
      </x:c>
      <x:c r="W245" s="217" t="n">
        <x:v>19</x:v>
      </x:c>
      <x:c r="X245" s="222" t="n">
        <x:v>2370</x:v>
      </x:c>
      <x:c r="Y245" s="217" t="n">
        <x:v>39</x:v>
      </x:c>
    </x:row>
    <x:row r="246">
      <x:c r="A246" s="216" t="n">
        <x:v>943</x:v>
      </x:c>
      <x:c r="B246" s="216" t="str">
        <x:v>綠湖公園地下停車場</x:v>
      </x:c>
      <x:c r="C246" s="216" t="str">
        <x:v>新店區</x:v>
      </x:c>
      <x:c r="D246" s="216" t="n">
        <x:v>27</x:v>
      </x:c>
      <x:c r="E246" s="216" t="n">
        <x:v>120</x:v>
      </x:c>
      <x:c r="F246" s="219" t="n">
        <x:v>0.9994791666666667</x:v>
      </x:c>
      <x:c r="G246" s="216" t="n">
        <x:v>242</x:v>
      </x:c>
      <x:c r="H246" s="216" t="str">
        <x:f>IF(G246&lt;='排名定義'!$B$5,"是","")</x:f>
        <x:v>是</x:v>
      </x:c>
      <x:c r="I246" s="216" t="n">
        <x:v>245</x:v>
      </x:c>
      <x:c r="J246" s="216" t="str">
        <x:f>IF(I246&lt;='排名定義'!$B$5,"是","")</x:f>
        <x:v>是</x:v>
      </x:c>
      <x:c r="K246" s="216" t="n">
        <x:v>212</x:v>
      </x:c>
      <x:c r="L246" s="216" t="str">
        <x:f>IF(K246&lt;='排名定義'!$B$5,"是","")</x:f>
        <x:v>是</x:v>
      </x:c>
      <x:c r="M246" s="216" t="n">
        <x:f>COUNTIF(H246:L246,"是")</x:f>
        <x:v>3</x:v>
      </x:c>
      <x:c r="N246" s="216" t="str">
        <x:v>三份皆入選</x:v>
      </x:c>
      <x:c r="O246" s="221" t="n">
        <x:v>87.80833333333334</x:v>
      </x:c>
      <x:c r="P246" s="221" t="n">
        <x:v>80.71666666666667</x:v>
      </x:c>
      <x:c r="Q246" s="221" t="n">
        <x:v>7.091666666666667</x:v>
      </x:c>
      <x:c r="R246" s="221" t="n">
        <x:v>0.08076302552908797</x:v>
      </x:c>
      <x:c r="S246" s="221" t="n">
        <x:v>116.3225806451613</x:v>
      </x:c>
      <x:c r="T246" s="221" t="n">
        <x:v>110.93548387096774</x:v>
      </x:c>
      <x:c r="U246" s="221" t="n">
        <x:v>5.387096774193548</x:v>
      </x:c>
      <x:c r="V246" s="219" t="n">
        <x:v>0.059907834101382486</x:v>
      </x:c>
      <x:c r="W246" s="216" t="n">
        <x:v>30</x:v>
      </x:c>
      <x:c r="X246" s="223" t="n">
        <x:v>4020</x:v>
      </x:c>
      <x:c r="Y246" s="216" t="n">
        <x:v>27</x:v>
      </x:c>
    </x:row>
    <x:row r="247">
      <x:c r="A247" s="217" t="n">
        <x:v>1234</x:v>
      </x:c>
      <x:c r="B247" s="217" t="str">
        <x:v>名利橋</x:v>
      </x:c>
      <x:c r="C247" s="217" t="str">
        <x:v>永和區</x:v>
      </x:c>
      <x:c r="D247" s="217" t="n">
        <x:v>39</x:v>
      </x:c>
      <x:c r="E247" s="217" t="n">
        <x:v>120</x:v>
      </x:c>
      <x:c r="F247" s="218" t="n">
        <x:v>0.9994791666666667</x:v>
      </x:c>
      <x:c r="G247" s="217" t="n">
        <x:v>243</x:v>
      </x:c>
      <x:c r="H247" s="217" t="str">
        <x:f>IF(G247&lt;='排名定義'!$B$5,"是","")</x:f>
        <x:v>是</x:v>
      </x:c>
      <x:c r="I247" s="217" t="n">
        <x:v>240</x:v>
      </x:c>
      <x:c r="J247" s="217" t="str">
        <x:f>IF(I247&lt;='排名定義'!$B$5,"是","")</x:f>
        <x:v>是</x:v>
      </x:c>
      <x:c r="K247" s="217" t="n">
        <x:v>300</x:v>
      </x:c>
      <x:c r="L247" s="217" t="str">
        <x:f>IF(K247&lt;='排名定義'!$B$5,"是","")</x:f>
        <x:v>是</x:v>
      </x:c>
      <x:c r="M247" s="217" t="n">
        <x:f>COUNTIF(H247:L247,"是")</x:f>
        <x:v>3</x:v>
      </x:c>
      <x:c r="N247" s="217" t="str">
        <x:v>三份皆入選</x:v>
      </x:c>
      <x:c r="O247" s="220" t="n">
        <x:v>87.71666666666667</x:v>
      </x:c>
      <x:c r="P247" s="220" t="n">
        <x:v>81.34166666666667</x:v>
      </x:c>
      <x:c r="Q247" s="220" t="n">
        <x:v>6.375</x:v>
      </x:c>
      <x:c r="R247" s="220" t="n">
        <x:v>0.07267718031540946</x:v>
      </x:c>
      <x:c r="S247" s="220" t="n">
        <x:v>114.87096774193549</x:v>
      </x:c>
      <x:c r="T247" s="220" t="n">
        <x:v>108.3225806451613</x:v>
      </x:c>
      <x:c r="U247" s="220" t="n">
        <x:v>6.548387096774194</x:v>
      </x:c>
      <x:c r="V247" s="218" t="n">
        <x:v>0.055299539170506916</x:v>
      </x:c>
      <x:c r="W247" s="217" t="n">
        <x:v>19</x:v>
      </x:c>
      <x:c r="X247" s="222" t="n">
        <x:v>2520</x:v>
      </x:c>
      <x:c r="Y247" s="217" t="n">
        <x:v>39</x:v>
      </x:c>
    </x:row>
    <x:row r="248">
      <x:c r="A248" s="216" t="n">
        <x:v>724</x:v>
      </x:c>
      <x:c r="B248" s="216" t="str">
        <x:v>港德攤集區(中正路236巷)</x:v>
      </x:c>
      <x:c r="C248" s="216" t="str">
        <x:v>板橋區</x:v>
      </x:c>
      <x:c r="D248" s="216" t="n">
        <x:v>20</x:v>
      </x:c>
      <x:c r="E248" s="216" t="n">
        <x:v>91</x:v>
      </x:c>
      <x:c r="F248" s="219" t="n">
        <x:v>0.9993131868131868</x:v>
      </x:c>
      <x:c r="G248" s="216" t="n">
        <x:v>244</x:v>
      </x:c>
      <x:c r="H248" s="216" t="str">
        <x:f>IF(G248&lt;='排名定義'!$B$5,"是","")</x:f>
        <x:v>是</x:v>
      </x:c>
      <x:c r="I248" s="216" t="n">
        <x:v>233</x:v>
      </x:c>
      <x:c r="J248" s="216" t="str">
        <x:f>IF(I248&lt;='排名定義'!$B$5,"是","")</x:f>
        <x:v>是</x:v>
      </x:c>
      <x:c r="K248" s="216" t="n">
        <x:v>435</x:v>
      </x:c>
      <x:c r="L248" s="216" t="str">
        <x:f>IF(K248&lt;='排名定義'!$B$5,"是","")</x:f>
        <x:v>是</x:v>
      </x:c>
      <x:c r="M248" s="216" t="n">
        <x:f>COUNTIF(H248:L248,"是")</x:f>
        <x:v>3</x:v>
      </x:c>
      <x:c r="N248" s="216" t="str">
        <x:v>總變動＋一般變動</x:v>
      </x:c>
      <x:c r="O248" s="221" t="n">
        <x:v>87.64835164835165</x:v>
      </x:c>
      <x:c r="P248" s="221" t="n">
        <x:v>82.13186813186813</x:v>
      </x:c>
      <x:c r="Q248" s="221" t="n">
        <x:v>5.516483516483516</x:v>
      </x:c>
      <x:c r="R248" s="221" t="n">
        <x:v>0.06293881644934804</x:v>
      </x:c>
      <x:c r="S248" s="221" t="n">
        <x:v>119.16129032258064</x:v>
      </x:c>
      <x:c r="T248" s="221" t="n">
        <x:v>113.12903225806451</x:v>
      </x:c>
      <x:c r="U248" s="221" t="n">
        <x:v>6.032258064516129</x:v>
      </x:c>
      <x:c r="V248" s="219" t="n">
        <x:v>0.1313364055299539</x:v>
      </x:c>
      <x:c r="W248" s="216" t="n">
        <x:v>38</x:v>
      </x:c>
      <x:c r="X248" s="223" t="n">
        <x:v>5310</x:v>
      </x:c>
      <x:c r="Y248" s="216" t="n">
        <x:v>20</x:v>
      </x:c>
    </x:row>
    <x:row r="249">
      <x:c r="A249" s="217" t="n">
        <x:v>561</x:v>
      </x:c>
      <x:c r="B249" s="217" t="str">
        <x:v>中興街180巷口</x:v>
      </x:c>
      <x:c r="C249" s="217" t="str">
        <x:v>中和區</x:v>
      </x:c>
      <x:c r="D249" s="217" t="n">
        <x:v>18</x:v>
      </x:c>
      <x:c r="E249" s="217" t="n">
        <x:v>120</x:v>
      </x:c>
      <x:c r="F249" s="218" t="n">
        <x:v>0.9994791666666667</x:v>
      </x:c>
      <x:c r="G249" s="217" t="n">
        <x:v>245</x:v>
      </x:c>
      <x:c r="H249" s="217" t="str">
        <x:f>IF(G249&lt;='排名定義'!$B$5,"是","")</x:f>
        <x:v>是</x:v>
      </x:c>
      <x:c r="I249" s="217" t="n">
        <x:v>229</x:v>
      </x:c>
      <x:c r="J249" s="217" t="str">
        <x:f>IF(I249&lt;='排名定義'!$B$5,"是","")</x:f>
        <x:v>是</x:v>
      </x:c>
      <x:c r="K249" s="217" t="n">
        <x:v>556</x:v>
      </x:c>
      <x:c r="L249" s="217" t="str">
        <x:f>IF(K249&lt;='排名定義'!$B$5,"是","")</x:f>
        <x:v>是</x:v>
      </x:c>
      <x:c r="M249" s="217" t="n">
        <x:f>COUNTIF(H249:L249,"是")</x:f>
        <x:v>3</x:v>
      </x:c>
      <x:c r="N249" s="217" t="str">
        <x:v>總變動＋一般變動</x:v>
      </x:c>
      <x:c r="O249" s="220" t="n">
        <x:v>87.54166666666667</x:v>
      </x:c>
      <x:c r="P249" s="220" t="n">
        <x:v>82.65</x:v>
      </x:c>
      <x:c r="Q249" s="220" t="n">
        <x:v>4.891666666666667</x:v>
      </x:c>
      <x:c r="R249" s="220" t="n">
        <x:v>0.05587815326035221</x:v>
      </x:c>
      <x:c r="S249" s="220" t="n">
        <x:v>119.12903225806451</x:v>
      </x:c>
      <x:c r="T249" s="220" t="n">
        <x:v>114.35483870967742</x:v>
      </x:c>
      <x:c r="U249" s="220" t="n">
        <x:v>4.774193548387097</x:v>
      </x:c>
      <x:c r="V249" s="218" t="n">
        <x:v>0.14516129032258066</x:v>
      </x:c>
      <x:c r="W249" s="217" t="n">
        <x:v>44</x:v>
      </x:c>
      <x:c r="X249" s="222" t="n">
        <x:v>5070</x:v>
      </x:c>
      <x:c r="Y249" s="217" t="n">
        <x:v>18</x:v>
      </x:c>
    </x:row>
    <x:row r="250">
      <x:c r="A250" s="216" t="n">
        <x:v>858</x:v>
      </x:c>
      <x:c r="B250" s="216" t="str">
        <x:v>進安公園</x:v>
      </x:c>
      <x:c r="C250" s="216" t="str">
        <x:v>三重區</x:v>
      </x:c>
      <x:c r="D250" s="216" t="n">
        <x:v>33</x:v>
      </x:c>
      <x:c r="E250" s="216" t="n">
        <x:v>120</x:v>
      </x:c>
      <x:c r="F250" s="219" t="n">
        <x:v>0.9994791666666667</x:v>
      </x:c>
      <x:c r="G250" s="216" t="n">
        <x:v>246</x:v>
      </x:c>
      <x:c r="H250" s="216" t="str">
        <x:f>IF(G250&lt;='排名定義'!$B$5,"是","")</x:f>
        <x:v>是</x:v>
      </x:c>
      <x:c r="I250" s="216" t="n">
        <x:v>238</x:v>
      </x:c>
      <x:c r="J250" s="216" t="str">
        <x:f>IF(I250&lt;='排名定義'!$B$5,"是","")</x:f>
        <x:v>是</x:v>
      </x:c>
      <x:c r="K250" s="216" t="n">
        <x:v>429</x:v>
      </x:c>
      <x:c r="L250" s="216" t="str">
        <x:f>IF(K250&lt;='排名定義'!$B$5,"是","")</x:f>
        <x:v>是</x:v>
      </x:c>
      <x:c r="M250" s="216" t="n">
        <x:f>COUNTIF(H250:L250,"是")</x:f>
        <x:v>3</x:v>
      </x:c>
      <x:c r="N250" s="216" t="str">
        <x:v>總變動＋一般變動</x:v>
      </x:c>
      <x:c r="O250" s="221" t="n">
        <x:v>87.25833333333334</x:v>
      </x:c>
      <x:c r="P250" s="221" t="n">
        <x:v>81.73333333333333</x:v>
      </x:c>
      <x:c r="Q250" s="221" t="n">
        <x:v>5.525</x:v>
      </x:c>
      <x:c r="R250" s="221" t="n">
        <x:v>0.06331773469582656</x:v>
      </x:c>
      <x:c r="S250" s="221" t="n">
        <x:v>114.70967741935483</x:v>
      </x:c>
      <x:c r="T250" s="221" t="n">
        <x:v>109.83870967741936</x:v>
      </x:c>
      <x:c r="U250" s="221" t="n">
        <x:v>4.870967741935484</x:v>
      </x:c>
      <x:c r="V250" s="219" t="n">
        <x:v>0.018433179723502304</x:v>
      </x:c>
      <x:c r="W250" s="216" t="n">
        <x:v>6</x:v>
      </x:c>
      <x:c r="X250" s="223" t="n">
        <x:v>810</x:v>
      </x:c>
      <x:c r="Y250" s="216" t="n">
        <x:v>33</x:v>
      </x:c>
    </x:row>
    <x:row r="251">
      <x:c r="A251" s="217" t="n">
        <x:v>1437</x:v>
      </x:c>
      <x:c r="B251" s="217" t="str">
        <x:v>縣民民族路口</x:v>
      </x:c>
      <x:c r="C251" s="217" t="str">
        <x:v>板橋區</x:v>
      </x:c>
      <x:c r="D251" s="217" t="n">
        <x:v>49</x:v>
      </x:c>
      <x:c r="E251" s="217" t="n">
        <x:v>120</x:v>
      </x:c>
      <x:c r="F251" s="218" t="n">
        <x:v>0.9994791666666667</x:v>
      </x:c>
      <x:c r="G251" s="217" t="n">
        <x:v>247</x:v>
      </x:c>
      <x:c r="H251" s="217" t="str">
        <x:f>IF(G251&lt;='排名定義'!$B$5,"是","")</x:f>
        <x:v>是</x:v>
      </x:c>
      <x:c r="I251" s="217" t="n">
        <x:v>248</x:v>
      </x:c>
      <x:c r="J251" s="217" t="str">
        <x:f>IF(I251&lt;='排名定義'!$B$5,"是","")</x:f>
        <x:v>是</x:v>
      </x:c>
      <x:c r="K251" s="217" t="n">
        <x:v>256</x:v>
      </x:c>
      <x:c r="L251" s="217" t="str">
        <x:f>IF(K251&lt;='排名定義'!$B$5,"是","")</x:f>
        <x:v>是</x:v>
      </x:c>
      <x:c r="M251" s="217" t="n">
        <x:f>COUNTIF(H251:L251,"是")</x:f>
        <x:v>3</x:v>
      </x:c>
      <x:c r="N251" s="217" t="str">
        <x:v>三份皆入選</x:v>
      </x:c>
      <x:c r="O251" s="220" t="n">
        <x:v>87.175</x:v>
      </x:c>
      <x:c r="P251" s="220" t="n">
        <x:v>80.43333333333334</x:v>
      </x:c>
      <x:c r="Q251" s="220" t="n">
        <x:v>6.741666666666666</x:v>
      </x:c>
      <x:c r="R251" s="220" t="n">
        <x:v>0.07733486282382182</x:v>
      </x:c>
      <x:c r="S251" s="220" t="n">
        <x:v>121.09677419354838</x:v>
      </x:c>
      <x:c r="T251" s="220" t="n">
        <x:v>115.61290322580645</x:v>
      </x:c>
      <x:c r="U251" s="220" t="n">
        <x:v>5.483870967741935</x:v>
      </x:c>
      <x:c r="V251" s="218" t="n">
        <x:v>0.05069124423963134</x:v>
      </x:c>
      <x:c r="W251" s="217" t="n">
        <x:v>44</x:v>
      </x:c>
      <x:c r="X251" s="222" t="n">
        <x:v>5610</x:v>
      </x:c>
      <x:c r="Y251" s="217" t="n">
        <x:v>49</x:v>
      </x:c>
    </x:row>
    <x:row r="252">
      <x:c r="A252" s="216" t="n">
        <x:v>1477</x:v>
      </x:c>
      <x:c r="B252" s="216" t="str">
        <x:v>聯邦公園</x:v>
      </x:c>
      <x:c r="C252" s="216" t="str">
        <x:v>三重區</x:v>
      </x:c>
      <x:c r="D252" s="216" t="n">
        <x:v>54</x:v>
      </x:c>
      <x:c r="E252" s="216" t="n">
        <x:v>120</x:v>
      </x:c>
      <x:c r="F252" s="219" t="n">
        <x:v>0.9994791666666667</x:v>
      </x:c>
      <x:c r="G252" s="216" t="n">
        <x:v>248</x:v>
      </x:c>
      <x:c r="H252" s="216" t="str">
        <x:f>IF(G252&lt;='排名定義'!$B$5,"是","")</x:f>
        <x:v>是</x:v>
      </x:c>
      <x:c r="I252" s="216" t="n">
        <x:v>246</x:v>
      </x:c>
      <x:c r="J252" s="216" t="str">
        <x:f>IF(I252&lt;='排名定義'!$B$5,"是","")</x:f>
        <x:v>是</x:v>
      </x:c>
      <x:c r="K252" s="216" t="n">
        <x:v>296</x:v>
      </x:c>
      <x:c r="L252" s="216" t="str">
        <x:f>IF(K252&lt;='排名定義'!$B$5,"是","")</x:f>
        <x:v>是</x:v>
      </x:c>
      <x:c r="M252" s="216" t="n">
        <x:f>COUNTIF(H252:L252,"是")</x:f>
        <x:v>3</x:v>
      </x:c>
      <x:c r="N252" s="216" t="str">
        <x:v>三份皆入選</x:v>
      </x:c>
      <x:c r="O252" s="221" t="n">
        <x:v>86.98333333333333</x:v>
      </x:c>
      <x:c r="P252" s="221" t="n">
        <x:v>80.59166666666667</x:v>
      </x:c>
      <x:c r="Q252" s="221" t="n">
        <x:v>6.391666666666667</x:v>
      </x:c>
      <x:c r="R252" s="221" t="n">
        <x:v>0.07348150986779077</x:v>
      </x:c>
      <x:c r="S252" s="221" t="n">
        <x:v>122.54838709677419</x:v>
      </x:c>
      <x:c r="T252" s="221" t="n">
        <x:v>117.93548387096774</x:v>
      </x:c>
      <x:c r="U252" s="221" t="n">
        <x:v>4.612903225806452</x:v>
      </x:c>
      <x:c r="V252" s="219" t="n">
        <x:v>0.052995391705069124</x:v>
      </x:c>
      <x:c r="W252" s="216" t="n">
        <x:v>4</x:v>
      </x:c>
      <x:c r="X252" s="223" t="n">
        <x:v>960</x:v>
      </x:c>
      <x:c r="Y252" s="216" t="n">
        <x:v>54</x:v>
      </x:c>
    </x:row>
    <x:row r="253">
      <x:c r="A253" s="217" t="n">
        <x:v>1284</x:v>
      </x:c>
      <x:c r="B253" s="217" t="str">
        <x:v>輕軌淡江大學站</x:v>
      </x:c>
      <x:c r="C253" s="217" t="str">
        <x:v>淡水區</x:v>
      </x:c>
      <x:c r="D253" s="217" t="n">
        <x:v>40</x:v>
      </x:c>
      <x:c r="E253" s="217" t="n">
        <x:v>120</x:v>
      </x:c>
      <x:c r="F253" s="218" t="n">
        <x:v>0.9994791666666667</x:v>
      </x:c>
      <x:c r="G253" s="217" t="n">
        <x:v>249</x:v>
      </x:c>
      <x:c r="H253" s="217" t="str">
        <x:f>IF(G253&lt;='排名定義'!$B$5,"是","")</x:f>
        <x:v>是</x:v>
      </x:c>
      <x:c r="I253" s="217" t="n">
        <x:v>261</x:v>
      </x:c>
      <x:c r="J253" s="217" t="str">
        <x:f>IF(I253&lt;='排名定義'!$B$5,"是","")</x:f>
        <x:v>是</x:v>
      </x:c>
      <x:c r="K253" s="217" t="n">
        <x:v>165</x:v>
      </x:c>
      <x:c r="L253" s="217" t="str">
        <x:f>IF(K253&lt;='排名定義'!$B$5,"是","")</x:f>
        <x:v>是</x:v>
      </x:c>
      <x:c r="M253" s="217" t="n">
        <x:f>COUNTIF(H253:L253,"是")</x:f>
        <x:v>3</x:v>
      </x:c>
      <x:c r="N253" s="217" t="str">
        <x:v>三份皆入選</x:v>
      </x:c>
      <x:c r="O253" s="220" t="n">
        <x:v>86.86666666666666</x:v>
      </x:c>
      <x:c r="P253" s="220" t="n">
        <x:v>79.275</x:v>
      </x:c>
      <x:c r="Q253" s="220" t="n">
        <x:v>7.591666666666667</x:v>
      </x:c>
      <x:c r="R253" s="220" t="n">
        <x:v>0.08739447429009976</x:v>
      </x:c>
      <x:c r="S253" s="220" t="n">
        <x:v>122.2258064516129</x:v>
      </x:c>
      <x:c r="T253" s="220" t="n">
        <x:v>117.16129032258064</x:v>
      </x:c>
      <x:c r="U253" s="220" t="n">
        <x:v>5.064516129032258</x:v>
      </x:c>
      <x:c r="V253" s="218" t="n">
        <x:v>0.18663594470046083</x:v>
      </x:c>
      <x:c r="W253" s="217" t="n">
        <x:v>55</x:v>
      </x:c>
      <x:c r="X253" s="222" t="n">
        <x:v>6750</x:v>
      </x:c>
      <x:c r="Y253" s="217" t="n">
        <x:v>40</x:v>
      </x:c>
    </x:row>
    <x:row r="254">
      <x:c r="A254" s="216" t="n">
        <x:v>1395</x:v>
      </x:c>
      <x:c r="B254" s="216" t="str">
        <x:v>板橋第一運動場</x:v>
      </x:c>
      <x:c r="C254" s="216" t="str">
        <x:v>板橋區</x:v>
      </x:c>
      <x:c r="D254" s="216" t="n">
        <x:v>46</x:v>
      </x:c>
      <x:c r="E254" s="216" t="n">
        <x:v>120</x:v>
      </x:c>
      <x:c r="F254" s="219" t="n">
        <x:v>0.9994791666666667</x:v>
      </x:c>
      <x:c r="G254" s="216" t="n">
        <x:v>250</x:v>
      </x:c>
      <x:c r="H254" s="216" t="str">
        <x:f>IF(G254&lt;='排名定義'!$B$5,"是","")</x:f>
        <x:v>是</x:v>
      </x:c>
      <x:c r="I254" s="216" t="n">
        <x:v>258</x:v>
      </x:c>
      <x:c r="J254" s="216" t="str">
        <x:f>IF(I254&lt;='排名定義'!$B$5,"是","")</x:f>
        <x:v>是</x:v>
      </x:c>
      <x:c r="K254" s="216" t="n">
        <x:v>202</x:v>
      </x:c>
      <x:c r="L254" s="216" t="str">
        <x:f>IF(K254&lt;='排名定義'!$B$5,"是","")</x:f>
        <x:v>是</x:v>
      </x:c>
      <x:c r="M254" s="216" t="n">
        <x:f>COUNTIF(H254:L254,"是")</x:f>
        <x:v>3</x:v>
      </x:c>
      <x:c r="N254" s="216" t="str">
        <x:v>三份皆入選</x:v>
      </x:c>
      <x:c r="O254" s="221" t="n">
        <x:v>86.70833333333333</x:v>
      </x:c>
      <x:c r="P254" s="221" t="n">
        <x:v>79.54166666666667</x:v>
      </x:c>
      <x:c r="Q254" s="221" t="n">
        <x:v>7.166666666666667</x:v>
      </x:c>
      <x:c r="R254" s="221" t="n">
        <x:v>0.0826525708793849</x:v>
      </x:c>
      <x:c r="S254" s="221" t="n">
        <x:v>105.83870967741936</x:v>
      </x:c>
      <x:c r="T254" s="221" t="n">
        <x:v>101.41935483870968</x:v>
      </x:c>
      <x:c r="U254" s="221" t="n">
        <x:v>4.419354838709677</x:v>
      </x:c>
      <x:c r="V254" s="219" t="n">
        <x:v>0.08294930875576037</x:v>
      </x:c>
      <x:c r="W254" s="216" t="n">
        <x:v>13</x:v>
      </x:c>
      <x:c r="X254" s="223" t="n">
        <x:v>2310</x:v>
      </x:c>
      <x:c r="Y254" s="216" t="n">
        <x:v>46</x:v>
      </x:c>
    </x:row>
    <x:row r="255">
      <x:c r="A255" s="217" t="n">
        <x:v>1161</x:v>
      </x:c>
      <x:c r="B255" s="217" t="str">
        <x:v>環河西路一段95巷口</x:v>
      </x:c>
      <x:c r="C255" s="217" t="str">
        <x:v>永和區</x:v>
      </x:c>
      <x:c r="D255" s="217" t="n">
        <x:v>35</x:v>
      </x:c>
      <x:c r="E255" s="217" t="n">
        <x:v>120</x:v>
      </x:c>
      <x:c r="F255" s="218" t="n">
        <x:v>0.9994791666666667</x:v>
      </x:c>
      <x:c r="G255" s="217" t="n">
        <x:v>251</x:v>
      </x:c>
      <x:c r="H255" s="217" t="str">
        <x:f>IF(G255&lt;='排名定義'!$B$5,"是","")</x:f>
        <x:v>是</x:v>
      </x:c>
      <x:c r="I255" s="217" t="n">
        <x:v>252</x:v>
      </x:c>
      <x:c r="J255" s="217" t="str">
        <x:f>IF(I255&lt;='排名定義'!$B$5,"是","")</x:f>
        <x:v>是</x:v>
      </x:c>
      <x:c r="K255" s="217" t="n">
        <x:v>262</x:v>
      </x:c>
      <x:c r="L255" s="217" t="str">
        <x:f>IF(K255&lt;='排名定義'!$B$5,"是","")</x:f>
        <x:v>是</x:v>
      </x:c>
      <x:c r="M255" s="217" t="n">
        <x:f>COUNTIF(H255:L255,"是")</x:f>
        <x:v>3</x:v>
      </x:c>
      <x:c r="N255" s="217" t="str">
        <x:v>三份皆入選</x:v>
      </x:c>
      <x:c r="O255" s="220" t="n">
        <x:v>86.69166666666666</x:v>
      </x:c>
      <x:c r="P255" s="220" t="n">
        <x:v>80.01666666666667</x:v>
      </x:c>
      <x:c r="Q255" s="220" t="n">
        <x:v>6.675</x:v>
      </x:c>
      <x:c r="R255" s="220" t="n">
        <x:v>0.07699702009035855</x:v>
      </x:c>
      <x:c r="S255" s="220" t="n">
        <x:v>122.35483870967742</x:v>
      </x:c>
      <x:c r="T255" s="220" t="n">
        <x:v>117.70967741935483</x:v>
      </x:c>
      <x:c r="U255" s="220" t="n">
        <x:v>4.645161290322581</x:v>
      </x:c>
      <x:c r="V255" s="218" t="n">
        <x:v>0.07603686635944701</x:v>
      </x:c>
      <x:c r="W255" s="217" t="n">
        <x:v>22</x:v>
      </x:c>
      <x:c r="X255" s="222" t="n">
        <x:v>3120</x:v>
      </x:c>
      <x:c r="Y255" s="217" t="n">
        <x:v>35</x:v>
      </x:c>
    </x:row>
    <x:row r="256">
      <x:c r="A256" s="216" t="n">
        <x:v>1158</x:v>
      </x:c>
      <x:c r="B256" s="216" t="str">
        <x:v>新北市立圖書館新店分館</x:v>
      </x:c>
      <x:c r="C256" s="216" t="str">
        <x:v>新店區</x:v>
      </x:c>
      <x:c r="D256" s="216" t="n">
        <x:v>35</x:v>
      </x:c>
      <x:c r="E256" s="216" t="n">
        <x:v>120</x:v>
      </x:c>
      <x:c r="F256" s="219" t="n">
        <x:v>0.9994791666666667</x:v>
      </x:c>
      <x:c r="G256" s="216" t="n">
        <x:v>252</x:v>
      </x:c>
      <x:c r="H256" s="216" t="str">
        <x:f>IF(G256&lt;='排名定義'!$B$5,"是","")</x:f>
        <x:v>是</x:v>
      </x:c>
      <x:c r="I256" s="216" t="n">
        <x:v>251</x:v>
      </x:c>
      <x:c r="J256" s="216" t="str">
        <x:f>IF(I256&lt;='排名定義'!$B$5,"是","")</x:f>
        <x:v>是</x:v>
      </x:c>
      <x:c r="K256" s="216" t="n">
        <x:v>286</x:v>
      </x:c>
      <x:c r="L256" s="216" t="str">
        <x:f>IF(K256&lt;='排名定義'!$B$5,"是","")</x:f>
        <x:v>是</x:v>
      </x:c>
      <x:c r="M256" s="216" t="n">
        <x:f>COUNTIF(H256:L256,"是")</x:f>
        <x:v>3</x:v>
      </x:c>
      <x:c r="N256" s="216" t="str">
        <x:v>三份皆入選</x:v>
      </x:c>
      <x:c r="O256" s="221" t="n">
        <x:v>86.68333333333334</x:v>
      </x:c>
      <x:c r="P256" s="221" t="n">
        <x:v>80.21666666666667</x:v>
      </x:c>
      <x:c r="Q256" s="221" t="n">
        <x:v>6.466666666666667</x:v>
      </x:c>
      <x:c r="R256" s="221" t="n">
        <x:v>0.07460103826187271</x:v>
      </x:c>
      <x:c r="S256" s="221" t="n">
        <x:v>114.03225806451613</x:v>
      </x:c>
      <x:c r="T256" s="221" t="n">
        <x:v>108.87096774193549</x:v>
      </x:c>
      <x:c r="U256" s="221" t="n">
        <x:v>5.161290322580645</x:v>
      </x:c>
      <x:c r="V256" s="219" t="n">
        <x:v>0.06221198156682028</x:v>
      </x:c>
      <x:c r="W256" s="216" t="n">
        <x:v>42</x:v>
      </x:c>
      <x:c r="X256" s="223" t="n">
        <x:v>5850</x:v>
      </x:c>
      <x:c r="Y256" s="216" t="n">
        <x:v>35</x:v>
      </x:c>
    </x:row>
    <x:row r="257">
      <x:c r="A257" s="217" t="n">
        <x:v>1218</x:v>
      </x:c>
      <x:c r="B257" s="217" t="str">
        <x:v>新市三義山路口</x:v>
      </x:c>
      <x:c r="C257" s="217" t="str">
        <x:v>淡水區</x:v>
      </x:c>
      <x:c r="D257" s="217" t="n">
        <x:v>38</x:v>
      </x:c>
      <x:c r="E257" s="217" t="n">
        <x:v>120</x:v>
      </x:c>
      <x:c r="F257" s="218" t="n">
        <x:v>0.9994791666666667</x:v>
      </x:c>
      <x:c r="G257" s="217" t="n">
        <x:v>253</x:v>
      </x:c>
      <x:c r="H257" s="217" t="str">
        <x:f>IF(G257&lt;='排名定義'!$B$5,"是","")</x:f>
        <x:v>是</x:v>
      </x:c>
      <x:c r="I257" s="217" t="n">
        <x:v>257</x:v>
      </x:c>
      <x:c r="J257" s="217" t="str">
        <x:f>IF(I257&lt;='排名定義'!$B$5,"是","")</x:f>
        <x:v>是</x:v>
      </x:c>
      <x:c r="K257" s="217" t="n">
        <x:v>229</x:v>
      </x:c>
      <x:c r="L257" s="217" t="str">
        <x:f>IF(K257&lt;='排名定義'!$B$5,"是","")</x:f>
        <x:v>是</x:v>
      </x:c>
      <x:c r="M257" s="217" t="n">
        <x:f>COUNTIF(H257:L257,"是")</x:f>
        <x:v>3</x:v>
      </x:c>
      <x:c r="N257" s="217" t="str">
        <x:v>三份皆入選</x:v>
      </x:c>
      <x:c r="O257" s="220" t="n">
        <x:v>86.5</x:v>
      </x:c>
      <x:c r="P257" s="220" t="n">
        <x:v>79.575</x:v>
      </x:c>
      <x:c r="Q257" s="220" t="n">
        <x:v>6.925</x:v>
      </x:c>
      <x:c r="R257" s="220" t="n">
        <x:v>0.0800578034682081</x:v>
      </x:c>
      <x:c r="S257" s="220" t="n">
        <x:v>108.03225806451613</x:v>
      </x:c>
      <x:c r="T257" s="220" t="n">
        <x:v>103.7741935483871</x:v>
      </x:c>
      <x:c r="U257" s="220" t="n">
        <x:v>4.258064516129032</x:v>
      </x:c>
      <x:c r="V257" s="218" t="n">
        <x:v>0.06451612903225806</x:v>
      </x:c>
      <x:c r="W257" s="217" t="n">
        <x:v>20</x:v>
      </x:c>
      <x:c r="X257" s="222" t="n">
        <x:v>2490</x:v>
      </x:c>
      <x:c r="Y257" s="217" t="n">
        <x:v>38</x:v>
      </x:c>
    </x:row>
    <x:row r="258">
      <x:c r="A258" s="216" t="n">
        <x:v>1456</x:v>
      </x:c>
      <x:c r="B258" s="216" t="str">
        <x:v>板橋仁愛公園</x:v>
      </x:c>
      <x:c r="C258" s="216" t="str">
        <x:v>板橋區</x:v>
      </x:c>
      <x:c r="D258" s="216" t="n">
        <x:v>51</x:v>
      </x:c>
      <x:c r="E258" s="216" t="n">
        <x:v>120</x:v>
      </x:c>
      <x:c r="F258" s="219" t="n">
        <x:v>0.9994791666666667</x:v>
      </x:c>
      <x:c r="G258" s="216" t="n">
        <x:v>254</x:v>
      </x:c>
      <x:c r="H258" s="216" t="str">
        <x:f>IF(G258&lt;='排名定義'!$B$5,"是","")</x:f>
        <x:v>是</x:v>
      </x:c>
      <x:c r="I258" s="216" t="n">
        <x:v>260</x:v>
      </x:c>
      <x:c r="J258" s="216" t="str">
        <x:f>IF(I258&lt;='排名定義'!$B$5,"是","")</x:f>
        <x:v>是</x:v>
      </x:c>
      <x:c r="K258" s="216" t="n">
        <x:v>228</x:v>
      </x:c>
      <x:c r="L258" s="216" t="str">
        <x:f>IF(K258&lt;='排名定義'!$B$5,"是","")</x:f>
        <x:v>是</x:v>
      </x:c>
      <x:c r="M258" s="216" t="n">
        <x:f>COUNTIF(H258:L258,"是")</x:f>
        <x:v>3</x:v>
      </x:c>
      <x:c r="N258" s="216" t="str">
        <x:v>三份皆入選</x:v>
      </x:c>
      <x:c r="O258" s="221" t="n">
        <x:v>86.40833333333333</x:v>
      </x:c>
      <x:c r="P258" s="221" t="n">
        <x:v>79.475</x:v>
      </x:c>
      <x:c r="Q258" s="221" t="n">
        <x:v>6.933333333333334</x:v>
      </x:c>
      <x:c r="R258" s="221" t="n">
        <x:v>0.08023917446233966</x:v>
      </x:c>
      <x:c r="S258" s="221" t="n">
        <x:v>103.58064516129032</x:v>
      </x:c>
      <x:c r="T258" s="221" t="n">
        <x:v>97.83870967741936</x:v>
      </x:c>
      <x:c r="U258" s="221" t="n">
        <x:v>5.741935483870968</x:v>
      </x:c>
      <x:c r="V258" s="219" t="n">
        <x:v>0.0576036866359447</x:v>
      </x:c>
      <x:c r="W258" s="216" t="n">
        <x:v>6</x:v>
      </x:c>
      <x:c r="X258" s="223" t="n">
        <x:v>1350</x:v>
      </x:c>
      <x:c r="Y258" s="216" t="n">
        <x:v>51</x:v>
      </x:c>
    </x:row>
    <x:row r="259">
      <x:c r="A259" s="217" t="n">
        <x:v>88</x:v>
      </x:c>
      <x:c r="B259" s="217" t="str">
        <x:v>秀山國小</x:v>
      </x:c>
      <x:c r="C259" s="217" t="str">
        <x:v>中和區</x:v>
      </x:c>
      <x:c r="D259" s="217" t="n">
        <x:v>70</x:v>
      </x:c>
      <x:c r="E259" s="217" t="n">
        <x:v>120</x:v>
      </x:c>
      <x:c r="F259" s="218" t="n">
        <x:v>0.9994791666666667</x:v>
      </x:c>
      <x:c r="G259" s="217" t="n">
        <x:v>255</x:v>
      </x:c>
      <x:c r="H259" s="217" t="str">
        <x:f>IF(G259&lt;='排名定義'!$B$5,"是","")</x:f>
        <x:v>是</x:v>
      </x:c>
      <x:c r="I259" s="217" t="n">
        <x:v>267</x:v>
      </x:c>
      <x:c r="J259" s="217" t="str">
        <x:f>IF(I259&lt;='排名定義'!$B$5,"是","")</x:f>
        <x:v>是</x:v>
      </x:c>
      <x:c r="K259" s="217" t="n">
        <x:v>158</x:v>
      </x:c>
      <x:c r="L259" s="217" t="str">
        <x:f>IF(K259&lt;='排名定義'!$B$5,"是","")</x:f>
        <x:v>是</x:v>
      </x:c>
      <x:c r="M259" s="217" t="n">
        <x:f>COUNTIF(H259:L259,"是")</x:f>
        <x:v>3</x:v>
      </x:c>
      <x:c r="N259" s="217" t="str">
        <x:v>三份皆入選</x:v>
      </x:c>
      <x:c r="O259" s="220" t="n">
        <x:v>86.05833333333334</x:v>
      </x:c>
      <x:c r="P259" s="220" t="n">
        <x:v>78.40833333333333</x:v>
      </x:c>
      <x:c r="Q259" s="220" t="n">
        <x:v>7.65</x:v>
      </x:c>
      <x:c r="R259" s="220" t="n">
        <x:v>0.0888931926019173</x:v>
      </x:c>
      <x:c r="S259" s="220" t="n">
        <x:v>116.06451612903226</x:v>
      </x:c>
      <x:c r="T259" s="220" t="n">
        <x:v>110.93548387096774</x:v>
      </x:c>
      <x:c r="U259" s="220" t="n">
        <x:v>5.129032258064516</x:v>
      </x:c>
      <x:c r="V259" s="218" t="n">
        <x:v>0.013824884792626729</x:v>
      </x:c>
      <x:c r="W259" s="217" t="n">
        <x:v>7</x:v>
      </x:c>
      <x:c r="X259" s="222" t="n">
        <x:v>780</x:v>
      </x:c>
      <x:c r="Y259" s="217" t="n">
        <x:v>70</x:v>
      </x:c>
    </x:row>
    <x:row r="260">
      <x:c r="A260" s="216" t="n">
        <x:v>1398</x:v>
      </x:c>
      <x:c r="B260" s="216" t="str">
        <x:v>環河西大漢街口</x:v>
      </x:c>
      <x:c r="C260" s="216" t="str">
        <x:v>板橋區</x:v>
      </x:c>
      <x:c r="D260" s="216" t="n">
        <x:v>46</x:v>
      </x:c>
      <x:c r="E260" s="216" t="n">
        <x:v>120</x:v>
      </x:c>
      <x:c r="F260" s="219" t="n">
        <x:v>0.9994791666666667</x:v>
      </x:c>
      <x:c r="G260" s="216" t="n">
        <x:v>256</x:v>
      </x:c>
      <x:c r="H260" s="216" t="str">
        <x:f>IF(G260&lt;='排名定義'!$B$5,"是","")</x:f>
        <x:v>是</x:v>
      </x:c>
      <x:c r="I260" s="216" t="n">
        <x:v>269</x:v>
      </x:c>
      <x:c r="J260" s="216" t="str">
        <x:f>IF(I260&lt;='排名定義'!$B$5,"是","")</x:f>
        <x:v>是</x:v>
      </x:c>
      <x:c r="K260" s="216" t="n">
        <x:v>134</x:v>
      </x:c>
      <x:c r="L260" s="216" t="str">
        <x:f>IF(K260&lt;='排名定義'!$B$5,"是","")</x:f>
        <x:v>是</x:v>
      </x:c>
      <x:c r="M260" s="216" t="n">
        <x:f>COUNTIF(H260:L260,"是")</x:f>
        <x:v>3</x:v>
      </x:c>
      <x:c r="N260" s="216" t="str">
        <x:v>三份皆入選</x:v>
      </x:c>
      <x:c r="O260" s="221" t="n">
        <x:v>86.04166666666667</x:v>
      </x:c>
      <x:c r="P260" s="221" t="n">
        <x:v>78.075</x:v>
      </x:c>
      <x:c r="Q260" s="221" t="n">
        <x:v>7.966666666666667</x:v>
      </x:c>
      <x:c r="R260" s="221" t="n">
        <x:v>0.092590799031477</x:v>
      </x:c>
      <x:c r="S260" s="221" t="n">
        <x:v>112.54838709677419</x:v>
      </x:c>
      <x:c r="T260" s="221" t="n">
        <x:v>106.09677419354838</x:v>
      </x:c>
      <x:c r="U260" s="221" t="n">
        <x:v>6.451612903225806</x:v>
      </x:c>
      <x:c r="V260" s="219" t="n">
        <x:v>0.029953917050691243</x:v>
      </x:c>
      <x:c r="W260" s="216" t="n">
        <x:v>5</x:v>
      </x:c>
      <x:c r="X260" s="223" t="n">
        <x:v>840</x:v>
      </x:c>
      <x:c r="Y260" s="216" t="n">
        <x:v>46</x:v>
      </x:c>
    </x:row>
    <x:row r="261">
      <x:c r="A261" s="217" t="n">
        <x:v>1015</x:v>
      </x:c>
      <x:c r="B261" s="217" t="str">
        <x:v>輕軌濱海義山站(西南側)</x:v>
      </x:c>
      <x:c r="C261" s="217" t="str">
        <x:v>淡水區</x:v>
      </x:c>
      <x:c r="D261" s="217" t="n">
        <x:v>30</x:v>
      </x:c>
      <x:c r="E261" s="217" t="n">
        <x:v>120</x:v>
      </x:c>
      <x:c r="F261" s="218" t="n">
        <x:v>0.9994791666666667</x:v>
      </x:c>
      <x:c r="G261" s="217" t="n">
        <x:v>257</x:v>
      </x:c>
      <x:c r="H261" s="217" t="str">
        <x:f>IF(G261&lt;='排名定義'!$B$5,"是","")</x:f>
        <x:v>是</x:v>
      </x:c>
      <x:c r="I261" s="217" t="n">
        <x:v>253</x:v>
      </x:c>
      <x:c r="J261" s="217" t="str">
        <x:f>IF(I261&lt;='排名定義'!$B$5,"是","")</x:f>
        <x:v>是</x:v>
      </x:c>
      <x:c r="K261" s="217" t="n">
        <x:v>384</x:v>
      </x:c>
      <x:c r="L261" s="217" t="str">
        <x:f>IF(K261&lt;='排名定義'!$B$5,"是","")</x:f>
        <x:v>是</x:v>
      </x:c>
      <x:c r="M261" s="217" t="n">
        <x:f>COUNTIF(H261:L261,"是")</x:f>
        <x:v>3</x:v>
      </x:c>
      <x:c r="N261" s="217" t="str">
        <x:v>總變動＋一般變動</x:v>
      </x:c>
      <x:c r="O261" s="220" t="n">
        <x:v>85.8</x:v>
      </x:c>
      <x:c r="P261" s="220" t="n">
        <x:v>79.99166666666666</x:v>
      </x:c>
      <x:c r="Q261" s="220" t="n">
        <x:v>5.808333333333334</x:v>
      </x:c>
      <x:c r="R261" s="220" t="n">
        <x:v>0.0676961926961927</x:v>
      </x:c>
      <x:c r="S261" s="220" t="n">
        <x:v>105.96774193548387</x:v>
      </x:c>
      <x:c r="T261" s="220" t="n">
        <x:v>99.93548387096774</x:v>
      </x:c>
      <x:c r="U261" s="220" t="n">
        <x:v>6.032258064516129</x:v>
      </x:c>
      <x:c r="V261" s="218" t="n">
        <x:v>0.14285714285714285</x:v>
      </x:c>
      <x:c r="W261" s="217" t="n">
        <x:v>40</x:v>
      </x:c>
      <x:c r="X261" s="222" t="n">
        <x:v>4980</x:v>
      </x:c>
      <x:c r="Y261" s="217" t="n">
        <x:v>30</x:v>
      </x:c>
    </x:row>
    <x:row r="262">
      <x:c r="A262" s="216" t="n">
        <x:v>534</x:v>
      </x:c>
      <x:c r="B262" s="216" t="str">
        <x:v>環河西路二段217巷口</x:v>
      </x:c>
      <x:c r="C262" s="216" t="str">
        <x:v>永和區</x:v>
      </x:c>
      <x:c r="D262" s="216" t="n">
        <x:v>17</x:v>
      </x:c>
      <x:c r="E262" s="216" t="n">
        <x:v>120</x:v>
      </x:c>
      <x:c r="F262" s="219" t="n">
        <x:v>0.9994791666666667</x:v>
      </x:c>
      <x:c r="G262" s="216" t="n">
        <x:v>258</x:v>
      </x:c>
      <x:c r="H262" s="216" t="str">
        <x:f>IF(G262&lt;='排名定義'!$B$5,"是","")</x:f>
        <x:v>是</x:v>
      </x:c>
      <x:c r="I262" s="216" t="n">
        <x:v>254</x:v>
      </x:c>
      <x:c r="J262" s="216" t="str">
        <x:f>IF(I262&lt;='排名定義'!$B$5,"是","")</x:f>
        <x:v>是</x:v>
      </x:c>
      <x:c r="K262" s="216" t="n">
        <x:v>385</x:v>
      </x:c>
      <x:c r="L262" s="216" t="str">
        <x:f>IF(K262&lt;='排名定義'!$B$5,"是","")</x:f>
        <x:v>是</x:v>
      </x:c>
      <x:c r="M262" s="216" t="n">
        <x:f>COUNTIF(H262:L262,"是")</x:f>
        <x:v>3</x:v>
      </x:c>
      <x:c r="N262" s="216" t="str">
        <x:v>總變動＋一般變動</x:v>
      </x:c>
      <x:c r="O262" s="221" t="n">
        <x:v>85.76666666666667</x:v>
      </x:c>
      <x:c r="P262" s="221" t="n">
        <x:v>79.975</x:v>
      </x:c>
      <x:c r="Q262" s="221" t="n">
        <x:v>5.791666666666667</x:v>
      </x:c>
      <x:c r="R262" s="221" t="n">
        <x:v>0.06752817722502914</x:v>
      </x:c>
      <x:c r="S262" s="221" t="n">
        <x:v>115.03225806451613</x:v>
      </x:c>
      <x:c r="T262" s="221" t="n">
        <x:v>108.83870967741936</x:v>
      </x:c>
      <x:c r="U262" s="221" t="n">
        <x:v>6.193548387096774</x:v>
      </x:c>
      <x:c r="V262" s="219" t="n">
        <x:v>0.06682027649769585</x:v>
      </x:c>
      <x:c r="W262" s="216" t="n">
        <x:v>16</x:v>
      </x:c>
      <x:c r="X262" s="223" t="n">
        <x:v>3270</x:v>
      </x:c>
      <x:c r="Y262" s="216" t="n">
        <x:v>17</x:v>
      </x:c>
    </x:row>
    <x:row r="263">
      <x:c r="A263" s="217" t="n">
        <x:v>492</x:v>
      </x:c>
      <x:c r="B263" s="217" t="str">
        <x:v>華夏科技大學(華新街)</x:v>
      </x:c>
      <x:c r="C263" s="217" t="str">
        <x:v>中和區</x:v>
      </x:c>
      <x:c r="D263" s="217" t="n">
        <x:v>16</x:v>
      </x:c>
      <x:c r="E263" s="217" t="n">
        <x:v>120</x:v>
      </x:c>
      <x:c r="F263" s="218" t="n">
        <x:v>0.9994791666666667</x:v>
      </x:c>
      <x:c r="G263" s="217" t="n">
        <x:v>259</x:v>
      </x:c>
      <x:c r="H263" s="217" t="str">
        <x:f>IF(G263&lt;='排名定義'!$B$5,"是","")</x:f>
        <x:v>是</x:v>
      </x:c>
      <x:c r="I263" s="217" t="n">
        <x:v>250</x:v>
      </x:c>
      <x:c r="J263" s="217" t="str">
        <x:f>IF(I263&lt;='排名定義'!$B$5,"是","")</x:f>
        <x:v>是</x:v>
      </x:c>
      <x:c r="K263" s="217" t="n">
        <x:v>439</x:v>
      </x:c>
      <x:c r="L263" s="217" t="str">
        <x:f>IF(K263&lt;='排名定義'!$B$5,"是","")</x:f>
        <x:v>是</x:v>
      </x:c>
      <x:c r="M263" s="217" t="n">
        <x:f>COUNTIF(H263:L263,"是")</x:f>
        <x:v>3</x:v>
      </x:c>
      <x:c r="N263" s="217" t="str">
        <x:v>總變動＋一般變動</x:v>
      </x:c>
      <x:c r="O263" s="220" t="n">
        <x:v>85.75</x:v>
      </x:c>
      <x:c r="P263" s="220" t="n">
        <x:v>80.25833333333334</x:v>
      </x:c>
      <x:c r="Q263" s="220" t="n">
        <x:v>5.491666666666666</x:v>
      </x:c>
      <x:c r="R263" s="220" t="n">
        <x:v>0.06404275996112731</x:v>
      </x:c>
      <x:c r="S263" s="220" t="n">
        <x:v>101.51612903225806</x:v>
      </x:c>
      <x:c r="T263" s="220" t="n">
        <x:v>97.93548387096774</x:v>
      </x:c>
      <x:c r="U263" s="220" t="n">
        <x:v>3.5806451612903225</x:v>
      </x:c>
      <x:c r="V263" s="218" t="n">
        <x:v>0.1382488479262673</x:v>
      </x:c>
      <x:c r="W263" s="217" t="n">
        <x:v>43</x:v>
      </x:c>
      <x:c r="X263" s="222" t="n">
        <x:v>6210</x:v>
      </x:c>
      <x:c r="Y263" s="217" t="n">
        <x:v>16</x:v>
      </x:c>
    </x:row>
    <x:row r="264">
      <x:c r="A264" s="216" t="n">
        <x:v>94</x:v>
      </x:c>
      <x:c r="B264" s="216" t="str">
        <x:v>蘆洲中原公園</x:v>
      </x:c>
      <x:c r="C264" s="216" t="str">
        <x:v>蘆洲區</x:v>
      </x:c>
      <x:c r="D264" s="216" t="n">
        <x:v>52</x:v>
      </x:c>
      <x:c r="E264" s="216" t="n">
        <x:v>120</x:v>
      </x:c>
      <x:c r="F264" s="219" t="n">
        <x:v>0.9994791666666667</x:v>
      </x:c>
      <x:c r="G264" s="216" t="n">
        <x:v>260</x:v>
      </x:c>
      <x:c r="H264" s="216" t="str">
        <x:f>IF(G264&lt;='排名定義'!$B$5,"是","")</x:f>
        <x:v>是</x:v>
      </x:c>
      <x:c r="I264" s="216" t="n">
        <x:v>247</x:v>
      </x:c>
      <x:c r="J264" s="216" t="str">
        <x:f>IF(I264&lt;='排名定義'!$B$5,"是","")</x:f>
        <x:v>是</x:v>
      </x:c>
      <x:c r="K264" s="216" t="n">
        <x:v>479</x:v>
      </x:c>
      <x:c r="L264" s="216" t="str">
        <x:f>IF(K264&lt;='排名定義'!$B$5,"是","")</x:f>
        <x:v>是</x:v>
      </x:c>
      <x:c r="M264" s="216" t="n">
        <x:f>COUNTIF(H264:L264,"是")</x:f>
        <x:v>3</x:v>
      </x:c>
      <x:c r="N264" s="216" t="str">
        <x:v>總變動＋一般變動</x:v>
      </x:c>
      <x:c r="O264" s="221" t="n">
        <x:v>85.74166666666666</x:v>
      </x:c>
      <x:c r="P264" s="221" t="n">
        <x:v>80.49166666666666</x:v>
      </x:c>
      <x:c r="Q264" s="221" t="n">
        <x:v>5.25</x:v>
      </x:c>
      <x:c r="R264" s="221" t="n">
        <x:v>0.06123044027602294</x:v>
      </x:c>
      <x:c r="S264" s="221" t="n">
        <x:v>103.93548387096774</x:v>
      </x:c>
      <x:c r="T264" s="221" t="n">
        <x:v>99.48387096774194</x:v>
      </x:c>
      <x:c r="U264" s="221" t="n">
        <x:v>4.451612903225806</x:v>
      </x:c>
      <x:c r="V264" s="219" t="n">
        <x:v>0.018433179723502304</x:v>
      </x:c>
      <x:c r="W264" s="216" t="n">
        <x:v>1</x:v>
      </x:c>
      <x:c r="X264" s="223" t="n">
        <x:v>420</x:v>
      </x:c>
      <x:c r="Y264" s="216" t="n">
        <x:v>45</x:v>
      </x:c>
    </x:row>
    <x:row r="265">
      <x:c r="A265" s="217" t="n">
        <x:v>812</x:v>
      </x:c>
      <x:c r="B265" s="217" t="str">
        <x:v>台麗街13巷</x:v>
      </x:c>
      <x:c r="C265" s="217" t="str">
        <x:v>泰山區</x:v>
      </x:c>
      <x:c r="D265" s="217" t="n">
        <x:v>22</x:v>
      </x:c>
      <x:c r="E265" s="217" t="n">
        <x:v>120</x:v>
      </x:c>
      <x:c r="F265" s="218" t="n">
        <x:v>0.9994791666666667</x:v>
      </x:c>
      <x:c r="G265" s="217" t="n">
        <x:v>261</x:v>
      </x:c>
      <x:c r="H265" s="217" t="str">
        <x:f>IF(G265&lt;='排名定義'!$B$5,"是","")</x:f>
        <x:v>是</x:v>
      </x:c>
      <x:c r="I265" s="217" t="n">
        <x:v>255</x:v>
      </x:c>
      <x:c r="J265" s="217" t="str">
        <x:f>IF(I265&lt;='排名定義'!$B$5,"是","")</x:f>
        <x:v>是</x:v>
      </x:c>
      <x:c r="K265" s="217" t="n">
        <x:v>441</x:v>
      </x:c>
      <x:c r="L265" s="217" t="str">
        <x:f>IF(K265&lt;='排名定義'!$B$5,"是","")</x:f>
        <x:v>是</x:v>
      </x:c>
      <x:c r="M265" s="217" t="n">
        <x:f>COUNTIF(H265:L265,"是")</x:f>
        <x:v>3</x:v>
      </x:c>
      <x:c r="N265" s="217" t="str">
        <x:v>總變動＋一般變動</x:v>
      </x:c>
      <x:c r="O265" s="220" t="n">
        <x:v>85.30833333333334</x:v>
      </x:c>
      <x:c r="P265" s="220" t="n">
        <x:v>79.84166666666667</x:v>
      </x:c>
      <x:c r="Q265" s="220" t="n">
        <x:v>5.466666666666667</x:v>
      </x:c>
      <x:c r="R265" s="220" t="n">
        <x:v>0.06408127381068672</x:v>
      </x:c>
      <x:c r="S265" s="220" t="n">
        <x:v>112.70967741935483</x:v>
      </x:c>
      <x:c r="T265" s="220" t="n">
        <x:v>108.3225806451613</x:v>
      </x:c>
      <x:c r="U265" s="220" t="n">
        <x:v>4.387096774193548</x:v>
      </x:c>
      <x:c r="V265" s="218" t="n">
        <x:v>0.07373271889400922</x:v>
      </x:c>
      <x:c r="W265" s="217" t="n">
        <x:v>24</x:v>
      </x:c>
      <x:c r="X265" s="222" t="n">
        <x:v>3390</x:v>
      </x:c>
      <x:c r="Y265" s="217" t="n">
        <x:v>22</x:v>
      </x:c>
    </x:row>
    <x:row r="266">
      <x:c r="A266" s="216" t="n">
        <x:v>1410</x:v>
      </x:c>
      <x:c r="B266" s="216" t="str">
        <x:v>板橋福德公園</x:v>
      </x:c>
      <x:c r="C266" s="216" t="str">
        <x:v>板橋區</x:v>
      </x:c>
      <x:c r="D266" s="216" t="n">
        <x:v>47</x:v>
      </x:c>
      <x:c r="E266" s="216" t="n">
        <x:v>120</x:v>
      </x:c>
      <x:c r="F266" s="219" t="n">
        <x:v>0.9994791666666667</x:v>
      </x:c>
      <x:c r="G266" s="216" t="n">
        <x:v>262</x:v>
      </x:c>
      <x:c r="H266" s="216" t="str">
        <x:f>IF(G266&lt;='排名定義'!$B$5,"是","")</x:f>
        <x:v>是</x:v>
      </x:c>
      <x:c r="I266" s="216" t="n">
        <x:v>266</x:v>
      </x:c>
      <x:c r="J266" s="216" t="str">
        <x:f>IF(I266&lt;='排名定義'!$B$5,"是","")</x:f>
        <x:v>是</x:v>
      </x:c>
      <x:c r="K266" s="216" t="n">
        <x:v>246</x:v>
      </x:c>
      <x:c r="L266" s="216" t="str">
        <x:f>IF(K266&lt;='排名定義'!$B$5,"是","")</x:f>
        <x:v>是</x:v>
      </x:c>
      <x:c r="M266" s="216" t="n">
        <x:f>COUNTIF(H266:L266,"是")</x:f>
        <x:v>3</x:v>
      </x:c>
      <x:c r="N266" s="216" t="str">
        <x:v>三份皆入選</x:v>
      </x:c>
      <x:c r="O266" s="221" t="n">
        <x:v>85.275</x:v>
      </x:c>
      <x:c r="P266" s="221" t="n">
        <x:v>78.45833333333333</x:v>
      </x:c>
      <x:c r="Q266" s="221" t="n">
        <x:v>6.816666666666666</x:v>
      </x:c>
      <x:c r="R266" s="221" t="n">
        <x:v>0.07993745724616437</x:v>
      </x:c>
      <x:c r="S266" s="221" t="n">
        <x:v>106.6774193548387</x:v>
      </x:c>
      <x:c r="T266" s="221" t="n">
        <x:v>102.16129032258064</x:v>
      </x:c>
      <x:c r="U266" s="221" t="n">
        <x:v>4.516129032258065</x:v>
      </x:c>
      <x:c r="V266" s="219" t="n">
        <x:v>0.05069124423963134</x:v>
      </x:c>
      <x:c r="W266" s="216" t="n">
        <x:v>27</x:v>
      </x:c>
      <x:c r="X266" s="223" t="n">
        <x:v>3390</x:v>
      </x:c>
      <x:c r="Y266" s="216" t="n">
        <x:v>47</x:v>
      </x:c>
    </x:row>
    <x:row r="267">
      <x:c r="A267" s="217" t="n">
        <x:v>105</x:v>
      </x:c>
      <x:c r="B267" s="217" t="str">
        <x:v>國立臺北大學(三峽校區)</x:v>
      </x:c>
      <x:c r="C267" s="217" t="str">
        <x:v>三峽區</x:v>
      </x:c>
      <x:c r="D267" s="217" t="n">
        <x:v>63</x:v>
      </x:c>
      <x:c r="E267" s="217" t="n">
        <x:v>120</x:v>
      </x:c>
      <x:c r="F267" s="218" t="n">
        <x:v>0.9994791666666667</x:v>
      </x:c>
      <x:c r="G267" s="217" t="n">
        <x:v>263</x:v>
      </x:c>
      <x:c r="H267" s="217" t="str">
        <x:f>IF(G267&lt;='排名定義'!$B$5,"是","")</x:f>
        <x:v>是</x:v>
      </x:c>
      <x:c r="I267" s="217" t="n">
        <x:v>262</x:v>
      </x:c>
      <x:c r="J267" s="217" t="str">
        <x:f>IF(I267&lt;='排名定義'!$B$5,"是","")</x:f>
        <x:v>是</x:v>
      </x:c>
      <x:c r="K267" s="217" t="n">
        <x:v>325</x:v>
      </x:c>
      <x:c r="L267" s="217" t="str">
        <x:f>IF(K267&lt;='排名定義'!$B$5,"是","")</x:f>
        <x:v>是</x:v>
      </x:c>
      <x:c r="M267" s="217" t="n">
        <x:f>COUNTIF(H267:L267,"是")</x:f>
        <x:v>3</x:v>
      </x:c>
      <x:c r="N267" s="217" t="str">
        <x:v>三份皆入選</x:v>
      </x:c>
      <x:c r="O267" s="220" t="n">
        <x:v>85.10833333333333</x:v>
      </x:c>
      <x:c r="P267" s="220" t="n">
        <x:v>78.95833333333333</x:v>
      </x:c>
      <x:c r="Q267" s="220" t="n">
        <x:v>6.15</x:v>
      </x:c>
      <x:c r="R267" s="220" t="n">
        <x:v>0.0722608440223245</x:v>
      </x:c>
      <x:c r="S267" s="220" t="n">
        <x:v>147.90322580645162</x:v>
      </x:c>
      <x:c r="T267" s="220" t="n">
        <x:v>139.09677419354838</x:v>
      </x:c>
      <x:c r="U267" s="220" t="n">
        <x:v>8.806451612903226</x:v>
      </x:c>
      <x:c r="V267" s="218" t="n">
        <x:v>0.009216589861751152</x:v>
      </x:c>
      <x:c r="W267" s="217" t="n">
        <x:v>4</x:v>
      </x:c>
      <x:c r="X267" s="222" t="n">
        <x:v>450</x:v>
      </x:c>
      <x:c r="Y267" s="217" t="n">
        <x:v>99</x:v>
      </x:c>
    </x:row>
    <x:row r="268">
      <x:c r="A268" s="216" t="n">
        <x:v>97</x:v>
      </x:c>
      <x:c r="B268" s="216" t="str">
        <x:v>錦和運動公園</x:v>
      </x:c>
      <x:c r="C268" s="216" t="str">
        <x:v>中和區</x:v>
      </x:c>
      <x:c r="D268" s="216" t="n">
        <x:v>64</x:v>
      </x:c>
      <x:c r="E268" s="216" t="n">
        <x:v>120</x:v>
      </x:c>
      <x:c r="F268" s="219" t="n">
        <x:v>0.9994791666666667</x:v>
      </x:c>
      <x:c r="G268" s="216" t="n">
        <x:v>264</x:v>
      </x:c>
      <x:c r="H268" s="216" t="str">
        <x:f>IF(G268&lt;='排名定義'!$B$5,"是","")</x:f>
        <x:v>是</x:v>
      </x:c>
      <x:c r="I268" s="216" t="n">
        <x:v>279</x:v>
      </x:c>
      <x:c r="J268" s="216" t="str">
        <x:f>IF(I268&lt;='排名定義'!$B$5,"是","")</x:f>
        <x:v>是</x:v>
      </x:c>
      <x:c r="K268" s="216" t="n">
        <x:v>108</x:v>
      </x:c>
      <x:c r="L268" s="216" t="str">
        <x:f>IF(K268&lt;='排名定義'!$B$5,"是","")</x:f>
        <x:v>是</x:v>
      </x:c>
      <x:c r="M268" s="216" t="n">
        <x:f>COUNTIF(H268:L268,"是")</x:f>
        <x:v>3</x:v>
      </x:c>
      <x:c r="N268" s="216" t="str">
        <x:v>三份皆入選</x:v>
      </x:c>
      <x:c r="O268" s="221" t="n">
        <x:v>85.04166666666667</x:v>
      </x:c>
      <x:c r="P268" s="221" t="n">
        <x:v>76.58333333333333</x:v>
      </x:c>
      <x:c r="Q268" s="221" t="n">
        <x:v>8.458333333333334</x:v>
      </x:c>
      <x:c r="R268" s="221" t="n">
        <x:v>0.09946104850563449</x:v>
      </x:c>
      <x:c r="S268" s="221" t="n">
        <x:v>117.58064516129032</x:v>
      </x:c>
      <x:c r="T268" s="221" t="n">
        <x:v>110.12903225806451</x:v>
      </x:c>
      <x:c r="U268" s="221" t="n">
        <x:v>7.451612903225806</x:v>
      </x:c>
      <x:c r="V268" s="219" t="n">
        <x:v>0.041474654377880185</x:v>
      </x:c>
      <x:c r="W268" s="216" t="n">
        <x:v>7</x:v>
      </x:c>
      <x:c r="X268" s="223" t="n">
        <x:v>1440</x:v>
      </x:c>
      <x:c r="Y268" s="216" t="n">
        <x:v>64</x:v>
      </x:c>
    </x:row>
    <x:row r="269">
      <x:c r="A269" s="217" t="n">
        <x:v>1140</x:v>
      </x:c>
      <x:c r="B269" s="217" t="str">
        <x:v>中山國中</x:v>
      </x:c>
      <x:c r="C269" s="217" t="str">
        <x:v>板橋區</x:v>
      </x:c>
      <x:c r="D269" s="217" t="n">
        <x:v>34</x:v>
      </x:c>
      <x:c r="E269" s="217" t="n">
        <x:v>120</x:v>
      </x:c>
      <x:c r="F269" s="218" t="n">
        <x:v>0.9994791666666667</x:v>
      </x:c>
      <x:c r="G269" s="217" t="n">
        <x:v>265</x:v>
      </x:c>
      <x:c r="H269" s="217" t="str">
        <x:f>IF(G269&lt;='排名定義'!$B$5,"是","")</x:f>
        <x:v>是</x:v>
      </x:c>
      <x:c r="I269" s="217" t="n">
        <x:v>263</x:v>
      </x:c>
      <x:c r="J269" s="217" t="str">
        <x:f>IF(I269&lt;='排名定義'!$B$5,"是","")</x:f>
        <x:v>是</x:v>
      </x:c>
      <x:c r="K269" s="217" t="n">
        <x:v>346</x:v>
      </x:c>
      <x:c r="L269" s="217" t="str">
        <x:f>IF(K269&lt;='排名定義'!$B$5,"是","")</x:f>
        <x:v>是</x:v>
      </x:c>
      <x:c r="M269" s="217" t="n">
        <x:f>COUNTIF(H269:L269,"是")</x:f>
        <x:v>3</x:v>
      </x:c>
      <x:c r="N269" s="217" t="str">
        <x:v>三份皆入選</x:v>
      </x:c>
      <x:c r="O269" s="220" t="n">
        <x:v>84.99166666666666</x:v>
      </x:c>
      <x:c r="P269" s="220" t="n">
        <x:v>78.95</x:v>
      </x:c>
      <x:c r="Q269" s="220" t="n">
        <x:v>6.041666666666667</x:v>
      </x:c>
      <x:c r="R269" s="220" t="n">
        <x:v>0.07108540052946367</x:v>
      </x:c>
      <x:c r="S269" s="220" t="n">
        <x:v>112.03225806451613</x:v>
      </x:c>
      <x:c r="T269" s="220" t="n">
        <x:v>106.25806451612904</x:v>
      </x:c>
      <x:c r="U269" s="220" t="n">
        <x:v>5.774193548387097</x:v>
      </x:c>
      <x:c r="V269" s="218" t="n">
        <x:v>0.12903225806451613</x:v>
      </x:c>
      <x:c r="W269" s="217" t="n">
        <x:v>24</x:v>
      </x:c>
      <x:c r="X269" s="222" t="n">
        <x:v>3330</x:v>
      </x:c>
      <x:c r="Y269" s="217" t="n">
        <x:v>34</x:v>
      </x:c>
    </x:row>
    <x:row r="270">
      <x:c r="A270" s="216" t="n">
        <x:v>1505</x:v>
      </x:c>
      <x:c r="B270" s="216" t="str">
        <x:v>明志國中</x:v>
      </x:c>
      <x:c r="C270" s="216" t="str">
        <x:v>三重區</x:v>
      </x:c>
      <x:c r="D270" s="216" t="n">
        <x:v>57</x:v>
      </x:c>
      <x:c r="E270" s="216" t="n">
        <x:v>120</x:v>
      </x:c>
      <x:c r="F270" s="219" t="n">
        <x:v>0.9994791666666667</x:v>
      </x:c>
      <x:c r="G270" s="216" t="n">
        <x:v>266</x:v>
      </x:c>
      <x:c r="H270" s="216" t="str">
        <x:f>IF(G270&lt;='排名定義'!$B$5,"是","")</x:f>
        <x:v>是</x:v>
      </x:c>
      <x:c r="I270" s="216" t="n">
        <x:v>292</x:v>
      </x:c>
      <x:c r="J270" s="216" t="str">
        <x:f>IF(I270&lt;='排名定義'!$B$5,"是","")</x:f>
        <x:v>是</x:v>
      </x:c>
      <x:c r="K270" s="216" t="n">
        <x:v>74</x:v>
      </x:c>
      <x:c r="L270" s="216" t="str">
        <x:f>IF(K270&lt;='排名定義'!$B$5,"是","")</x:f>
        <x:v>是</x:v>
      </x:c>
      <x:c r="M270" s="216" t="n">
        <x:f>COUNTIF(H270:L270,"是")</x:f>
        <x:v>3</x:v>
      </x:c>
      <x:c r="N270" s="216" t="str">
        <x:v>三份皆入選</x:v>
      </x:c>
      <x:c r="O270" s="221" t="n">
        <x:v>84.90833333333333</x:v>
      </x:c>
      <x:c r="P270" s="221" t="n">
        <x:v>75.575</x:v>
      </x:c>
      <x:c r="Q270" s="221" t="n">
        <x:v>9.333333333333334</x:v>
      </x:c>
      <x:c r="R270" s="221" t="n">
        <x:v>0.10992246540386691</x:v>
      </x:c>
      <x:c r="S270" s="221" t="n">
        <x:v>111.03225806451613</x:v>
      </x:c>
      <x:c r="T270" s="221" t="n">
        <x:v>101.35483870967742</x:v>
      </x:c>
      <x:c r="U270" s="221" t="n">
        <x:v>9.67741935483871</x:v>
      </x:c>
      <x:c r="V270" s="219" t="n">
        <x:v>0.0967741935483871</x:v>
      </x:c>
      <x:c r="W270" s="216" t="n">
        <x:v>17</x:v>
      </x:c>
      <x:c r="X270" s="223" t="n">
        <x:v>2340</x:v>
      </x:c>
      <x:c r="Y270" s="216" t="n">
        <x:v>57</x:v>
      </x:c>
    </x:row>
    <x:row r="271">
      <x:c r="A271" s="217" t="n">
        <x:v>764</x:v>
      </x:c>
      <x:c r="B271" s="217" t="str">
        <x:v>僑中二街92巷口</x:v>
      </x:c>
      <x:c r="C271" s="217" t="str">
        <x:v>板橋區</x:v>
      </x:c>
      <x:c r="D271" s="217" t="n">
        <x:v>21</x:v>
      </x:c>
      <x:c r="E271" s="217" t="n">
        <x:v>120</x:v>
      </x:c>
      <x:c r="F271" s="218" t="n">
        <x:v>0.9994791666666667</x:v>
      </x:c>
      <x:c r="G271" s="217" t="n">
        <x:v>267</x:v>
      </x:c>
      <x:c r="H271" s="217" t="str">
        <x:f>IF(G271&lt;='排名定義'!$B$5,"是","")</x:f>
        <x:v>是</x:v>
      </x:c>
      <x:c r="I271" s="217" t="n">
        <x:v>256</x:v>
      </x:c>
      <x:c r="J271" s="217" t="str">
        <x:f>IF(I271&lt;='排名定義'!$B$5,"是","")</x:f>
        <x:v>是</x:v>
      </x:c>
      <x:c r="K271" s="217" t="n">
        <x:v>523</x:v>
      </x:c>
      <x:c r="L271" s="217" t="str">
        <x:f>IF(K271&lt;='排名定義'!$B$5,"是","")</x:f>
        <x:v>是</x:v>
      </x:c>
      <x:c r="M271" s="217" t="n">
        <x:f>COUNTIF(H271:L271,"是")</x:f>
        <x:v>3</x:v>
      </x:c>
      <x:c r="N271" s="217" t="str">
        <x:v>總變動＋一般變動</x:v>
      </x:c>
      <x:c r="O271" s="220" t="n">
        <x:v>84.85</x:v>
      </x:c>
      <x:c r="P271" s="220" t="n">
        <x:v>79.80833333333334</x:v>
      </x:c>
      <x:c r="Q271" s="220" t="n">
        <x:v>5.041666666666667</x:v>
      </x:c>
      <x:c r="R271" s="220" t="n">
        <x:v>0.05941858181103909</x:v>
      </x:c>
      <x:c r="S271" s="220" t="n">
        <x:v>113.06451612903226</x:v>
      </x:c>
      <x:c r="T271" s="220" t="n">
        <x:v>108.38709677419355</x:v>
      </x:c>
      <x:c r="U271" s="220" t="n">
        <x:v>4.67741935483871</x:v>
      </x:c>
      <x:c r="V271" s="218" t="n">
        <x:v>0.029953917050691243</x:v>
      </x:c>
      <x:c r="W271" s="217" t="n">
        <x:v>8</x:v>
      </x:c>
      <x:c r="X271" s="222" t="n">
        <x:v>1350</x:v>
      </x:c>
      <x:c r="Y271" s="217" t="n">
        <x:v>21</x:v>
      </x:c>
    </x:row>
    <x:row r="272">
      <x:c r="A272" s="216" t="n">
        <x:v>1360</x:v>
      </x:c>
      <x:c r="B272" s="216" t="str">
        <x:v>太陽公園</x:v>
      </x:c>
      <x:c r="C272" s="216" t="str">
        <x:v>三重區</x:v>
      </x:c>
      <x:c r="D272" s="216" t="n">
        <x:v>44</x:v>
      </x:c>
      <x:c r="E272" s="216" t="n">
        <x:v>120</x:v>
      </x:c>
      <x:c r="F272" s="219" t="n">
        <x:v>0.9994791666666667</x:v>
      </x:c>
      <x:c r="G272" s="216" t="n">
        <x:v>268</x:v>
      </x:c>
      <x:c r="H272" s="216" t="str">
        <x:f>IF(G272&lt;='排名定義'!$B$5,"是","")</x:f>
        <x:v>是</x:v>
      </x:c>
      <x:c r="I272" s="216" t="n">
        <x:v>268</x:v>
      </x:c>
      <x:c r="J272" s="216" t="str">
        <x:f>IF(I272&lt;='排名定義'!$B$5,"是","")</x:f>
        <x:v>是</x:v>
      </x:c>
      <x:c r="K272" s="216" t="n">
        <x:v>306</x:v>
      </x:c>
      <x:c r="L272" s="216" t="str">
        <x:f>IF(K272&lt;='排名定義'!$B$5,"是","")</x:f>
        <x:v>是</x:v>
      </x:c>
      <x:c r="M272" s="216" t="n">
        <x:f>COUNTIF(H272:L272,"是")</x:f>
        <x:v>3</x:v>
      </x:c>
      <x:c r="N272" s="216" t="str">
        <x:v>三份皆入選</x:v>
      </x:c>
      <x:c r="O272" s="221" t="n">
        <x:v>84.66666666666667</x:v>
      </x:c>
      <x:c r="P272" s="221" t="n">
        <x:v>78.33333333333333</x:v>
      </x:c>
      <x:c r="Q272" s="221" t="n">
        <x:v>6.333333333333333</x:v>
      </x:c>
      <x:c r="R272" s="221" t="n">
        <x:v>0.07480314960629922</x:v>
      </x:c>
      <x:c r="S272" s="221" t="n">
        <x:v>111.96774193548387</x:v>
      </x:c>
      <x:c r="T272" s="221" t="n">
        <x:v>107.06451612903226</x:v>
      </x:c>
      <x:c r="U272" s="221" t="n">
        <x:v>4.903225806451613</x:v>
      </x:c>
      <x:c r="V272" s="219" t="n">
        <x:v>0.04608294930875576</x:v>
      </x:c>
      <x:c r="W272" s="216" t="n">
        <x:v>14</x:v>
      </x:c>
      <x:c r="X272" s="223" t="n">
        <x:v>1500</x:v>
      </x:c>
      <x:c r="Y272" s="216" t="n">
        <x:v>44</x:v>
      </x:c>
    </x:row>
    <x:row r="273">
      <x:c r="A273" s="217" t="n">
        <x:v>1405</x:v>
      </x:c>
      <x:c r="B273" s="217" t="str">
        <x:v>學士學府路口(大苑社區)</x:v>
      </x:c>
      <x:c r="C273" s="217" t="str">
        <x:v>土城區</x:v>
      </x:c>
      <x:c r="D273" s="217" t="n">
        <x:v>47</x:v>
      </x:c>
      <x:c r="E273" s="217" t="n">
        <x:v>120</x:v>
      </x:c>
      <x:c r="F273" s="218" t="n">
        <x:v>0.9994791666666667</x:v>
      </x:c>
      <x:c r="G273" s="217" t="n">
        <x:v>269</x:v>
      </x:c>
      <x:c r="H273" s="217" t="str">
        <x:f>IF(G273&lt;='排名定義'!$B$5,"是","")</x:f>
        <x:v>是</x:v>
      </x:c>
      <x:c r="I273" s="217" t="n">
        <x:v>273</x:v>
      </x:c>
      <x:c r="J273" s="217" t="str">
        <x:f>IF(I273&lt;='排名定義'!$B$5,"是","")</x:f>
        <x:v>是</x:v>
      </x:c>
      <x:c r="K273" s="217" t="n">
        <x:v>208</x:v>
      </x:c>
      <x:c r="L273" s="217" t="str">
        <x:f>IF(K273&lt;='排名定義'!$B$5,"是","")</x:f>
        <x:v>是</x:v>
      </x:c>
      <x:c r="M273" s="217" t="n">
        <x:f>COUNTIF(H273:L273,"是")</x:f>
        <x:v>3</x:v>
      </x:c>
      <x:c r="N273" s="217" t="str">
        <x:v>三份皆入選</x:v>
      </x:c>
      <x:c r="O273" s="220" t="n">
        <x:v>84.49166666666666</x:v>
      </x:c>
      <x:c r="P273" s="220" t="n">
        <x:v>77.36666666666666</x:v>
      </x:c>
      <x:c r="Q273" s="220" t="n">
        <x:v>7.125</x:v>
      </x:c>
      <x:c r="R273" s="220" t="n">
        <x:v>0.08432784298254266</x:v>
      </x:c>
      <x:c r="S273" s="220" t="n">
        <x:v>109.35483870967742</x:v>
      </x:c>
      <x:c r="T273" s="220" t="n">
        <x:v>103.70967741935483</x:v>
      </x:c>
      <x:c r="U273" s="220" t="n">
        <x:v>5.645161290322581</x:v>
      </x:c>
      <x:c r="V273" s="218" t="n">
        <x:v>0.0576036866359447</x:v>
      </x:c>
      <x:c r="W273" s="217" t="n">
        <x:v>7</x:v>
      </x:c>
      <x:c r="X273" s="222" t="n">
        <x:v>1500</x:v>
      </x:c>
      <x:c r="Y273" s="217" t="n">
        <x:v>47</x:v>
      </x:c>
    </x:row>
    <x:row r="274">
      <x:c r="A274" s="216" t="n">
        <x:v>1391</x:v>
      </x:c>
      <x:c r="B274" s="216" t="str">
        <x:v>富貴森林公園</x:v>
      </x:c>
      <x:c r="C274" s="216" t="str">
        <x:v>林口區</x:v>
      </x:c>
      <x:c r="D274" s="216" t="n">
        <x:v>46</x:v>
      </x:c>
      <x:c r="E274" s="216" t="n">
        <x:v>120</x:v>
      </x:c>
      <x:c r="F274" s="219" t="n">
        <x:v>0.9994791666666667</x:v>
      </x:c>
      <x:c r="G274" s="216" t="n">
        <x:v>270</x:v>
      </x:c>
      <x:c r="H274" s="216" t="str">
        <x:f>IF(G274&lt;='排名定義'!$B$5,"是","")</x:f>
        <x:v>是</x:v>
      </x:c>
      <x:c r="I274" s="216" t="n">
        <x:v>271</x:v>
      </x:c>
      <x:c r="J274" s="216" t="str">
        <x:f>IF(I274&lt;='排名定義'!$B$5,"是","")</x:f>
        <x:v>是</x:v>
      </x:c>
      <x:c r="K274" s="216" t="n">
        <x:v>276</x:v>
      </x:c>
      <x:c r="L274" s="216" t="str">
        <x:f>IF(K274&lt;='排名定義'!$B$5,"是","")</x:f>
        <x:v>是</x:v>
      </x:c>
      <x:c r="M274" s="216" t="n">
        <x:f>COUNTIF(H274:L274,"是")</x:f>
        <x:v>3</x:v>
      </x:c>
      <x:c r="N274" s="216" t="str">
        <x:v>三份皆入選</x:v>
      </x:c>
      <x:c r="O274" s="221" t="n">
        <x:v>84.275</x:v>
      </x:c>
      <x:c r="P274" s="221" t="n">
        <x:v>77.725</x:v>
      </x:c>
      <x:c r="Q274" s="221" t="n">
        <x:v>6.55</x:v>
      </x:c>
      <x:c r="R274" s="221" t="n">
        <x:v>0.07772174428952833</x:v>
      </x:c>
      <x:c r="S274" s="221" t="n">
        <x:v>120.93548387096774</x:v>
      </x:c>
      <x:c r="T274" s="221" t="n">
        <x:v>114.19354838709677</x:v>
      </x:c>
      <x:c r="U274" s="221" t="n">
        <x:v>6.741935483870968</x:v>
      </x:c>
      <x:c r="V274" s="219" t="n">
        <x:v>0.009216589861751152</x:v>
      </x:c>
      <x:c r="W274" s="216" t="n">
        <x:v>2</x:v>
      </x:c>
      <x:c r="X274" s="223" t="n">
        <x:v>420</x:v>
      </x:c>
      <x:c r="Y274" s="216" t="n">
        <x:v>46</x:v>
      </x:c>
    </x:row>
    <x:row r="275">
      <x:c r="A275" s="217" t="n">
        <x:v>1535</x:v>
      </x:c>
      <x:c r="B275" s="217" t="str">
        <x:v>光復高中</x:v>
      </x:c>
      <x:c r="C275" s="217" t="str">
        <x:v>板橋區</x:v>
      </x:c>
      <x:c r="D275" s="217" t="n">
        <x:v>37</x:v>
      </x:c>
      <x:c r="E275" s="217" t="n">
        <x:v>61</x:v>
      </x:c>
      <x:c r="F275" s="218" t="n">
        <x:v>0.9996584699453552</x:v>
      </x:c>
      <x:c r="G275" s="217" t="n">
        <x:v>271</x:v>
      </x:c>
      <x:c r="H275" s="217" t="str">
        <x:f>IF(G275&lt;='排名定義'!$B$5,"是","")</x:f>
        <x:v>是</x:v>
      </x:c>
      <x:c r="I275" s="217" t="n">
        <x:v>287</x:v>
      </x:c>
      <x:c r="J275" s="217" t="str">
        <x:f>IF(I275&lt;='排名定義'!$B$5,"是","")</x:f>
        <x:v>是</x:v>
      </x:c>
      <x:c r="K275" s="217" t="n">
        <x:v>140</x:v>
      </x:c>
      <x:c r="L275" s="217" t="str">
        <x:f>IF(K275&lt;='排名定義'!$B$5,"是","")</x:f>
        <x:v>是</x:v>
      </x:c>
      <x:c r="M275" s="217" t="n">
        <x:f>COUNTIF(H275:L275,"是")</x:f>
        <x:v>3</x:v>
      </x:c>
      <x:c r="N275" s="217" t="str">
        <x:v>三份皆入選</x:v>
      </x:c>
      <x:c r="O275" s="220" t="n">
        <x:v>84.1311475409836</x:v>
      </x:c>
      <x:c r="P275" s="220" t="n">
        <x:v>76.26229508196721</x:v>
      </x:c>
      <x:c r="Q275" s="220" t="n">
        <x:v>7.868852459016393</x:v>
      </x:c>
      <x:c r="R275" s="220" t="n">
        <x:v>0.09353078721745908</x:v>
      </x:c>
      <x:c r="S275" s="220" t="n">
        <x:v>86.12903225806451</x:v>
      </x:c>
      <x:c r="T275" s="220" t="n">
        <x:v>78.35483870967742</x:v>
      </x:c>
      <x:c r="U275" s="220" t="n">
        <x:v>7.774193548387097</x:v>
      </x:c>
      <x:c r="V275" s="218" t="n">
        <x:v>0.1336405529953917</x:v>
      </x:c>
      <x:c r="W275" s="217" t="n">
        <x:v>23</x:v>
      </x:c>
      <x:c r="X275" s="222" t="n">
        <x:v>2430</x:v>
      </x:c>
      <x:c r="Y275" s="217" t="n">
        <x:v>37</x:v>
      </x:c>
    </x:row>
    <x:row r="276">
      <x:c r="A276" s="216" t="n">
        <x:v>1351</x:v>
      </x:c>
      <x:c r="B276" s="216" t="str">
        <x:v>白雲國小</x:v>
      </x:c>
      <x:c r="C276" s="216" t="str">
        <x:v>汐止區</x:v>
      </x:c>
      <x:c r="D276" s="216" t="n">
        <x:v>43</x:v>
      </x:c>
      <x:c r="E276" s="216" t="n">
        <x:v>120</x:v>
      </x:c>
      <x:c r="F276" s="219" t="n">
        <x:v>0.9994791666666667</x:v>
      </x:c>
      <x:c r="G276" s="216" t="n">
        <x:v>272</x:v>
      </x:c>
      <x:c r="H276" s="216" t="str">
        <x:f>IF(G276&lt;='排名定義'!$B$5,"是","")</x:f>
        <x:v>是</x:v>
      </x:c>
      <x:c r="I276" s="216" t="n">
        <x:v>281</x:v>
      </x:c>
      <x:c r="J276" s="216" t="str">
        <x:f>IF(I276&lt;='排名定義'!$B$5,"是","")</x:f>
        <x:v>是</x:v>
      </x:c>
      <x:c r="K276" s="216" t="n">
        <x:v>160</x:v>
      </x:c>
      <x:c r="L276" s="216" t="str">
        <x:f>IF(K276&lt;='排名定義'!$B$5,"是","")</x:f>
        <x:v>是</x:v>
      </x:c>
      <x:c r="M276" s="216" t="n">
        <x:f>COUNTIF(H276:L276,"是")</x:f>
        <x:v>3</x:v>
      </x:c>
      <x:c r="N276" s="216" t="str">
        <x:v>三份皆入選</x:v>
      </x:c>
      <x:c r="O276" s="221" t="n">
        <x:v>84.09166666666667</x:v>
      </x:c>
      <x:c r="P276" s="221" t="n">
        <x:v>76.45</x:v>
      </x:c>
      <x:c r="Q276" s="221" t="n">
        <x:v>7.641666666666667</x:v>
      </x:c>
      <x:c r="R276" s="221" t="n">
        <x:v>0.09087305519770092</x:v>
      </x:c>
      <x:c r="S276" s="221" t="n">
        <x:v>108.3225806451613</x:v>
      </x:c>
      <x:c r="T276" s="221" t="n">
        <x:v>101.90322580645162</x:v>
      </x:c>
      <x:c r="U276" s="221" t="n">
        <x:v>6.419354838709677</x:v>
      </x:c>
      <x:c r="V276" s="219" t="n">
        <x:v>0.059907834101382486</x:v>
      </x:c>
      <x:c r="W276" s="216" t="n">
        <x:v>23</x:v>
      </x:c>
      <x:c r="X276" s="223" t="n">
        <x:v>2670</x:v>
      </x:c>
      <x:c r="Y276" s="216" t="n">
        <x:v>43</x:v>
      </x:c>
    </x:row>
    <x:row r="277">
      <x:c r="A277" s="217" t="n">
        <x:v>524</x:v>
      </x:c>
      <x:c r="B277" s="217" t="str">
        <x:v>國隆大仁街口</x:v>
      </x:c>
      <x:c r="C277" s="217" t="str">
        <x:v>三重區</x:v>
      </x:c>
      <x:c r="D277" s="217" t="n">
        <x:v>17</x:v>
      </x:c>
      <x:c r="E277" s="217" t="n">
        <x:v>120</x:v>
      </x:c>
      <x:c r="F277" s="218" t="n">
        <x:v>0.9994791666666667</x:v>
      </x:c>
      <x:c r="G277" s="217" t="n">
        <x:v>273</x:v>
      </x:c>
      <x:c r="H277" s="217" t="str">
        <x:f>IF(G277&lt;='排名定義'!$B$5,"是","")</x:f>
        <x:v>是</x:v>
      </x:c>
      <x:c r="I277" s="217" t="n">
        <x:v>259</x:v>
      </x:c>
      <x:c r="J277" s="217" t="str">
        <x:f>IF(I277&lt;='排名定義'!$B$5,"是","")</x:f>
        <x:v>是</x:v>
      </x:c>
      <x:c r="K277" s="217" t="n">
        <x:v>642</x:v>
      </x:c>
      <x:c r="L277" s="217" t="str">
        <x:f>IF(K277&lt;='排名定義'!$B$5,"是","")</x:f>
        <x:v>是</x:v>
      </x:c>
      <x:c r="M277" s="217" t="n">
        <x:f>COUNTIF(H277:L277,"是")</x:f>
        <x:v>3</x:v>
      </x:c>
      <x:c r="N277" s="217" t="str">
        <x:v>總變動＋一般變動</x:v>
      </x:c>
      <x:c r="O277" s="220" t="n">
        <x:v>84.00833333333334</x:v>
      </x:c>
      <x:c r="P277" s="220" t="n">
        <x:v>79.50833333333334</x:v>
      </x:c>
      <x:c r="Q277" s="220" t="n">
        <x:v>4.5</x:v>
      </x:c>
      <x:c r="R277" s="220" t="n">
        <x:v>0.05356611447277056</x:v>
      </x:c>
      <x:c r="S277" s="220" t="n">
        <x:v>106.51612903225806</x:v>
      </x:c>
      <x:c r="T277" s="220" t="n">
        <x:v>100.61290322580645</x:v>
      </x:c>
      <x:c r="U277" s="220" t="n">
        <x:v>5.903225806451613</x:v>
      </x:c>
      <x:c r="V277" s="218" t="n">
        <x:v>0.14516129032258066</x:v>
      </x:c>
      <x:c r="W277" s="217" t="n">
        <x:v>25</x:v>
      </x:c>
      <x:c r="X277" s="222" t="n">
        <x:v>3540</x:v>
      </x:c>
      <x:c r="Y277" s="217" t="n">
        <x:v>17</x:v>
      </x:c>
    </x:row>
    <x:row r="278">
      <x:c r="A278" s="216" t="n">
        <x:v>14</x:v>
      </x:c>
      <x:c r="B278" s="216" t="str">
        <x:v>保長公園</x:v>
      </x:c>
      <x:c r="C278" s="216" t="str">
        <x:v>汐止區</x:v>
      </x:c>
      <x:c r="D278" s="216" t="n">
        <x:v>66</x:v>
      </x:c>
      <x:c r="E278" s="216" t="n">
        <x:v>120</x:v>
      </x:c>
      <x:c r="F278" s="219" t="n">
        <x:v>0.9994791666666667</x:v>
      </x:c>
      <x:c r="G278" s="216" t="n">
        <x:v>274</x:v>
      </x:c>
      <x:c r="H278" s="216" t="str">
        <x:f>IF(G278&lt;='排名定義'!$B$5,"是","")</x:f>
        <x:v>是</x:v>
      </x:c>
      <x:c r="I278" s="216" t="n">
        <x:v>288</x:v>
      </x:c>
      <x:c r="J278" s="216" t="str">
        <x:f>IF(I278&lt;='排名定義'!$B$5,"是","")</x:f>
        <x:v>是</x:v>
      </x:c>
      <x:c r="K278" s="216" t="n">
        <x:v>135</x:v>
      </x:c>
      <x:c r="L278" s="216" t="str">
        <x:f>IF(K278&lt;='排名定義'!$B$5,"是","")</x:f>
        <x:v>是</x:v>
      </x:c>
      <x:c r="M278" s="216" t="n">
        <x:f>COUNTIF(H278:L278,"是")</x:f>
        <x:v>3</x:v>
      </x:c>
      <x:c r="N278" s="216" t="str">
        <x:v>三份皆入選</x:v>
      </x:c>
      <x:c r="O278" s="221" t="n">
        <x:v>83.89166666666667</x:v>
      </x:c>
      <x:c r="P278" s="221" t="n">
        <x:v>75.95833333333333</x:v>
      </x:c>
      <x:c r="Q278" s="221" t="n">
        <x:v>7.933333333333334</x:v>
      </x:c>
      <x:c r="R278" s="221" t="n">
        <x:v>0.0945664050859243</x:v>
      </x:c>
      <x:c r="S278" s="221" t="n">
        <x:v>120.41935483870968</x:v>
      </x:c>
      <x:c r="T278" s="221" t="n">
        <x:v>111.29032258064517</x:v>
      </x:c>
      <x:c r="U278" s="221" t="n">
        <x:v>9.129032258064516</x:v>
      </x:c>
      <x:c r="V278" s="219" t="n">
        <x:v>0</x:v>
      </x:c>
      <x:c r="W278" s="216" t="n">
        <x:v>0</x:v>
      </x:c>
      <x:c r="X278" s="223" t="n">
        <x:v>0</x:v>
      </x:c>
      <x:c r="Y278" s="216" t="n">
        <x:v>66</x:v>
      </x:c>
    </x:row>
    <x:row r="279">
      <x:c r="A279" s="217" t="n">
        <x:v>1231</x:v>
      </x:c>
      <x:c r="B279" s="217" t="str">
        <x:v>中港大排願景館</x:v>
      </x:c>
      <x:c r="C279" s="217" t="str">
        <x:v>新莊區</x:v>
      </x:c>
      <x:c r="D279" s="217" t="n">
        <x:v>57</x:v>
      </x:c>
      <x:c r="E279" s="217" t="n">
        <x:v>120</x:v>
      </x:c>
      <x:c r="F279" s="218" t="n">
        <x:v>0.9994791666666667</x:v>
      </x:c>
      <x:c r="G279" s="217" t="n">
        <x:v>275</x:v>
      </x:c>
      <x:c r="H279" s="217" t="str">
        <x:f>IF(G279&lt;='排名定義'!$B$5,"是","")</x:f>
        <x:v>是</x:v>
      </x:c>
      <x:c r="I279" s="217" t="n">
        <x:v>274</x:v>
      </x:c>
      <x:c r="J279" s="217" t="str">
        <x:f>IF(I279&lt;='排名定義'!$B$5,"是","")</x:f>
        <x:v>是</x:v>
      </x:c>
      <x:c r="K279" s="217" t="n">
        <x:v>265</x:v>
      </x:c>
      <x:c r="L279" s="217" t="str">
        <x:f>IF(K279&lt;='排名定義'!$B$5,"是","")</x:f>
        <x:v>是</x:v>
      </x:c>
      <x:c r="M279" s="217" t="n">
        <x:f>COUNTIF(H279:L279,"是")</x:f>
        <x:v>3</x:v>
      </x:c>
      <x:c r="N279" s="217" t="str">
        <x:v>三份皆入選</x:v>
      </x:c>
      <x:c r="O279" s="220" t="n">
        <x:v>83.88333333333334</x:v>
      </x:c>
      <x:c r="P279" s="220" t="n">
        <x:v>77.23333333333333</x:v>
      </x:c>
      <x:c r="Q279" s="220" t="n">
        <x:v>6.65</x:v>
      </x:c>
      <x:c r="R279" s="220" t="n">
        <x:v>0.07927677329624479</x:v>
      </x:c>
      <x:c r="S279" s="220" t="n">
        <x:v>114.83870967741936</x:v>
      </x:c>
      <x:c r="T279" s="220" t="n">
        <x:v>107.6774193548387</x:v>
      </x:c>
      <x:c r="U279" s="220" t="n">
        <x:v>7.161290322580645</x:v>
      </x:c>
      <x:c r="V279" s="218" t="n">
        <x:v>0.04608294930875576</x:v>
      </x:c>
      <x:c r="W279" s="217" t="n">
        <x:v>27</x:v>
      </x:c>
      <x:c r="X279" s="222" t="n">
        <x:v>4830</x:v>
      </x:c>
      <x:c r="Y279" s="217" t="n">
        <x:v>57</x:v>
      </x:c>
    </x:row>
    <x:row r="280">
      <x:c r="A280" s="216" t="n">
        <x:v>78</x:v>
      </x:c>
      <x:c r="B280" s="216" t="str">
        <x:v>永安公園</x:v>
      </x:c>
      <x:c r="C280" s="216" t="str">
        <x:v>板橋區</x:v>
      </x:c>
      <x:c r="D280" s="216" t="n">
        <x:v>64</x:v>
      </x:c>
      <x:c r="E280" s="216" t="n">
        <x:v>120</x:v>
      </x:c>
      <x:c r="F280" s="219" t="n">
        <x:v>0.9994791666666667</x:v>
      </x:c>
      <x:c r="G280" s="216" t="n">
        <x:v>276</x:v>
      </x:c>
      <x:c r="H280" s="216" t="str">
        <x:f>IF(G280&lt;='排名定義'!$B$5,"是","")</x:f>
        <x:v>是</x:v>
      </x:c>
      <x:c r="I280" s="216" t="n">
        <x:v>291</x:v>
      </x:c>
      <x:c r="J280" s="216" t="str">
        <x:f>IF(I280&lt;='排名定義'!$B$5,"是","")</x:f>
        <x:v>是</x:v>
      </x:c>
      <x:c r="K280" s="216" t="n">
        <x:v>130</x:v>
      </x:c>
      <x:c r="L280" s="216" t="str">
        <x:f>IF(K280&lt;='排名定義'!$B$5,"是","")</x:f>
        <x:v>是</x:v>
      </x:c>
      <x:c r="M280" s="216" t="n">
        <x:f>COUNTIF(H280:L280,"是")</x:f>
        <x:v>3</x:v>
      </x:c>
      <x:c r="N280" s="216" t="str">
        <x:v>三份皆入選</x:v>
      </x:c>
      <x:c r="O280" s="221" t="n">
        <x:v>83.65833333333333</x:v>
      </x:c>
      <x:c r="P280" s="221" t="n">
        <x:v>75.625</x:v>
      </x:c>
      <x:c r="Q280" s="221" t="n">
        <x:v>8.033333333333333</x:v>
      </x:c>
      <x:c r="R280" s="221" t="n">
        <x:v>0.09602550054786334</x:v>
      </x:c>
      <x:c r="S280" s="221" t="n">
        <x:v>98.6774193548387</x:v>
      </x:c>
      <x:c r="T280" s="221" t="n">
        <x:v>94.06451612903226</x:v>
      </x:c>
      <x:c r="U280" s="221" t="n">
        <x:v>4.612903225806452</x:v>
      </x:c>
      <x:c r="V280" s="219" t="n">
        <x:v>0.1543778801843318</x:v>
      </x:c>
      <x:c r="W280" s="216" t="n">
        <x:v>27</x:v>
      </x:c>
      <x:c r="X280" s="223" t="n">
        <x:v>3630</x:v>
      </x:c>
      <x:c r="Y280" s="216" t="n">
        <x:v>64</x:v>
      </x:c>
    </x:row>
    <x:row r="281">
      <x:c r="A281" s="217" t="n">
        <x:v>1432</x:v>
      </x:c>
      <x:c r="B281" s="217" t="str">
        <x:v>信義公園市民活動中心</x:v>
      </x:c>
      <x:c r="C281" s="217" t="str">
        <x:v>板橋區</x:v>
      </x:c>
      <x:c r="D281" s="217" t="n">
        <x:v>49</x:v>
      </x:c>
      <x:c r="E281" s="217" t="n">
        <x:v>120</x:v>
      </x:c>
      <x:c r="F281" s="218" t="n">
        <x:v>0.9994791666666667</x:v>
      </x:c>
      <x:c r="G281" s="217" t="n">
        <x:v>277</x:v>
      </x:c>
      <x:c r="H281" s="217" t="str">
        <x:f>IF(G281&lt;='排名定義'!$B$5,"是","")</x:f>
        <x:v>是</x:v>
      </x:c>
      <x:c r="I281" s="217" t="n">
        <x:v>286</x:v>
      </x:c>
      <x:c r="J281" s="217" t="str">
        <x:f>IF(I281&lt;='排名定義'!$B$5,"是","")</x:f>
        <x:v>是</x:v>
      </x:c>
      <x:c r="K281" s="217" t="n">
        <x:v>184</x:v>
      </x:c>
      <x:c r="L281" s="217" t="str">
        <x:f>IF(K281&lt;='排名定義'!$B$5,"是","")</x:f>
        <x:v>是</x:v>
      </x:c>
      <x:c r="M281" s="217" t="n">
        <x:f>COUNTIF(H281:L281,"是")</x:f>
        <x:v>3</x:v>
      </x:c>
      <x:c r="N281" s="217" t="str">
        <x:v>三份皆入選</x:v>
      </x:c>
      <x:c r="O281" s="220" t="n">
        <x:v>83.61666666666666</x:v>
      </x:c>
      <x:c r="P281" s="220" t="n">
        <x:v>76.28333333333333</x:v>
      </x:c>
      <x:c r="Q281" s="220" t="n">
        <x:v>7.333333333333333</x:v>
      </x:c>
      <x:c r="R281" s="220" t="n">
        <x:v>0.0877018138329679</x:v>
      </x:c>
      <x:c r="S281" s="220" t="n">
        <x:v>102.70967741935483</x:v>
      </x:c>
      <x:c r="T281" s="220" t="n">
        <x:v>98.3225806451613</x:v>
      </x:c>
      <x:c r="U281" s="220" t="n">
        <x:v>4.387096774193548</x:v>
      </x:c>
      <x:c r="V281" s="218" t="n">
        <x:v>0.03917050691244239</x:v>
      </x:c>
      <x:c r="W281" s="217" t="n">
        <x:v>9</x:v>
      </x:c>
      <x:c r="X281" s="222" t="n">
        <x:v>1320</x:v>
      </x:c>
      <x:c r="Y281" s="217" t="n">
        <x:v>49</x:v>
      </x:c>
    </x:row>
    <x:row r="282">
      <x:c r="A282" s="216" t="n">
        <x:v>806</x:v>
      </x:c>
      <x:c r="B282" s="216" t="str">
        <x:v>臺北大學體育館</x:v>
      </x:c>
      <x:c r="C282" s="216" t="str">
        <x:v>三峽區</x:v>
      </x:c>
      <x:c r="D282" s="216" t="n">
        <x:v>22</x:v>
      </x:c>
      <x:c r="E282" s="216" t="n">
        <x:v>120</x:v>
      </x:c>
      <x:c r="F282" s="219" t="n">
        <x:v>0.9994791666666667</x:v>
      </x:c>
      <x:c r="G282" s="216" t="n">
        <x:v>278</x:v>
      </x:c>
      <x:c r="H282" s="216" t="str">
        <x:f>IF(G282&lt;='排名定義'!$B$5,"是","")</x:f>
        <x:v>是</x:v>
      </x:c>
      <x:c r="I282" s="216" t="n">
        <x:v>264</x:v>
      </x:c>
      <x:c r="J282" s="216" t="str">
        <x:f>IF(I282&lt;='排名定義'!$B$5,"是","")</x:f>
        <x:v>是</x:v>
      </x:c>
      <x:c r="K282" s="216" t="n">
        <x:v>541</x:v>
      </x:c>
      <x:c r="L282" s="216" t="str">
        <x:f>IF(K282&lt;='排名定義'!$B$5,"是","")</x:f>
        <x:v>是</x:v>
      </x:c>
      <x:c r="M282" s="216" t="n">
        <x:f>COUNTIF(H282:L282,"是")</x:f>
        <x:v>3</x:v>
      </x:c>
      <x:c r="N282" s="216" t="str">
        <x:v>總變動＋一般變動</x:v>
      </x:c>
      <x:c r="O282" s="221" t="n">
        <x:v>83.53333333333333</x:v>
      </x:c>
      <x:c r="P282" s="221" t="n">
        <x:v>78.575</x:v>
      </x:c>
      <x:c r="Q282" s="221" t="n">
        <x:v>4.958333333333333</x:v>
      </x:c>
      <x:c r="R282" s="221" t="n">
        <x:v>0.05935754189944134</x:v>
      </x:c>
      <x:c r="S282" s="221" t="n">
        <x:v>145.83870967741936</x:v>
      </x:c>
      <x:c r="T282" s="221" t="n">
        <x:v>140</x:v>
      </x:c>
      <x:c r="U282" s="221" t="n">
        <x:v>5.838709677419355</x:v>
      </x:c>
      <x:c r="V282" s="219" t="n">
        <x:v>0.013824884792626729</x:v>
      </x:c>
      <x:c r="W282" s="216" t="n">
        <x:v>2</x:v>
      </x:c>
      <x:c r="X282" s="223" t="n">
        <x:v>690</x:v>
      </x:c>
      <x:c r="Y282" s="216" t="n">
        <x:v>44</x:v>
      </x:c>
    </x:row>
    <x:row r="283">
      <x:c r="A283" s="217" t="n">
        <x:v>1494</x:v>
      </x:c>
      <x:c r="B283" s="217" t="str">
        <x:v>土城綜合體育場</x:v>
      </x:c>
      <x:c r="C283" s="217" t="str">
        <x:v>土城區</x:v>
      </x:c>
      <x:c r="D283" s="217" t="n">
        <x:v>56</x:v>
      </x:c>
      <x:c r="E283" s="217" t="n">
        <x:v>120</x:v>
      </x:c>
      <x:c r="F283" s="218" t="n">
        <x:v>0.9994791666666667</x:v>
      </x:c>
      <x:c r="G283" s="217" t="n">
        <x:v>279</x:v>
      </x:c>
      <x:c r="H283" s="217" t="str">
        <x:f>IF(G283&lt;='排名定義'!$B$5,"是","")</x:f>
        <x:v>是</x:v>
      </x:c>
      <x:c r="I283" s="217" t="n">
        <x:v>275</x:v>
      </x:c>
      <x:c r="J283" s="217" t="str">
        <x:f>IF(I283&lt;='排名定義'!$B$5,"是","")</x:f>
        <x:v>是</x:v>
      </x:c>
      <x:c r="K283" s="217" t="n">
        <x:v>338</x:v>
      </x:c>
      <x:c r="L283" s="217" t="str">
        <x:f>IF(K283&lt;='排名定義'!$B$5,"是","")</x:f>
        <x:v>是</x:v>
      </x:c>
      <x:c r="M283" s="217" t="n">
        <x:f>COUNTIF(H283:L283,"是")</x:f>
        <x:v>3</x:v>
      </x:c>
      <x:c r="N283" s="217" t="str">
        <x:v>三份皆入選</x:v>
      </x:c>
      <x:c r="O283" s="220" t="n">
        <x:v>83.28333333333333</x:v>
      </x:c>
      <x:c r="P283" s="220" t="n">
        <x:v>77.18333333333334</x:v>
      </x:c>
      <x:c r="Q283" s="220" t="n">
        <x:v>6.1</x:v>
      </x:c>
      <x:c r="R283" s="220" t="n">
        <x:v>0.0732439463678207</x:v>
      </x:c>
      <x:c r="S283" s="220" t="n">
        <x:v>116.25806451612904</x:v>
      </x:c>
      <x:c r="T283" s="220" t="n">
        <x:v>111.61290322580645</x:v>
      </x:c>
      <x:c r="U283" s="220" t="n">
        <x:v>4.645161290322581</x:v>
      </x:c>
      <x:c r="V283" s="218" t="n">
        <x:v>0.08294930875576037</x:v>
      </x:c>
      <x:c r="W283" s="217" t="n">
        <x:v>25</x:v>
      </x:c>
      <x:c r="X283" s="222" t="n">
        <x:v>3570</x:v>
      </x:c>
      <x:c r="Y283" s="217" t="n">
        <x:v>56</x:v>
      </x:c>
    </x:row>
    <x:row r="284">
      <x:c r="A284" s="216" t="n">
        <x:v>1156</x:v>
      </x:c>
      <x:c r="B284" s="216" t="str">
        <x:v>寶高智慧產業園區</x:v>
      </x:c>
      <x:c r="C284" s="216" t="str">
        <x:v>新店區</x:v>
      </x:c>
      <x:c r="D284" s="216" t="n">
        <x:v>35</x:v>
      </x:c>
      <x:c r="E284" s="216" t="n">
        <x:v>120</x:v>
      </x:c>
      <x:c r="F284" s="219" t="n">
        <x:v>0.9994791666666667</x:v>
      </x:c>
      <x:c r="G284" s="216" t="n">
        <x:v>280</x:v>
      </x:c>
      <x:c r="H284" s="216" t="str">
        <x:f>IF(G284&lt;='排名定義'!$B$5,"是","")</x:f>
        <x:v>是</x:v>
      </x:c>
      <x:c r="I284" s="216" t="n">
        <x:v>294</x:v>
      </x:c>
      <x:c r="J284" s="216" t="str">
        <x:f>IF(I284&lt;='排名定義'!$B$5,"是","")</x:f>
        <x:v>是</x:v>
      </x:c>
      <x:c r="K284" s="216" t="n">
        <x:v>145</x:v>
      </x:c>
      <x:c r="L284" s="216" t="str">
        <x:f>IF(K284&lt;='排名定義'!$B$5,"是","")</x:f>
        <x:v>是</x:v>
      </x:c>
      <x:c r="M284" s="216" t="n">
        <x:f>COUNTIF(H284:L284,"是")</x:f>
        <x:v>3</x:v>
      </x:c>
      <x:c r="N284" s="216" t="str">
        <x:v>三份皆入選</x:v>
      </x:c>
      <x:c r="O284" s="221" t="n">
        <x:v>83.15</x:v>
      </x:c>
      <x:c r="P284" s="221" t="n">
        <x:v>75.35</x:v>
      </x:c>
      <x:c r="Q284" s="221" t="n">
        <x:v>7.8</x:v>
      </x:c>
      <x:c r="R284" s="221" t="n">
        <x:v>0.09380637402285028</x:v>
      </x:c>
      <x:c r="S284" s="221" t="n">
        <x:v>103.7741935483871</x:v>
      </x:c>
      <x:c r="T284" s="221" t="n">
        <x:v>95.64516129032258</x:v>
      </x:c>
      <x:c r="U284" s="221" t="n">
        <x:v>8.129032258064516</x:v>
      </x:c>
      <x:c r="V284" s="219" t="n">
        <x:v>0.1152073732718894</x:v>
      </x:c>
      <x:c r="W284" s="216" t="n">
        <x:v>27</x:v>
      </x:c>
      <x:c r="X284" s="223" t="n">
        <x:v>3540</x:v>
      </x:c>
      <x:c r="Y284" s="216" t="n">
        <x:v>35</x:v>
      </x:c>
    </x:row>
    <x:row r="285">
      <x:c r="A285" s="217" t="n">
        <x:v>713</x:v>
      </x:c>
      <x:c r="B285" s="217" t="str">
        <x:v>昌盛橋</x:v>
      </x:c>
      <x:c r="C285" s="217" t="str">
        <x:v>新莊區</x:v>
      </x:c>
      <x:c r="D285" s="217" t="n">
        <x:v>20</x:v>
      </x:c>
      <x:c r="E285" s="217" t="n">
        <x:v>120</x:v>
      </x:c>
      <x:c r="F285" s="218" t="n">
        <x:v>0.9994791666666667</x:v>
      </x:c>
      <x:c r="G285" s="217" t="n">
        <x:v>281</x:v>
      </x:c>
      <x:c r="H285" s="217" t="str">
        <x:f>IF(G285&lt;='排名定義'!$B$5,"是","")</x:f>
        <x:v>是</x:v>
      </x:c>
      <x:c r="I285" s="217" t="n">
        <x:v>265</x:v>
      </x:c>
      <x:c r="J285" s="217" t="str">
        <x:f>IF(I285&lt;='排名定義'!$B$5,"是","")</x:f>
        <x:v>是</x:v>
      </x:c>
      <x:c r="K285" s="217" t="n">
        <x:v>627</x:v>
      </x:c>
      <x:c r="L285" s="217" t="str">
        <x:f>IF(K285&lt;='排名定義'!$B$5,"是","")</x:f>
        <x:v>是</x:v>
      </x:c>
      <x:c r="M285" s="217" t="n">
        <x:f>COUNTIF(H285:L285,"是")</x:f>
        <x:v>3</x:v>
      </x:c>
      <x:c r="N285" s="217" t="str">
        <x:v>總變動＋一般變動</x:v>
      </x:c>
      <x:c r="O285" s="220" t="n">
        <x:v>83.09166666666667</x:v>
      </x:c>
      <x:c r="P285" s="220" t="n">
        <x:v>78.525</x:v>
      </x:c>
      <x:c r="Q285" s="220" t="n">
        <x:v>4.566666666666666</x:v>
      </x:c>
      <x:c r="R285" s="220" t="n">
        <x:v>0.05495938220840437</x:v>
      </x:c>
      <x:c r="S285" s="220" t="n">
        <x:v>110.64516129032258</x:v>
      </x:c>
      <x:c r="T285" s="220" t="n">
        <x:v>106.3225806451613</x:v>
      </x:c>
      <x:c r="U285" s="220" t="n">
        <x:v>4.32258064516129</x:v>
      </x:c>
      <x:c r="V285" s="218" t="n">
        <x:v>0.11290322580645161</x:v>
      </x:c>
      <x:c r="W285" s="217" t="n">
        <x:v>23</x:v>
      </x:c>
      <x:c r="X285" s="222" t="n">
        <x:v>3390</x:v>
      </x:c>
      <x:c r="Y285" s="217" t="n">
        <x:v>20</x:v>
      </x:c>
    </x:row>
    <x:row r="286">
      <x:c r="A286" s="216" t="n">
        <x:v>220</x:v>
      </x:c>
      <x:c r="B286" s="216" t="str">
        <x:v>中山路二段90巷</x:v>
      </x:c>
      <x:c r="C286" s="216" t="str">
        <x:v>板橋區</x:v>
      </x:c>
      <x:c r="D286" s="216" t="n">
        <x:v>13</x:v>
      </x:c>
      <x:c r="E286" s="216" t="n">
        <x:v>120</x:v>
      </x:c>
      <x:c r="F286" s="219" t="n">
        <x:v>0.9994791666666667</x:v>
      </x:c>
      <x:c r="G286" s="216" t="n">
        <x:v>282</x:v>
      </x:c>
      <x:c r="H286" s="216" t="str">
        <x:f>IF(G286&lt;='排名定義'!$B$5,"是","")</x:f>
        <x:v>是</x:v>
      </x:c>
      <x:c r="I286" s="216" t="n">
        <x:v>270</x:v>
      </x:c>
      <x:c r="J286" s="216" t="str">
        <x:f>IF(I286&lt;='排名定義'!$B$5,"是","")</x:f>
        <x:v>是</x:v>
      </x:c>
      <x:c r="K286" s="216" t="n">
        <x:v>532</x:v>
      </x:c>
      <x:c r="L286" s="216" t="str">
        <x:f>IF(K286&lt;='排名定義'!$B$5,"是","")</x:f>
        <x:v>是</x:v>
      </x:c>
      <x:c r="M286" s="216" t="n">
        <x:f>COUNTIF(H286:L286,"是")</x:f>
        <x:v>3</x:v>
      </x:c>
      <x:c r="N286" s="216" t="str">
        <x:v>總變動＋一般變動</x:v>
      </x:c>
      <x:c r="O286" s="221" t="n">
        <x:v>83.04166666666667</x:v>
      </x:c>
      <x:c r="P286" s="221" t="n">
        <x:v>78.025</x:v>
      </x:c>
      <x:c r="Q286" s="221" t="n">
        <x:v>5.016666666666667</x:v>
      </x:c>
      <x:c r="R286" s="221" t="n">
        <x:v>0.06041144004014049</x:v>
      </x:c>
      <x:c r="S286" s="221" t="n">
        <x:v>99.41935483870968</x:v>
      </x:c>
      <x:c r="T286" s="221" t="n">
        <x:v>95.48387096774194</x:v>
      </x:c>
      <x:c r="U286" s="221" t="n">
        <x:v>3.935483870967742</x:v>
      </x:c>
      <x:c r="V286" s="219" t="n">
        <x:v>0.1497695852534562</x:v>
      </x:c>
      <x:c r="W286" s="216" t="n">
        <x:v>27</x:v>
      </x:c>
      <x:c r="X286" s="223" t="n">
        <x:v>4950</x:v>
      </x:c>
      <x:c r="Y286" s="216" t="n">
        <x:v>13</x:v>
      </x:c>
    </x:row>
    <x:row r="287">
      <x:c r="A287" s="217" t="n">
        <x:v>1188</x:v>
      </x:c>
      <x:c r="B287" s="217" t="str">
        <x:v>雙和醫院(圓通路252巷口)</x:v>
      </x:c>
      <x:c r="C287" s="217" t="str">
        <x:v>中和區</x:v>
      </x:c>
      <x:c r="D287" s="217" t="n">
        <x:v>36</x:v>
      </x:c>
      <x:c r="E287" s="217" t="n">
        <x:v>120</x:v>
      </x:c>
      <x:c r="F287" s="218" t="n">
        <x:v>0.9994791666666667</x:v>
      </x:c>
      <x:c r="G287" s="217" t="n">
        <x:v>283</x:v>
      </x:c>
      <x:c r="H287" s="217" t="str">
        <x:f>IF(G287&lt;='排名定義'!$B$5,"是","")</x:f>
        <x:v>是</x:v>
      </x:c>
      <x:c r="I287" s="217" t="n">
        <x:v>272</x:v>
      </x:c>
      <x:c r="J287" s="217" t="str">
        <x:f>IF(I287&lt;='排名定義'!$B$5,"是","")</x:f>
        <x:v>是</x:v>
      </x:c>
      <x:c r="K287" s="217" t="n">
        <x:v>421</x:v>
      </x:c>
      <x:c r="L287" s="217" t="str">
        <x:f>IF(K287&lt;='排名定義'!$B$5,"是","")</x:f>
        <x:v>是</x:v>
      </x:c>
      <x:c r="M287" s="217" t="n">
        <x:f>COUNTIF(H287:L287,"是")</x:f>
        <x:v>3</x:v>
      </x:c>
      <x:c r="N287" s="217" t="str">
        <x:v>總變動＋一般變動</x:v>
      </x:c>
      <x:c r="O287" s="220" t="n">
        <x:v>83</x:v>
      </x:c>
      <x:c r="P287" s="220" t="n">
        <x:v>77.41666666666667</x:v>
      </x:c>
      <x:c r="Q287" s="220" t="n">
        <x:v>5.583333333333333</x:v>
      </x:c>
      <x:c r="R287" s="220" t="n">
        <x:v>0.06726907630522089</x:v>
      </x:c>
      <x:c r="S287" s="220" t="n">
        <x:v>101.3225806451613</x:v>
      </x:c>
      <x:c r="T287" s="220" t="n">
        <x:v>97.35483870967742</x:v>
      </x:c>
      <x:c r="U287" s="220" t="n">
        <x:v>3.967741935483871</x:v>
      </x:c>
      <x:c r="V287" s="218" t="n">
        <x:v>0.07834101382488479</x:v>
      </x:c>
      <x:c r="W287" s="217" t="n">
        <x:v>6</x:v>
      </x:c>
      <x:c r="X287" s="222" t="n">
        <x:v>1830</x:v>
      </x:c>
      <x:c r="Y287" s="217" t="n">
        <x:v>36</x:v>
      </x:c>
    </x:row>
    <x:row r="288">
      <x:c r="A288" s="216" t="n">
        <x:v>89</x:v>
      </x:c>
      <x:c r="B288" s="216" t="str">
        <x:v>縣民漢生東路口</x:v>
      </x:c>
      <x:c r="C288" s="216" t="str">
        <x:v>板橋區</x:v>
      </x:c>
      <x:c r="D288" s="216" t="n">
        <x:v>71</x:v>
      </x:c>
      <x:c r="E288" s="216" t="n">
        <x:v>120</x:v>
      </x:c>
      <x:c r="F288" s="219" t="n">
        <x:v>0.9994791666666667</x:v>
      </x:c>
      <x:c r="G288" s="216" t="n">
        <x:v>284</x:v>
      </x:c>
      <x:c r="H288" s="216" t="str">
        <x:f>IF(G288&lt;='排名定義'!$B$5,"是","")</x:f>
        <x:v>是</x:v>
      </x:c>
      <x:c r="I288" s="216" t="n">
        <x:v>280</x:v>
      </x:c>
      <x:c r="J288" s="216" t="str">
        <x:f>IF(I288&lt;='排名定義'!$B$5,"是","")</x:f>
        <x:v>是</x:v>
      </x:c>
      <x:c r="K288" s="216" t="n">
        <x:v>310</x:v>
      </x:c>
      <x:c r="L288" s="216" t="str">
        <x:f>IF(K288&lt;='排名定義'!$B$5,"是","")</x:f>
        <x:v>是</x:v>
      </x:c>
      <x:c r="M288" s="216" t="n">
        <x:f>COUNTIF(H288:L288,"是")</x:f>
        <x:v>3</x:v>
      </x:c>
      <x:c r="N288" s="216" t="str">
        <x:v>三份皆入選</x:v>
      </x:c>
      <x:c r="O288" s="221" t="n">
        <x:v>82.78333333333333</x:v>
      </x:c>
      <x:c r="P288" s="221" t="n">
        <x:v>76.5</x:v>
      </x:c>
      <x:c r="Q288" s="221" t="n">
        <x:v>6.283333333333333</x:v>
      </x:c>
      <x:c r="R288" s="221" t="n">
        <x:v>0.07590094624521844</x:v>
      </x:c>
      <x:c r="S288" s="221" t="n">
        <x:v>106.06451612903226</x:v>
      </x:c>
      <x:c r="T288" s="221" t="n">
        <x:v>101.87096774193549</x:v>
      </x:c>
      <x:c r="U288" s="221" t="n">
        <x:v>4.193548387096774</x:v>
      </x:c>
      <x:c r="V288" s="219" t="n">
        <x:v>0.11290322580645161</x:v>
      </x:c>
      <x:c r="W288" s="216" t="n">
        <x:v>26</x:v>
      </x:c>
      <x:c r="X288" s="223" t="n">
        <x:v>4230</x:v>
      </x:c>
      <x:c r="Y288" s="216" t="n">
        <x:v>71</x:v>
      </x:c>
    </x:row>
    <x:row r="289">
      <x:c r="A289" s="217" t="n">
        <x:v>1363</x:v>
      </x:c>
      <x:c r="B289" s="217" t="str">
        <x:v>寶橋路78巷</x:v>
      </x:c>
      <x:c r="C289" s="217" t="str">
        <x:v>新店區</x:v>
      </x:c>
      <x:c r="D289" s="217" t="n">
        <x:v>44</x:v>
      </x:c>
      <x:c r="E289" s="217" t="n">
        <x:v>120</x:v>
      </x:c>
      <x:c r="F289" s="218" t="n">
        <x:v>0.9994791666666667</x:v>
      </x:c>
      <x:c r="G289" s="217" t="n">
        <x:v>285</x:v>
      </x:c>
      <x:c r="H289" s="217" t="str">
        <x:f>IF(G289&lt;='排名定義'!$B$5,"是","")</x:f>
        <x:v>是</x:v>
      </x:c>
      <x:c r="I289" s="217" t="n">
        <x:v>285</x:v>
      </x:c>
      <x:c r="J289" s="217" t="str">
        <x:f>IF(I289&lt;='排名定義'!$B$5,"是","")</x:f>
        <x:v>是</x:v>
      </x:c>
      <x:c r="K289" s="217" t="n">
        <x:v>295</x:v>
      </x:c>
      <x:c r="L289" s="217" t="str">
        <x:f>IF(K289&lt;='排名定義'!$B$5,"是","")</x:f>
        <x:v>是</x:v>
      </x:c>
      <x:c r="M289" s="217" t="n">
        <x:f>COUNTIF(H289:L289,"是")</x:f>
        <x:v>3</x:v>
      </x:c>
      <x:c r="N289" s="217" t="str">
        <x:v>三份皆入選</x:v>
      </x:c>
      <x:c r="O289" s="220" t="n">
        <x:v>82.725</x:v>
      </x:c>
      <x:c r="P289" s="220" t="n">
        <x:v>76.325</x:v>
      </x:c>
      <x:c r="Q289" s="220" t="n">
        <x:v>6.4</x:v>
      </x:c>
      <x:c r="R289" s="220" t="n">
        <x:v>0.07736476276820792</x:v>
      </x:c>
      <x:c r="S289" s="220" t="n">
        <x:v>122.06451612903226</x:v>
      </x:c>
      <x:c r="T289" s="220" t="n">
        <x:v>114.48387096774194</x:v>
      </x:c>
      <x:c r="U289" s="220" t="n">
        <x:v>7.580645161290323</x:v>
      </x:c>
      <x:c r="V289" s="218" t="n">
        <x:v>0.02304147465437788</x:v>
      </x:c>
      <x:c r="W289" s="217" t="n">
        <x:v>7</x:v>
      </x:c>
      <x:c r="X289" s="222" t="n">
        <x:v>870</x:v>
      </x:c>
      <x:c r="Y289" s="217" t="n">
        <x:v>44</x:v>
      </x:c>
    </x:row>
    <x:row r="290">
      <x:c r="A290" s="216" t="n">
        <x:v>1362</x:v>
      </x:c>
      <x:c r="B290" s="216" t="str">
        <x:v>寶橋路235巷口</x:v>
      </x:c>
      <x:c r="C290" s="216" t="str">
        <x:v>新店區</x:v>
      </x:c>
      <x:c r="D290" s="216" t="n">
        <x:v>44</x:v>
      </x:c>
      <x:c r="E290" s="216" t="n">
        <x:v>120</x:v>
      </x:c>
      <x:c r="F290" s="219" t="n">
        <x:v>0.9994791666666667</x:v>
      </x:c>
      <x:c r="G290" s="216" t="n">
        <x:v>286</x:v>
      </x:c>
      <x:c r="H290" s="216" t="str">
        <x:f>IF(G290&lt;='排名定義'!$B$5,"是","")</x:f>
        <x:v>是</x:v>
      </x:c>
      <x:c r="I290" s="216" t="n">
        <x:v>320</x:v>
      </x:c>
      <x:c r="J290" s="216" t="str">
        <x:f>IF(I290&lt;='排名定義'!$B$5,"是","")</x:f>
        <x:v>是</x:v>
      </x:c>
      <x:c r="K290" s="216" t="n">
        <x:v>59</x:v>
      </x:c>
      <x:c r="L290" s="216" t="str">
        <x:f>IF(K290&lt;='排名定義'!$B$5,"是","")</x:f>
        <x:v>是</x:v>
      </x:c>
      <x:c r="M290" s="216" t="n">
        <x:f>COUNTIF(H290:L290,"是")</x:f>
        <x:v>3</x:v>
      </x:c>
      <x:c r="N290" s="216" t="str">
        <x:v>三份皆入選</x:v>
      </x:c>
      <x:c r="O290" s="221" t="n">
        <x:v>82.70833333333333</x:v>
      </x:c>
      <x:c r="P290" s="221" t="n">
        <x:v>72.63333333333334</x:v>
      </x:c>
      <x:c r="Q290" s="221" t="n">
        <x:v>10.075</x:v>
      </x:c>
      <x:c r="R290" s="221" t="n">
        <x:v>0.12181360201511335</x:v>
      </x:c>
      <x:c r="S290" s="221" t="n">
        <x:v>110.09677419354838</x:v>
      </x:c>
      <x:c r="T290" s="221" t="n">
        <x:v>100.51612903225806</x:v>
      </x:c>
      <x:c r="U290" s="221" t="n">
        <x:v>9.580645161290322</x:v>
      </x:c>
      <x:c r="V290" s="219" t="n">
        <x:v>0.05069124423963134</x:v>
      </x:c>
      <x:c r="W290" s="216" t="n">
        <x:v>13</x:v>
      </x:c>
      <x:c r="X290" s="223" t="n">
        <x:v>1590</x:v>
      </x:c>
      <x:c r="Y290" s="216" t="n">
        <x:v>44</x:v>
      </x:c>
    </x:row>
    <x:row r="291">
      <x:c r="A291" s="217" t="n">
        <x:v>1325</x:v>
      </x:c>
      <x:c r="B291" s="217" t="str">
        <x:v>六張公園</x:v>
      </x:c>
      <x:c r="C291" s="217" t="str">
        <x:v>三重區</x:v>
      </x:c>
      <x:c r="D291" s="217" t="n">
        <x:v>42</x:v>
      </x:c>
      <x:c r="E291" s="217" t="n">
        <x:v>120</x:v>
      </x:c>
      <x:c r="F291" s="218" t="n">
        <x:v>0.9994791666666667</x:v>
      </x:c>
      <x:c r="G291" s="217" t="n">
        <x:v>287</x:v>
      </x:c>
      <x:c r="H291" s="217" t="str">
        <x:f>IF(G291&lt;='排名定義'!$B$5,"是","")</x:f>
        <x:v>是</x:v>
      </x:c>
      <x:c r="I291" s="217" t="n">
        <x:v>282</x:v>
      </x:c>
      <x:c r="J291" s="217" t="str">
        <x:f>IF(I291&lt;='排名定義'!$B$5,"是","")</x:f>
        <x:v>是</x:v>
      </x:c>
      <x:c r="K291" s="217" t="n">
        <x:v>321</x:v>
      </x:c>
      <x:c r="L291" s="217" t="str">
        <x:f>IF(K291&lt;='排名定義'!$B$5,"是","")</x:f>
        <x:v>是</x:v>
      </x:c>
      <x:c r="M291" s="217" t="n">
        <x:f>COUNTIF(H291:L291,"是")</x:f>
        <x:v>3</x:v>
      </x:c>
      <x:c r="N291" s="217" t="str">
        <x:v>三份皆入選</x:v>
      </x:c>
      <x:c r="O291" s="220" t="n">
        <x:v>82.625</x:v>
      </x:c>
      <x:c r="P291" s="220" t="n">
        <x:v>76.44166666666666</x:v>
      </x:c>
      <x:c r="Q291" s="220" t="n">
        <x:v>6.183333333333334</x:v>
      </x:c>
      <x:c r="R291" s="220" t="n">
        <x:v>0.07483610690872415</x:v>
      </x:c>
      <x:c r="S291" s="220" t="n">
        <x:v>110.41935483870968</x:v>
      </x:c>
      <x:c r="T291" s="220" t="n">
        <x:v>106.7741935483871</x:v>
      </x:c>
      <x:c r="U291" s="220" t="n">
        <x:v>3.6451612903225805</x:v>
      </x:c>
      <x:c r="V291" s="218" t="n">
        <x:v>0.04377880184331797</x:v>
      </x:c>
      <x:c r="W291" s="217" t="n">
        <x:v>8</x:v>
      </x:c>
      <x:c r="X291" s="222" t="n">
        <x:v>1110</x:v>
      </x:c>
      <x:c r="Y291" s="217" t="n">
        <x:v>42</x:v>
      </x:c>
    </x:row>
    <x:row r="292">
      <x:c r="A292" s="216" t="n">
        <x:v>1464</x:v>
      </x:c>
      <x:c r="B292" s="216" t="str">
        <x:v>捷運輔大站(4號出口)</x:v>
      </x:c>
      <x:c r="C292" s="216" t="str">
        <x:v>新莊區</x:v>
      </x:c>
      <x:c r="D292" s="216" t="n">
        <x:v>52</x:v>
      </x:c>
      <x:c r="E292" s="216" t="n">
        <x:v>120</x:v>
      </x:c>
      <x:c r="F292" s="219" t="n">
        <x:v>0.9994791666666667</x:v>
      </x:c>
      <x:c r="G292" s="216" t="n">
        <x:v>288</x:v>
      </x:c>
      <x:c r="H292" s="216" t="str">
        <x:f>IF(G292&lt;='排名定義'!$B$5,"是","")</x:f>
        <x:v>是</x:v>
      </x:c>
      <x:c r="I292" s="216" t="n">
        <x:v>277</x:v>
      </x:c>
      <x:c r="J292" s="216" t="str">
        <x:f>IF(I292&lt;='排名定義'!$B$5,"是","")</x:f>
        <x:v>是</x:v>
      </x:c>
      <x:c r="K292" s="216" t="n">
        <x:v>428</x:v>
      </x:c>
      <x:c r="L292" s="216" t="str">
        <x:f>IF(K292&lt;='排名定義'!$B$5,"是","")</x:f>
        <x:v>是</x:v>
      </x:c>
      <x:c r="M292" s="216" t="n">
        <x:f>COUNTIF(H292:L292,"是")</x:f>
        <x:v>3</x:v>
      </x:c>
      <x:c r="N292" s="216" t="str">
        <x:v>總變動＋一般變動</x:v>
      </x:c>
      <x:c r="O292" s="221" t="n">
        <x:v>82.45833333333333</x:v>
      </x:c>
      <x:c r="P292" s="221" t="n">
        <x:v>76.925</x:v>
      </x:c>
      <x:c r="Q292" s="221" t="n">
        <x:v>5.533333333333333</x:v>
      </x:c>
      <x:c r="R292" s="221" t="n">
        <x:v>0.06710459828196058</x:v>
      </x:c>
      <x:c r="S292" s="221" t="n">
        <x:v>123.74193548387096</x:v>
      </x:c>
      <x:c r="T292" s="221" t="n">
        <x:v>117.12903225806451</x:v>
      </x:c>
      <x:c r="U292" s="221" t="n">
        <x:v>6.612903225806452</x:v>
      </x:c>
      <x:c r="V292" s="219" t="n">
        <x:v>0.03686635944700461</x:v>
      </x:c>
      <x:c r="W292" s="216" t="n">
        <x:v>24</x:v>
      </x:c>
      <x:c r="X292" s="223" t="n">
        <x:v>2640</x:v>
      </x:c>
      <x:c r="Y292" s="216" t="n">
        <x:v>52</x:v>
      </x:c>
    </x:row>
    <x:row r="293">
      <x:c r="A293" s="217" t="n">
        <x:v>1476</x:v>
      </x:c>
      <x:c r="B293" s="217" t="str">
        <x:v>板橋和平公園</x:v>
      </x:c>
      <x:c r="C293" s="217" t="str">
        <x:v>板橋區</x:v>
      </x:c>
      <x:c r="D293" s="217" t="n">
        <x:v>54</x:v>
      </x:c>
      <x:c r="E293" s="217" t="n">
        <x:v>120</x:v>
      </x:c>
      <x:c r="F293" s="218" t="n">
        <x:v>0.9994791666666667</x:v>
      </x:c>
      <x:c r="G293" s="217" t="n">
        <x:v>289</x:v>
      </x:c>
      <x:c r="H293" s="217" t="str">
        <x:f>IF(G293&lt;='排名定義'!$B$5,"是","")</x:f>
        <x:v>是</x:v>
      </x:c>
      <x:c r="I293" s="217" t="n">
        <x:v>290</x:v>
      </x:c>
      <x:c r="J293" s="217" t="str">
        <x:f>IF(I293&lt;='排名定義'!$B$5,"是","")</x:f>
        <x:v>是</x:v>
      </x:c>
      <x:c r="K293" s="217" t="n">
        <x:v>268</x:v>
      </x:c>
      <x:c r="L293" s="217" t="str">
        <x:f>IF(K293&lt;='排名定義'!$B$5,"是","")</x:f>
        <x:v>是</x:v>
      </x:c>
      <x:c r="M293" s="217" t="n">
        <x:f>COUNTIF(H293:L293,"是")</x:f>
        <x:v>3</x:v>
      </x:c>
      <x:c r="N293" s="217" t="str">
        <x:v>三份皆入選</x:v>
      </x:c>
      <x:c r="O293" s="220" t="n">
        <x:v>82.43333333333334</x:v>
      </x:c>
      <x:c r="P293" s="220" t="n">
        <x:v>75.79166666666667</x:v>
      </x:c>
      <x:c r="Q293" s="220" t="n">
        <x:v>6.641666666666667</x:v>
      </x:c>
      <x:c r="R293" s="220" t="n">
        <x:v>0.0805701577031945</x:v>
      </x:c>
      <x:c r="S293" s="220" t="n">
        <x:v>97.35483870967742</x:v>
      </x:c>
      <x:c r="T293" s="220" t="n">
        <x:v>91.19354838709677</x:v>
      </x:c>
      <x:c r="U293" s="220" t="n">
        <x:v>6.161290322580645</x:v>
      </x:c>
      <x:c r="V293" s="218" t="n">
        <x:v>0.10368663594470046</x:v>
      </x:c>
      <x:c r="W293" s="217" t="n">
        <x:v>19</x:v>
      </x:c>
      <x:c r="X293" s="222" t="n">
        <x:v>2550</x:v>
      </x:c>
      <x:c r="Y293" s="217" t="n">
        <x:v>54</x:v>
      </x:c>
    </x:row>
    <x:row r="294">
      <x:c r="A294" s="216" t="n">
        <x:v>911</x:v>
      </x:c>
      <x:c r="B294" s="216" t="str">
        <x:v>捷運泰山站(4號出口)</x:v>
      </x:c>
      <x:c r="C294" s="216" t="str">
        <x:v>泰山區</x:v>
      </x:c>
      <x:c r="D294" s="216" t="n">
        <x:v>26</x:v>
      </x:c>
      <x:c r="E294" s="216" t="n">
        <x:v>120</x:v>
      </x:c>
      <x:c r="F294" s="219" t="n">
        <x:v>0.9994791666666667</x:v>
      </x:c>
      <x:c r="G294" s="216" t="n">
        <x:v>290</x:v>
      </x:c>
      <x:c r="H294" s="216" t="str">
        <x:f>IF(G294&lt;='排名定義'!$B$5,"是","")</x:f>
        <x:v>是</x:v>
      </x:c>
      <x:c r="I294" s="216" t="n">
        <x:v>278</x:v>
      </x:c>
      <x:c r="J294" s="216" t="str">
        <x:f>IF(I294&lt;='排名定義'!$B$5,"是","")</x:f>
        <x:v>是</x:v>
      </x:c>
      <x:c r="K294" s="216" t="n">
        <x:v>484</x:v>
      </x:c>
      <x:c r="L294" s="216" t="str">
        <x:f>IF(K294&lt;='排名定義'!$B$5,"是","")</x:f>
        <x:v>是</x:v>
      </x:c>
      <x:c r="M294" s="216" t="n">
        <x:f>COUNTIF(H294:L294,"是")</x:f>
        <x:v>3</x:v>
      </x:c>
      <x:c r="N294" s="216" t="str">
        <x:v>總變動＋一般變動</x:v>
      </x:c>
      <x:c r="O294" s="221" t="n">
        <x:v>82.01666666666667</x:v>
      </x:c>
      <x:c r="P294" s="221" t="n">
        <x:v>76.775</x:v>
      </x:c>
      <x:c r="Q294" s="221" t="n">
        <x:v>5.241666666666666</x:v>
      </x:c>
      <x:c r="R294" s="221" t="n">
        <x:v>0.06390977443609022</x:v>
      </x:c>
      <x:c r="S294" s="221" t="n">
        <x:v>98.09677419354838</x:v>
      </x:c>
      <x:c r="T294" s="221" t="n">
        <x:v>92.87096774193549</x:v>
      </x:c>
      <x:c r="U294" s="221" t="n">
        <x:v>5.225806451612903</x:v>
      </x:c>
      <x:c r="V294" s="219" t="n">
        <x:v>0.06451612903225806</x:v>
      </x:c>
      <x:c r="W294" s="216" t="n">
        <x:v>31</x:v>
      </x:c>
      <x:c r="X294" s="223" t="n">
        <x:v>5910</x:v>
      </x:c>
      <x:c r="Y294" s="216" t="n">
        <x:v>26</x:v>
      </x:c>
    </x:row>
    <x:row r="295">
      <x:c r="A295" s="217" t="n">
        <x:v>1147</x:v>
      </x:c>
      <x:c r="B295" s="217" t="str">
        <x:v>埔墘國小</x:v>
      </x:c>
      <x:c r="C295" s="217" t="str">
        <x:v>板橋區</x:v>
      </x:c>
      <x:c r="D295" s="217" t="n">
        <x:v>34</x:v>
      </x:c>
      <x:c r="E295" s="217" t="n">
        <x:v>120</x:v>
      </x:c>
      <x:c r="F295" s="218" t="n">
        <x:v>0.9994791666666667</x:v>
      </x:c>
      <x:c r="G295" s="217" t="n">
        <x:v>291</x:v>
      </x:c>
      <x:c r="H295" s="217" t="str">
        <x:f>IF(G295&lt;='排名定義'!$B$5,"是","")</x:f>
        <x:v>是</x:v>
      </x:c>
      <x:c r="I295" s="217" t="n">
        <x:v>284</x:v>
      </x:c>
      <x:c r="J295" s="217" t="str">
        <x:f>IF(I295&lt;='排名定義'!$B$5,"是","")</x:f>
        <x:v>是</x:v>
      </x:c>
      <x:c r="K295" s="217" t="n">
        <x:v>409</x:v>
      </x:c>
      <x:c r="L295" s="217" t="str">
        <x:f>IF(K295&lt;='排名定義'!$B$5,"是","")</x:f>
        <x:v>是</x:v>
      </x:c>
      <x:c r="M295" s="217" t="n">
        <x:f>COUNTIF(H295:L295,"是")</x:f>
        <x:v>3</x:v>
      </x:c>
      <x:c r="N295" s="217" t="str">
        <x:v>總變動＋一般變動</x:v>
      </x:c>
      <x:c r="O295" s="220" t="n">
        <x:v>82.01666666666667</x:v>
      </x:c>
      <x:c r="P295" s="220" t="n">
        <x:v>76.38333333333334</x:v>
      </x:c>
      <x:c r="Q295" s="220" t="n">
        <x:v>5.633333333333334</x:v>
      </x:c>
      <x:c r="R295" s="220" t="n">
        <x:v>0.06868522657996343</x:v>
      </x:c>
      <x:c r="S295" s="220" t="n">
        <x:v>98.54838709677419</x:v>
      </x:c>
      <x:c r="T295" s="220" t="n">
        <x:v>93.48387096774194</x:v>
      </x:c>
      <x:c r="U295" s="220" t="n">
        <x:v>5.064516129032258</x:v>
      </x:c>
      <x:c r="V295" s="218" t="n">
        <x:v>0.08986175115207373</x:v>
      </x:c>
      <x:c r="W295" s="217" t="n">
        <x:v>19</x:v>
      </x:c>
      <x:c r="X295" s="222" t="n">
        <x:v>2940</x:v>
      </x:c>
      <x:c r="Y295" s="217" t="n">
        <x:v>34</x:v>
      </x:c>
    </x:row>
    <x:row r="296">
      <x:c r="A296" s="216" t="n">
        <x:v>1182</x:v>
      </x:c>
      <x:c r="B296" s="216" t="str">
        <x:v>開元市民活動中心</x:v>
      </x:c>
      <x:c r="C296" s="216" t="str">
        <x:v>三重區</x:v>
      </x:c>
      <x:c r="D296" s="216" t="n">
        <x:v>36</x:v>
      </x:c>
      <x:c r="E296" s="216" t="n">
        <x:v>120</x:v>
      </x:c>
      <x:c r="F296" s="219" t="n">
        <x:v>0.9994791666666667</x:v>
      </x:c>
      <x:c r="G296" s="216" t="n">
        <x:v>292</x:v>
      </x:c>
      <x:c r="H296" s="216" t="str">
        <x:f>IF(G296&lt;='排名定義'!$B$5,"是","")</x:f>
        <x:v>是</x:v>
      </x:c>
      <x:c r="I296" s="216" t="n">
        <x:v>283</x:v>
      </x:c>
      <x:c r="J296" s="216" t="str">
        <x:f>IF(I296&lt;='排名定義'!$B$5,"是","")</x:f>
        <x:v>是</x:v>
      </x:c>
      <x:c r="K296" s="216" t="n">
        <x:v>418</x:v>
      </x:c>
      <x:c r="L296" s="216" t="str">
        <x:f>IF(K296&lt;='排名定義'!$B$5,"是","")</x:f>
        <x:v>是</x:v>
      </x:c>
      <x:c r="M296" s="216" t="n">
        <x:f>COUNTIF(H296:L296,"是")</x:f>
        <x:v>3</x:v>
      </x:c>
      <x:c r="N296" s="216" t="str">
        <x:v>總變動＋一般變動</x:v>
      </x:c>
      <x:c r="O296" s="221" t="n">
        <x:v>82.01666666666667</x:v>
      </x:c>
      <x:c r="P296" s="221" t="n">
        <x:v>76.425</x:v>
      </x:c>
      <x:c r="Q296" s="221" t="n">
        <x:v>5.591666666666667</x:v>
      </x:c>
      <x:c r="R296" s="221" t="n">
        <x:v>0.06817719975614712</x:v>
      </x:c>
      <x:c r="S296" s="221" t="n">
        <x:v>101.83870967741936</x:v>
      </x:c>
      <x:c r="T296" s="221" t="n">
        <x:v>96.41935483870968</x:v>
      </x:c>
      <x:c r="U296" s="221" t="n">
        <x:v>5.419354838709677</x:v>
      </x:c>
      <x:c r="V296" s="219" t="n">
        <x:v>0.02534562211981567</x:v>
      </x:c>
      <x:c r="W296" s="216" t="n">
        <x:v>8</x:v>
      </x:c>
      <x:c r="X296" s="223" t="n">
        <x:v>1200</x:v>
      </x:c>
      <x:c r="Y296" s="216" t="n">
        <x:v>36</x:v>
      </x:c>
    </x:row>
    <x:row r="297">
      <x:c r="A297" s="217" t="n">
        <x:v>24</x:v>
      </x:c>
      <x:c r="B297" s="217" t="str">
        <x:v>建成路142巷口</x:v>
      </x:c>
      <x:c r="C297" s="217" t="str">
        <x:v>汐止區</x:v>
      </x:c>
      <x:c r="D297" s="217" t="n">
        <x:v>53</x:v>
      </x:c>
      <x:c r="E297" s="217" t="n">
        <x:v>120</x:v>
      </x:c>
      <x:c r="F297" s="218" t="n">
        <x:v>0.9994791666666667</x:v>
      </x:c>
      <x:c r="G297" s="217" t="n">
        <x:v>293</x:v>
      </x:c>
      <x:c r="H297" s="217" t="str">
        <x:f>IF(G297&lt;='排名定義'!$B$5,"是","")</x:f>
        <x:v>是</x:v>
      </x:c>
      <x:c r="I297" s="217" t="n">
        <x:v>300</x:v>
      </x:c>
      <x:c r="J297" s="217" t="str">
        <x:f>IF(I297&lt;='排名定義'!$B$5,"是","")</x:f>
        <x:v>是</x:v>
      </x:c>
      <x:c r="K297" s="217" t="n">
        <x:v>189</x:v>
      </x:c>
      <x:c r="L297" s="217" t="str">
        <x:f>IF(K297&lt;='排名定義'!$B$5,"是","")</x:f>
        <x:v>是</x:v>
      </x:c>
      <x:c r="M297" s="217" t="n">
        <x:f>COUNTIF(H297:L297,"是")</x:f>
        <x:v>3</x:v>
      </x:c>
      <x:c r="N297" s="217" t="str">
        <x:v>三份皆入選</x:v>
      </x:c>
      <x:c r="O297" s="220" t="n">
        <x:v>81.95833333333333</x:v>
      </x:c>
      <x:c r="P297" s="220" t="n">
        <x:v>74.65</x:v>
      </x:c>
      <x:c r="Q297" s="220" t="n">
        <x:v>7.308333333333334</x:v>
      </x:c>
      <x:c r="R297" s="220" t="n">
        <x:v>0.08917132689374682</x:v>
      </x:c>
      <x:c r="S297" s="220" t="n">
        <x:v>133.03225806451613</x:v>
      </x:c>
      <x:c r="T297" s="220" t="n">
        <x:v>125.06451612903226</x:v>
      </x:c>
      <x:c r="U297" s="220" t="n">
        <x:v>7.967741935483871</x:v>
      </x:c>
      <x:c r="V297" s="218" t="n">
        <x:v>0.018433179723502304</x:v>
      </x:c>
      <x:c r="W297" s="217" t="n">
        <x:v>2</x:v>
      </x:c>
      <x:c r="X297" s="222" t="n">
        <x:v>900</x:v>
      </x:c>
      <x:c r="Y297" s="217" t="n">
        <x:v>53</x:v>
      </x:c>
    </x:row>
    <x:row r="298">
      <x:c r="A298" s="216" t="n">
        <x:v>1053</x:v>
      </x:c>
      <x:c r="B298" s="216" t="str">
        <x:v>台灣科技公園</x:v>
      </x:c>
      <x:c r="C298" s="216" t="str">
        <x:v>中和區</x:v>
      </x:c>
      <x:c r="D298" s="216" t="n">
        <x:v>30</x:v>
      </x:c>
      <x:c r="E298" s="216" t="n">
        <x:v>120</x:v>
      </x:c>
      <x:c r="F298" s="219" t="n">
        <x:v>0.9994791666666667</x:v>
      </x:c>
      <x:c r="G298" s="216" t="n">
        <x:v>294</x:v>
      </x:c>
      <x:c r="H298" s="216" t="str">
        <x:f>IF(G298&lt;='排名定義'!$B$5,"是","")</x:f>
        <x:v>是</x:v>
      </x:c>
      <x:c r="I298" s="216" t="n">
        <x:v>293</x:v>
      </x:c>
      <x:c r="J298" s="216" t="str">
        <x:f>IF(I298&lt;='排名定義'!$B$5,"是","")</x:f>
        <x:v>是</x:v>
      </x:c>
      <x:c r="K298" s="216" t="n">
        <x:v>293</x:v>
      </x:c>
      <x:c r="L298" s="216" t="str">
        <x:f>IF(K298&lt;='排名定義'!$B$5,"是","")</x:f>
        <x:v>是</x:v>
      </x:c>
      <x:c r="M298" s="216" t="n">
        <x:f>COUNTIF(H298:L298,"是")</x:f>
        <x:v>3</x:v>
      </x:c>
      <x:c r="N298" s="216" t="str">
        <x:v>三份皆入選</x:v>
      </x:c>
      <x:c r="O298" s="221" t="n">
        <x:v>81.85833333333333</x:v>
      </x:c>
      <x:c r="P298" s="221" t="n">
        <x:v>75.44166666666666</x:v>
      </x:c>
      <x:c r="Q298" s="221" t="n">
        <x:v>6.416666666666667</x:v>
      </x:c>
      <x:c r="R298" s="221" t="n">
        <x:v>0.07838745800671892</x:v>
      </x:c>
      <x:c r="S298" s="221" t="n">
        <x:v>107.48387096774194</x:v>
      </x:c>
      <x:c r="T298" s="221" t="n">
        <x:v>100.61290322580645</x:v>
      </x:c>
      <x:c r="U298" s="221" t="n">
        <x:v>6.870967741935484</x:v>
      </x:c>
      <x:c r="V298" s="219" t="n">
        <x:v>0.018433179723502304</x:v>
      </x:c>
      <x:c r="W298" s="216" t="n">
        <x:v>9</x:v>
      </x:c>
      <x:c r="X298" s="223" t="n">
        <x:v>1320</x:v>
      </x:c>
      <x:c r="Y298" s="216" t="n">
        <x:v>30</x:v>
      </x:c>
    </x:row>
    <x:row r="299">
      <x:c r="A299" s="217" t="n">
        <x:v>1186</x:v>
      </x:c>
      <x:c r="B299" s="217" t="str">
        <x:v>碧華公園(集勇街)</x:v>
      </x:c>
      <x:c r="C299" s="217" t="str">
        <x:v>三重區</x:v>
      </x:c>
      <x:c r="D299" s="217" t="n">
        <x:v>36</x:v>
      </x:c>
      <x:c r="E299" s="217" t="n">
        <x:v>120</x:v>
      </x:c>
      <x:c r="F299" s="218" t="n">
        <x:v>0.9994791666666667</x:v>
      </x:c>
      <x:c r="G299" s="217" t="n">
        <x:v>295</x:v>
      </x:c>
      <x:c r="H299" s="217" t="str">
        <x:f>IF(G299&lt;='排名定義'!$B$5,"是","")</x:f>
        <x:v>是</x:v>
      </x:c>
      <x:c r="I299" s="217" t="n">
        <x:v>289</x:v>
      </x:c>
      <x:c r="J299" s="217" t="str">
        <x:f>IF(I299&lt;='排名定義'!$B$5,"是","")</x:f>
        <x:v>是</x:v>
      </x:c>
      <x:c r="K299" s="217" t="n">
        <x:v>353</x:v>
      </x:c>
      <x:c r="L299" s="217" t="str">
        <x:f>IF(K299&lt;='排名定義'!$B$5,"是","")</x:f>
        <x:v>是</x:v>
      </x:c>
      <x:c r="M299" s="217" t="n">
        <x:f>COUNTIF(H299:L299,"是")</x:f>
        <x:v>3</x:v>
      </x:c>
      <x:c r="N299" s="217" t="str">
        <x:v>三份皆入選</x:v>
      </x:c>
      <x:c r="O299" s="220" t="n">
        <x:v>81.85</x:v>
      </x:c>
      <x:c r="P299" s="220" t="n">
        <x:v>75.85833333333333</x:v>
      </x:c>
      <x:c r="Q299" s="220" t="n">
        <x:v>5.991666666666666</x:v>
      </x:c>
      <x:c r="R299" s="220" t="n">
        <x:v>0.0732030136428426</x:v>
      </x:c>
      <x:c r="S299" s="220" t="n">
        <x:v>107.87096774193549</x:v>
      </x:c>
      <x:c r="T299" s="220" t="n">
        <x:v>102.90322580645162</x:v>
      </x:c>
      <x:c r="U299" s="220" t="n">
        <x:v>4.967741935483871</x:v>
      </x:c>
      <x:c r="V299" s="218" t="n">
        <x:v>0.03917050691244239</x:v>
      </x:c>
      <x:c r="W299" s="217" t="n">
        <x:v>8</x:v>
      </x:c>
      <x:c r="X299" s="222" t="n">
        <x:v>1230</x:v>
      </x:c>
      <x:c r="Y299" s="217" t="n">
        <x:v>45</x:v>
      </x:c>
    </x:row>
    <x:row r="300">
      <x:c r="A300" s="216" t="n">
        <x:v>226</x:v>
      </x:c>
      <x:c r="B300" s="216" t="str">
        <x:v>仁愛路306巷18弄口</x:v>
      </x:c>
      <x:c r="C300" s="216" t="str">
        <x:v>永和區</x:v>
      </x:c>
      <x:c r="D300" s="216" t="n">
        <x:v>13</x:v>
      </x:c>
      <x:c r="E300" s="216" t="n">
        <x:v>120</x:v>
      </x:c>
      <x:c r="F300" s="219" t="n">
        <x:v>0.9994791666666667</x:v>
      </x:c>
      <x:c r="G300" s="216" t="n">
        <x:v>296</x:v>
      </x:c>
      <x:c r="H300" s="216" t="str">
        <x:f>IF(G300&lt;='排名定義'!$B$5,"是","")</x:f>
        <x:v>是</x:v>
      </x:c>
      <x:c r="I300" s="216" t="n">
        <x:v>276</x:v>
      </x:c>
      <x:c r="J300" s="216" t="str">
        <x:f>IF(I300&lt;='排名定義'!$B$5,"是","")</x:f>
        <x:v>是</x:v>
      </x:c>
      <x:c r="K300" s="216" t="n">
        <x:v>705</x:v>
      </x:c>
      <x:c r="L300" s="216" t="str">
        <x:f>IF(K300&lt;='排名定義'!$B$5,"是","")</x:f>
        <x:v>是</x:v>
      </x:c>
      <x:c r="M300" s="216" t="n">
        <x:f>COUNTIF(H300:L300,"是")</x:f>
        <x:v>3</x:v>
      </x:c>
      <x:c r="N300" s="216" t="str">
        <x:v>總變動＋一般變動</x:v>
      </x:c>
      <x:c r="O300" s="221" t="n">
        <x:v>81.29166666666667</x:v>
      </x:c>
      <x:c r="P300" s="221" t="n">
        <x:v>77.00833333333334</x:v>
      </x:c>
      <x:c r="Q300" s="221" t="n">
        <x:v>4.283333333333333</x:v>
      </x:c>
      <x:c r="R300" s="221" t="n">
        <x:v>0.052690927729369556</x:v>
      </x:c>
      <x:c r="S300" s="221" t="n">
        <x:v>96.96774193548387</x:v>
      </x:c>
      <x:c r="T300" s="221" t="n">
        <x:v>90.74193548387096</x:v>
      </x:c>
      <x:c r="U300" s="221" t="n">
        <x:v>6.225806451612903</x:v>
      </x:c>
      <x:c r="V300" s="219" t="n">
        <x:v>0.15207373271889402</x:v>
      </x:c>
      <x:c r="W300" s="216" t="n">
        <x:v>32</x:v>
      </x:c>
      <x:c r="X300" s="223" t="n">
        <x:v>5460</x:v>
      </x:c>
      <x:c r="Y300" s="216" t="n">
        <x:v>13</x:v>
      </x:c>
    </x:row>
    <x:row r="301">
      <x:c r="A301" s="217" t="n">
        <x:v>568</x:v>
      </x:c>
      <x:c r="B301" s="217" t="str">
        <x:v>南雅西路二段145巷</x:v>
      </x:c>
      <x:c r="C301" s="217" t="str">
        <x:v>板橋區</x:v>
      </x:c>
      <x:c r="D301" s="217" t="n">
        <x:v>18</x:v>
      </x:c>
      <x:c r="E301" s="217" t="n">
        <x:v>120</x:v>
      </x:c>
      <x:c r="F301" s="218" t="n">
        <x:v>0.9994791666666667</x:v>
      </x:c>
      <x:c r="G301" s="217" t="n">
        <x:v>297</x:v>
      </x:c>
      <x:c r="H301" s="217" t="str">
        <x:f>IF(G301&lt;='排名定義'!$B$5,"是","")</x:f>
        <x:v>是</x:v>
      </x:c>
      <x:c r="I301" s="217" t="n">
        <x:v>296</x:v>
      </x:c>
      <x:c r="J301" s="217" t="str">
        <x:f>IF(I301&lt;='排名定義'!$B$5,"是","")</x:f>
        <x:v>是</x:v>
      </x:c>
      <x:c r="K301" s="217" t="n">
        <x:v>348</x:v>
      </x:c>
      <x:c r="L301" s="217" t="str">
        <x:f>IF(K301&lt;='排名定義'!$B$5,"是","")</x:f>
        <x:v>是</x:v>
      </x:c>
      <x:c r="M301" s="217" t="n">
        <x:f>COUNTIF(H301:L301,"是")</x:f>
        <x:v>3</x:v>
      </x:c>
      <x:c r="N301" s="217" t="str">
        <x:v>三份皆入選</x:v>
      </x:c>
      <x:c r="O301" s="220" t="n">
        <x:v>81.25</x:v>
      </x:c>
      <x:c r="P301" s="220" t="n">
        <x:v>75.225</x:v>
      </x:c>
      <x:c r="Q301" s="220" t="n">
        <x:v>6.025</x:v>
      </x:c>
      <x:c r="R301" s="220" t="n">
        <x:v>0.07415384615384615</x:v>
      </x:c>
      <x:c r="S301" s="220" t="n">
        <x:v>103.70967741935483</x:v>
      </x:c>
      <x:c r="T301" s="220" t="n">
        <x:v>99.93548387096774</x:v>
      </x:c>
      <x:c r="U301" s="220" t="n">
        <x:v>3.774193548387097</x:v>
      </x:c>
      <x:c r="V301" s="218" t="n">
        <x:v>0.10368663594470046</x:v>
      </x:c>
      <x:c r="W301" s="217" t="n">
        <x:v>22</x:v>
      </x:c>
      <x:c r="X301" s="222" t="n">
        <x:v>3060</x:v>
      </x:c>
      <x:c r="Y301" s="217" t="n">
        <x:v>18</x:v>
      </x:c>
    </x:row>
    <x:row r="302">
      <x:c r="A302" s="216" t="n">
        <x:v>1165</x:v>
      </x:c>
      <x:c r="B302" s="216" t="str">
        <x:v>捷運幸福站(2號出口)</x:v>
      </x:c>
      <x:c r="C302" s="216" t="str">
        <x:v>新莊區</x:v>
      </x:c>
      <x:c r="D302" s="216" t="n">
        <x:v>35</x:v>
      </x:c>
      <x:c r="E302" s="216" t="n">
        <x:v>120</x:v>
      </x:c>
      <x:c r="F302" s="219" t="n">
        <x:v>0.9994791666666667</x:v>
      </x:c>
      <x:c r="G302" s="216" t="n">
        <x:v>298</x:v>
      </x:c>
      <x:c r="H302" s="216" t="str">
        <x:f>IF(G302&lt;='排名定義'!$B$5,"是","")</x:f>
        <x:v>是</x:v>
      </x:c>
      <x:c r="I302" s="216" t="n">
        <x:v>303</x:v>
      </x:c>
      <x:c r="J302" s="216" t="str">
        <x:f>IF(I302&lt;='排名定義'!$B$5,"是","")</x:f>
        <x:v>是</x:v>
      </x:c>
      <x:c r="K302" s="216" t="n">
        <x:v>270</x:v>
      </x:c>
      <x:c r="L302" s="216" t="str">
        <x:f>IF(K302&lt;='排名定義'!$B$5,"是","")</x:f>
        <x:v>是</x:v>
      </x:c>
      <x:c r="M302" s="216" t="n">
        <x:f>COUNTIF(H302:L302,"是")</x:f>
        <x:v>3</x:v>
      </x:c>
      <x:c r="N302" s="216" t="str">
        <x:v>三份皆入選</x:v>
      </x:c>
      <x:c r="O302" s="221" t="n">
        <x:v>81.04166666666667</x:v>
      </x:c>
      <x:c r="P302" s="221" t="n">
        <x:v>74.41666666666667</x:v>
      </x:c>
      <x:c r="Q302" s="221" t="n">
        <x:v>6.625</x:v>
      </x:c>
      <x:c r="R302" s="221" t="n">
        <x:v>0.08174807197943444</x:v>
      </x:c>
      <x:c r="S302" s="221" t="n">
        <x:v>107.83870967741936</x:v>
      </x:c>
      <x:c r="T302" s="221" t="n">
        <x:v>102.61290322580645</x:v>
      </x:c>
      <x:c r="U302" s="221" t="n">
        <x:v>5.225806451612903</x:v>
      </x:c>
      <x:c r="V302" s="219" t="n">
        <x:v>0.11059907834101383</x:v>
      </x:c>
      <x:c r="W302" s="216" t="n">
        <x:v>44</x:v>
      </x:c>
      <x:c r="X302" s="223" t="n">
        <x:v>6270</x:v>
      </x:c>
      <x:c r="Y302" s="216" t="n">
        <x:v>35</x:v>
      </x:c>
    </x:row>
    <x:row r="303">
      <x:c r="A303" s="217" t="n">
        <x:v>1448</x:v>
      </x:c>
      <x:c r="B303" s="217" t="str">
        <x:v>莊敬公園</x:v>
      </x:c>
      <x:c r="C303" s="217" t="str">
        <x:v>板橋區</x:v>
      </x:c>
      <x:c r="D303" s="217" t="n">
        <x:v>50</x:v>
      </x:c>
      <x:c r="E303" s="217" t="n">
        <x:v>120</x:v>
      </x:c>
      <x:c r="F303" s="218" t="n">
        <x:v>0.9994791666666667</x:v>
      </x:c>
      <x:c r="G303" s="217" t="n">
        <x:v>299</x:v>
      </x:c>
      <x:c r="H303" s="217" t="str">
        <x:f>IF(G303&lt;='排名定義'!$B$5,"是","")</x:f>
        <x:v>是</x:v>
      </x:c>
      <x:c r="I303" s="217" t="n">
        <x:v>304</x:v>
      </x:c>
      <x:c r="J303" s="217" t="str">
        <x:f>IF(I303&lt;='排名定義'!$B$5,"是","")</x:f>
        <x:v>是</x:v>
      </x:c>
      <x:c r="K303" s="217" t="n">
        <x:v>260</x:v>
      </x:c>
      <x:c r="L303" s="217" t="str">
        <x:f>IF(K303&lt;='排名定義'!$B$5,"是","")</x:f>
        <x:v>是</x:v>
      </x:c>
      <x:c r="M303" s="217" t="n">
        <x:f>COUNTIF(H303:L303,"是")</x:f>
        <x:v>3</x:v>
      </x:c>
      <x:c r="N303" s="217" t="str">
        <x:v>三份皆入選</x:v>
      </x:c>
      <x:c r="O303" s="220" t="n">
        <x:v>81.00833333333334</x:v>
      </x:c>
      <x:c r="P303" s="220" t="n">
        <x:v>74.275</x:v>
      </x:c>
      <x:c r="Q303" s="220" t="n">
        <x:v>6.733333333333333</x:v>
      </x:c>
      <x:c r="R303" s="220" t="n">
        <x:v>0.08311902067688509</x:v>
      </x:c>
      <x:c r="S303" s="220" t="n">
        <x:v>93.3225806451613</x:v>
      </x:c>
      <x:c r="T303" s="220" t="n">
        <x:v>87.38709677419355</x:v>
      </x:c>
      <x:c r="U303" s="220" t="n">
        <x:v>5.935483870967742</x:v>
      </x:c>
      <x:c r="V303" s="218" t="n">
        <x:v>0.12211981566820276</x:v>
      </x:c>
      <x:c r="W303" s="217" t="n">
        <x:v>32</x:v>
      </x:c>
      <x:c r="X303" s="222" t="n">
        <x:v>4230</x:v>
      </x:c>
      <x:c r="Y303" s="217" t="n">
        <x:v>50</x:v>
      </x:c>
    </x:row>
    <x:row r="304">
      <x:c r="A304" s="216" t="n">
        <x:v>1217</x:v>
      </x:c>
      <x:c r="B304" s="216" t="str">
        <x:v>新市一路一段99巷口</x:v>
      </x:c>
      <x:c r="C304" s="216" t="str">
        <x:v>淡水區</x:v>
      </x:c>
      <x:c r="D304" s="216" t="n">
        <x:v>38</x:v>
      </x:c>
      <x:c r="E304" s="216" t="n">
        <x:v>120</x:v>
      </x:c>
      <x:c r="F304" s="219" t="n">
        <x:v>0.9994791666666667</x:v>
      </x:c>
      <x:c r="G304" s="216" t="n">
        <x:v>300</x:v>
      </x:c>
      <x:c r="H304" s="216" t="str">
        <x:f>IF(G304&lt;='排名定義'!$B$5,"是","")</x:f>
        <x:v>是</x:v>
      </x:c>
      <x:c r="I304" s="216" t="n">
        <x:v>307</x:v>
      </x:c>
      <x:c r="J304" s="216" t="str">
        <x:f>IF(I304&lt;='排名定義'!$B$5,"是","")</x:f>
        <x:v>是</x:v>
      </x:c>
      <x:c r="K304" s="216" t="n">
        <x:v>213</x:v>
      </x:c>
      <x:c r="L304" s="216" t="str">
        <x:f>IF(K304&lt;='排名定義'!$B$5,"是","")</x:f>
        <x:v>是</x:v>
      </x:c>
      <x:c r="M304" s="216" t="n">
        <x:f>COUNTIF(H304:L304,"是")</x:f>
        <x:v>3</x:v>
      </x:c>
      <x:c r="N304" s="216" t="str">
        <x:v>三份皆入選</x:v>
      </x:c>
      <x:c r="O304" s="221" t="n">
        <x:v>80.73333333333333</x:v>
      </x:c>
      <x:c r="P304" s="221" t="n">
        <x:v>73.65</x:v>
      </x:c>
      <x:c r="Q304" s="221" t="n">
        <x:v>7.083333333333333</x:v>
      </x:c>
      <x:c r="R304" s="221" t="n">
        <x:v>0.08773740710156895</x:v>
      </x:c>
      <x:c r="S304" s="221" t="n">
        <x:v>119.09677419354838</x:v>
      </x:c>
      <x:c r="T304" s="221" t="n">
        <x:v>112.80645161290323</x:v>
      </x:c>
      <x:c r="U304" s="221" t="n">
        <x:v>6.290322580645161</x:v>
      </x:c>
      <x:c r="V304" s="219" t="n">
        <x:v>0.013824884792626729</x:v>
      </x:c>
      <x:c r="W304" s="216" t="n">
        <x:v>3</x:v>
      </x:c>
      <x:c r="X304" s="223" t="n">
        <x:v>780</x:v>
      </x:c>
      <x:c r="Y304" s="216" t="n">
        <x:v>38</x:v>
      </x:c>
    </x:row>
    <x:row r="305">
      <x:c r="A305" s="217" t="n">
        <x:v>1436</x:v>
      </x:c>
      <x:c r="B305" s="217" t="str">
        <x:v>文化路二段182巷1弄</x:v>
      </x:c>
      <x:c r="C305" s="217" t="str">
        <x:v>板橋區</x:v>
      </x:c>
      <x:c r="D305" s="217" t="n">
        <x:v>49</x:v>
      </x:c>
      <x:c r="E305" s="217" t="n">
        <x:v>120</x:v>
      </x:c>
      <x:c r="F305" s="218" t="n">
        <x:v>0.9994791666666667</x:v>
      </x:c>
      <x:c r="G305" s="217" t="n">
        <x:v>301</x:v>
      </x:c>
      <x:c r="H305" s="217" t="str">
        <x:f>IF(G305&lt;='排名定義'!$B$5,"是","")</x:f>
        <x:v>是</x:v>
      </x:c>
      <x:c r="I305" s="217" t="n">
        <x:v>316</x:v>
      </x:c>
      <x:c r="J305" s="217" t="str">
        <x:f>IF(I305&lt;='排名定義'!$B$5,"是","")</x:f>
        <x:v>是</x:v>
      </x:c>
      <x:c r="K305" s="217" t="n">
        <x:v>172</x:v>
      </x:c>
      <x:c r="L305" s="217" t="str">
        <x:f>IF(K305&lt;='排名定義'!$B$5,"是","")</x:f>
        <x:v>是</x:v>
      </x:c>
      <x:c r="M305" s="217" t="n">
        <x:f>COUNTIF(H305:L305,"是")</x:f>
        <x:v>3</x:v>
      </x:c>
      <x:c r="N305" s="217" t="str">
        <x:v>三份皆入選</x:v>
      </x:c>
      <x:c r="O305" s="220" t="n">
        <x:v>80.7</x:v>
      </x:c>
      <x:c r="P305" s="220" t="n">
        <x:v>73.175</x:v>
      </x:c>
      <x:c r="Q305" s="220" t="n">
        <x:v>7.525</x:v>
      </x:c>
      <x:c r="R305" s="220" t="n">
        <x:v>0.09324659231722429</x:v>
      </x:c>
      <x:c r="S305" s="220" t="n">
        <x:v>90</x:v>
      </x:c>
      <x:c r="T305" s="220" t="n">
        <x:v>84.83870967741936</x:v>
      </x:c>
      <x:c r="U305" s="220" t="n">
        <x:v>5.161290322580645</x:v>
      </x:c>
      <x:c r="V305" s="218" t="n">
        <x:v>0.12672811059907835</x:v>
      </x:c>
      <x:c r="W305" s="217" t="n">
        <x:v>57</x:v>
      </x:c>
      <x:c r="X305" s="222" t="n">
        <x:v>7830</x:v>
      </x:c>
      <x:c r="Y305" s="217" t="n">
        <x:v>49</x:v>
      </x:c>
    </x:row>
    <x:row r="306">
      <x:c r="A306" s="216" t="n">
        <x:v>1093</x:v>
      </x:c>
      <x:c r="B306" s="216" t="str">
        <x:v>信義公園</x:v>
      </x:c>
      <x:c r="C306" s="216" t="str">
        <x:v>三重區</x:v>
      </x:c>
      <x:c r="D306" s="216" t="n">
        <x:v>32</x:v>
      </x:c>
      <x:c r="E306" s="216" t="n">
        <x:v>120</x:v>
      </x:c>
      <x:c r="F306" s="219" t="n">
        <x:v>0.9994791666666667</x:v>
      </x:c>
      <x:c r="G306" s="216" t="n">
        <x:v>302</x:v>
      </x:c>
      <x:c r="H306" s="216" t="str">
        <x:f>IF(G306&lt;='排名定義'!$B$5,"是","")</x:f>
        <x:v>是</x:v>
      </x:c>
      <x:c r="I306" s="216" t="n">
        <x:v>295</x:v>
      </x:c>
      <x:c r="J306" s="216" t="str">
        <x:f>IF(I306&lt;='排名定義'!$B$5,"是","")</x:f>
        <x:v>是</x:v>
      </x:c>
      <x:c r="K306" s="216" t="n">
        <x:v>458</x:v>
      </x:c>
      <x:c r="L306" s="216" t="str">
        <x:f>IF(K306&lt;='排名定義'!$B$5,"是","")</x:f>
        <x:v>是</x:v>
      </x:c>
      <x:c r="M306" s="216" t="n">
        <x:f>COUNTIF(H306:L306,"是")</x:f>
        <x:v>3</x:v>
      </x:c>
      <x:c r="N306" s="216" t="str">
        <x:v>總變動＋一般變動</x:v>
      </x:c>
      <x:c r="O306" s="221" t="n">
        <x:v>80.6</x:v>
      </x:c>
      <x:c r="P306" s="221" t="n">
        <x:v>75.26666666666667</x:v>
      </x:c>
      <x:c r="Q306" s="221" t="n">
        <x:v>5.333333333333333</x:v>
      </x:c>
      <x:c r="R306" s="221" t="n">
        <x:v>0.06617038875103391</x:v>
      </x:c>
      <x:c r="S306" s="221" t="n">
        <x:v>108.54838709677419</x:v>
      </x:c>
      <x:c r="T306" s="221" t="n">
        <x:v>103.90322580645162</x:v>
      </x:c>
      <x:c r="U306" s="221" t="n">
        <x:v>4.645161290322581</x:v>
      </x:c>
      <x:c r="V306" s="219" t="n">
        <x:v>0.020737327188940093</x:v>
      </x:c>
      <x:c r="W306" s="216" t="n">
        <x:v>7</x:v>
      </x:c>
      <x:c r="X306" s="223" t="n">
        <x:v>1440</x:v>
      </x:c>
      <x:c r="Y306" s="216" t="n">
        <x:v>32</x:v>
      </x:c>
    </x:row>
    <x:row r="307">
      <x:c r="A307" s="217" t="n">
        <x:v>659</x:v>
      </x:c>
      <x:c r="B307" s="217" t="str">
        <x:v>捷運新埔站(3號出口)</x:v>
      </x:c>
      <x:c r="C307" s="217" t="str">
        <x:v>板橋區</x:v>
      </x:c>
      <x:c r="D307" s="217" t="n">
        <x:v>20</x:v>
      </x:c>
      <x:c r="E307" s="217" t="n">
        <x:v>120</x:v>
      </x:c>
      <x:c r="F307" s="218" t="n">
        <x:v>0.9994791666666667</x:v>
      </x:c>
      <x:c r="G307" s="217" t="n">
        <x:v>303</x:v>
      </x:c>
      <x:c r="H307" s="217" t="str">
        <x:f>IF(G307&lt;='排名定義'!$B$5,"是","")</x:f>
        <x:v>是</x:v>
      </x:c>
      <x:c r="I307" s="217" t="n">
        <x:v>298</x:v>
      </x:c>
      <x:c r="J307" s="217" t="str">
        <x:f>IF(I307&lt;='排名定義'!$B$5,"是","")</x:f>
        <x:v>是</x:v>
      </x:c>
      <x:c r="K307" s="217" t="n">
        <x:v>415</x:v>
      </x:c>
      <x:c r="L307" s="217" t="str">
        <x:f>IF(K307&lt;='排名定義'!$B$5,"是","")</x:f>
        <x:v>是</x:v>
      </x:c>
      <x:c r="M307" s="217" t="n">
        <x:f>COUNTIF(H307:L307,"是")</x:f>
        <x:v>3</x:v>
      </x:c>
      <x:c r="N307" s="217" t="str">
        <x:v>總變動＋一般變動</x:v>
      </x:c>
      <x:c r="O307" s="220" t="n">
        <x:v>80.40833333333333</x:v>
      </x:c>
      <x:c r="P307" s="220" t="n">
        <x:v>74.8</x:v>
      </x:c>
      <x:c r="Q307" s="220" t="n">
        <x:v>5.608333333333333</x:v>
      </x:c>
      <x:c r="R307" s="220" t="n">
        <x:v>0.06974816043113276</x:v>
      </x:c>
      <x:c r="S307" s="220" t="n">
        <x:v>103.90322580645162</x:v>
      </x:c>
      <x:c r="T307" s="220" t="n">
        <x:v>97.6774193548387</x:v>
      </x:c>
      <x:c r="U307" s="220" t="n">
        <x:v>6.225806451612903</x:v>
      </x:c>
      <x:c r="V307" s="218" t="n">
        <x:v>0.19815668202764977</x:v>
      </x:c>
      <x:c r="W307" s="217" t="n">
        <x:v>66</x:v>
      </x:c>
      <x:c r="X307" s="222" t="n">
        <x:v>8550</x:v>
      </x:c>
      <x:c r="Y307" s="217" t="n">
        <x:v>20</x:v>
      </x:c>
    </x:row>
    <x:row r="308">
      <x:c r="A308" s="216" t="n">
        <x:v>1381</x:v>
      </x:c>
      <x:c r="B308" s="216" t="str">
        <x:v>夢奇地公園(文化路一段)</x:v>
      </x:c>
      <x:c r="C308" s="216" t="str">
        <x:v>板橋區</x:v>
      </x:c>
      <x:c r="D308" s="216" t="n">
        <x:v>45</x:v>
      </x:c>
      <x:c r="E308" s="216" t="n">
        <x:v>120</x:v>
      </x:c>
      <x:c r="F308" s="219" t="n">
        <x:v>0.9994791666666667</x:v>
      </x:c>
      <x:c r="G308" s="216" t="n">
        <x:v>304</x:v>
      </x:c>
      <x:c r="H308" s="216" t="str">
        <x:f>IF(G308&lt;='排名定義'!$B$5,"是","")</x:f>
        <x:v>是</x:v>
      </x:c>
      <x:c r="I308" s="216" t="n">
        <x:v>302</x:v>
      </x:c>
      <x:c r="J308" s="216" t="str">
        <x:f>IF(I308&lt;='排名定義'!$B$5,"是","")</x:f>
        <x:v>是</x:v>
      </x:c>
      <x:c r="K308" s="216" t="n">
        <x:v>367</x:v>
      </x:c>
      <x:c r="L308" s="216" t="str">
        <x:f>IF(K308&lt;='排名定義'!$B$5,"是","")</x:f>
        <x:v>是</x:v>
      </x:c>
      <x:c r="M308" s="216" t="n">
        <x:f>COUNTIF(H308:L308,"是")</x:f>
        <x:v>3</x:v>
      </x:c>
      <x:c r="N308" s="216" t="str">
        <x:v>三份皆入選</x:v>
      </x:c>
      <x:c r="O308" s="221" t="n">
        <x:v>80.36666666666666</x:v>
      </x:c>
      <x:c r="P308" s="221" t="n">
        <x:v>74.45</x:v>
      </x:c>
      <x:c r="Q308" s="221" t="n">
        <x:v>5.916666666666667</x:v>
      </x:c>
      <x:c r="R308" s="221" t="n">
        <x:v>0.07362090418913314</x:v>
      </x:c>
      <x:c r="S308" s="221" t="n">
        <x:v>94.6774193548387</x:v>
      </x:c>
      <x:c r="T308" s="221" t="n">
        <x:v>83.90322580645162</x:v>
      </x:c>
      <x:c r="U308" s="221" t="n">
        <x:v>10.774193548387096</x:v>
      </x:c>
      <x:c r="V308" s="219" t="n">
        <x:v>0.09907834101382489</x:v>
      </x:c>
      <x:c r="W308" s="216" t="n">
        <x:v>44</x:v>
      </x:c>
      <x:c r="X308" s="223" t="n">
        <x:v>6390</x:v>
      </x:c>
      <x:c r="Y308" s="216" t="n">
        <x:v>45</x:v>
      </x:c>
    </x:row>
    <x:row r="309">
      <x:c r="A309" s="217" t="n">
        <x:v>1007</x:v>
      </x:c>
      <x:c r="B309" s="217" t="str">
        <x:v>重新重安街口</x:v>
      </x:c>
      <x:c r="C309" s="217" t="str">
        <x:v>三重區</x:v>
      </x:c>
      <x:c r="D309" s="217" t="n">
        <x:v>35</x:v>
      </x:c>
      <x:c r="E309" s="217" t="n">
        <x:v>120</x:v>
      </x:c>
      <x:c r="F309" s="218" t="n">
        <x:v>0.9994791666666667</x:v>
      </x:c>
      <x:c r="G309" s="217" t="n">
        <x:v>305</x:v>
      </x:c>
      <x:c r="H309" s="217" t="str">
        <x:f>IF(G309&lt;='排名定義'!$B$5,"是","")</x:f>
        <x:v>是</x:v>
      </x:c>
      <x:c r="I309" s="217" t="n">
        <x:v>301</x:v>
      </x:c>
      <x:c r="J309" s="217" t="str">
        <x:f>IF(I309&lt;='排名定義'!$B$5,"是","")</x:f>
        <x:v>是</x:v>
      </x:c>
      <x:c r="K309" s="217" t="n">
        <x:v>404</x:v>
      </x:c>
      <x:c r="L309" s="217" t="str">
        <x:f>IF(K309&lt;='排名定義'!$B$5,"是","")</x:f>
        <x:v>是</x:v>
      </x:c>
      <x:c r="M309" s="217" t="n">
        <x:f>COUNTIF(H309:L309,"是")</x:f>
        <x:v>3</x:v>
      </x:c>
      <x:c r="N309" s="217" t="str">
        <x:v>總變動＋一般變動</x:v>
      </x:c>
      <x:c r="O309" s="220" t="n">
        <x:v>80.14166666666667</x:v>
      </x:c>
      <x:c r="P309" s="220" t="n">
        <x:v>74.45</x:v>
      </x:c>
      <x:c r="Q309" s="220" t="n">
        <x:v>5.691666666666666</x:v>
      </x:c>
      <x:c r="R309" s="220" t="n">
        <x:v>0.07102006862847042</x:v>
      </x:c>
      <x:c r="S309" s="220" t="n">
        <x:v>105.83870967741936</x:v>
      </x:c>
      <x:c r="T309" s="220" t="n">
        <x:v>99.6774193548387</x:v>
      </x:c>
      <x:c r="U309" s="220" t="n">
        <x:v>6.161290322580645</x:v>
      </x:c>
      <x:c r="V309" s="218" t="n">
        <x:v>0.06451612903225806</x:v>
      </x:c>
      <x:c r="W309" s="217" t="n">
        <x:v>25</x:v>
      </x:c>
      <x:c r="X309" s="222" t="n">
        <x:v>2670</x:v>
      </x:c>
      <x:c r="Y309" s="217" t="n">
        <x:v>35</x:v>
      </x:c>
    </x:row>
    <x:row r="310">
      <x:c r="A310" s="216" t="n">
        <x:v>1155</x:v>
      </x:c>
      <x:c r="B310" s="216" t="str">
        <x:v>安樂宜安路口</x:v>
      </x:c>
      <x:c r="C310" s="216" t="str">
        <x:v>中和區</x:v>
      </x:c>
      <x:c r="D310" s="216" t="n">
        <x:v>35</x:v>
      </x:c>
      <x:c r="E310" s="216" t="n">
        <x:v>120</x:v>
      </x:c>
      <x:c r="F310" s="219" t="n">
        <x:v>0.9994791666666667</x:v>
      </x:c>
      <x:c r="G310" s="216" t="n">
        <x:v>306</x:v>
      </x:c>
      <x:c r="H310" s="216" t="str">
        <x:f>IF(G310&lt;='排名定義'!$B$5,"是","")</x:f>
        <x:v>是</x:v>
      </x:c>
      <x:c r="I310" s="216" t="n">
        <x:v>297</x:v>
      </x:c>
      <x:c r="J310" s="216" t="str">
        <x:f>IF(I310&lt;='排名定義'!$B$5,"是","")</x:f>
        <x:v>是</x:v>
      </x:c>
      <x:c r="K310" s="216" t="n">
        <x:v>487</x:v>
      </x:c>
      <x:c r="L310" s="216" t="str">
        <x:f>IF(K310&lt;='排名定義'!$B$5,"是","")</x:f>
        <x:v>是</x:v>
      </x:c>
      <x:c r="M310" s="216" t="n">
        <x:f>COUNTIF(H310:L310,"是")</x:f>
        <x:v>3</x:v>
      </x:c>
      <x:c r="N310" s="216" t="str">
        <x:v>總變動＋一般變動</x:v>
      </x:c>
      <x:c r="O310" s="221" t="n">
        <x:v>80.11666666666666</x:v>
      </x:c>
      <x:c r="P310" s="221" t="n">
        <x:v>74.89166666666667</x:v>
      </x:c>
      <x:c r="Q310" s="221" t="n">
        <x:v>5.225</x:v>
      </x:c>
      <x:c r="R310" s="221" t="n">
        <x:v>0.06521739130434782</x:v>
      </x:c>
      <x:c r="S310" s="221" t="n">
        <x:v>114.64516129032258</x:v>
      </x:c>
      <x:c r="T310" s="221" t="n">
        <x:v>108.12903225806451</x:v>
      </x:c>
      <x:c r="U310" s="221" t="n">
        <x:v>6.516129032258065</x:v>
      </x:c>
      <x:c r="V310" s="219" t="n">
        <x:v>0.029953917050691243</x:v>
      </x:c>
      <x:c r="W310" s="216" t="n">
        <x:v>3</x:v>
      </x:c>
      <x:c r="X310" s="223" t="n">
        <x:v>690</x:v>
      </x:c>
      <x:c r="Y310" s="216" t="n">
        <x:v>35</x:v>
      </x:c>
    </x:row>
    <x:row r="311">
      <x:c r="A311" s="217" t="n">
        <x:v>1124</x:v>
      </x:c>
      <x:c r="B311" s="217" t="str">
        <x:v>三峽國中</x:v>
      </x:c>
      <x:c r="C311" s="217" t="str">
        <x:v>三峽區</x:v>
      </x:c>
      <x:c r="D311" s="217" t="n">
        <x:v>33</x:v>
      </x:c>
      <x:c r="E311" s="217" t="n">
        <x:v>120</x:v>
      </x:c>
      <x:c r="F311" s="218" t="n">
        <x:v>0.9991319444444444</x:v>
      </x:c>
      <x:c r="G311" s="217" t="n">
        <x:v>307</x:v>
      </x:c>
      <x:c r="H311" s="217" t="str">
        <x:f>IF(G311&lt;='排名定義'!$B$5,"是","")</x:f>
        <x:v>是</x:v>
      </x:c>
      <x:c r="I311" s="217" t="n">
        <x:v>315</x:v>
      </x:c>
      <x:c r="J311" s="217" t="str">
        <x:f>IF(I311&lt;='排名定義'!$B$5,"是","")</x:f>
        <x:v>是</x:v>
      </x:c>
      <x:c r="K311" s="217" t="n">
        <x:v>261</x:v>
      </x:c>
      <x:c r="L311" s="217" t="str">
        <x:f>IF(K311&lt;='排名定義'!$B$5,"是","")</x:f>
        <x:v>是</x:v>
      </x:c>
      <x:c r="M311" s="217" t="n">
        <x:f>COUNTIF(H311:L311,"是")</x:f>
        <x:v>3</x:v>
      </x:c>
      <x:c r="N311" s="217" t="str">
        <x:v>三份皆入選</x:v>
      </x:c>
      <x:c r="O311" s="220" t="n">
        <x:v>79.89166666666667</x:v>
      </x:c>
      <x:c r="P311" s="220" t="n">
        <x:v>73.20833333333333</x:v>
      </x:c>
      <x:c r="Q311" s="220" t="n">
        <x:v>6.683333333333334</x:v>
      </x:c>
      <x:c r="R311" s="220" t="n">
        <x:v>0.08365494941066028</x:v>
      </x:c>
      <x:c r="S311" s="220" t="n">
        <x:v>111.6774193548387</x:v>
      </x:c>
      <x:c r="T311" s="220" t="n">
        <x:v>105.3225806451613</x:v>
      </x:c>
      <x:c r="U311" s="220" t="n">
        <x:v>6.354838709677419</x:v>
      </x:c>
      <x:c r="V311" s="218" t="n">
        <x:v>0.1382488479262673</x:v>
      </x:c>
      <x:c r="W311" s="217" t="n">
        <x:v>14</x:v>
      </x:c>
      <x:c r="X311" s="222" t="n">
        <x:v>2220</x:v>
      </x:c>
      <x:c r="Y311" s="217" t="n">
        <x:v>33</x:v>
      </x:c>
    </x:row>
    <x:row r="312">
      <x:c r="A312" s="216" t="n">
        <x:v>48</x:v>
      </x:c>
      <x:c r="B312" s="216" t="str">
        <x:v>捷運橋和站</x:v>
      </x:c>
      <x:c r="C312" s="216" t="str">
        <x:v>中和區</x:v>
      </x:c>
      <x:c r="D312" s="216" t="n">
        <x:v>62</x:v>
      </x:c>
      <x:c r="E312" s="216" t="n">
        <x:v>120</x:v>
      </x:c>
      <x:c r="F312" s="219" t="n">
        <x:v>0.9994791666666667</x:v>
      </x:c>
      <x:c r="G312" s="216" t="n">
        <x:v>308</x:v>
      </x:c>
      <x:c r="H312" s="216" t="str">
        <x:f>IF(G312&lt;='排名定義'!$B$5,"是","")</x:f>
        <x:v>是</x:v>
      </x:c>
      <x:c r="I312" s="216" t="n">
        <x:v>337</x:v>
      </x:c>
      <x:c r="J312" s="216" t="str">
        <x:f>IF(I312&lt;='排名定義'!$B$5,"是","")</x:f>
        <x:v>是</x:v>
      </x:c>
      <x:c r="K312" s="216" t="n">
        <x:v>98</x:v>
      </x:c>
      <x:c r="L312" s="216" t="str">
        <x:f>IF(K312&lt;='排名定義'!$B$5,"是","")</x:f>
        <x:v>是</x:v>
      </x:c>
      <x:c r="M312" s="216" t="n">
        <x:f>COUNTIF(H312:L312,"是")</x:f>
        <x:v>3</x:v>
      </x:c>
      <x:c r="N312" s="216" t="str">
        <x:v>三份皆入選</x:v>
      </x:c>
      <x:c r="O312" s="221" t="n">
        <x:v>79.88333333333334</x:v>
      </x:c>
      <x:c r="P312" s="221" t="n">
        <x:v>71.16666666666667</x:v>
      </x:c>
      <x:c r="Q312" s="221" t="n">
        <x:v>8.716666666666667</x:v>
      </x:c>
      <x:c r="R312" s="221" t="n">
        <x:v>0.10911746296682662</x:v>
      </x:c>
      <x:c r="S312" s="221" t="n">
        <x:v>124.41935483870968</x:v>
      </x:c>
      <x:c r="T312" s="221" t="n">
        <x:v>116.90322580645162</x:v>
      </x:c>
      <x:c r="U312" s="221" t="n">
        <x:v>7.516129032258065</x:v>
      </x:c>
      <x:c r="V312" s="219" t="n">
        <x:v>0.002304147465437788</x:v>
      </x:c>
      <x:c r="W312" s="216" t="n">
        <x:v>0</x:v>
      </x:c>
      <x:c r="X312" s="223" t="n">
        <x:v>90</x:v>
      </x:c>
      <x:c r="Y312" s="216" t="n">
        <x:v>62</x:v>
      </x:c>
    </x:row>
    <x:row r="313">
      <x:c r="A313" s="217" t="n">
        <x:v>1460</x:v>
      </x:c>
      <x:c r="B313" s="217" t="str">
        <x:v>三重綜合體育館</x:v>
      </x:c>
      <x:c r="C313" s="217" t="str">
        <x:v>三重區</x:v>
      </x:c>
      <x:c r="D313" s="217" t="n">
        <x:v>52</x:v>
      </x:c>
      <x:c r="E313" s="217" t="n">
        <x:v>120</x:v>
      </x:c>
      <x:c r="F313" s="218" t="n">
        <x:v>0.9994791666666667</x:v>
      </x:c>
      <x:c r="G313" s="217" t="n">
        <x:v>309</x:v>
      </x:c>
      <x:c r="H313" s="217" t="str">
        <x:f>IF(G313&lt;='排名定義'!$B$5,"是","")</x:f>
        <x:v>是</x:v>
      </x:c>
      <x:c r="I313" s="217" t="n">
        <x:v>309</x:v>
      </x:c>
      <x:c r="J313" s="217" t="str">
        <x:f>IF(I313&lt;='排名定義'!$B$5,"是","")</x:f>
        <x:v>是</x:v>
      </x:c>
      <x:c r="K313" s="217" t="n">
        <x:v>315</x:v>
      </x:c>
      <x:c r="L313" s="217" t="str">
        <x:f>IF(K313&lt;='排名定義'!$B$5,"是","")</x:f>
        <x:v>是</x:v>
      </x:c>
      <x:c r="M313" s="217" t="n">
        <x:f>COUNTIF(H313:L313,"是")</x:f>
        <x:v>3</x:v>
      </x:c>
      <x:c r="N313" s="217" t="str">
        <x:v>三份皆入選</x:v>
      </x:c>
      <x:c r="O313" s="220" t="n">
        <x:v>79.75833333333334</x:v>
      </x:c>
      <x:c r="P313" s="220" t="n">
        <x:v>73.525</x:v>
      </x:c>
      <x:c r="Q313" s="220" t="n">
        <x:v>6.233333333333333</x:v>
      </x:c>
      <x:c r="R313" s="220" t="n">
        <x:v>0.07815275310834814</x:v>
      </x:c>
      <x:c r="S313" s="220" t="n">
        <x:v>97.80645161290323</x:v>
      </x:c>
      <x:c r="T313" s="220" t="n">
        <x:v>92.16129032258064</x:v>
      </x:c>
      <x:c r="U313" s="220" t="n">
        <x:v>5.645161290322581</x:v>
      </x:c>
      <x:c r="V313" s="218" t="n">
        <x:v>0.020737327188940093</x:v>
      </x:c>
      <x:c r="W313" s="217" t="n">
        <x:v>23</x:v>
      </x:c>
      <x:c r="X313" s="222" t="n">
        <x:v>3060</x:v>
      </x:c>
      <x:c r="Y313" s="217" t="n">
        <x:v>52</x:v>
      </x:c>
    </x:row>
    <x:row r="314">
      <x:c r="A314" s="216" t="n">
        <x:v>827</x:v>
      </x:c>
      <x:c r="B314" s="216" t="str">
        <x:v>丹鳳派出所</x:v>
      </x:c>
      <x:c r="C314" s="216" t="str">
        <x:v>新莊區</x:v>
      </x:c>
      <x:c r="D314" s="216" t="n">
        <x:v>23</x:v>
      </x:c>
      <x:c r="E314" s="216" t="n">
        <x:v>120</x:v>
      </x:c>
      <x:c r="F314" s="219" t="n">
        <x:v>0.9994791666666667</x:v>
      </x:c>
      <x:c r="G314" s="216" t="n">
        <x:v>310</x:v>
      </x:c>
      <x:c r="H314" s="216" t="str">
        <x:f>IF(G314&lt;='排名定義'!$B$5,"是","")</x:f>
        <x:v>是</x:v>
      </x:c>
      <x:c r="I314" s="216" t="n">
        <x:v>310</x:v>
      </x:c>
      <x:c r="J314" s="216" t="str">
        <x:f>IF(I314&lt;='排名定義'!$B$5,"是","")</x:f>
        <x:v>是</x:v>
      </x:c>
      <x:c r="K314" s="216" t="n">
        <x:v>369</x:v>
      </x:c>
      <x:c r="L314" s="216" t="str">
        <x:f>IF(K314&lt;='排名定義'!$B$5,"是","")</x:f>
        <x:v>是</x:v>
      </x:c>
      <x:c r="M314" s="216" t="n">
        <x:f>COUNTIF(H314:L314,"是")</x:f>
        <x:v>3</x:v>
      </x:c>
      <x:c r="N314" s="216" t="str">
        <x:v>三份皆入選</x:v>
      </x:c>
      <x:c r="O314" s="221" t="n">
        <x:v>79.3</x:v>
      </x:c>
      <x:c r="P314" s="221" t="n">
        <x:v>73.41666666666667</x:v>
      </x:c>
      <x:c r="Q314" s="221" t="n">
        <x:v>5.883333333333334</x:v>
      </x:c>
      <x:c r="R314" s="221" t="n">
        <x:v>0.07419083648591845</x:v>
      </x:c>
      <x:c r="S314" s="221" t="n">
        <x:v>102.06451612903226</x:v>
      </x:c>
      <x:c r="T314" s="221" t="n">
        <x:v>98.03225806451613</x:v>
      </x:c>
      <x:c r="U314" s="221" t="n">
        <x:v>4.032258064516129</x:v>
      </x:c>
      <x:c r="V314" s="219" t="n">
        <x:v>0.09216589861751152</x:v>
      </x:c>
      <x:c r="W314" s="216" t="n">
        <x:v>20</x:v>
      </x:c>
      <x:c r="X314" s="223" t="n">
        <x:v>2640</x:v>
      </x:c>
      <x:c r="Y314" s="216" t="n">
        <x:v>23</x:v>
      </x:c>
    </x:row>
    <x:row r="315">
      <x:c r="A315" s="217" t="n">
        <x:v>1108</x:v>
      </x:c>
      <x:c r="B315" s="217" t="str">
        <x:v>永和耕莘醫院</x:v>
      </x:c>
      <x:c r="C315" s="217" t="str">
        <x:v>永和區</x:v>
      </x:c>
      <x:c r="D315" s="217" t="n">
        <x:v>32</x:v>
      </x:c>
      <x:c r="E315" s="217" t="n">
        <x:v>120</x:v>
      </x:c>
      <x:c r="F315" s="218" t="n">
        <x:v>0.9994791666666667</x:v>
      </x:c>
      <x:c r="G315" s="217" t="n">
        <x:v>311</x:v>
      </x:c>
      <x:c r="H315" s="217" t="str">
        <x:f>IF(G315&lt;='排名定義'!$B$5,"是","")</x:f>
        <x:v>是</x:v>
      </x:c>
      <x:c r="I315" s="217" t="n">
        <x:v>311</x:v>
      </x:c>
      <x:c r="J315" s="217" t="str">
        <x:f>IF(I315&lt;='排名定義'!$B$5,"是","")</x:f>
        <x:v>是</x:v>
      </x:c>
      <x:c r="K315" s="217" t="n">
        <x:v>372</x:v>
      </x:c>
      <x:c r="L315" s="217" t="str">
        <x:f>IF(K315&lt;='排名定義'!$B$5,"是","")</x:f>
        <x:v>是</x:v>
      </x:c>
      <x:c r="M315" s="217" t="n">
        <x:f>COUNTIF(H315:L315,"是")</x:f>
        <x:v>3</x:v>
      </x:c>
      <x:c r="N315" s="217" t="str">
        <x:v>三份皆入選</x:v>
      </x:c>
      <x:c r="O315" s="220" t="n">
        <x:v>79.275</x:v>
      </x:c>
      <x:c r="P315" s="220" t="n">
        <x:v>73.39166666666667</x:v>
      </x:c>
      <x:c r="Q315" s="220" t="n">
        <x:v>5.883333333333334</x:v>
      </x:c>
      <x:c r="R315" s="220" t="n">
        <x:v>0.07421423315463051</x:v>
      </x:c>
      <x:c r="S315" s="220" t="n">
        <x:v>115.48387096774194</x:v>
      </x:c>
      <x:c r="T315" s="220" t="n">
        <x:v>110.7741935483871</x:v>
      </x:c>
      <x:c r="U315" s="220" t="n">
        <x:v>4.709677419354839</x:v>
      </x:c>
      <x:c r="V315" s="218" t="n">
        <x:v>0.10368663594470046</x:v>
      </x:c>
      <x:c r="W315" s="217" t="n">
        <x:v>30</x:v>
      </x:c>
      <x:c r="X315" s="222" t="n">
        <x:v>4980</x:v>
      </x:c>
      <x:c r="Y315" s="217" t="n">
        <x:v>32</x:v>
      </x:c>
    </x:row>
    <x:row r="316">
      <x:c r="A316" s="216" t="n">
        <x:v>1469</x:v>
      </x:c>
      <x:c r="B316" s="216" t="str">
        <x:v>台灣科學園區</x:v>
      </x:c>
      <x:c r="C316" s="216" t="str">
        <x:v>汐止區</x:v>
      </x:c>
      <x:c r="D316" s="216" t="n">
        <x:v>54</x:v>
      </x:c>
      <x:c r="E316" s="216" t="n">
        <x:v>120</x:v>
      </x:c>
      <x:c r="F316" s="219" t="n">
        <x:v>0.9994791666666667</x:v>
      </x:c>
      <x:c r="G316" s="216" t="n">
        <x:v>312</x:v>
      </x:c>
      <x:c r="H316" s="216" t="str">
        <x:f>IF(G316&lt;='排名定義'!$B$5,"是","")</x:f>
        <x:v>是</x:v>
      </x:c>
      <x:c r="I316" s="216" t="n">
        <x:v>345</x:v>
      </x:c>
      <x:c r="J316" s="216" t="str">
        <x:f>IF(I316&lt;='排名定義'!$B$5,"是","")</x:f>
        <x:v>是</x:v>
      </x:c>
      <x:c r="K316" s="216" t="n">
        <x:v>103</x:v>
      </x:c>
      <x:c r="L316" s="216" t="str">
        <x:f>IF(K316&lt;='排名定義'!$B$5,"是","")</x:f>
        <x:v>是</x:v>
      </x:c>
      <x:c r="M316" s="216" t="n">
        <x:f>COUNTIF(H316:L316,"是")</x:f>
        <x:v>3</x:v>
      </x:c>
      <x:c r="N316" s="216" t="str">
        <x:v>三份皆入選</x:v>
      </x:c>
      <x:c r="O316" s="221" t="n">
        <x:v>79.275</x:v>
      </x:c>
      <x:c r="P316" s="221" t="n">
        <x:v>70.66666666666667</x:v>
      </x:c>
      <x:c r="Q316" s="221" t="n">
        <x:v>8.608333333333333</x:v>
      </x:c>
      <x:c r="R316" s="221" t="n">
        <x:v>0.10858824766109534</x:v>
      </x:c>
      <x:c r="S316" s="221" t="n">
        <x:v>100.2258064516129</x:v>
      </x:c>
      <x:c r="T316" s="221" t="n">
        <x:v>93.87096774193549</x:v>
      </x:c>
      <x:c r="U316" s="221" t="n">
        <x:v>6.354838709677419</x:v>
      </x:c>
      <x:c r="V316" s="219" t="n">
        <x:v>0</x:v>
      </x:c>
      <x:c r="W316" s="216" t="n">
        <x:v>3</x:v>
      </x:c>
      <x:c r="X316" s="223" t="n">
        <x:v>330</x:v>
      </x:c>
      <x:c r="Y316" s="216" t="n">
        <x:v>54</x:v>
      </x:c>
    </x:row>
    <x:row r="317">
      <x:c r="A317" s="217" t="n">
        <x:v>17</x:v>
      </x:c>
      <x:c r="B317" s="217" t="str">
        <x:v>台灣科技廣場</x:v>
      </x:c>
      <x:c r="C317" s="217" t="str">
        <x:v>中和區</x:v>
      </x:c>
      <x:c r="D317" s="217" t="n">
        <x:v>70</x:v>
      </x:c>
      <x:c r="E317" s="217" t="n">
        <x:v>120</x:v>
      </x:c>
      <x:c r="F317" s="218" t="n">
        <x:v>0.9994791666666667</x:v>
      </x:c>
      <x:c r="G317" s="217" t="n">
        <x:v>313</x:v>
      </x:c>
      <x:c r="H317" s="217" t="str">
        <x:f>IF(G317&lt;='排名定義'!$B$5,"是","")</x:f>
        <x:v>是</x:v>
      </x:c>
      <x:c r="I317" s="217" t="n">
        <x:v>334</x:v>
      </x:c>
      <x:c r="J317" s="217" t="str">
        <x:f>IF(I317&lt;='排名定義'!$B$5,"是","")</x:f>
        <x:v>是</x:v>
      </x:c>
      <x:c r="K317" s="217" t="n">
        <x:v>139</x:v>
      </x:c>
      <x:c r="L317" s="217" t="str">
        <x:f>IF(K317&lt;='排名定義'!$B$5,"是","")</x:f>
        <x:v>是</x:v>
      </x:c>
      <x:c r="M317" s="217" t="n">
        <x:f>COUNTIF(H317:L317,"是")</x:f>
        <x:v>3</x:v>
      </x:c>
      <x:c r="N317" s="217" t="str">
        <x:v>三份皆入選</x:v>
      </x:c>
      <x:c r="O317" s="220" t="n">
        <x:v>79.2</x:v>
      </x:c>
      <x:c r="P317" s="220" t="n">
        <x:v>71.31666666666666</x:v>
      </x:c>
      <x:c r="Q317" s="220" t="n">
        <x:v>7.883333333333334</x:v>
      </x:c>
      <x:c r="R317" s="220" t="n">
        <x:v>0.09953703703703703</x:v>
      </x:c>
      <x:c r="S317" s="220" t="n">
        <x:v>98.48387096774194</x:v>
      </x:c>
      <x:c r="T317" s="220" t="n">
        <x:v>92.83870967741936</x:v>
      </x:c>
      <x:c r="U317" s="220" t="n">
        <x:v>5.645161290322581</x:v>
      </x:c>
      <x:c r="V317" s="218" t="n">
        <x:v>0.009216589861751152</x:v>
      </x:c>
      <x:c r="W317" s="217" t="n">
        <x:v>4</x:v>
      </x:c>
      <x:c r="X317" s="222" t="n">
        <x:v>750</x:v>
      </x:c>
      <x:c r="Y317" s="217" t="n">
        <x:v>70</x:v>
      </x:c>
    </x:row>
    <x:row r="318">
      <x:c r="A318" s="216" t="n">
        <x:v>586</x:v>
      </x:c>
      <x:c r="B318" s="216" t="str">
        <x:v>溪尾街196巷/仁美街口</x:v>
      </x:c>
      <x:c r="C318" s="216" t="str">
        <x:v>三重區</x:v>
      </x:c>
      <x:c r="D318" s="216" t="n">
        <x:v>18</x:v>
      </x:c>
      <x:c r="E318" s="216" t="n">
        <x:v>120</x:v>
      </x:c>
      <x:c r="F318" s="219" t="n">
        <x:v>0.9994791666666667</x:v>
      </x:c>
      <x:c r="G318" s="216" t="n">
        <x:v>314</x:v>
      </x:c>
      <x:c r="H318" s="216" t="str">
        <x:f>IF(G318&lt;='排名定義'!$B$5,"是","")</x:f>
        <x:v>是</x:v>
      </x:c>
      <x:c r="I318" s="216" t="n">
        <x:v>305</x:v>
      </x:c>
      <x:c r="J318" s="216" t="str">
        <x:f>IF(I318&lt;='排名定義'!$B$5,"是","")</x:f>
        <x:v>是</x:v>
      </x:c>
      <x:c r="K318" s="216" t="n">
        <x:v>570</x:v>
      </x:c>
      <x:c r="L318" s="216" t="str">
        <x:f>IF(K318&lt;='排名定義'!$B$5,"是","")</x:f>
        <x:v>是</x:v>
      </x:c>
      <x:c r="M318" s="216" t="n">
        <x:f>COUNTIF(H318:L318,"是")</x:f>
        <x:v>3</x:v>
      </x:c>
      <x:c r="N318" s="216" t="str">
        <x:v>總變動＋一般變動</x:v>
      </x:c>
      <x:c r="O318" s="221" t="n">
        <x:v>79.05833333333334</x:v>
      </x:c>
      <x:c r="P318" s="221" t="n">
        <x:v>74.23333333333333</x:v>
      </x:c>
      <x:c r="Q318" s="221" t="n">
        <x:v>4.825</x:v>
      </x:c>
      <x:c r="R318" s="221" t="n">
        <x:v>0.06103088436808264</x:v>
      </x:c>
      <x:c r="S318" s="221" t="n">
        <x:v>100.16129032258064</x:v>
      </x:c>
      <x:c r="T318" s="221" t="n">
        <x:v>95.35483870967742</x:v>
      </x:c>
      <x:c r="U318" s="221" t="n">
        <x:v>4.806451612903226</x:v>
      </x:c>
      <x:c r="V318" s="219" t="n">
        <x:v>0.16359447004608296</x:v>
      </x:c>
      <x:c r="W318" s="216" t="n">
        <x:v>38</x:v>
      </x:c>
      <x:c r="X318" s="223" t="n">
        <x:v>4890</x:v>
      </x:c>
      <x:c r="Y318" s="216" t="n">
        <x:v>18</x:v>
      </x:c>
    </x:row>
    <x:row r="319">
      <x:c r="A319" s="217" t="n">
        <x:v>961</x:v>
      </x:c>
      <x:c r="B319" s="217" t="str">
        <x:v>府中汽車停車場</x:v>
      </x:c>
      <x:c r="C319" s="217" t="str">
        <x:v>板橋區</x:v>
      </x:c>
      <x:c r="D319" s="217" t="n">
        <x:v>28</x:v>
      </x:c>
      <x:c r="E319" s="217" t="n">
        <x:v>120</x:v>
      </x:c>
      <x:c r="F319" s="218" t="n">
        <x:v>0.9994791666666667</x:v>
      </x:c>
      <x:c r="G319" s="217" t="n">
        <x:v>315</x:v>
      </x:c>
      <x:c r="H319" s="217" t="str">
        <x:f>IF(G319&lt;='排名定義'!$B$5,"是","")</x:f>
        <x:v>是</x:v>
      </x:c>
      <x:c r="I319" s="217" t="n">
        <x:v>312</x:v>
      </x:c>
      <x:c r="J319" s="217" t="str">
        <x:f>IF(I319&lt;='排名定義'!$B$5,"是","")</x:f>
        <x:v>是</x:v>
      </x:c>
      <x:c r="K319" s="217" t="n">
        <x:v>413</x:v>
      </x:c>
      <x:c r="L319" s="217" t="str">
        <x:f>IF(K319&lt;='排名定義'!$B$5,"是","")</x:f>
        <x:v>是</x:v>
      </x:c>
      <x:c r="M319" s="217" t="n">
        <x:f>COUNTIF(H319:L319,"是")</x:f>
        <x:v>3</x:v>
      </x:c>
      <x:c r="N319" s="217" t="str">
        <x:v>總變動＋一般變動</x:v>
      </x:c>
      <x:c r="O319" s="220" t="n">
        <x:v>78.99166666666666</x:v>
      </x:c>
      <x:c r="P319" s="220" t="n">
        <x:v>73.375</x:v>
      </x:c>
      <x:c r="Q319" s="220" t="n">
        <x:v>5.616666666666666</x:v>
      </x:c>
      <x:c r="R319" s="220" t="n">
        <x:v>0.07110454689313218</x:v>
      </x:c>
      <x:c r="S319" s="220" t="n">
        <x:v>106.6774193548387</x:v>
      </x:c>
      <x:c r="T319" s="220" t="n">
        <x:v>100.87096774193549</x:v>
      </x:c>
      <x:c r="U319" s="220" t="n">
        <x:v>5.806451612903226</x:v>
      </x:c>
      <x:c r="V319" s="218" t="n">
        <x:v>0.08986175115207373</x:v>
      </x:c>
      <x:c r="W319" s="217" t="n">
        <x:v>49</x:v>
      </x:c>
      <x:c r="X319" s="222" t="n">
        <x:v>5640</x:v>
      </x:c>
      <x:c r="Y319" s="217" t="n">
        <x:v>28</x:v>
      </x:c>
    </x:row>
    <x:row r="320">
      <x:c r="A320" s="216" t="n">
        <x:v>1439</x:v>
      </x:c>
      <x:c r="B320" s="216" t="str">
        <x:v>蘆洲中路公園</x:v>
      </x:c>
      <x:c r="C320" s="216" t="str">
        <x:v>蘆洲區</x:v>
      </x:c>
      <x:c r="D320" s="216" t="n">
        <x:v>49</x:v>
      </x:c>
      <x:c r="E320" s="216" t="n">
        <x:v>120</x:v>
      </x:c>
      <x:c r="F320" s="219" t="n">
        <x:v>0.9994791666666667</x:v>
      </x:c>
      <x:c r="G320" s="216" t="n">
        <x:v>316</x:v>
      </x:c>
      <x:c r="H320" s="216" t="str">
        <x:f>IF(G320&lt;='排名定義'!$B$5,"是","")</x:f>
        <x:v>是</x:v>
      </x:c>
      <x:c r="I320" s="216" t="n">
        <x:v>322</x:v>
      </x:c>
      <x:c r="J320" s="216" t="str">
        <x:f>IF(I320&lt;='排名定義'!$B$5,"是","")</x:f>
        <x:v>是</x:v>
      </x:c>
      <x:c r="K320" s="216" t="n">
        <x:v>274</x:v>
      </x:c>
      <x:c r="L320" s="216" t="str">
        <x:f>IF(K320&lt;='排名定義'!$B$5,"是","")</x:f>
        <x:v>是</x:v>
      </x:c>
      <x:c r="M320" s="216" t="n">
        <x:f>COUNTIF(H320:L320,"是")</x:f>
        <x:v>3</x:v>
      </x:c>
      <x:c r="N320" s="216" t="str">
        <x:v>三份皆入選</x:v>
      </x:c>
      <x:c r="O320" s="221" t="n">
        <x:v>78.80833333333334</x:v>
      </x:c>
      <x:c r="P320" s="221" t="n">
        <x:v>72.24166666666666</x:v>
      </x:c>
      <x:c r="Q320" s="221" t="n">
        <x:v>6.566666666666666</x:v>
      </x:c>
      <x:c r="R320" s="221" t="n">
        <x:v>0.08332452151845195</x:v>
      </x:c>
      <x:c r="S320" s="221" t="n">
        <x:v>104.64516129032258</x:v>
      </x:c>
      <x:c r="T320" s="221" t="n">
        <x:v>99.93548387096774</x:v>
      </x:c>
      <x:c r="U320" s="221" t="n">
        <x:v>4.709677419354839</x:v>
      </x:c>
      <x:c r="V320" s="219" t="n">
        <x:v>0.03917050691244239</x:v>
      </x:c>
      <x:c r="W320" s="216" t="n">
        <x:v>10</x:v>
      </x:c>
      <x:c r="X320" s="223" t="n">
        <x:v>1230</x:v>
      </x:c>
      <x:c r="Y320" s="216" t="n">
        <x:v>49</x:v>
      </x:c>
    </x:row>
    <x:row r="321">
      <x:c r="A321" s="217" t="n">
        <x:v>619</x:v>
      </x:c>
      <x:c r="B321" s="217" t="str">
        <x:v>蘆洲兒五公園</x:v>
      </x:c>
      <x:c r="C321" s="217" t="str">
        <x:v>蘆洲區</x:v>
      </x:c>
      <x:c r="D321" s="217" t="n">
        <x:v>19</x:v>
      </x:c>
      <x:c r="E321" s="217" t="n">
        <x:v>120</x:v>
      </x:c>
      <x:c r="F321" s="218" t="n">
        <x:v>0.9994791666666667</x:v>
      </x:c>
      <x:c r="G321" s="217" t="n">
        <x:v>317</x:v>
      </x:c>
      <x:c r="H321" s="217" t="str">
        <x:f>IF(G321&lt;='排名定義'!$B$5,"是","")</x:f>
        <x:v>是</x:v>
      </x:c>
      <x:c r="I321" s="217" t="n">
        <x:v>299</x:v>
      </x:c>
      <x:c r="J321" s="217" t="str">
        <x:f>IF(I321&lt;='排名定義'!$B$5,"是","")</x:f>
        <x:v>是</x:v>
      </x:c>
      <x:c r="K321" s="217" t="n">
        <x:v>788</x:v>
      </x:c>
      <x:c r="L321" s="217" t="str">
        <x:f>IF(K321&lt;='排名定義'!$B$5,"是","")</x:f>
        <x:v>是</x:v>
      </x:c>
      <x:c r="M321" s="217" t="n">
        <x:f>COUNTIF(H321:L321,"是")</x:f>
        <x:v>3</x:v>
      </x:c>
      <x:c r="N321" s="217" t="str">
        <x:v>總變動＋一般變動</x:v>
      </x:c>
      <x:c r="O321" s="220" t="n">
        <x:v>78.75</x:v>
      </x:c>
      <x:c r="P321" s="220" t="n">
        <x:v>74.73333333333333</x:v>
      </x:c>
      <x:c r="Q321" s="220" t="n">
        <x:v>4.016666666666667</x:v>
      </x:c>
      <x:c r="R321" s="220" t="n">
        <x:v>0.051005291005291005</x:v>
      </x:c>
      <x:c r="S321" s="220" t="n">
        <x:v>102.93548387096774</x:v>
      </x:c>
      <x:c r="T321" s="220" t="n">
        <x:v>97.35483870967742</x:v>
      </x:c>
      <x:c r="U321" s="220" t="n">
        <x:v>5.580645161290323</x:v>
      </x:c>
      <x:c r="V321" s="218" t="n">
        <x:v>0.06682027649769585</x:v>
      </x:c>
      <x:c r="W321" s="217" t="n">
        <x:v>18</x:v>
      </x:c>
      <x:c r="X321" s="222" t="n">
        <x:v>2640</x:v>
      </x:c>
      <x:c r="Y321" s="217" t="n">
        <x:v>19</x:v>
      </x:c>
    </x:row>
    <x:row r="322">
      <x:c r="A322" s="216" t="n">
        <x:v>1350</x:v>
      </x:c>
      <x:c r="B322" s="216" t="str">
        <x:v>江翠國小</x:v>
      </x:c>
      <x:c r="C322" s="216" t="str">
        <x:v>板橋區</x:v>
      </x:c>
      <x:c r="D322" s="216" t="n">
        <x:v>43</x:v>
      </x:c>
      <x:c r="E322" s="216" t="n">
        <x:v>120</x:v>
      </x:c>
      <x:c r="F322" s="219" t="n">
        <x:v>0.9994791666666667</x:v>
      </x:c>
      <x:c r="G322" s="216" t="n">
        <x:v>318</x:v>
      </x:c>
      <x:c r="H322" s="216" t="str">
        <x:f>IF(G322&lt;='排名定義'!$B$5,"是","")</x:f>
        <x:v>是</x:v>
      </x:c>
      <x:c r="I322" s="216" t="n">
        <x:v>332</x:v>
      </x:c>
      <x:c r="J322" s="216" t="str">
        <x:f>IF(I322&lt;='排名定義'!$B$5,"是","")</x:f>
        <x:v>是</x:v>
      </x:c>
      <x:c r="K322" s="216" t="n">
        <x:v>195</x:v>
      </x:c>
      <x:c r="L322" s="216" t="str">
        <x:f>IF(K322&lt;='排名定義'!$B$5,"是","")</x:f>
        <x:v>是</x:v>
      </x:c>
      <x:c r="M322" s="216" t="n">
        <x:f>COUNTIF(H322:L322,"是")</x:f>
        <x:v>3</x:v>
      </x:c>
      <x:c r="N322" s="216" t="str">
        <x:v>三份皆入選</x:v>
      </x:c>
      <x:c r="O322" s="221" t="n">
        <x:v>78.69166666666666</x:v>
      </x:c>
      <x:c r="P322" s="221" t="n">
        <x:v>71.475</x:v>
      </x:c>
      <x:c r="Q322" s="221" t="n">
        <x:v>7.216666666666667</x:v>
      </x:c>
      <x:c r="R322" s="221" t="n">
        <x:v>0.0917081435984327</x:v>
      </x:c>
      <x:c r="S322" s="221" t="n">
        <x:v>98.48387096774194</x:v>
      </x:c>
      <x:c r="T322" s="221" t="n">
        <x:v>93.70967741935483</x:v>
      </x:c>
      <x:c r="U322" s="221" t="n">
        <x:v>4.774193548387097</x:v>
      </x:c>
      <x:c r="V322" s="219" t="n">
        <x:v>0.09216589861751152</x:v>
      </x:c>
      <x:c r="W322" s="216" t="n">
        <x:v>33</x:v>
      </x:c>
      <x:c r="X322" s="223" t="n">
        <x:v>4110</x:v>
      </x:c>
      <x:c r="Y322" s="216" t="n">
        <x:v>43</x:v>
      </x:c>
    </x:row>
    <x:row r="323">
      <x:c r="A323" s="217" t="n">
        <x:v>766</x:v>
      </x:c>
      <x:c r="B323" s="217" t="str">
        <x:v>思賢國小(自由街)</x:v>
      </x:c>
      <x:c r="C323" s="217" t="str">
        <x:v>新莊區</x:v>
      </x:c>
      <x:c r="D323" s="217" t="n">
        <x:v>21</x:v>
      </x:c>
      <x:c r="E323" s="217" t="n">
        <x:v>120</x:v>
      </x:c>
      <x:c r="F323" s="218" t="n">
        <x:v>0.9994791666666667</x:v>
      </x:c>
      <x:c r="G323" s="217" t="n">
        <x:v>319</x:v>
      </x:c>
      <x:c r="H323" s="217" t="str">
        <x:f>IF(G323&lt;='排名定義'!$B$5,"是","")</x:f>
        <x:v>是</x:v>
      </x:c>
      <x:c r="I323" s="217" t="n">
        <x:v>306</x:v>
      </x:c>
      <x:c r="J323" s="217" t="str">
        <x:f>IF(I323&lt;='排名定義'!$B$5,"是","")</x:f>
        <x:v>是</x:v>
      </x:c>
      <x:c r="K323" s="217" t="n">
        <x:v>596</x:v>
      </x:c>
      <x:c r="L323" s="217" t="str">
        <x:f>IF(K323&lt;='排名定義'!$B$5,"是","")</x:f>
        <x:v>是</x:v>
      </x:c>
      <x:c r="M323" s="217" t="n">
        <x:f>COUNTIF(H323:L323,"是")</x:f>
        <x:v>3</x:v>
      </x:c>
      <x:c r="N323" s="217" t="str">
        <x:v>總變動＋一般變動</x:v>
      </x:c>
      <x:c r="O323" s="220" t="n">
        <x:v>78.58333333333333</x:v>
      </x:c>
      <x:c r="P323" s="220" t="n">
        <x:v>73.86666666666666</x:v>
      </x:c>
      <x:c r="Q323" s="220" t="n">
        <x:v>4.716666666666667</x:v>
      </x:c>
      <x:c r="R323" s="220" t="n">
        <x:v>0.06002120890774125</x:v>
      </x:c>
      <x:c r="S323" s="220" t="n">
        <x:v>104.83870967741936</x:v>
      </x:c>
      <x:c r="T323" s="220" t="n">
        <x:v>99.61290322580645</x:v>
      </x:c>
      <x:c r="U323" s="220" t="n">
        <x:v>5.225806451612903</x:v>
      </x:c>
      <x:c r="V323" s="218" t="n">
        <x:v>0.0944700460829493</x:v>
      </x:c>
      <x:c r="W323" s="217" t="n">
        <x:v>15</x:v>
      </x:c>
      <x:c r="X323" s="222" t="n">
        <x:v>2280</x:v>
      </x:c>
      <x:c r="Y323" s="217" t="n">
        <x:v>21</x:v>
      </x:c>
    </x:row>
    <x:row r="324">
      <x:c r="A324" s="216" t="n">
        <x:v>1171</x:v>
      </x:c>
      <x:c r="B324" s="216" t="str">
        <x:v>三光國小(金滿意)</x:v>
      </x:c>
      <x:c r="C324" s="216" t="str">
        <x:v>三重區</x:v>
      </x:c>
      <x:c r="D324" s="216" t="n">
        <x:v>45</x:v>
      </x:c>
      <x:c r="E324" s="216" t="n">
        <x:v>120</x:v>
      </x:c>
      <x:c r="F324" s="219" t="n">
        <x:v>0.9994791666666667</x:v>
      </x:c>
      <x:c r="G324" s="216" t="n">
        <x:v>320</x:v>
      </x:c>
      <x:c r="H324" s="216" t="str">
        <x:f>IF(G324&lt;='排名定義'!$B$5,"是","")</x:f>
        <x:v>是</x:v>
      </x:c>
      <x:c r="I324" s="216" t="n">
        <x:v>319</x:v>
      </x:c>
      <x:c r="J324" s="216" t="str">
        <x:f>IF(I324&lt;='排名定義'!$B$5,"是","")</x:f>
        <x:v>是</x:v>
      </x:c>
      <x:c r="K324" s="216" t="n">
        <x:v>361</x:v>
      </x:c>
      <x:c r="L324" s="216" t="str">
        <x:f>IF(K324&lt;='排名定義'!$B$5,"是","")</x:f>
        <x:v>是</x:v>
      </x:c>
      <x:c r="M324" s="216" t="n">
        <x:f>COUNTIF(H324:L324,"是")</x:f>
        <x:v>3</x:v>
      </x:c>
      <x:c r="N324" s="216" t="str">
        <x:v>三份皆入選</x:v>
      </x:c>
      <x:c r="O324" s="221" t="n">
        <x:v>78.58333333333333</x:v>
      </x:c>
      <x:c r="P324" s="221" t="n">
        <x:v>72.63333333333334</x:v>
      </x:c>
      <x:c r="Q324" s="221" t="n">
        <x:v>5.95</x:v>
      </x:c>
      <x:c r="R324" s="221" t="n">
        <x:v>0.07571580063626723</x:v>
      </x:c>
      <x:c r="S324" s="221" t="n">
        <x:v>101.45161290322581</x:v>
      </x:c>
      <x:c r="T324" s="221" t="n">
        <x:v>97.51612903225806</x:v>
      </x:c>
      <x:c r="U324" s="221" t="n">
        <x:v>3.935483870967742</x:v>
      </x:c>
      <x:c r="V324" s="219" t="n">
        <x:v>0.013824884792626729</x:v>
      </x:c>
      <x:c r="W324" s="216" t="n">
        <x:v>7</x:v>
      </x:c>
      <x:c r="X324" s="223" t="n">
        <x:v>1050</x:v>
      </x:c>
      <x:c r="Y324" s="216" t="n">
        <x:v>45</x:v>
      </x:c>
    </x:row>
    <x:row r="325">
      <x:c r="A325" s="217" t="n">
        <x:v>1444</x:v>
      </x:c>
      <x:c r="B325" s="217" t="str">
        <x:v>樟樹國小</x:v>
      </x:c>
      <x:c r="C325" s="217" t="str">
        <x:v>汐止區</x:v>
      </x:c>
      <x:c r="D325" s="217" t="n">
        <x:v>50</x:v>
      </x:c>
      <x:c r="E325" s="217" t="n">
        <x:v>120</x:v>
      </x:c>
      <x:c r="F325" s="218" t="n">
        <x:v>0.9994791666666667</x:v>
      </x:c>
      <x:c r="G325" s="217" t="n">
        <x:v>321</x:v>
      </x:c>
      <x:c r="H325" s="217" t="str">
        <x:f>IF(G325&lt;='排名定義'!$B$5,"是","")</x:f>
        <x:v>是</x:v>
      </x:c>
      <x:c r="I325" s="217" t="n">
        <x:v>326</x:v>
      </x:c>
      <x:c r="J325" s="217" t="str">
        <x:f>IF(I325&lt;='排名定義'!$B$5,"是","")</x:f>
        <x:v>是</x:v>
      </x:c>
      <x:c r="K325" s="217" t="n">
        <x:v>280</x:v>
      </x:c>
      <x:c r="L325" s="217" t="str">
        <x:f>IF(K325&lt;='排名定義'!$B$5,"是","")</x:f>
        <x:v>是</x:v>
      </x:c>
      <x:c r="M325" s="217" t="n">
        <x:f>COUNTIF(H325:L325,"是")</x:f>
        <x:v>3</x:v>
      </x:c>
      <x:c r="N325" s="217" t="str">
        <x:v>三份皆入選</x:v>
      </x:c>
      <x:c r="O325" s="220" t="n">
        <x:v>78.575</x:v>
      </x:c>
      <x:c r="P325" s="220" t="n">
        <x:v>72.05833333333334</x:v>
      </x:c>
      <x:c r="Q325" s="220" t="n">
        <x:v>6.516666666666667</x:v>
      </x:c>
      <x:c r="R325" s="220" t="n">
        <x:v>0.08293562413829675</x:v>
      </x:c>
      <x:c r="S325" s="220" t="n">
        <x:v>112.51612903225806</x:v>
      </x:c>
      <x:c r="T325" s="220" t="n">
        <x:v>104.90322580645162</x:v>
      </x:c>
      <x:c r="U325" s="220" t="n">
        <x:v>7.612903225806452</x:v>
      </x:c>
      <x:c r="V325" s="218" t="n">
        <x:v>0.027649769585253458</x:v>
      </x:c>
      <x:c r="W325" s="217" t="n">
        <x:v>7</x:v>
      </x:c>
      <x:c r="X325" s="222" t="n">
        <x:v>750</x:v>
      </x:c>
      <x:c r="Y325" s="217" t="n">
        <x:v>50</x:v>
      </x:c>
    </x:row>
    <x:row r="326">
      <x:c r="A326" s="216" t="n">
        <x:v>92</x:v>
      </x:c>
      <x:c r="B326" s="216" t="str">
        <x:v>華德公園</x:v>
      </x:c>
      <x:c r="C326" s="216" t="str">
        <x:v>板橋區</x:v>
      </x:c>
      <x:c r="D326" s="216" t="n">
        <x:v>58</x:v>
      </x:c>
      <x:c r="E326" s="216" t="n">
        <x:v>120</x:v>
      </x:c>
      <x:c r="F326" s="219" t="n">
        <x:v>0.9994791666666667</x:v>
      </x:c>
      <x:c r="G326" s="216" t="n">
        <x:v>322</x:v>
      </x:c>
      <x:c r="H326" s="216" t="str">
        <x:f>IF(G326&lt;='排名定義'!$B$5,"是","")</x:f>
        <x:v>是</x:v>
      </x:c>
      <x:c r="I326" s="216" t="n">
        <x:v>341</x:v>
      </x:c>
      <x:c r="J326" s="216" t="str">
        <x:f>IF(I326&lt;='排名定義'!$B$5,"是","")</x:f>
        <x:v>是</x:v>
      </x:c>
      <x:c r="K326" s="216" t="n">
        <x:v>155</x:v>
      </x:c>
      <x:c r="L326" s="216" t="str">
        <x:f>IF(K326&lt;='排名定義'!$B$5,"是","")</x:f>
        <x:v>是</x:v>
      </x:c>
      <x:c r="M326" s="216" t="n">
        <x:f>COUNTIF(H326:L326,"是")</x:f>
        <x:v>3</x:v>
      </x:c>
      <x:c r="N326" s="216" t="str">
        <x:v>三份皆入選</x:v>
      </x:c>
      <x:c r="O326" s="221" t="n">
        <x:v>78.475</x:v>
      </x:c>
      <x:c r="P326" s="221" t="n">
        <x:v>70.81666666666666</x:v>
      </x:c>
      <x:c r="Q326" s="221" t="n">
        <x:v>7.658333333333333</x:v>
      </x:c>
      <x:c r="R326" s="221" t="n">
        <x:v>0.09758946585961559</x:v>
      </x:c>
      <x:c r="S326" s="221" t="n">
        <x:v>99.38709677419355</x:v>
      </x:c>
      <x:c r="T326" s="221" t="n">
        <x:v>92.7741935483871</x:v>
      </x:c>
      <x:c r="U326" s="221" t="n">
        <x:v>6.612903225806452</x:v>
      </x:c>
      <x:c r="V326" s="219" t="n">
        <x:v>0.07373271889400922</x:v>
      </x:c>
      <x:c r="W326" s="216" t="n">
        <x:v>19</x:v>
      </x:c>
      <x:c r="X326" s="223" t="n">
        <x:v>2070</x:v>
      </x:c>
      <x:c r="Y326" s="216" t="n">
        <x:v>58</x:v>
      </x:c>
    </x:row>
    <x:row r="327">
      <x:c r="A327" s="217" t="n">
        <x:v>841</x:v>
      </x:c>
      <x:c r="B327" s="217" t="str">
        <x:v>文林國小</x:v>
      </x:c>
      <x:c r="C327" s="217" t="str">
        <x:v>樹林區</x:v>
      </x:c>
      <x:c r="D327" s="217" t="n">
        <x:v>23</x:v>
      </x:c>
      <x:c r="E327" s="217" t="n">
        <x:v>120</x:v>
      </x:c>
      <x:c r="F327" s="218" t="n">
        <x:v>0.9994791666666667</x:v>
      </x:c>
      <x:c r="G327" s="217" t="n">
        <x:v>323</x:v>
      </x:c>
      <x:c r="H327" s="217" t="str">
        <x:f>IF(G327&lt;='排名定義'!$B$5,"是","")</x:f>
        <x:v>是</x:v>
      </x:c>
      <x:c r="I327" s="217" t="n">
        <x:v>313</x:v>
      </x:c>
      <x:c r="J327" s="217" t="str">
        <x:f>IF(I327&lt;='排名定義'!$B$5,"是","")</x:f>
        <x:v>是</x:v>
      </x:c>
      <x:c r="K327" s="217" t="n">
        <x:v>527</x:v>
      </x:c>
      <x:c r="L327" s="217" t="str">
        <x:f>IF(K327&lt;='排名定義'!$B$5,"是","")</x:f>
        <x:v>是</x:v>
      </x:c>
      <x:c r="M327" s="217" t="n">
        <x:f>COUNTIF(H327:L327,"是")</x:f>
        <x:v>3</x:v>
      </x:c>
      <x:c r="N327" s="217" t="str">
        <x:v>總變動＋一般變動</x:v>
      </x:c>
      <x:c r="O327" s="220" t="n">
        <x:v>78.4</x:v>
      </x:c>
      <x:c r="P327" s="220" t="n">
        <x:v>73.36666666666666</x:v>
      </x:c>
      <x:c r="Q327" s="220" t="n">
        <x:v>5.033333333333333</x:v>
      </x:c>
      <x:c r="R327" s="220" t="n">
        <x:v>0.06420068027210885</x:v>
      </x:c>
      <x:c r="S327" s="220" t="n">
        <x:v>110.35483870967742</x:v>
      </x:c>
      <x:c r="T327" s="220" t="n">
        <x:v>104.03225806451613</x:v>
      </x:c>
      <x:c r="U327" s="220" t="n">
        <x:v>6.32258064516129</x:v>
      </x:c>
      <x:c r="V327" s="218" t="n">
        <x:v>0.059907834101382486</x:v>
      </x:c>
      <x:c r="W327" s="217" t="n">
        <x:v>11</x:v>
      </x:c>
      <x:c r="X327" s="222" t="n">
        <x:v>1950</x:v>
      </x:c>
      <x:c r="Y327" s="217" t="n">
        <x:v>23</x:v>
      </x:c>
    </x:row>
    <x:row r="328">
      <x:c r="A328" s="216" t="n">
        <x:v>5</x:v>
      </x:c>
      <x:c r="B328" s="216" t="str">
        <x:v>中央路一段292巷口</x:v>
      </x:c>
      <x:c r="C328" s="216" t="str">
        <x:v>土城區</x:v>
      </x:c>
      <x:c r="D328" s="216" t="n">
        <x:v>53</x:v>
      </x:c>
      <x:c r="E328" s="216" t="n">
        <x:v>120</x:v>
      </x:c>
      <x:c r="F328" s="219" t="n">
        <x:v>0.9994791666666667</x:v>
      </x:c>
      <x:c r="G328" s="216" t="n">
        <x:v>324</x:v>
      </x:c>
      <x:c r="H328" s="216" t="str">
        <x:f>IF(G328&lt;='排名定義'!$B$5,"是","")</x:f>
        <x:v>是</x:v>
      </x:c>
      <x:c r="I328" s="216" t="n">
        <x:v>335</x:v>
      </x:c>
      <x:c r="J328" s="216" t="str">
        <x:f>IF(I328&lt;='排名定義'!$B$5,"是","")</x:f>
        <x:v>是</x:v>
      </x:c>
      <x:c r="K328" s="216" t="n">
        <x:v>198</x:v>
      </x:c>
      <x:c r="L328" s="216" t="str">
        <x:f>IF(K328&lt;='排名定義'!$B$5,"是","")</x:f>
        <x:v>是</x:v>
      </x:c>
      <x:c r="M328" s="216" t="n">
        <x:f>COUNTIF(H328:L328,"是")</x:f>
        <x:v>3</x:v>
      </x:c>
      <x:c r="N328" s="216" t="str">
        <x:v>三份皆入選</x:v>
      </x:c>
      <x:c r="O328" s="221" t="n">
        <x:v>78.375</x:v>
      </x:c>
      <x:c r="P328" s="221" t="n">
        <x:v>71.19166666666666</x:v>
      </x:c>
      <x:c r="Q328" s="221" t="n">
        <x:v>7.183333333333334</x:v>
      </x:c>
      <x:c r="R328" s="221" t="n">
        <x:v>0.09165337586390218</x:v>
      </x:c>
      <x:c r="S328" s="221" t="n">
        <x:v>99.35483870967742</x:v>
      </x:c>
      <x:c r="T328" s="221" t="n">
        <x:v>95.45161290322581</x:v>
      </x:c>
      <x:c r="U328" s="221" t="n">
        <x:v>3.903225806451613</x:v>
      </x:c>
      <x:c r="V328" s="219" t="n">
        <x:v>0.02534562211981567</x:v>
      </x:c>
      <x:c r="W328" s="216" t="n">
        <x:v>8</x:v>
      </x:c>
      <x:c r="X328" s="223" t="n">
        <x:v>1470</x:v>
      </x:c>
      <x:c r="Y328" s="216" t="n">
        <x:v>53</x:v>
      </x:c>
    </x:row>
    <x:row r="329">
      <x:c r="A329" s="217" t="n">
        <x:v>1245</x:v>
      </x:c>
      <x:c r="B329" s="217" t="str">
        <x:v>崇光女中</x:v>
      </x:c>
      <x:c r="C329" s="217" t="str">
        <x:v>新店區</x:v>
      </x:c>
      <x:c r="D329" s="217" t="n">
        <x:v>39</x:v>
      </x:c>
      <x:c r="E329" s="217" t="n">
        <x:v>120</x:v>
      </x:c>
      <x:c r="F329" s="218" t="n">
        <x:v>0.9994791666666667</x:v>
      </x:c>
      <x:c r="G329" s="217" t="n">
        <x:v>325</x:v>
      </x:c>
      <x:c r="H329" s="217" t="str">
        <x:f>IF(G329&lt;='排名定義'!$B$5,"是","")</x:f>
        <x:v>是</x:v>
      </x:c>
      <x:c r="I329" s="217" t="n">
        <x:v>325</x:v>
      </x:c>
      <x:c r="J329" s="217" t="str">
        <x:f>IF(I329&lt;='排名定義'!$B$5,"是","")</x:f>
        <x:v>是</x:v>
      </x:c>
      <x:c r="K329" s="217" t="n">
        <x:v>320</x:v>
      </x:c>
      <x:c r="L329" s="217" t="str">
        <x:f>IF(K329&lt;='排名定義'!$B$5,"是","")</x:f>
        <x:v>是</x:v>
      </x:c>
      <x:c r="M329" s="217" t="n">
        <x:f>COUNTIF(H329:L329,"是")</x:f>
        <x:v>3</x:v>
      </x:c>
      <x:c r="N329" s="217" t="str">
        <x:v>三份皆入選</x:v>
      </x:c>
      <x:c r="O329" s="220" t="n">
        <x:v>78.3</x:v>
      </x:c>
      <x:c r="P329" s="220" t="n">
        <x:v>72.10833333333333</x:v>
      </x:c>
      <x:c r="Q329" s="220" t="n">
        <x:v>6.191666666666666</x:v>
      </x:c>
      <x:c r="R329" s="220" t="n">
        <x:v>0.07907620263942103</x:v>
      </x:c>
      <x:c r="S329" s="220" t="n">
        <x:v>113.45161290322581</x:v>
      </x:c>
      <x:c r="T329" s="220" t="n">
        <x:v>107.2258064516129</x:v>
      </x:c>
      <x:c r="U329" s="220" t="n">
        <x:v>6.225806451612903</x:v>
      </x:c>
      <x:c r="V329" s="218" t="n">
        <x:v>0.03917050691244239</x:v>
      </x:c>
      <x:c r="W329" s="217" t="n">
        <x:v>5</x:v>
      </x:c>
      <x:c r="X329" s="222" t="n">
        <x:v>1050</x:v>
      </x:c>
      <x:c r="Y329" s="217" t="n">
        <x:v>39</x:v>
      </x:c>
    </x:row>
    <x:row r="330">
      <x:c r="A330" s="216" t="n">
        <x:v>86</x:v>
      </x:c>
      <x:c r="B330" s="216" t="str">
        <x:v>漳和國中</x:v>
      </x:c>
      <x:c r="C330" s="216" t="str">
        <x:v>中和區</x:v>
      </x:c>
      <x:c r="D330" s="216" t="n">
        <x:v>65</x:v>
      </x:c>
      <x:c r="E330" s="216" t="n">
        <x:v>120</x:v>
      </x:c>
      <x:c r="F330" s="219" t="n">
        <x:v>0.9994791666666667</x:v>
      </x:c>
      <x:c r="G330" s="216" t="n">
        <x:v>326</x:v>
      </x:c>
      <x:c r="H330" s="216" t="str">
        <x:f>IF(G330&lt;='排名定義'!$B$5,"是","")</x:f>
        <x:v>是</x:v>
      </x:c>
      <x:c r="I330" s="216" t="n">
        <x:v>339</x:v>
      </x:c>
      <x:c r="J330" s="216" t="str">
        <x:f>IF(I330&lt;='排名定義'!$B$5,"是","")</x:f>
        <x:v>是</x:v>
      </x:c>
      <x:c r="K330" s="216" t="n">
        <x:v>188</x:v>
      </x:c>
      <x:c r="L330" s="216" t="str">
        <x:f>IF(K330&lt;='排名定義'!$B$5,"是","")</x:f>
        <x:v>是</x:v>
      </x:c>
      <x:c r="M330" s="216" t="n">
        <x:f>COUNTIF(H330:L330,"是")</x:f>
        <x:v>3</x:v>
      </x:c>
      <x:c r="N330" s="216" t="str">
        <x:v>三份皆入選</x:v>
      </x:c>
      <x:c r="O330" s="221" t="n">
        <x:v>78.25833333333334</x:v>
      </x:c>
      <x:c r="P330" s="221" t="n">
        <x:v>70.94166666666666</x:v>
      </x:c>
      <x:c r="Q330" s="221" t="n">
        <x:v>7.316666666666666</x:v>
      </x:c>
      <x:c r="R330" s="221" t="n">
        <x:v>0.09349377063145566</x:v>
      </x:c>
      <x:c r="S330" s="221" t="n">
        <x:v>110.19354838709677</x:v>
      </x:c>
      <x:c r="T330" s="221" t="n">
        <x:v>102.74193548387096</x:v>
      </x:c>
      <x:c r="U330" s="221" t="n">
        <x:v>7.451612903225806</x:v>
      </x:c>
      <x:c r="V330" s="219" t="n">
        <x:v>0.0069124423963133645</x:v>
      </x:c>
      <x:c r="W330" s="216" t="n">
        <x:v>4</x:v>
      </x:c>
      <x:c r="X330" s="223" t="n">
        <x:v>450</x:v>
      </x:c>
      <x:c r="Y330" s="216" t="n">
        <x:v>65</x:v>
      </x:c>
    </x:row>
    <x:row r="331">
      <x:c r="A331" s="217" t="n">
        <x:v>1241</x:v>
      </x:c>
      <x:c r="B331" s="217" t="str">
        <x:v>福祥里(中和溝)</x:v>
      </x:c>
      <x:c r="C331" s="217" t="str">
        <x:v>中和區</x:v>
      </x:c>
      <x:c r="D331" s="217" t="n">
        <x:v>39</x:v>
      </x:c>
      <x:c r="E331" s="217" t="n">
        <x:v>120</x:v>
      </x:c>
      <x:c r="F331" s="218" t="n">
        <x:v>0.9994791666666667</x:v>
      </x:c>
      <x:c r="G331" s="217" t="n">
        <x:v>327</x:v>
      </x:c>
      <x:c r="H331" s="217" t="str">
        <x:f>IF(G331&lt;='排名定義'!$B$5,"是","")</x:f>
        <x:v>是</x:v>
      </x:c>
      <x:c r="I331" s="217" t="n">
        <x:v>321</x:v>
      </x:c>
      <x:c r="J331" s="217" t="str">
        <x:f>IF(I331&lt;='排名定義'!$B$5,"是","")</x:f>
        <x:v>是</x:v>
      </x:c>
      <x:c r="K331" s="217" t="n">
        <x:v>414</x:v>
      </x:c>
      <x:c r="L331" s="217" t="str">
        <x:f>IF(K331&lt;='排名定義'!$B$5,"是","")</x:f>
        <x:v>是</x:v>
      </x:c>
      <x:c r="M331" s="217" t="n">
        <x:f>COUNTIF(H331:L331,"是")</x:f>
        <x:v>3</x:v>
      </x:c>
      <x:c r="N331" s="217" t="str">
        <x:v>總變動＋一般變動</x:v>
      </x:c>
      <x:c r="O331" s="220" t="n">
        <x:v>78.15</x:v>
      </x:c>
      <x:c r="P331" s="220" t="n">
        <x:v>72.53333333333333</x:v>
      </x:c>
      <x:c r="Q331" s="220" t="n">
        <x:v>5.616666666666666</x:v>
      </x:c>
      <x:c r="R331" s="220" t="n">
        <x:v>0.07187033482618896</x:v>
      </x:c>
      <x:c r="S331" s="220" t="n">
        <x:v>110.83870967741936</x:v>
      </x:c>
      <x:c r="T331" s="220" t="n">
        <x:v>105.2258064516129</x:v>
      </x:c>
      <x:c r="U331" s="220" t="n">
        <x:v>5.612903225806452</x:v>
      </x:c>
      <x:c r="V331" s="218" t="n">
        <x:v>0.020737327188940093</x:v>
      </x:c>
      <x:c r="W331" s="217" t="n">
        <x:v>5</x:v>
      </x:c>
      <x:c r="X331" s="222" t="n">
        <x:v>630</x:v>
      </x:c>
      <x:c r="Y331" s="217" t="n">
        <x:v>39</x:v>
      </x:c>
    </x:row>
    <x:row r="332">
      <x:c r="A332" s="216" t="n">
        <x:v>985</x:v>
      </x:c>
      <x:c r="B332" s="216" t="str">
        <x:v>三民中山一路口</x:v>
      </x:c>
      <x:c r="C332" s="216" t="str">
        <x:v>蘆洲區</x:v>
      </x:c>
      <x:c r="D332" s="216" t="n">
        <x:v>29</x:v>
      </x:c>
      <x:c r="E332" s="216" t="n">
        <x:v>120</x:v>
      </x:c>
      <x:c r="F332" s="219" t="n">
        <x:v>0.9994791666666667</x:v>
      </x:c>
      <x:c r="G332" s="216" t="n">
        <x:v>328</x:v>
      </x:c>
      <x:c r="H332" s="216" t="str">
        <x:f>IF(G332&lt;='排名定義'!$B$5,"是","")</x:f>
        <x:v>是</x:v>
      </x:c>
      <x:c r="I332" s="216" t="n">
        <x:v>324</x:v>
      </x:c>
      <x:c r="J332" s="216" t="str">
        <x:f>IF(I332&lt;='排名定義'!$B$5,"是","")</x:f>
        <x:v>是</x:v>
      </x:c>
      <x:c r="K332" s="216" t="n">
        <x:v>364</x:v>
      </x:c>
      <x:c r="L332" s="216" t="str">
        <x:f>IF(K332&lt;='排名定義'!$B$5,"是","")</x:f>
        <x:v>是</x:v>
      </x:c>
      <x:c r="M332" s="216" t="n">
        <x:f>COUNTIF(H332:L332,"是")</x:f>
        <x:v>3</x:v>
      </x:c>
      <x:c r="N332" s="216" t="str">
        <x:v>三份皆入選</x:v>
      </x:c>
      <x:c r="O332" s="221" t="n">
        <x:v>78.06666666666666</x:v>
      </x:c>
      <x:c r="P332" s="221" t="n">
        <x:v>72.13333333333334</x:v>
      </x:c>
      <x:c r="Q332" s="221" t="n">
        <x:v>5.933333333333334</x:v>
      </x:c>
      <x:c r="R332" s="221" t="n">
        <x:v>0.07600341588385995</x:v>
      </x:c>
      <x:c r="S332" s="221" t="n">
        <x:v>108.61290322580645</x:v>
      </x:c>
      <x:c r="T332" s="221" t="n">
        <x:v>103.51612903225806</x:v>
      </x:c>
      <x:c r="U332" s="221" t="n">
        <x:v>5.096774193548387</x:v>
      </x:c>
      <x:c r="V332" s="219" t="n">
        <x:v>0.07603686635944701</x:v>
      </x:c>
      <x:c r="W332" s="216" t="n">
        <x:v>17</x:v>
      </x:c>
      <x:c r="X332" s="223" t="n">
        <x:v>2670</x:v>
      </x:c>
      <x:c r="Y332" s="216" t="n">
        <x:v>29</x:v>
      </x:c>
    </x:row>
    <x:row r="333">
      <x:c r="A333" s="217" t="n">
        <x:v>1259</x:v>
      </x:c>
      <x:c r="B333" s="217" t="str">
        <x:v>光寶科技中和數位大樓</x:v>
      </x:c>
      <x:c r="C333" s="217" t="str">
        <x:v>中和區</x:v>
      </x:c>
      <x:c r="D333" s="217" t="n">
        <x:v>40</x:v>
      </x:c>
      <x:c r="E333" s="217" t="n">
        <x:v>120</x:v>
      </x:c>
      <x:c r="F333" s="218" t="n">
        <x:v>0.9994791666666667</x:v>
      </x:c>
      <x:c r="G333" s="217" t="n">
        <x:v>329</x:v>
      </x:c>
      <x:c r="H333" s="217" t="str">
        <x:f>IF(G333&lt;='排名定義'!$B$5,"是","")</x:f>
        <x:v>是</x:v>
      </x:c>
      <x:c r="I333" s="217" t="n">
        <x:v>336</x:v>
      </x:c>
      <x:c r="J333" s="217" t="str">
        <x:f>IF(I333&lt;='排名定義'!$B$5,"是","")</x:f>
        <x:v>是</x:v>
      </x:c>
      <x:c r="K333" s="217" t="n">
        <x:v>236</x:v>
      </x:c>
      <x:c r="L333" s="217" t="str">
        <x:f>IF(K333&lt;='排名定義'!$B$5,"是","")</x:f>
        <x:v>是</x:v>
      </x:c>
      <x:c r="M333" s="217" t="n">
        <x:f>COUNTIF(H333:L333,"是")</x:f>
        <x:v>3</x:v>
      </x:c>
      <x:c r="N333" s="217" t="str">
        <x:v>三份皆入選</x:v>
      </x:c>
      <x:c r="O333" s="220" t="n">
        <x:v>78.06666666666666</x:v>
      </x:c>
      <x:c r="P333" s="220" t="n">
        <x:v>71.19166666666666</x:v>
      </x:c>
      <x:c r="Q333" s="220" t="n">
        <x:v>6.875</x:v>
      </x:c>
      <x:c r="R333" s="220" t="n">
        <x:v>0.08806575576430402</x:v>
      </x:c>
      <x:c r="S333" s="220" t="n">
        <x:v>98.70967741935483</x:v>
      </x:c>
      <x:c r="T333" s="220" t="n">
        <x:v>91.58064516129032</x:v>
      </x:c>
      <x:c r="U333" s="220" t="n">
        <x:v>7.129032258064516</x:v>
      </x:c>
      <x:c r="V333" s="218" t="n">
        <x:v>0.016129032258064516</x:v>
      </x:c>
      <x:c r="W333" s="217" t="n">
        <x:v>2</x:v>
      </x:c>
      <x:c r="X333" s="222" t="n">
        <x:v>270</x:v>
      </x:c>
      <x:c r="Y333" s="217" t="n">
        <x:v>40</x:v>
      </x:c>
    </x:row>
    <x:row r="334">
      <x:c r="A334" s="216" t="n">
        <x:v>1095</x:v>
      </x:c>
      <x:c r="B334" s="216" t="str">
        <x:v>寶橋路235巷</x:v>
      </x:c>
      <x:c r="C334" s="216" t="str">
        <x:v>新店區</x:v>
      </x:c>
      <x:c r="D334" s="216" t="n">
        <x:v>32</x:v>
      </x:c>
      <x:c r="E334" s="216" t="n">
        <x:v>120</x:v>
      </x:c>
      <x:c r="F334" s="219" t="n">
        <x:v>0.9994791666666667</x:v>
      </x:c>
      <x:c r="G334" s="216" t="n">
        <x:v>330</x:v>
      </x:c>
      <x:c r="H334" s="216" t="str">
        <x:f>IF(G334&lt;='排名定義'!$B$5,"是","")</x:f>
        <x:v>是</x:v>
      </x:c>
      <x:c r="I334" s="216" t="n">
        <x:v>357</x:v>
      </x:c>
      <x:c r="J334" s="216" t="str">
        <x:f>IF(I334&lt;='排名定義'!$B$5,"是","")</x:f>
        <x:v>是</x:v>
      </x:c>
      <x:c r="K334" s="216" t="n">
        <x:v>133</x:v>
      </x:c>
      <x:c r="L334" s="216" t="str">
        <x:f>IF(K334&lt;='排名定義'!$B$5,"是","")</x:f>
        <x:v>是</x:v>
      </x:c>
      <x:c r="M334" s="216" t="n">
        <x:f>COUNTIF(H334:L334,"是")</x:f>
        <x:v>3</x:v>
      </x:c>
      <x:c r="N334" s="216" t="str">
        <x:v>三份皆入選</x:v>
      </x:c>
      <x:c r="O334" s="221" t="n">
        <x:v>77.89166666666667</x:v>
      </x:c>
      <x:c r="P334" s="221" t="n">
        <x:v>69.90833333333333</x:v>
      </x:c>
      <x:c r="Q334" s="221" t="n">
        <x:v>7.983333333333333</x:v>
      </x:c>
      <x:c r="R334" s="221" t="n">
        <x:v>0.10249277843158233</x:v>
      </x:c>
      <x:c r="S334" s="221" t="n">
        <x:v>99.06451612903226</x:v>
      </x:c>
      <x:c r="T334" s="221" t="n">
        <x:v>93.6774193548387</x:v>
      </x:c>
      <x:c r="U334" s="221" t="n">
        <x:v>5.387096774193548</x:v>
      </x:c>
      <x:c r="V334" s="219" t="n">
        <x:v>0.06912442396313365</x:v>
      </x:c>
      <x:c r="W334" s="216" t="n">
        <x:v>13</x:v>
      </x:c>
      <x:c r="X334" s="223" t="n">
        <x:v>1650</x:v>
      </x:c>
      <x:c r="Y334" s="216" t="n">
        <x:v>32</x:v>
      </x:c>
    </x:row>
    <x:row r="335">
      <x:c r="A335" s="217" t="n">
        <x:v>587</x:v>
      </x:c>
      <x:c r="B335" s="217" t="str">
        <x:v>生態北公園</x:v>
      </x:c>
      <x:c r="C335" s="217" t="str">
        <x:v>板橋區</x:v>
      </x:c>
      <x:c r="D335" s="217" t="n">
        <x:v>18</x:v>
      </x:c>
      <x:c r="E335" s="217" t="n">
        <x:v>120</x:v>
      </x:c>
      <x:c r="F335" s="218" t="n">
        <x:v>0.9994791666666667</x:v>
      </x:c>
      <x:c r="G335" s="217" t="n">
        <x:v>331</x:v>
      </x:c>
      <x:c r="H335" s="217" t="str">
        <x:f>IF(G335&lt;='排名定義'!$B$5,"是","")</x:f>
        <x:v>是</x:v>
      </x:c>
      <x:c r="I335" s="217" t="n">
        <x:v>317</x:v>
      </x:c>
      <x:c r="J335" s="217" t="str">
        <x:f>IF(I335&lt;='排名定義'!$B$5,"是","")</x:f>
        <x:v>是</x:v>
      </x:c>
      <x:c r="K335" s="217" t="n">
        <x:v>594</x:v>
      </x:c>
      <x:c r="L335" s="217" t="str">
        <x:f>IF(K335&lt;='排名定義'!$B$5,"是","")</x:f>
        <x:v>是</x:v>
      </x:c>
      <x:c r="M335" s="217" t="n">
        <x:f>COUNTIF(H335:L335,"是")</x:f>
        <x:v>3</x:v>
      </x:c>
      <x:c r="N335" s="217" t="str">
        <x:v>總變動＋一般變動</x:v>
      </x:c>
      <x:c r="O335" s="220" t="n">
        <x:v>77.85833333333333</x:v>
      </x:c>
      <x:c r="P335" s="220" t="n">
        <x:v>73.13333333333334</x:v>
      </x:c>
      <x:c r="Q335" s="220" t="n">
        <x:v>4.725</x:v>
      </x:c>
      <x:c r="R335" s="220" t="n">
        <x:v>0.06068714545649149</x:v>
      </x:c>
      <x:c r="S335" s="220" t="n">
        <x:v>107.80645161290323</x:v>
      </x:c>
      <x:c r="T335" s="220" t="n">
        <x:v>103.06451612903226</x:v>
      </x:c>
      <x:c r="U335" s="220" t="n">
        <x:v>4.741935483870968</x:v>
      </x:c>
      <x:c r="V335" s="218" t="n">
        <x:v>0.059907834101382486</x:v>
      </x:c>
      <x:c r="W335" s="217" t="n">
        <x:v>27</x:v>
      </x:c>
      <x:c r="X335" s="222" t="n">
        <x:v>4590</x:v>
      </x:c>
      <x:c r="Y335" s="217" t="n">
        <x:v>18</x:v>
      </x:c>
    </x:row>
    <x:row r="336">
      <x:c r="A336" s="216" t="n">
        <x:v>1177</x:v>
      </x:c>
      <x:c r="B336" s="216" t="str">
        <x:v>江翠國中</x:v>
      </x:c>
      <x:c r="C336" s="216" t="str">
        <x:v>板橋區</x:v>
      </x:c>
      <x:c r="D336" s="216" t="n">
        <x:v>36</x:v>
      </x:c>
      <x:c r="E336" s="216" t="n">
        <x:v>120</x:v>
      </x:c>
      <x:c r="F336" s="219" t="n">
        <x:v>0.9994791666666667</x:v>
      </x:c>
      <x:c r="G336" s="216" t="n">
        <x:v>332</x:v>
      </x:c>
      <x:c r="H336" s="216" t="str">
        <x:f>IF(G336&lt;='排名定義'!$B$5,"是","")</x:f>
        <x:v>是</x:v>
      </x:c>
      <x:c r="I336" s="216" t="n">
        <x:v>340</x:v>
      </x:c>
      <x:c r="J336" s="216" t="str">
        <x:f>IF(I336&lt;='排名定義'!$B$5,"是","")</x:f>
        <x:v>是</x:v>
      </x:c>
      <x:c r="K336" s="216" t="n">
        <x:v>221</x:v>
      </x:c>
      <x:c r="L336" s="216" t="str">
        <x:f>IF(K336&lt;='排名定義'!$B$5,"是","")</x:f>
        <x:v>是</x:v>
      </x:c>
      <x:c r="M336" s="216" t="n">
        <x:f>COUNTIF(H336:L336,"是")</x:f>
        <x:v>3</x:v>
      </x:c>
      <x:c r="N336" s="216" t="str">
        <x:v>三份皆入選</x:v>
      </x:c>
      <x:c r="O336" s="221" t="n">
        <x:v>77.85833333333333</x:v>
      </x:c>
      <x:c r="P336" s="221" t="n">
        <x:v>70.83333333333333</x:v>
      </x:c>
      <x:c r="Q336" s="221" t="n">
        <x:v>7.025</x:v>
      </x:c>
      <x:c r="R336" s="221" t="n">
        <x:v>0.09022797816547147</x:v>
      </x:c>
      <x:c r="S336" s="221" t="n">
        <x:v>110.25806451612904</x:v>
      </x:c>
      <x:c r="T336" s="221" t="n">
        <x:v>104.25806451612904</x:v>
      </x:c>
      <x:c r="U336" s="221" t="n">
        <x:v>6</x:v>
      </x:c>
      <x:c r="V336" s="219" t="n">
        <x:v>0.1313364055299539</x:v>
      </x:c>
      <x:c r="W336" s="216" t="n">
        <x:v>25</x:v>
      </x:c>
      <x:c r="X336" s="223" t="n">
        <x:v>3240</x:v>
      </x:c>
      <x:c r="Y336" s="216" t="n">
        <x:v>36</x:v>
      </x:c>
    </x:row>
    <x:row r="337">
      <x:c r="A337" s="217" t="n">
        <x:v>1290</x:v>
      </x:c>
      <x:c r="B337" s="217" t="str">
        <x:v>中和公園(安平中安街口)</x:v>
      </x:c>
      <x:c r="C337" s="217" t="str">
        <x:v>中和區</x:v>
      </x:c>
      <x:c r="D337" s="217" t="n">
        <x:v>40</x:v>
      </x:c>
      <x:c r="E337" s="217" t="n">
        <x:v>120</x:v>
      </x:c>
      <x:c r="F337" s="218" t="n">
        <x:v>0.9994791666666667</x:v>
      </x:c>
      <x:c r="G337" s="217" t="n">
        <x:v>333</x:v>
      </x:c>
      <x:c r="H337" s="217" t="str">
        <x:f>IF(G337&lt;='排名定義'!$B$5,"是","")</x:f>
        <x:v>是</x:v>
      </x:c>
      <x:c r="I337" s="217" t="n">
        <x:v>318</x:v>
      </x:c>
      <x:c r="J337" s="217" t="str">
        <x:f>IF(I337&lt;='排名定義'!$B$5,"是","")</x:f>
        <x:v>是</x:v>
      </x:c>
      <x:c r="K337" s="217" t="n">
        <x:v>533</x:v>
      </x:c>
      <x:c r="L337" s="217" t="str">
        <x:f>IF(K337&lt;='排名定義'!$B$5,"是","")</x:f>
        <x:v>是</x:v>
      </x:c>
      <x:c r="M337" s="217" t="n">
        <x:f>COUNTIF(H337:L337,"是")</x:f>
        <x:v>3</x:v>
      </x:c>
      <x:c r="N337" s="217" t="str">
        <x:v>總變動＋一般變動</x:v>
      </x:c>
      <x:c r="O337" s="220" t="n">
        <x:v>77.75</x:v>
      </x:c>
      <x:c r="P337" s="220" t="n">
        <x:v>72.74166666666666</x:v>
      </x:c>
      <x:c r="Q337" s="220" t="n">
        <x:v>5.008333333333334</x:v>
      </x:c>
      <x:c r="R337" s="220" t="n">
        <x:v>0.06441586280814576</x:v>
      </x:c>
      <x:c r="S337" s="220" t="n">
        <x:v>120.93548387096774</x:v>
      </x:c>
      <x:c r="T337" s="220" t="n">
        <x:v>113.6774193548387</x:v>
      </x:c>
      <x:c r="U337" s="220" t="n">
        <x:v>7.258064516129032</x:v>
      </x:c>
      <x:c r="V337" s="218" t="n">
        <x:v>0.029953917050691243</x:v>
      </x:c>
      <x:c r="W337" s="217" t="n">
        <x:v>8</x:v>
      </x:c>
      <x:c r="X337" s="222" t="n">
        <x:v>780</x:v>
      </x:c>
      <x:c r="Y337" s="217" t="n">
        <x:v>40</x:v>
      </x:c>
    </x:row>
    <x:row r="338">
      <x:c r="A338" s="216" t="n">
        <x:v>96</x:v>
      </x:c>
      <x:c r="B338" s="216" t="str">
        <x:v>重陽國小</x:v>
      </x:c>
      <x:c r="C338" s="216" t="str">
        <x:v>三重區</x:v>
      </x:c>
      <x:c r="D338" s="216" t="n">
        <x:v>61</x:v>
      </x:c>
      <x:c r="E338" s="216" t="n">
        <x:v>120</x:v>
      </x:c>
      <x:c r="F338" s="219" t="n">
        <x:v>0.9994791666666667</x:v>
      </x:c>
      <x:c r="G338" s="216" t="n">
        <x:v>334</x:v>
      </x:c>
      <x:c r="H338" s="216" t="str">
        <x:f>IF(G338&lt;='排名定義'!$B$5,"是","")</x:f>
        <x:v>是</x:v>
      </x:c>
      <x:c r="I338" s="216" t="n">
        <x:v>343</x:v>
      </x:c>
      <x:c r="J338" s="216" t="str">
        <x:f>IF(I338&lt;='排名定義'!$B$5,"是","")</x:f>
        <x:v>是</x:v>
      </x:c>
      <x:c r="K338" s="216" t="n">
        <x:v>230</x:v>
      </x:c>
      <x:c r="L338" s="216" t="str">
        <x:f>IF(K338&lt;='排名定義'!$B$5,"是","")</x:f>
        <x:v>是</x:v>
      </x:c>
      <x:c r="M338" s="216" t="n">
        <x:f>COUNTIF(H338:L338,"是")</x:f>
        <x:v>3</x:v>
      </x:c>
      <x:c r="N338" s="216" t="str">
        <x:v>三份皆入選</x:v>
      </x:c>
      <x:c r="O338" s="221" t="n">
        <x:v>77.69166666666666</x:v>
      </x:c>
      <x:c r="P338" s="221" t="n">
        <x:v>70.775</x:v>
      </x:c>
      <x:c r="Q338" s="221" t="n">
        <x:v>6.916666666666667</x:v>
      </x:c>
      <x:c r="R338" s="221" t="n">
        <x:v>0.08902713718760055</x:v>
      </x:c>
      <x:c r="S338" s="221" t="n">
        <x:v>100.06451612903226</x:v>
      </x:c>
      <x:c r="T338" s="221" t="n">
        <x:v>94.41935483870968</x:v>
      </x:c>
      <x:c r="U338" s="221" t="n">
        <x:v>5.645161290322581</x:v>
      </x:c>
      <x:c r="V338" s="219" t="n">
        <x:v>0.02304147465437788</x:v>
      </x:c>
      <x:c r="W338" s="216" t="n">
        <x:v>5</x:v>
      </x:c>
      <x:c r="X338" s="223" t="n">
        <x:v>810</x:v>
      </x:c>
      <x:c r="Y338" s="216" t="n">
        <x:v>61</x:v>
      </x:c>
    </x:row>
    <x:row r="339">
      <x:c r="A339" s="217" t="n">
        <x:v>589</x:v>
      </x:c>
      <x:c r="B339" s="217" t="str">
        <x:v>華德公園平面停車場</x:v>
      </x:c>
      <x:c r="C339" s="217" t="str">
        <x:v>板橋區</x:v>
      </x:c>
      <x:c r="D339" s="217" t="n">
        <x:v>18</x:v>
      </x:c>
      <x:c r="E339" s="217" t="n">
        <x:v>120</x:v>
      </x:c>
      <x:c r="F339" s="218" t="n">
        <x:v>0.9994791666666667</x:v>
      </x:c>
      <x:c r="G339" s="217" t="n">
        <x:v>335</x:v>
      </x:c>
      <x:c r="H339" s="217" t="str">
        <x:f>IF(G339&lt;='排名定義'!$B$5,"是","")</x:f>
        <x:v>是</x:v>
      </x:c>
      <x:c r="I339" s="217" t="n">
        <x:v>308</x:v>
      </x:c>
      <x:c r="J339" s="217" t="str">
        <x:f>IF(I339&lt;='排名定義'!$B$5,"是","")</x:f>
        <x:v>是</x:v>
      </x:c>
      <x:c r="K339" s="217" t="n">
        <x:v>783</x:v>
      </x:c>
      <x:c r="L339" s="217" t="str">
        <x:f>IF(K339&lt;='排名定義'!$B$5,"是","")</x:f>
        <x:v>是</x:v>
      </x:c>
      <x:c r="M339" s="217" t="n">
        <x:f>COUNTIF(H339:L339,"是")</x:f>
        <x:v>3</x:v>
      </x:c>
      <x:c r="N339" s="217" t="str">
        <x:v>總變動＋一般變動</x:v>
      </x:c>
      <x:c r="O339" s="220" t="n">
        <x:v>77.6</x:v>
      </x:c>
      <x:c r="P339" s="220" t="n">
        <x:v>73.56666666666666</x:v>
      </x:c>
      <x:c r="Q339" s="220" t="n">
        <x:v>4.033333333333333</x:v>
      </x:c>
      <x:c r="R339" s="220" t="n">
        <x:v>0.05197594501718213</x:v>
      </x:c>
      <x:c r="S339" s="220" t="n">
        <x:v>106.03225806451613</x:v>
      </x:c>
      <x:c r="T339" s="220" t="n">
        <x:v>100.6774193548387</x:v>
      </x:c>
      <x:c r="U339" s="220" t="n">
        <x:v>5.354838709677419</x:v>
      </x:c>
      <x:c r="V339" s="218" t="n">
        <x:v>0.08525345622119816</x:v>
      </x:c>
      <x:c r="W339" s="217" t="n">
        <x:v>15</x:v>
      </x:c>
      <x:c r="X339" s="222" t="n">
        <x:v>2670</x:v>
      </x:c>
      <x:c r="Y339" s="217" t="n">
        <x:v>18</x:v>
      </x:c>
    </x:row>
    <x:row r="340">
      <x:c r="A340" s="216" t="n">
        <x:v>1416</x:v>
      </x:c>
      <x:c r="B340" s="216" t="str">
        <x:v>中華里(中華路二段)</x:v>
      </x:c>
      <x:c r="C340" s="216" t="str">
        <x:v>新莊區</x:v>
      </x:c>
      <x:c r="D340" s="216" t="n">
        <x:v>48</x:v>
      </x:c>
      <x:c r="E340" s="216" t="n">
        <x:v>120</x:v>
      </x:c>
      <x:c r="F340" s="219" t="n">
        <x:v>0.9994791666666667</x:v>
      </x:c>
      <x:c r="G340" s="216" t="n">
        <x:v>336</x:v>
      </x:c>
      <x:c r="H340" s="216" t="str">
        <x:f>IF(G340&lt;='排名定義'!$B$5,"是","")</x:f>
        <x:v>是</x:v>
      </x:c>
      <x:c r="I340" s="216" t="n">
        <x:v>329</x:v>
      </x:c>
      <x:c r="J340" s="216" t="str">
        <x:f>IF(I340&lt;='排名定義'!$B$5,"是","")</x:f>
        <x:v>是</x:v>
      </x:c>
      <x:c r="K340" s="216" t="n">
        <x:v>382</x:v>
      </x:c>
      <x:c r="L340" s="216" t="str">
        <x:f>IF(K340&lt;='排名定義'!$B$5,"是","")</x:f>
        <x:v>是</x:v>
      </x:c>
      <x:c r="M340" s="216" t="n">
        <x:f>COUNTIF(H340:L340,"是")</x:f>
        <x:v>3</x:v>
      </x:c>
      <x:c r="N340" s="216" t="str">
        <x:v>總變動＋一般變動</x:v>
      </x:c>
      <x:c r="O340" s="221" t="n">
        <x:v>77.48333333333333</x:v>
      </x:c>
      <x:c r="P340" s="221" t="n">
        <x:v>71.65</x:v>
      </x:c>
      <x:c r="Q340" s="221" t="n">
        <x:v>5.833333333333333</x:v>
      </x:c>
      <x:c r="R340" s="221" t="n">
        <x:v>0.07528500752850076</x:v>
      </x:c>
      <x:c r="S340" s="221" t="n">
        <x:v>100.80645161290323</x:v>
      </x:c>
      <x:c r="T340" s="221" t="n">
        <x:v>95.90322580645162</x:v>
      </x:c>
      <x:c r="U340" s="221" t="n">
        <x:v>4.903225806451613</x:v>
      </x:c>
      <x:c r="V340" s="219" t="n">
        <x:v>0.055299539170506916</x:v>
      </x:c>
      <x:c r="W340" s="216" t="n">
        <x:v>13</x:v>
      </x:c>
      <x:c r="X340" s="223" t="n">
        <x:v>1470</x:v>
      </x:c>
      <x:c r="Y340" s="216" t="n">
        <x:v>48</x:v>
      </x:c>
    </x:row>
    <x:row r="341">
      <x:c r="A341" s="217" t="n">
        <x:v>158</x:v>
      </x:c>
      <x:c r="B341" s="217" t="str">
        <x:v>飛駝二村</x:v>
      </x:c>
      <x:c r="C341" s="217" t="str">
        <x:v>中和區</x:v>
      </x:c>
      <x:c r="D341" s="217" t="n">
        <x:v>11</x:v>
      </x:c>
      <x:c r="E341" s="217" t="n">
        <x:v>120</x:v>
      </x:c>
      <x:c r="F341" s="218" t="n">
        <x:v>0.9994791666666667</x:v>
      </x:c>
      <x:c r="G341" s="217" t="n">
        <x:v>337</x:v>
      </x:c>
      <x:c r="H341" s="217" t="str">
        <x:f>IF(G341&lt;='排名定義'!$B$5,"是","")</x:f>
        <x:v>是</x:v>
      </x:c>
      <x:c r="I341" s="217" t="n">
        <x:v>314</x:v>
      </x:c>
      <x:c r="J341" s="217" t="str">
        <x:f>IF(I341&lt;='排名定義'!$B$5,"是","")</x:f>
        <x:v>是</x:v>
      </x:c>
      <x:c r="K341" s="217" t="n">
        <x:v>769</x:v>
      </x:c>
      <x:c r="L341" s="217" t="str">
        <x:f>IF(K341&lt;='排名定義'!$B$5,"是","")</x:f>
        <x:v>是</x:v>
      </x:c>
      <x:c r="M341" s="217" t="n">
        <x:f>COUNTIF(H341:L341,"是")</x:f>
        <x:v>3</x:v>
      </x:c>
      <x:c r="N341" s="217" t="str">
        <x:v>總變動＋一般變動</x:v>
      </x:c>
      <x:c r="O341" s="220" t="n">
        <x:v>77.425</x:v>
      </x:c>
      <x:c r="P341" s="220" t="n">
        <x:v>73.34166666666667</x:v>
      </x:c>
      <x:c r="Q341" s="220" t="n">
        <x:v>4.083333333333333</x:v>
      </x:c>
      <x:c r="R341" s="220" t="n">
        <x:v>0.05273920998816058</x:v>
      </x:c>
      <x:c r="S341" s="220" t="n">
        <x:v>90.48387096774194</x:v>
      </x:c>
      <x:c r="T341" s="220" t="n">
        <x:v>85.6774193548387</x:v>
      </x:c>
      <x:c r="U341" s="220" t="n">
        <x:v>4.806451612903226</x:v>
      </x:c>
      <x:c r="V341" s="218" t="n">
        <x:v>0.1912442396313364</x:v>
      </x:c>
      <x:c r="W341" s="217" t="n">
        <x:v>41</x:v>
      </x:c>
      <x:c r="X341" s="222" t="n">
        <x:v>6570</x:v>
      </x:c>
      <x:c r="Y341" s="217" t="n">
        <x:v>11</x:v>
      </x:c>
    </x:row>
    <x:row r="342">
      <x:c r="A342" s="216" t="n">
        <x:v>1269</x:v>
      </x:c>
      <x:c r="B342" s="216" t="str">
        <x:v>新生街112巷口(欽禾社區)</x:v>
      </x:c>
      <x:c r="C342" s="216" t="str">
        <x:v>中和區</x:v>
      </x:c>
      <x:c r="D342" s="216" t="n">
        <x:v>40</x:v>
      </x:c>
      <x:c r="E342" s="216" t="n">
        <x:v>120</x:v>
      </x:c>
      <x:c r="F342" s="219" t="n">
        <x:v>0.9994791666666667</x:v>
      </x:c>
      <x:c r="G342" s="216" t="n">
        <x:v>338</x:v>
      </x:c>
      <x:c r="H342" s="216" t="str">
        <x:f>IF(G342&lt;='排名定義'!$B$5,"是","")</x:f>
        <x:v>是</x:v>
      </x:c>
      <x:c r="I342" s="216" t="n">
        <x:v>331</x:v>
      </x:c>
      <x:c r="J342" s="216" t="str">
        <x:f>IF(I342&lt;='排名定義'!$B$5,"是","")</x:f>
        <x:v>是</x:v>
      </x:c>
      <x:c r="K342" s="216" t="n">
        <x:v>374</x:v>
      </x:c>
      <x:c r="L342" s="216" t="str">
        <x:f>IF(K342&lt;='排名定義'!$B$5,"是","")</x:f>
        <x:v>是</x:v>
      </x:c>
      <x:c r="M342" s="216" t="n">
        <x:f>COUNTIF(H342:L342,"是")</x:f>
        <x:v>3</x:v>
      </x:c>
      <x:c r="N342" s="216" t="str">
        <x:v>總變動＋一般變動</x:v>
      </x:c>
      <x:c r="O342" s="221" t="n">
        <x:v>77.375</x:v>
      </x:c>
      <x:c r="P342" s="221" t="n">
        <x:v>71.5</x:v>
      </x:c>
      <x:c r="Q342" s="221" t="n">
        <x:v>5.875</x:v>
      </x:c>
      <x:c r="R342" s="221" t="n">
        <x:v>0.07592891760904685</x:v>
      </x:c>
      <x:c r="S342" s="221" t="n">
        <x:v>107.96774193548387</x:v>
      </x:c>
      <x:c r="T342" s="221" t="n">
        <x:v>103.29032258064517</x:v>
      </x:c>
      <x:c r="U342" s="221" t="n">
        <x:v>4.67741935483871</x:v>
      </x:c>
      <x:c r="V342" s="219" t="n">
        <x:v>0.02304147465437788</x:v>
      </x:c>
      <x:c r="W342" s="216" t="n">
        <x:v>6</x:v>
      </x:c>
      <x:c r="X342" s="223" t="n">
        <x:v>720</x:v>
      </x:c>
      <x:c r="Y342" s="216" t="n">
        <x:v>40</x:v>
      </x:c>
    </x:row>
    <x:row r="343">
      <x:c r="A343" s="217" t="n">
        <x:v>100</x:v>
      </x:c>
      <x:c r="B343" s="217" t="str">
        <x:v>中信國小</x:v>
      </x:c>
      <x:c r="C343" s="217" t="str">
        <x:v>新莊區</x:v>
      </x:c>
      <x:c r="D343" s="217" t="n">
        <x:v>58</x:v>
      </x:c>
      <x:c r="E343" s="217" t="n">
        <x:v>120</x:v>
      </x:c>
      <x:c r="F343" s="218" t="n">
        <x:v>0.9994791666666667</x:v>
      </x:c>
      <x:c r="G343" s="217" t="n">
        <x:v>339</x:v>
      </x:c>
      <x:c r="H343" s="217" t="str">
        <x:f>IF(G343&lt;='排名定義'!$B$5,"是","")</x:f>
        <x:v>是</x:v>
      </x:c>
      <x:c r="I343" s="217" t="n">
        <x:v>347</x:v>
      </x:c>
      <x:c r="J343" s="217" t="str">
        <x:f>IF(I343&lt;='排名定義'!$B$5,"是","")</x:f>
        <x:v>是</x:v>
      </x:c>
      <x:c r="K343" s="217" t="n">
        <x:v>250</x:v>
      </x:c>
      <x:c r="L343" s="217" t="str">
        <x:f>IF(K343&lt;='排名定義'!$B$5,"是","")</x:f>
        <x:v>是</x:v>
      </x:c>
      <x:c r="M343" s="217" t="n">
        <x:f>COUNTIF(H343:L343,"是")</x:f>
        <x:v>3</x:v>
      </x:c>
      <x:c r="N343" s="217" t="str">
        <x:v>三份皆入選</x:v>
      </x:c>
      <x:c r="O343" s="220" t="n">
        <x:v>77.35833333333333</x:v>
      </x:c>
      <x:c r="P343" s="220" t="n">
        <x:v>70.575</x:v>
      </x:c>
      <x:c r="Q343" s="220" t="n">
        <x:v>6.783333333333333</x:v>
      </x:c>
      <x:c r="R343" s="220" t="n">
        <x:v>0.08768717009587418</x:v>
      </x:c>
      <x:c r="S343" s="220" t="n">
        <x:v>92.58064516129032</x:v>
      </x:c>
      <x:c r="T343" s="220" t="n">
        <x:v>83.7741935483871</x:v>
      </x:c>
      <x:c r="U343" s="220" t="n">
        <x:v>8.806451612903226</x:v>
      </x:c>
      <x:c r="V343" s="218" t="n">
        <x:v>0.07142857142857142</x:v>
      </x:c>
      <x:c r="W343" s="217" t="n">
        <x:v>11</x:v>
      </x:c>
      <x:c r="X343" s="222" t="n">
        <x:v>1230</x:v>
      </x:c>
      <x:c r="Y343" s="217" t="n">
        <x:v>58</x:v>
      </x:c>
    </x:row>
    <x:row r="344">
      <x:c r="A344" s="216" t="n">
        <x:v>936</x:v>
      </x:c>
      <x:c r="B344" s="216" t="str">
        <x:v>四維文化二路口</x:v>
      </x:c>
      <x:c r="C344" s="216" t="str">
        <x:v>林口區</x:v>
      </x:c>
      <x:c r="D344" s="216" t="n">
        <x:v>27</x:v>
      </x:c>
      <x:c r="E344" s="216" t="n">
        <x:v>120</x:v>
      </x:c>
      <x:c r="F344" s="219" t="n">
        <x:v>0.9994791666666667</x:v>
      </x:c>
      <x:c r="G344" s="216" t="n">
        <x:v>340</x:v>
      </x:c>
      <x:c r="H344" s="216" t="str">
        <x:f>IF(G344&lt;='排名定義'!$B$5,"是","")</x:f>
        <x:v>是</x:v>
      </x:c>
      <x:c r="I344" s="216" t="n">
        <x:v>342</x:v>
      </x:c>
      <x:c r="J344" s="216" t="str">
        <x:f>IF(I344&lt;='排名定義'!$B$5,"是","")</x:f>
        <x:v>是</x:v>
      </x:c>
      <x:c r="K344" s="216" t="n">
        <x:v>292</x:v>
      </x:c>
      <x:c r="L344" s="216" t="str">
        <x:f>IF(K344&lt;='排名定義'!$B$5,"是","")</x:f>
        <x:v>是</x:v>
      </x:c>
      <x:c r="M344" s="216" t="n">
        <x:f>COUNTIF(H344:L344,"是")</x:f>
        <x:v>3</x:v>
      </x:c>
      <x:c r="N344" s="216" t="str">
        <x:v>三份皆入選</x:v>
      </x:c>
      <x:c r="O344" s="221" t="n">
        <x:v>77.225</x:v>
      </x:c>
      <x:c r="P344" s="221" t="n">
        <x:v>70.8</x:v>
      </x:c>
      <x:c r="Q344" s="221" t="n">
        <x:v>6.425</x:v>
      </x:c>
      <x:c r="R344" s="221" t="n">
        <x:v>0.08319844609906119</x:v>
      </x:c>
      <x:c r="S344" s="221" t="n">
        <x:v>115.29032258064517</x:v>
      </x:c>
      <x:c r="T344" s="221" t="n">
        <x:v>109.06451612903226</x:v>
      </x:c>
      <x:c r="U344" s="221" t="n">
        <x:v>6.225806451612903</x:v>
      </x:c>
      <x:c r="V344" s="219" t="n">
        <x:v>0.029953917050691243</x:v>
      </x:c>
      <x:c r="W344" s="216" t="n">
        <x:v>8</x:v>
      </x:c>
      <x:c r="X344" s="223" t="n">
        <x:v>1440</x:v>
      </x:c>
      <x:c r="Y344" s="216" t="n">
        <x:v>27</x:v>
      </x:c>
    </x:row>
    <x:row r="345">
      <x:c r="A345" s="217" t="n">
        <x:v>1420</x:v>
      </x:c>
      <x:c r="B345" s="217" t="str">
        <x:v>正義公園</x:v>
      </x:c>
      <x:c r="C345" s="217" t="str">
        <x:v>三重區</x:v>
      </x:c>
      <x:c r="D345" s="217" t="n">
        <x:v>48</x:v>
      </x:c>
      <x:c r="E345" s="217" t="n">
        <x:v>120</x:v>
      </x:c>
      <x:c r="F345" s="218" t="n">
        <x:v>0.9994791666666667</x:v>
      </x:c>
      <x:c r="G345" s="217" t="n">
        <x:v>341</x:v>
      </x:c>
      <x:c r="H345" s="217" t="str">
        <x:f>IF(G345&lt;='排名定義'!$B$5,"是","")</x:f>
        <x:v>是</x:v>
      </x:c>
      <x:c r="I345" s="217" t="n">
        <x:v>323</x:v>
      </x:c>
      <x:c r="J345" s="217" t="str">
        <x:f>IF(I345&lt;='排名定義'!$B$5,"是","")</x:f>
        <x:v>是</x:v>
      </x:c>
      <x:c r="K345" s="217" t="n">
        <x:v>540</x:v>
      </x:c>
      <x:c r="L345" s="217" t="str">
        <x:f>IF(K345&lt;='排名定義'!$B$5,"是","")</x:f>
        <x:v>是</x:v>
      </x:c>
      <x:c r="M345" s="217" t="n">
        <x:f>COUNTIF(H345:L345,"是")</x:f>
        <x:v>3</x:v>
      </x:c>
      <x:c r="N345" s="217" t="str">
        <x:v>總變動＋一般變動</x:v>
      </x:c>
      <x:c r="O345" s="220" t="n">
        <x:v>77.175</x:v>
      </x:c>
      <x:c r="P345" s="220" t="n">
        <x:v>72.20833333333333</x:v>
      </x:c>
      <x:c r="Q345" s="220" t="n">
        <x:v>4.966666666666667</x:v>
      </x:c>
      <x:c r="R345" s="220" t="n">
        <x:v>0.06435590109059497</x:v>
      </x:c>
      <x:c r="S345" s="220" t="n">
        <x:v>101.09677419354838</x:v>
      </x:c>
      <x:c r="T345" s="220" t="n">
        <x:v>97.19354838709677</x:v>
      </x:c>
      <x:c r="U345" s="220" t="n">
        <x:v>3.903225806451613</x:v>
      </x:c>
      <x:c r="V345" s="218" t="n">
        <x:v>0.059907834101382486</x:v>
      </x:c>
      <x:c r="W345" s="217" t="n">
        <x:v>18</x:v>
      </x:c>
      <x:c r="X345" s="222" t="n">
        <x:v>2340</x:v>
      </x:c>
      <x:c r="Y345" s="217" t="n">
        <x:v>48</x:v>
      </x:c>
    </x:row>
    <x:row r="346">
      <x:c r="A346" s="216" t="n">
        <x:v>384</x:v>
      </x:c>
      <x:c r="B346" s="216" t="str">
        <x:v>瓊泰市民活動中心</x:v>
      </x:c>
      <x:c r="C346" s="216" t="str">
        <x:v>新莊區</x:v>
      </x:c>
      <x:c r="D346" s="216" t="n">
        <x:v>15</x:v>
      </x:c>
      <x:c r="E346" s="216" t="n">
        <x:v>120</x:v>
      </x:c>
      <x:c r="F346" s="219" t="n">
        <x:v>0.9994791666666667</x:v>
      </x:c>
      <x:c r="G346" s="216" t="n">
        <x:v>342</x:v>
      </x:c>
      <x:c r="H346" s="216" t="str">
        <x:f>IF(G346&lt;='排名定義'!$B$5,"是","")</x:f>
        <x:v>是</x:v>
      </x:c>
      <x:c r="I346" s="216" t="n">
        <x:v>327</x:v>
      </x:c>
      <x:c r="J346" s="216" t="str">
        <x:f>IF(I346&lt;='排名定義'!$B$5,"是","")</x:f>
        <x:v>是</x:v>
      </x:c>
      <x:c r="K346" s="216" t="n">
        <x:v>498</x:v>
      </x:c>
      <x:c r="L346" s="216" t="str">
        <x:f>IF(K346&lt;='排名定義'!$B$5,"是","")</x:f>
        <x:v>是</x:v>
      </x:c>
      <x:c r="M346" s="216" t="n">
        <x:f>COUNTIF(H346:L346,"是")</x:f>
        <x:v>3</x:v>
      </x:c>
      <x:c r="N346" s="216" t="str">
        <x:v>總變動＋一般變動</x:v>
      </x:c>
      <x:c r="O346" s="221" t="n">
        <x:v>77.1</x:v>
      </x:c>
      <x:c r="P346" s="221" t="n">
        <x:v>71.95833333333333</x:v>
      </x:c>
      <x:c r="Q346" s="221" t="n">
        <x:v>5.141666666666667</x:v>
      </x:c>
      <x:c r="R346" s="221" t="n">
        <x:v>0.06668828361435365</x:v>
      </x:c>
      <x:c r="S346" s="221" t="n">
        <x:v>104.80645161290323</x:v>
      </x:c>
      <x:c r="T346" s="221" t="n">
        <x:v>100.90322580645162</x:v>
      </x:c>
      <x:c r="U346" s="221" t="n">
        <x:v>3.903225806451613</x:v>
      </x:c>
      <x:c r="V346" s="219" t="n">
        <x:v>0.1175115207373272</x:v>
      </x:c>
      <x:c r="W346" s="216" t="n">
        <x:v>21</x:v>
      </x:c>
      <x:c r="X346" s="223" t="n">
        <x:v>2640</x:v>
      </x:c>
      <x:c r="Y346" s="216" t="n">
        <x:v>15</x:v>
      </x:c>
    </x:row>
    <x:row r="347">
      <x:c r="A347" s="217" t="n">
        <x:v>12</x:v>
      </x:c>
      <x:c r="B347" s="217" t="str">
        <x:v>仁愛公園</x:v>
      </x:c>
      <x:c r="C347" s="217" t="str">
        <x:v>永和區</x:v>
      </x:c>
      <x:c r="D347" s="217" t="n">
        <x:v>79</x:v>
      </x:c>
      <x:c r="E347" s="217" t="n">
        <x:v>120</x:v>
      </x:c>
      <x:c r="F347" s="218" t="n">
        <x:v>0.9994791666666667</x:v>
      </x:c>
      <x:c r="G347" s="217" t="n">
        <x:v>343</x:v>
      </x:c>
      <x:c r="H347" s="217" t="str">
        <x:f>IF(G347&lt;='排名定義'!$B$5,"是","")</x:f>
        <x:v>是</x:v>
      </x:c>
      <x:c r="I347" s="217" t="n">
        <x:v>358</x:v>
      </x:c>
      <x:c r="J347" s="217" t="str">
        <x:f>IF(I347&lt;='排名定義'!$B$5,"是","")</x:f>
        <x:v>是</x:v>
      </x:c>
      <x:c r="K347" s="217" t="n">
        <x:v>209</x:v>
      </x:c>
      <x:c r="L347" s="217" t="str">
        <x:f>IF(K347&lt;='排名定義'!$B$5,"是","")</x:f>
        <x:v>是</x:v>
      </x:c>
      <x:c r="M347" s="217" t="n">
        <x:f>COUNTIF(H347:L347,"是")</x:f>
        <x:v>3</x:v>
      </x:c>
      <x:c r="N347" s="217" t="str">
        <x:v>三份皆入選</x:v>
      </x:c>
      <x:c r="O347" s="220" t="n">
        <x:v>76.96666666666667</x:v>
      </x:c>
      <x:c r="P347" s="220" t="n">
        <x:v>69.85</x:v>
      </x:c>
      <x:c r="Q347" s="220" t="n">
        <x:v>7.116666666666666</x:v>
      </x:c>
      <x:c r="R347" s="220" t="n">
        <x:v>0.09246427024686012</x:v>
      </x:c>
      <x:c r="S347" s="220" t="n">
        <x:v>113.48387096774194</x:v>
      </x:c>
      <x:c r="T347" s="220" t="n">
        <x:v>109.12903225806451</x:v>
      </x:c>
      <x:c r="U347" s="220" t="n">
        <x:v>4.354838709677419</x:v>
      </x:c>
      <x:c r="V347" s="218" t="n">
        <x:v>0</x:v>
      </x:c>
      <x:c r="W347" s="217" t="n">
        <x:v>0</x:v>
      </x:c>
      <x:c r="X347" s="222" t="n">
        <x:v>0</x:v>
      </x:c>
      <x:c r="Y347" s="217" t="n">
        <x:v>79</x:v>
      </x:c>
    </x:row>
    <x:row r="348">
      <x:c r="A348" s="216" t="n">
        <x:v>1378</x:v>
      </x:c>
      <x:c r="B348" s="216" t="str">
        <x:v>三民高中(民權路)</x:v>
      </x:c>
      <x:c r="C348" s="216" t="str">
        <x:v>蘆洲區</x:v>
      </x:c>
      <x:c r="D348" s="216" t="n">
        <x:v>45</x:v>
      </x:c>
      <x:c r="E348" s="216" t="n">
        <x:v>120</x:v>
      </x:c>
      <x:c r="F348" s="219" t="n">
        <x:v>0.9994791666666667</x:v>
      </x:c>
      <x:c r="G348" s="216" t="n">
        <x:v>344</x:v>
      </x:c>
      <x:c r="H348" s="216" t="str">
        <x:f>IF(G348&lt;='排名定義'!$B$5,"是","")</x:f>
        <x:v>是</x:v>
      </x:c>
      <x:c r="I348" s="216" t="n">
        <x:v>354</x:v>
      </x:c>
      <x:c r="J348" s="216" t="str">
        <x:f>IF(I348&lt;='排名定義'!$B$5,"是","")</x:f>
        <x:v>是</x:v>
      </x:c>
      <x:c r="K348" s="216" t="n">
        <x:v>242</x:v>
      </x:c>
      <x:c r="L348" s="216" t="str">
        <x:f>IF(K348&lt;='排名定義'!$B$5,"是","")</x:f>
        <x:v>是</x:v>
      </x:c>
      <x:c r="M348" s="216" t="n">
        <x:f>COUNTIF(H348:L348,"是")</x:f>
        <x:v>3</x:v>
      </x:c>
      <x:c r="N348" s="216" t="str">
        <x:v>三份皆入選</x:v>
      </x:c>
      <x:c r="O348" s="221" t="n">
        <x:v>76.90833333333333</x:v>
      </x:c>
      <x:c r="P348" s="221" t="n">
        <x:v>70.075</x:v>
      </x:c>
      <x:c r="Q348" s="221" t="n">
        <x:v>6.833333333333333</x:v>
      </x:c>
      <x:c r="R348" s="221" t="n">
        <x:v>0.08885036298623902</x:v>
      </x:c>
      <x:c r="S348" s="221" t="n">
        <x:v>87.51612903225806</x:v>
      </x:c>
      <x:c r="T348" s="221" t="n">
        <x:v>83.48387096774194</x:v>
      </x:c>
      <x:c r="U348" s="221" t="n">
        <x:v>4.032258064516129</x:v>
      </x:c>
      <x:c r="V348" s="219" t="n">
        <x:v>0.07142857142857142</x:v>
      </x:c>
      <x:c r="W348" s="216" t="n">
        <x:v>9</x:v>
      </x:c>
      <x:c r="X348" s="223" t="n">
        <x:v>1680</x:v>
      </x:c>
      <x:c r="Y348" s="216" t="n">
        <x:v>45</x:v>
      </x:c>
    </x:row>
    <x:row r="349">
      <x:c r="A349" s="217" t="n">
        <x:v>1489</x:v>
      </x:c>
      <x:c r="B349" s="217" t="str">
        <x:v>蘆洲國民運動中心</x:v>
      </x:c>
      <x:c r="C349" s="217" t="str">
        <x:v>蘆洲區</x:v>
      </x:c>
      <x:c r="D349" s="217" t="n">
        <x:v>55</x:v>
      </x:c>
      <x:c r="E349" s="217" t="n">
        <x:v>120</x:v>
      </x:c>
      <x:c r="F349" s="218" t="n">
        <x:v>0.9994791666666667</x:v>
      </x:c>
      <x:c r="G349" s="217" t="n">
        <x:v>345</x:v>
      </x:c>
      <x:c r="H349" s="217" t="str">
        <x:f>IF(G349&lt;='排名定義'!$B$5,"是","")</x:f>
        <x:v>是</x:v>
      </x:c>
      <x:c r="I349" s="217" t="n">
        <x:v>356</x:v>
      </x:c>
      <x:c r="J349" s="217" t="str">
        <x:f>IF(I349&lt;='排名定義'!$B$5,"是","")</x:f>
        <x:v>是</x:v>
      </x:c>
      <x:c r="K349" s="217" t="n">
        <x:v>238</x:v>
      </x:c>
      <x:c r="L349" s="217" t="str">
        <x:f>IF(K349&lt;='排名定義'!$B$5,"是","")</x:f>
        <x:v>是</x:v>
      </x:c>
      <x:c r="M349" s="217" t="n">
        <x:f>COUNTIF(H349:L349,"是")</x:f>
        <x:v>3</x:v>
      </x:c>
      <x:c r="N349" s="217" t="str">
        <x:v>三份皆入選</x:v>
      </x:c>
      <x:c r="O349" s="220" t="n">
        <x:v>76.825</x:v>
      </x:c>
      <x:c r="P349" s="220" t="n">
        <x:v>69.96666666666667</x:v>
      </x:c>
      <x:c r="Q349" s="220" t="n">
        <x:v>6.858333333333333</x:v>
      </x:c>
      <x:c r="R349" s="220" t="n">
        <x:v>0.08927215533138085</x:v>
      </x:c>
      <x:c r="S349" s="220" t="n">
        <x:v>101.19354838709677</x:v>
      </x:c>
      <x:c r="T349" s="220" t="n">
        <x:v>95.09677419354838</x:v>
      </x:c>
      <x:c r="U349" s="220" t="n">
        <x:v>6.096774193548387</x:v>
      </x:c>
      <x:c r="V349" s="218" t="n">
        <x:v>0.009216589861751152</x:v>
      </x:c>
      <x:c r="W349" s="217" t="n">
        <x:v>7</x:v>
      </x:c>
      <x:c r="X349" s="222" t="n">
        <x:v>930</x:v>
      </x:c>
      <x:c r="Y349" s="217" t="n">
        <x:v>55</x:v>
      </x:c>
    </x:row>
    <x:row r="350">
      <x:c r="A350" s="216" t="n">
        <x:v>1371</x:v>
      </x:c>
      <x:c r="B350" s="216" t="str">
        <x:v>綠湖公園</x:v>
      </x:c>
      <x:c r="C350" s="216" t="str">
        <x:v>新店區</x:v>
      </x:c>
      <x:c r="D350" s="216" t="n">
        <x:v>44</x:v>
      </x:c>
      <x:c r="E350" s="216" t="n">
        <x:v>120</x:v>
      </x:c>
      <x:c r="F350" s="219" t="n">
        <x:v>0.9994791666666667</x:v>
      </x:c>
      <x:c r="G350" s="216" t="n">
        <x:v>346</x:v>
      </x:c>
      <x:c r="H350" s="216" t="str">
        <x:f>IF(G350&lt;='排名定義'!$B$5,"是","")</x:f>
        <x:v>是</x:v>
      </x:c>
      <x:c r="I350" s="216" t="n">
        <x:v>367</x:v>
      </x:c>
      <x:c r="J350" s="216" t="str">
        <x:f>IF(I350&lt;='排名定義'!$B$5,"是","")</x:f>
        <x:v>是</x:v>
      </x:c>
      <x:c r="K350" s="216" t="n">
        <x:v>150</x:v>
      </x:c>
      <x:c r="L350" s="216" t="str">
        <x:f>IF(K350&lt;='排名定義'!$B$5,"是","")</x:f>
        <x:v>是</x:v>
      </x:c>
      <x:c r="M350" s="216" t="n">
        <x:f>COUNTIF(H350:L350,"是")</x:f>
        <x:v>3</x:v>
      </x:c>
      <x:c r="N350" s="216" t="str">
        <x:v>三份皆入選</x:v>
      </x:c>
      <x:c r="O350" s="221" t="n">
        <x:v>76.81666666666666</x:v>
      </x:c>
      <x:c r="P350" s="221" t="n">
        <x:v>69.1</x:v>
      </x:c>
      <x:c r="Q350" s="221" t="n">
        <x:v>7.716666666666667</x:v>
      </x:c>
      <x:c r="R350" s="221" t="n">
        <x:v>0.10045563028856586</x:v>
      </x:c>
      <x:c r="S350" s="221" t="n">
        <x:v>112.03225806451613</x:v>
      </x:c>
      <x:c r="T350" s="221" t="n">
        <x:v>107.12903225806451</x:v>
      </x:c>
      <x:c r="U350" s="221" t="n">
        <x:v>4.903225806451613</x:v>
      </x:c>
      <x:c r="V350" s="219" t="n">
        <x:v>0.03456221198156682</x:v>
      </x:c>
      <x:c r="W350" s="216" t="n">
        <x:v>15</x:v>
      </x:c>
      <x:c r="X350" s="223" t="n">
        <x:v>2040</x:v>
      </x:c>
      <x:c r="Y350" s="216" t="n">
        <x:v>44</x:v>
      </x:c>
    </x:row>
    <x:row r="351">
      <x:c r="A351" s="217" t="n">
        <x:v>1117</x:v>
      </x:c>
      <x:c r="B351" s="217" t="str">
        <x:v>鷺江廣場</x:v>
      </x:c>
      <x:c r="C351" s="217" t="str">
        <x:v>蘆洲區</x:v>
      </x:c>
      <x:c r="D351" s="217" t="n">
        <x:v>32</x:v>
      </x:c>
      <x:c r="E351" s="217" t="n">
        <x:v>120</x:v>
      </x:c>
      <x:c r="F351" s="218" t="n">
        <x:v>0.9994791666666667</x:v>
      </x:c>
      <x:c r="G351" s="217" t="n">
        <x:v>347</x:v>
      </x:c>
      <x:c r="H351" s="217" t="str">
        <x:f>IF(G351&lt;='排名定義'!$B$5,"是","")</x:f>
        <x:v>是</x:v>
      </x:c>
      <x:c r="I351" s="217" t="n">
        <x:v>333</x:v>
      </x:c>
      <x:c r="J351" s="217" t="str">
        <x:f>IF(I351&lt;='排名定義'!$B$5,"是","")</x:f>
        <x:v>是</x:v>
      </x:c>
      <x:c r="K351" s="217" t="n">
        <x:v>486</x:v>
      </x:c>
      <x:c r="L351" s="217" t="str">
        <x:f>IF(K351&lt;='排名定義'!$B$5,"是","")</x:f>
        <x:v>是</x:v>
      </x:c>
      <x:c r="M351" s="217" t="n">
        <x:f>COUNTIF(H351:L351,"是")</x:f>
        <x:v>3</x:v>
      </x:c>
      <x:c r="N351" s="217" t="str">
        <x:v>總變動＋一般變動</x:v>
      </x:c>
      <x:c r="O351" s="220" t="n">
        <x:v>76.66666666666667</x:v>
      </x:c>
      <x:c r="P351" s="220" t="n">
        <x:v>71.44166666666666</x:v>
      </x:c>
      <x:c r="Q351" s="220" t="n">
        <x:v>5.225</x:v>
      </x:c>
      <x:c r="R351" s="220" t="n">
        <x:v>0.06815217391304348</x:v>
      </x:c>
      <x:c r="S351" s="220" t="n">
        <x:v>95.2258064516129</x:v>
      </x:c>
      <x:c r="T351" s="220" t="n">
        <x:v>89.48387096774194</x:v>
      </x:c>
      <x:c r="U351" s="220" t="n">
        <x:v>5.741935483870968</x:v>
      </x:c>
      <x:c r="V351" s="218" t="n">
        <x:v>0.052995391705069124</x:v>
      </x:c>
      <x:c r="W351" s="217" t="n">
        <x:v>14</x:v>
      </x:c>
      <x:c r="X351" s="222" t="n">
        <x:v>1950</x:v>
      </x:c>
      <x:c r="Y351" s="217" t="n">
        <x:v>32</x:v>
      </x:c>
    </x:row>
    <x:row r="352">
      <x:c r="A352" s="216" t="n">
        <x:v>662</x:v>
      </x:c>
      <x:c r="B352" s="216" t="str">
        <x:v>文化路一段212巷口</x:v>
      </x:c>
      <x:c r="C352" s="216" t="str">
        <x:v>板橋區</x:v>
      </x:c>
      <x:c r="D352" s="216" t="n">
        <x:v>20</x:v>
      </x:c>
      <x:c r="E352" s="216" t="n">
        <x:v>120</x:v>
      </x:c>
      <x:c r="F352" s="219" t="n">
        <x:v>0.9994791666666667</x:v>
      </x:c>
      <x:c r="G352" s="216" t="n">
        <x:v>348</x:v>
      </x:c>
      <x:c r="H352" s="216" t="str">
        <x:f>IF(G352&lt;='排名定義'!$B$5,"是","")</x:f>
        <x:v>是</x:v>
      </x:c>
      <x:c r="I352" s="216" t="n">
        <x:v>328</x:v>
      </x:c>
      <x:c r="J352" s="216" t="str">
        <x:f>IF(I352&lt;='排名定義'!$B$5,"是","")</x:f>
        <x:v>是</x:v>
      </x:c>
      <x:c r="K352" s="216" t="n">
        <x:v>577</x:v>
      </x:c>
      <x:c r="L352" s="216" t="str">
        <x:f>IF(K352&lt;='排名定義'!$B$5,"是","")</x:f>
        <x:v>是</x:v>
      </x:c>
      <x:c r="M352" s="216" t="n">
        <x:f>COUNTIF(H352:L352,"是")</x:f>
        <x:v>3</x:v>
      </x:c>
      <x:c r="N352" s="216" t="str">
        <x:v>總變動＋一般變動</x:v>
      </x:c>
      <x:c r="O352" s="221" t="n">
        <x:v>76.65</x:v>
      </x:c>
      <x:c r="P352" s="221" t="n">
        <x:v>71.84166666666667</x:v>
      </x:c>
      <x:c r="Q352" s="221" t="n">
        <x:v>4.808333333333334</x:v>
      </x:c>
      <x:c r="R352" s="221" t="n">
        <x:v>0.06273102848445314</x:v>
      </x:c>
      <x:c r="S352" s="221" t="n">
        <x:v>105.48387096774194</x:v>
      </x:c>
      <x:c r="T352" s="221" t="n">
        <x:v>99.74193548387096</x:v>
      </x:c>
      <x:c r="U352" s="221" t="n">
        <x:v>5.741935483870968</x:v>
      </x:c>
      <x:c r="V352" s="219" t="n">
        <x:v>0.14055299539170507</x:v>
      </x:c>
      <x:c r="W352" s="216" t="n">
        <x:v>34</x:v>
      </x:c>
      <x:c r="X352" s="223" t="n">
        <x:v>4740</x:v>
      </x:c>
      <x:c r="Y352" s="216" t="n">
        <x:v>20</x:v>
      </x:c>
    </x:row>
    <x:row r="353">
      <x:c r="A353" s="217" t="n">
        <x:v>301</x:v>
      </x:c>
      <x:c r="B353" s="217" t="str">
        <x:v>捷運淡水站(中正鼻頭街口)</x:v>
      </x:c>
      <x:c r="C353" s="217" t="str">
        <x:v>淡水區</x:v>
      </x:c>
      <x:c r="D353" s="217" t="n">
        <x:v>14</x:v>
      </x:c>
      <x:c r="E353" s="217" t="n">
        <x:v>120</x:v>
      </x:c>
      <x:c r="F353" s="218" t="n">
        <x:v>0.9994791666666667</x:v>
      </x:c>
      <x:c r="G353" s="217" t="n">
        <x:v>349</x:v>
      </x:c>
      <x:c r="H353" s="217" t="str">
        <x:f>IF(G353&lt;='排名定義'!$B$5,"是","")</x:f>
        <x:v>是</x:v>
      </x:c>
      <x:c r="I353" s="217" t="n">
        <x:v>330</x:v>
      </x:c>
      <x:c r="J353" s="217" t="str">
        <x:f>IF(I353&lt;='排名定義'!$B$5,"是","")</x:f>
        <x:v>是</x:v>
      </x:c>
      <x:c r="K353" s="217" t="n">
        <x:v>513</x:v>
      </x:c>
      <x:c r="L353" s="217" t="str">
        <x:f>IF(K353&lt;='排名定義'!$B$5,"是","")</x:f>
        <x:v>是</x:v>
      </x:c>
      <x:c r="M353" s="217" t="n">
        <x:f>COUNTIF(H353:L353,"是")</x:f>
        <x:v>3</x:v>
      </x:c>
      <x:c r="N353" s="217" t="str">
        <x:v>總變動＋一般變動</x:v>
      </x:c>
      <x:c r="O353" s="220" t="n">
        <x:v>76.6</x:v>
      </x:c>
      <x:c r="P353" s="220" t="n">
        <x:v>71.5</x:v>
      </x:c>
      <x:c r="Q353" s="220" t="n">
        <x:v>5.1</x:v>
      </x:c>
      <x:c r="R353" s="220" t="n">
        <x:v>0.06657963446475196</x:v>
      </x:c>
      <x:c r="S353" s="220" t="n">
        <x:v>102.25806451612904</x:v>
      </x:c>
      <x:c r="T353" s="220" t="n">
        <x:v>96.25806451612904</x:v>
      </x:c>
      <x:c r="U353" s="220" t="n">
        <x:v>6</x:v>
      </x:c>
      <x:c r="V353" s="218" t="n">
        <x:v>0.20506912442396313</x:v>
      </x:c>
      <x:c r="W353" s="217" t="n">
        <x:v>53</x:v>
      </x:c>
      <x:c r="X353" s="222" t="n">
        <x:v>8160</x:v>
      </x:c>
      <x:c r="Y353" s="217" t="n">
        <x:v>14</x:v>
      </x:c>
    </x:row>
    <x:row r="354">
      <x:c r="A354" s="216" t="n">
        <x:v>1354</x:v>
      </x:c>
      <x:c r="B354" s="216" t="str">
        <x:v>頂新祖田市民活動中心</x:v>
      </x:c>
      <x:c r="C354" s="216" t="str">
        <x:v>土城區</x:v>
      </x:c>
      <x:c r="D354" s="216" t="n">
        <x:v>43</x:v>
      </x:c>
      <x:c r="E354" s="216" t="n">
        <x:v>120</x:v>
      </x:c>
      <x:c r="F354" s="219" t="n">
        <x:v>0.9994791666666667</x:v>
      </x:c>
      <x:c r="G354" s="216" t="n">
        <x:v>350</x:v>
      </x:c>
      <x:c r="H354" s="216" t="str">
        <x:f>IF(G354&lt;='排名定義'!$B$5,"是","")</x:f>
        <x:v>是</x:v>
      </x:c>
      <x:c r="I354" s="216" t="n">
        <x:v>368</x:v>
      </x:c>
      <x:c r="J354" s="216" t="str">
        <x:f>IF(I354&lt;='排名定義'!$B$5,"是","")</x:f>
        <x:v>是</x:v>
      </x:c>
      <x:c r="K354" s="216" t="n">
        <x:v>190</x:v>
      </x:c>
      <x:c r="L354" s="216" t="str">
        <x:f>IF(K354&lt;='排名定義'!$B$5,"是","")</x:f>
        <x:v>是</x:v>
      </x:c>
      <x:c r="M354" s="216" t="n">
        <x:f>COUNTIF(H354:L354,"是")</x:f>
        <x:v>3</x:v>
      </x:c>
      <x:c r="N354" s="216" t="str">
        <x:v>三份皆入選</x:v>
      </x:c>
      <x:c r="O354" s="221" t="n">
        <x:v>76.35833333333333</x:v>
      </x:c>
      <x:c r="P354" s="221" t="n">
        <x:v>69.05833333333334</x:v>
      </x:c>
      <x:c r="Q354" s="221" t="n">
        <x:v>7.3</x:v>
      </x:c>
      <x:c r="R354" s="221" t="n">
        <x:v>0.09560187711448216</x:v>
      </x:c>
      <x:c r="S354" s="221" t="n">
        <x:v>35.45161290322581</x:v>
      </x:c>
      <x:c r="T354" s="221" t="n">
        <x:v>31.387096774193548</x:v>
      </x:c>
      <x:c r="U354" s="221" t="n">
        <x:v>4.064516129032258</x:v>
      </x:c>
      <x:c r="V354" s="219" t="n">
        <x:v>0.5921658986175116</x:v>
      </x:c>
      <x:c r="W354" s="216" t="n">
        <x:v>6</x:v>
      </x:c>
      <x:c r="X354" s="223" t="n">
        <x:v>26130</x:v>
      </x:c>
      <x:c r="Y354" s="216" t="n">
        <x:v>32</x:v>
      </x:c>
    </x:row>
    <x:row r="355">
      <x:c r="A355" s="217" t="n">
        <x:v>1236</x:v>
      </x:c>
      <x:c r="B355" s="217" t="str">
        <x:v>土城仁愛社區公園</x:v>
      </x:c>
      <x:c r="C355" s="217" t="str">
        <x:v>土城區</x:v>
      </x:c>
      <x:c r="D355" s="217" t="n">
        <x:v>39</x:v>
      </x:c>
      <x:c r="E355" s="217" t="n">
        <x:v>120</x:v>
      </x:c>
      <x:c r="F355" s="218" t="n">
        <x:v>0.9994791666666667</x:v>
      </x:c>
      <x:c r="G355" s="217" t="n">
        <x:v>351</x:v>
      </x:c>
      <x:c r="H355" s="217" t="str">
        <x:f>IF(G355&lt;='排名定義'!$B$5,"是","")</x:f>
        <x:v>是</x:v>
      </x:c>
      <x:c r="I355" s="217" t="n">
        <x:v>351</x:v>
      </x:c>
      <x:c r="J355" s="217" t="str">
        <x:f>IF(I355&lt;='排名定義'!$B$5,"是","")</x:f>
        <x:v>是</x:v>
      </x:c>
      <x:c r="K355" s="217" t="n">
        <x:v>337</x:v>
      </x:c>
      <x:c r="L355" s="217" t="str">
        <x:f>IF(K355&lt;='排名定義'!$B$5,"是","")</x:f>
        <x:v>是</x:v>
      </x:c>
      <x:c r="M355" s="217" t="n">
        <x:f>COUNTIF(H355:L355,"是")</x:f>
        <x:v>3</x:v>
      </x:c>
      <x:c r="N355" s="217" t="str">
        <x:v>三份皆入選</x:v>
      </x:c>
      <x:c r="O355" s="220" t="n">
        <x:v>76.24166666666666</x:v>
      </x:c>
      <x:c r="P355" s="220" t="n">
        <x:v>70.14166666666667</x:v>
      </x:c>
      <x:c r="Q355" s="220" t="n">
        <x:v>6.1</x:v>
      </x:c>
      <x:c r="R355" s="220" t="n">
        <x:v>0.08000874412504098</x:v>
      </x:c>
      <x:c r="S355" s="220" t="n">
        <x:v>99.80645161290323</x:v>
      </x:c>
      <x:c r="T355" s="220" t="n">
        <x:v>94.54838709677419</x:v>
      </x:c>
      <x:c r="U355" s="220" t="n">
        <x:v>5.258064516129032</x:v>
      </x:c>
      <x:c r="V355" s="218" t="n">
        <x:v>0.07142857142857142</x:v>
      </x:c>
      <x:c r="W355" s="217" t="n">
        <x:v>15</x:v>
      </x:c>
      <x:c r="X355" s="222" t="n">
        <x:v>1770</x:v>
      </x:c>
      <x:c r="Y355" s="217" t="n">
        <x:v>39</x:v>
      </x:c>
    </x:row>
    <x:row r="356">
      <x:c r="A356" s="216" t="n">
        <x:v>1390</x:v>
      </x:c>
      <x:c r="B356" s="216" t="str">
        <x:v>中華自治街口</x:v>
      </x:c>
      <x:c r="C356" s="216" t="str">
        <x:v>新莊區</x:v>
      </x:c>
      <x:c r="D356" s="216" t="n">
        <x:v>46</x:v>
      </x:c>
      <x:c r="E356" s="216" t="n">
        <x:v>120</x:v>
      </x:c>
      <x:c r="F356" s="219" t="n">
        <x:v>0.9994791666666667</x:v>
      </x:c>
      <x:c r="G356" s="216" t="n">
        <x:v>352</x:v>
      </x:c>
      <x:c r="H356" s="216" t="str">
        <x:f>IF(G356&lt;='排名定義'!$B$5,"是","")</x:f>
        <x:v>是</x:v>
      </x:c>
      <x:c r="I356" s="216" t="n">
        <x:v>369</x:v>
      </x:c>
      <x:c r="J356" s="216" t="str">
        <x:f>IF(I356&lt;='排名定義'!$B$5,"是","")</x:f>
        <x:v>是</x:v>
      </x:c>
      <x:c r="K356" s="216" t="n">
        <x:v>222</x:v>
      </x:c>
      <x:c r="L356" s="216" t="str">
        <x:f>IF(K356&lt;='排名定義'!$B$5,"是","")</x:f>
        <x:v>是</x:v>
      </x:c>
      <x:c r="M356" s="216" t="n">
        <x:f>COUNTIF(H356:L356,"是")</x:f>
        <x:v>3</x:v>
      </x:c>
      <x:c r="N356" s="216" t="str">
        <x:v>三份皆入選</x:v>
      </x:c>
      <x:c r="O356" s="221" t="n">
        <x:v>76.05833333333334</x:v>
      </x:c>
      <x:c r="P356" s="221" t="n">
        <x:v>69.03333333333333</x:v>
      </x:c>
      <x:c r="Q356" s="221" t="n">
        <x:v>7.025</x:v>
      </x:c>
      <x:c r="R356" s="221" t="n">
        <x:v>0.09236331762901281</x:v>
      </x:c>
      <x:c r="S356" s="221" t="n">
        <x:v>95.35483870967742</x:v>
      </x:c>
      <x:c r="T356" s="221" t="n">
        <x:v>91.48387096774194</x:v>
      </x:c>
      <x:c r="U356" s="221" t="n">
        <x:v>3.870967741935484</x:v>
      </x:c>
      <x:c r="V356" s="219" t="n">
        <x:v>0.07834101382488479</x:v>
      </x:c>
      <x:c r="W356" s="216" t="n">
        <x:v>24</x:v>
      </x:c>
      <x:c r="X356" s="223" t="n">
        <x:v>2700</x:v>
      </x:c>
      <x:c r="Y356" s="216" t="n">
        <x:v>46</x:v>
      </x:c>
    </x:row>
    <x:row r="357">
      <x:c r="A357" s="217" t="n">
        <x:v>596</x:v>
      </x:c>
      <x:c r="B357" s="217" t="str">
        <x:v>壽德新村</x:v>
      </x:c>
      <x:c r="C357" s="217" t="str">
        <x:v>中和區</x:v>
      </x:c>
      <x:c r="D357" s="217" t="n">
        <x:v>18</x:v>
      </x:c>
      <x:c r="E357" s="217" t="n">
        <x:v>120</x:v>
      </x:c>
      <x:c r="F357" s="218" t="n">
        <x:v>0.9994791666666667</x:v>
      </x:c>
      <x:c r="G357" s="217" t="n">
        <x:v>353</x:v>
      </x:c>
      <x:c r="H357" s="217" t="str">
        <x:f>IF(G357&lt;='排名定義'!$B$5,"是","")</x:f>
        <x:v>是</x:v>
      </x:c>
      <x:c r="I357" s="217" t="n">
        <x:v>338</x:v>
      </x:c>
      <x:c r="J357" s="217" t="str">
        <x:f>IF(I357&lt;='排名定義'!$B$5,"是","")</x:f>
        <x:v>是</x:v>
      </x:c>
      <x:c r="K357" s="217" t="n">
        <x:v>590</x:v>
      </x:c>
      <x:c r="L357" s="217" t="str">
        <x:f>IF(K357&lt;='排名定義'!$B$5,"是","")</x:f>
        <x:v>是</x:v>
      </x:c>
      <x:c r="M357" s="217" t="n">
        <x:f>COUNTIF(H357:L357,"是")</x:f>
        <x:v>3</x:v>
      </x:c>
      <x:c r="N357" s="217" t="str">
        <x:v>總變動＋一般變動</x:v>
      </x:c>
      <x:c r="O357" s="220" t="n">
        <x:v>75.89166666666667</x:v>
      </x:c>
      <x:c r="P357" s="220" t="n">
        <x:v>71.15</x:v>
      </x:c>
      <x:c r="Q357" s="220" t="n">
        <x:v>4.741666666666666</x:v>
      </x:c>
      <x:c r="R357" s="220" t="n">
        <x:v>0.06247941144174811</x:v>
      </x:c>
      <x:c r="S357" s="220" t="n">
        <x:v>99.2258064516129</x:v>
      </x:c>
      <x:c r="T357" s="220" t="n">
        <x:v>94.7741935483871</x:v>
      </x:c>
      <x:c r="U357" s="220" t="n">
        <x:v>4.451612903225806</x:v>
      </x:c>
      <x:c r="V357" s="218" t="n">
        <x:v>0.07373271889400922</x:v>
      </x:c>
      <x:c r="W357" s="217" t="n">
        <x:v>13</x:v>
      </x:c>
      <x:c r="X357" s="222" t="n">
        <x:v>2400</x:v>
      </x:c>
      <x:c r="Y357" s="217" t="n">
        <x:v>18</x:v>
      </x:c>
    </x:row>
    <x:row r="358">
      <x:c r="A358" s="216" t="n">
        <x:v>1383</x:v>
      </x:c>
      <x:c r="B358" s="216" t="str">
        <x:v>新北市立圖書館三重分館</x:v>
      </x:c>
      <x:c r="C358" s="216" t="str">
        <x:v>三重區</x:v>
      </x:c>
      <x:c r="D358" s="216" t="n">
        <x:v>45</x:v>
      </x:c>
      <x:c r="E358" s="216" t="n">
        <x:v>120</x:v>
      </x:c>
      <x:c r="F358" s="219" t="n">
        <x:v>0.9994791666666667</x:v>
      </x:c>
      <x:c r="G358" s="216" t="n">
        <x:v>354</x:v>
      </x:c>
      <x:c r="H358" s="216" t="str">
        <x:f>IF(G358&lt;='排名定義'!$B$5,"是","")</x:f>
        <x:v>是</x:v>
      </x:c>
      <x:c r="I358" s="216" t="n">
        <x:v>353</x:v>
      </x:c>
      <x:c r="J358" s="216" t="str">
        <x:f>IF(I358&lt;='排名定義'!$B$5,"是","")</x:f>
        <x:v>是</x:v>
      </x:c>
      <x:c r="K358" s="216" t="n">
        <x:v>391</x:v>
      </x:c>
      <x:c r="L358" s="216" t="str">
        <x:f>IF(K358&lt;='排名定義'!$B$5,"是","")</x:f>
        <x:v>是</x:v>
      </x:c>
      <x:c r="M358" s="216" t="n">
        <x:f>COUNTIF(H358:L358,"是")</x:f>
        <x:v>3</x:v>
      </x:c>
      <x:c r="N358" s="216" t="str">
        <x:v>總變動＋一般變動</x:v>
      </x:c>
      <x:c r="O358" s="221" t="n">
        <x:v>75.86666666666666</x:v>
      </x:c>
      <x:c r="P358" s="221" t="n">
        <x:v>70.10833333333333</x:v>
      </x:c>
      <x:c r="Q358" s="221" t="n">
        <x:v>5.758333333333334</x:v>
      </x:c>
      <x:c r="R358" s="221" t="n">
        <x:v>0.07590070298769772</x:v>
      </x:c>
      <x:c r="S358" s="221" t="n">
        <x:v>81.19354838709677</x:v>
      </x:c>
      <x:c r="T358" s="221" t="n">
        <x:v>77.51612903225806</x:v>
      </x:c>
      <x:c r="U358" s="221" t="n">
        <x:v>3.6774193548387095</x:v>
      </x:c>
      <x:c r="V358" s="219" t="n">
        <x:v>0.11059907834101383</x:v>
      </x:c>
      <x:c r="W358" s="216" t="n">
        <x:v>24</x:v>
      </x:c>
      <x:c r="X358" s="223" t="n">
        <x:v>3990</x:v>
      </x:c>
      <x:c r="Y358" s="216" t="n">
        <x:v>45</x:v>
      </x:c>
    </x:row>
    <x:row r="359">
      <x:c r="A359" s="217" t="n">
        <x:v>800</x:v>
      </x:c>
      <x:c r="B359" s="217" t="str">
        <x:v>捷運江子翠站(6號出口)</x:v>
      </x:c>
      <x:c r="C359" s="217" t="str">
        <x:v>板橋區</x:v>
      </x:c>
      <x:c r="D359" s="217" t="n">
        <x:v>22</x:v>
      </x:c>
      <x:c r="E359" s="217" t="n">
        <x:v>120</x:v>
      </x:c>
      <x:c r="F359" s="218" t="n">
        <x:v>0.9994791666666667</x:v>
      </x:c>
      <x:c r="G359" s="217" t="n">
        <x:v>355</x:v>
      </x:c>
      <x:c r="H359" s="217" t="str">
        <x:f>IF(G359&lt;='排名定義'!$B$5,"是","")</x:f>
        <x:v>是</x:v>
      </x:c>
      <x:c r="I359" s="217" t="n">
        <x:v>352</x:v>
      </x:c>
      <x:c r="J359" s="217" t="str">
        <x:f>IF(I359&lt;='排名定義'!$B$5,"是","")</x:f>
        <x:v>是</x:v>
      </x:c>
      <x:c r="K359" s="217" t="n">
        <x:v>416</x:v>
      </x:c>
      <x:c r="L359" s="217" t="str">
        <x:f>IF(K359&lt;='排名定義'!$B$5,"是","")</x:f>
        <x:v>是</x:v>
      </x:c>
      <x:c r="M359" s="217" t="n">
        <x:f>COUNTIF(H359:L359,"是")</x:f>
        <x:v>3</x:v>
      </x:c>
      <x:c r="N359" s="217" t="str">
        <x:v>總變動＋一般變動</x:v>
      </x:c>
      <x:c r="O359" s="220" t="n">
        <x:v>75.71666666666667</x:v>
      </x:c>
      <x:c r="P359" s="220" t="n">
        <x:v>70.10833333333333</x:v>
      </x:c>
      <x:c r="Q359" s="220" t="n">
        <x:v>5.608333333333333</x:v>
      </x:c>
      <x:c r="R359" s="220" t="n">
        <x:v>0.07406999779881136</x:v>
      </x:c>
      <x:c r="S359" s="220" t="n">
        <x:v>96</x:v>
      </x:c>
      <x:c r="T359" s="220" t="n">
        <x:v>90.7741935483871</x:v>
      </x:c>
      <x:c r="U359" s="220" t="n">
        <x:v>5.225806451612903</x:v>
      </x:c>
      <x:c r="V359" s="218" t="n">
        <x:v>0.2304147465437788</x:v>
      </x:c>
      <x:c r="W359" s="217" t="n">
        <x:v>81</x:v>
      </x:c>
      <x:c r="X359" s="222" t="n">
        <x:v>9660</x:v>
      </x:c>
      <x:c r="Y359" s="217" t="n">
        <x:v>22</x:v>
      </x:c>
    </x:row>
    <x:row r="360">
      <x:c r="A360" s="216" t="n">
        <x:v>1399</x:v>
      </x:c>
      <x:c r="B360" s="216" t="str">
        <x:v>碧河宮</x:v>
      </x:c>
      <x:c r="C360" s="216" t="str">
        <x:v>中和區</x:v>
      </x:c>
      <x:c r="D360" s="216" t="n">
        <x:v>46</x:v>
      </x:c>
      <x:c r="E360" s="216" t="n">
        <x:v>120</x:v>
      </x:c>
      <x:c r="F360" s="219" t="n">
        <x:v>0.9994791666666667</x:v>
      </x:c>
      <x:c r="G360" s="216" t="n">
        <x:v>356</x:v>
      </x:c>
      <x:c r="H360" s="216" t="str">
        <x:f>IF(G360&lt;='排名定義'!$B$5,"是","")</x:f>
        <x:v>是</x:v>
      </x:c>
      <x:c r="I360" s="216" t="n">
        <x:v>375</x:v>
      </x:c>
      <x:c r="J360" s="216" t="str">
        <x:f>IF(I360&lt;='排名定義'!$B$5,"是","")</x:f>
        <x:v>是</x:v>
      </x:c>
      <x:c r="K360" s="216" t="n">
        <x:v>220</x:v>
      </x:c>
      <x:c r="L360" s="216" t="str">
        <x:f>IF(K360&lt;='排名定義'!$B$5,"是","")</x:f>
        <x:v>是</x:v>
      </x:c>
      <x:c r="M360" s="216" t="n">
        <x:f>COUNTIF(H360:L360,"是")</x:f>
        <x:v>3</x:v>
      </x:c>
      <x:c r="N360" s="216" t="str">
        <x:v>總變動＋大幅變動</x:v>
      </x:c>
      <x:c r="O360" s="221" t="n">
        <x:v>75.6</x:v>
      </x:c>
      <x:c r="P360" s="221" t="n">
        <x:v>68.56666666666666</x:v>
      </x:c>
      <x:c r="Q360" s="221" t="n">
        <x:v>7.033333333333333</x:v>
      </x:c>
      <x:c r="R360" s="221" t="n">
        <x:v>0.09303350970017636</x:v>
      </x:c>
      <x:c r="S360" s="221" t="n">
        <x:v>108.74193548387096</x:v>
      </x:c>
      <x:c r="T360" s="221" t="n">
        <x:v>103.96774193548387</x:v>
      </x:c>
      <x:c r="U360" s="221" t="n">
        <x:v>4.774193548387097</x:v>
      </x:c>
      <x:c r="V360" s="219" t="n">
        <x:v>0.027649769585253458</x:v>
      </x:c>
      <x:c r="W360" s="216" t="n">
        <x:v>7</x:v>
      </x:c>
      <x:c r="X360" s="223" t="n">
        <x:v>630</x:v>
      </x:c>
      <x:c r="Y360" s="216" t="n">
        <x:v>46</x:v>
      </x:c>
    </x:row>
    <x:row r="361">
      <x:c r="A361" s="217" t="n">
        <x:v>1031</x:v>
      </x:c>
      <x:c r="B361" s="217" t="str">
        <x:v>新北市工商展覽中心</x:v>
      </x:c>
      <x:c r="C361" s="217" t="str">
        <x:v>五股區</x:v>
      </x:c>
      <x:c r="D361" s="217" t="n">
        <x:v>30</x:v>
      </x:c>
      <x:c r="E361" s="217" t="n">
        <x:v>120</x:v>
      </x:c>
      <x:c r="F361" s="218" t="n">
        <x:v>0.9994791666666667</x:v>
      </x:c>
      <x:c r="G361" s="217" t="n">
        <x:v>357</x:v>
      </x:c>
      <x:c r="H361" s="217" t="str">
        <x:f>IF(G361&lt;='排名定義'!$B$5,"是","")</x:f>
        <x:v>是</x:v>
      </x:c>
      <x:c r="I361" s="217" t="n">
        <x:v>377</x:v>
      </x:c>
      <x:c r="J361" s="217" t="str">
        <x:f>IF(I361&lt;='排名定義'!$B$5,"是","")</x:f>
        <x:v>是</x:v>
      </x:c>
      <x:c r="K361" s="217" t="n">
        <x:v>183</x:v>
      </x:c>
      <x:c r="L361" s="217" t="str">
        <x:f>IF(K361&lt;='排名定義'!$B$5,"是","")</x:f>
        <x:v>是</x:v>
      </x:c>
      <x:c r="M361" s="217" t="n">
        <x:f>COUNTIF(H361:L361,"是")</x:f>
        <x:v>3</x:v>
      </x:c>
      <x:c r="N361" s="217" t="str">
        <x:v>總變動＋大幅變動</x:v>
      </x:c>
      <x:c r="O361" s="220" t="n">
        <x:v>75.59166666666667</x:v>
      </x:c>
      <x:c r="P361" s="220" t="n">
        <x:v>68.2</x:v>
      </x:c>
      <x:c r="Q361" s="220" t="n">
        <x:v>7.391666666666667</x:v>
      </x:c>
      <x:c r="R361" s="220" t="n">
        <x:v>0.09778414728254878</x:v>
      </x:c>
      <x:c r="S361" s="220" t="n">
        <x:v>112.19354838709677</x:v>
      </x:c>
      <x:c r="T361" s="220" t="n">
        <x:v>102.80645161290323</x:v>
      </x:c>
      <x:c r="U361" s="220" t="n">
        <x:v>9.387096774193548</x:v>
      </x:c>
      <x:c r="V361" s="218" t="n">
        <x:v>0.041474654377880185</x:v>
      </x:c>
      <x:c r="W361" s="217" t="n">
        <x:v>17</x:v>
      </x:c>
      <x:c r="X361" s="222" t="n">
        <x:v>2160</x:v>
      </x:c>
      <x:c r="Y361" s="217" t="n">
        <x:v>40</x:v>
      </x:c>
    </x:row>
    <x:row r="362">
      <x:c r="A362" s="216" t="n">
        <x:v>474</x:v>
      </x:c>
      <x:c r="B362" s="216" t="str">
        <x:v>光華長榮路口</x:v>
      </x:c>
      <x:c r="C362" s="216" t="str">
        <x:v>蘆洲區</x:v>
      </x:c>
      <x:c r="D362" s="216" t="n">
        <x:v>16</x:v>
      </x:c>
      <x:c r="E362" s="216" t="n">
        <x:v>120</x:v>
      </x:c>
      <x:c r="F362" s="219" t="n">
        <x:v>0.9994791666666667</x:v>
      </x:c>
      <x:c r="G362" s="216" t="n">
        <x:v>358</x:v>
      </x:c>
      <x:c r="H362" s="216" t="str">
        <x:f>IF(G362&lt;='排名定義'!$B$5,"是","")</x:f>
        <x:v>是</x:v>
      </x:c>
      <x:c r="I362" s="216" t="n">
        <x:v>346</x:v>
      </x:c>
      <x:c r="J362" s="216" t="str">
        <x:f>IF(I362&lt;='排名定義'!$B$5,"是","")</x:f>
        <x:v>是</x:v>
      </x:c>
      <x:c r="K362" s="216" t="n">
        <x:v>549</x:v>
      </x:c>
      <x:c r="L362" s="216" t="str">
        <x:f>IF(K362&lt;='排名定義'!$B$5,"是","")</x:f>
        <x:v>是</x:v>
      </x:c>
      <x:c r="M362" s="216" t="n">
        <x:f>COUNTIF(H362:L362,"是")</x:f>
        <x:v>3</x:v>
      </x:c>
      <x:c r="N362" s="216" t="str">
        <x:v>總變動＋一般變動</x:v>
      </x:c>
      <x:c r="O362" s="221" t="n">
        <x:v>75.50833333333334</x:v>
      </x:c>
      <x:c r="P362" s="221" t="n">
        <x:v>70.6</x:v>
      </x:c>
      <x:c r="Q362" s="221" t="n">
        <x:v>4.908333333333333</x:v>
      </x:c>
      <x:c r="R362" s="221" t="n">
        <x:v>0.06500386270831034</x:v>
      </x:c>
      <x:c r="S362" s="221" t="n">
        <x:v>95.64516129032258</x:v>
      </x:c>
      <x:c r="T362" s="221" t="n">
        <x:v>91.74193548387096</x:v>
      </x:c>
      <x:c r="U362" s="221" t="n">
        <x:v>3.903225806451613</x:v>
      </x:c>
      <x:c r="V362" s="219" t="n">
        <x:v>0.08755760368663594</x:v>
      </x:c>
      <x:c r="W362" s="216" t="n">
        <x:v>18</x:v>
      </x:c>
      <x:c r="X362" s="223" t="n">
        <x:v>2490</x:v>
      </x:c>
      <x:c r="Y362" s="216" t="n">
        <x:v>16</x:v>
      </x:c>
    </x:row>
    <x:row r="363">
      <x:c r="A363" s="217" t="n">
        <x:v>1280</x:v>
      </x:c>
      <x:c r="B363" s="217" t="str">
        <x:v>莊園街(金城舞5社區)</x:v>
      </x:c>
      <x:c r="C363" s="217" t="str">
        <x:v>土城區</x:v>
      </x:c>
      <x:c r="D363" s="217" t="n">
        <x:v>40</x:v>
      </x:c>
      <x:c r="E363" s="217" t="n">
        <x:v>120</x:v>
      </x:c>
      <x:c r="F363" s="218" t="n">
        <x:v>0.9994791666666667</x:v>
      </x:c>
      <x:c r="G363" s="217" t="n">
        <x:v>359</x:v>
      </x:c>
      <x:c r="H363" s="217" t="str">
        <x:f>IF(G363&lt;='排名定義'!$B$5,"是","")</x:f>
        <x:v>是</x:v>
      </x:c>
      <x:c r="I363" s="217" t="n">
        <x:v>362</x:v>
      </x:c>
      <x:c r="J363" s="217" t="str">
        <x:f>IF(I363&lt;='排名定義'!$B$5,"是","")</x:f>
        <x:v>是</x:v>
      </x:c>
      <x:c r="K363" s="217" t="n">
        <x:v>377</x:v>
      </x:c>
      <x:c r="L363" s="217" t="str">
        <x:f>IF(K363&lt;='排名定義'!$B$5,"是","")</x:f>
        <x:v>是</x:v>
      </x:c>
      <x:c r="M363" s="217" t="n">
        <x:f>COUNTIF(H363:L363,"是")</x:f>
        <x:v>3</x:v>
      </x:c>
      <x:c r="N363" s="217" t="str">
        <x:v>總變動＋一般變動</x:v>
      </x:c>
      <x:c r="O363" s="220" t="n">
        <x:v>75.45</x:v>
      </x:c>
      <x:c r="P363" s="220" t="n">
        <x:v>69.6</x:v>
      </x:c>
      <x:c r="Q363" s="220" t="n">
        <x:v>5.85</x:v>
      </x:c>
      <x:c r="R363" s="220" t="n">
        <x:v>0.0775347912524851</x:v>
      </x:c>
      <x:c r="S363" s="220" t="n">
        <x:v>97.74193548387096</x:v>
      </x:c>
      <x:c r="T363" s="220" t="n">
        <x:v>93.16129032258064</x:v>
      </x:c>
      <x:c r="U363" s="220" t="n">
        <x:v>4.580645161290323</x:v>
      </x:c>
      <x:c r="V363" s="218" t="n">
        <x:v>0.1175115207373272</x:v>
      </x:c>
      <x:c r="W363" s="217" t="n">
        <x:v>23</x:v>
      </x:c>
      <x:c r="X363" s="222" t="n">
        <x:v>3060</x:v>
      </x:c>
      <x:c r="Y363" s="217" t="n">
        <x:v>40</x:v>
      </x:c>
    </x:row>
    <x:row r="364">
      <x:c r="A364" s="216" t="n">
        <x:v>1372</x:v>
      </x:c>
      <x:c r="B364" s="216" t="str">
        <x:v>頂溪國小</x:v>
      </x:c>
      <x:c r="C364" s="216" t="str">
        <x:v>永和區</x:v>
      </x:c>
      <x:c r="D364" s="216" t="n">
        <x:v>44</x:v>
      </x:c>
      <x:c r="E364" s="216" t="n">
        <x:v>120</x:v>
      </x:c>
      <x:c r="F364" s="219" t="n">
        <x:v>0.9994791666666667</x:v>
      </x:c>
      <x:c r="G364" s="216" t="n">
        <x:v>360</x:v>
      </x:c>
      <x:c r="H364" s="216" t="str">
        <x:f>IF(G364&lt;='排名定義'!$B$5,"是","")</x:f>
        <x:v>是</x:v>
      </x:c>
      <x:c r="I364" s="216" t="n">
        <x:v>361</x:v>
      </x:c>
      <x:c r="J364" s="216" t="str">
        <x:f>IF(I364&lt;='排名定義'!$B$5,"是","")</x:f>
        <x:v>是</x:v>
      </x:c>
      <x:c r="K364" s="216" t="n">
        <x:v>400</x:v>
      </x:c>
      <x:c r="L364" s="216" t="str">
        <x:f>IF(K364&lt;='排名定義'!$B$5,"是","")</x:f>
        <x:v>是</x:v>
      </x:c>
      <x:c r="M364" s="216" t="n">
        <x:f>COUNTIF(H364:L364,"是")</x:f>
        <x:v>3</x:v>
      </x:c>
      <x:c r="N364" s="216" t="str">
        <x:v>總變動＋一般變動</x:v>
      </x:c>
      <x:c r="O364" s="221" t="n">
        <x:v>75.44166666666666</x:v>
      </x:c>
      <x:c r="P364" s="221" t="n">
        <x:v>69.70833333333333</x:v>
      </x:c>
      <x:c r="Q364" s="221" t="n">
        <x:v>5.733333333333333</x:v>
      </x:c>
      <x:c r="R364" s="221" t="n">
        <x:v>0.07599690710261792</x:v>
      </x:c>
      <x:c r="S364" s="221" t="n">
        <x:v>98.48387096774194</x:v>
      </x:c>
      <x:c r="T364" s="221" t="n">
        <x:v>93.35483870967742</x:v>
      </x:c>
      <x:c r="U364" s="221" t="n">
        <x:v>5.129032258064516</x:v>
      </x:c>
      <x:c r="V364" s="219" t="n">
        <x:v>0.08525345622119816</x:v>
      </x:c>
      <x:c r="W364" s="216" t="n">
        <x:v>21</x:v>
      </x:c>
      <x:c r="X364" s="223" t="n">
        <x:v>2610</x:v>
      </x:c>
      <x:c r="Y364" s="216" t="n">
        <x:v>44</x:v>
      </x:c>
    </x:row>
    <x:row r="365">
      <x:c r="A365" s="217" t="n">
        <x:v>351</x:v>
      </x:c>
      <x:c r="B365" s="217" t="str">
        <x:v>安平橋</x:v>
      </x:c>
      <x:c r="C365" s="217" t="str">
        <x:v>中和區</x:v>
      </x:c>
      <x:c r="D365" s="217" t="n">
        <x:v>27</x:v>
      </x:c>
      <x:c r="E365" s="217" t="n">
        <x:v>120</x:v>
      </x:c>
      <x:c r="F365" s="218" t="n">
        <x:v>0.9994791666666667</x:v>
      </x:c>
      <x:c r="G365" s="217" t="n">
        <x:v>361</x:v>
      </x:c>
      <x:c r="H365" s="217" t="str">
        <x:f>IF(G365&lt;='排名定義'!$B$5,"是","")</x:f>
        <x:v>是</x:v>
      </x:c>
      <x:c r="I365" s="217" t="n">
        <x:v>359</x:v>
      </x:c>
      <x:c r="J365" s="217" t="str">
        <x:f>IF(I365&lt;='排名定義'!$B$5,"是","")</x:f>
        <x:v>是</x:v>
      </x:c>
      <x:c r="K365" s="217" t="n">
        <x:v>423</x:v>
      </x:c>
      <x:c r="L365" s="217" t="str">
        <x:f>IF(K365&lt;='排名定義'!$B$5,"是","")</x:f>
        <x:v>是</x:v>
      </x:c>
      <x:c r="M365" s="217" t="n">
        <x:f>COUNTIF(H365:L365,"是")</x:f>
        <x:v>3</x:v>
      </x:c>
      <x:c r="N365" s="217" t="str">
        <x:v>總變動＋一般變動</x:v>
      </x:c>
      <x:c r="O365" s="220" t="n">
        <x:v>75.39166666666667</x:v>
      </x:c>
      <x:c r="P365" s="220" t="n">
        <x:v>69.83333333333333</x:v>
      </x:c>
      <x:c r="Q365" s="220" t="n">
        <x:v>5.558333333333334</x:v>
      </x:c>
      <x:c r="R365" s="220" t="n">
        <x:v>0.07372609704874544</x:v>
      </x:c>
      <x:c r="S365" s="220" t="n">
        <x:v>102.16129032258064</x:v>
      </x:c>
      <x:c r="T365" s="220" t="n">
        <x:v>98.3225806451613</x:v>
      </x:c>
      <x:c r="U365" s="220" t="n">
        <x:v>3.838709677419355</x:v>
      </x:c>
      <x:c r="V365" s="218" t="n">
        <x:v>0.059907834101382486</x:v>
      </x:c>
      <x:c r="W365" s="217" t="n">
        <x:v>12</x:v>
      </x:c>
      <x:c r="X365" s="222" t="n">
        <x:v>2040</x:v>
      </x:c>
      <x:c r="Y365" s="217" t="n">
        <x:v>27</x:v>
      </x:c>
    </x:row>
    <x:row r="366">
      <x:c r="A366" s="216" t="n">
        <x:v>1397</x:v>
      </x:c>
      <x:c r="B366" s="216" t="str">
        <x:v>清水高中</x:v>
      </x:c>
      <x:c r="C366" s="216" t="str">
        <x:v>土城區</x:v>
      </x:c>
      <x:c r="D366" s="216" t="n">
        <x:v>46</x:v>
      </x:c>
      <x:c r="E366" s="216" t="n">
        <x:v>120</x:v>
      </x:c>
      <x:c r="F366" s="219" t="n">
        <x:v>0.9994791666666667</x:v>
      </x:c>
      <x:c r="G366" s="216" t="n">
        <x:v>362</x:v>
      </x:c>
      <x:c r="H366" s="216" t="str">
        <x:f>IF(G366&lt;='排名定義'!$B$5,"是","")</x:f>
        <x:v>是</x:v>
      </x:c>
      <x:c r="I366" s="216" t="n">
        <x:v>402</x:v>
      </x:c>
      <x:c r="J366" s="216" t="str">
        <x:f>IF(I366&lt;='排名定義'!$B$5,"是","")</x:f>
        <x:v>是</x:v>
      </x:c>
      <x:c r="K366" s="216" t="n">
        <x:v>78</x:v>
      </x:c>
      <x:c r="L366" s="216" t="str">
        <x:f>IF(K366&lt;='排名定義'!$B$5,"是","")</x:f>
        <x:v>是</x:v>
      </x:c>
      <x:c r="M366" s="216" t="n">
        <x:f>COUNTIF(H366:L366,"是")</x:f>
        <x:v>3</x:v>
      </x:c>
      <x:c r="N366" s="216" t="str">
        <x:v>總變動＋大幅變動</x:v>
      </x:c>
      <x:c r="O366" s="221" t="n">
        <x:v>75.38333333333334</x:v>
      </x:c>
      <x:c r="P366" s="221" t="n">
        <x:v>66.26666666666667</x:v>
      </x:c>
      <x:c r="Q366" s="221" t="n">
        <x:v>9.116666666666667</x:v>
      </x:c>
      <x:c r="R366" s="221" t="n">
        <x:v>0.12093743090868893</x:v>
      </x:c>
      <x:c r="S366" s="221" t="n">
        <x:v>101.48387096774194</x:v>
      </x:c>
      <x:c r="T366" s="221" t="n">
        <x:v>92.64516129032258</x:v>
      </x:c>
      <x:c r="U366" s="221" t="n">
        <x:v>8.838709677419354</x:v>
      </x:c>
      <x:c r="V366" s="219" t="n">
        <x:v>0.10368663594470046</x:v>
      </x:c>
      <x:c r="W366" s="216" t="n">
        <x:v>14</x:v>
      </x:c>
      <x:c r="X366" s="223" t="n">
        <x:v>2100</x:v>
      </x:c>
      <x:c r="Y366" s="216" t="n">
        <x:v>46</x:v>
      </x:c>
    </x:row>
    <x:row r="367">
      <x:c r="A367" s="217" t="n">
        <x:v>582</x:v>
      </x:c>
      <x:c r="B367" s="217" t="str">
        <x:v>板橋國小</x:v>
      </x:c>
      <x:c r="C367" s="217" t="str">
        <x:v>板橋區</x:v>
      </x:c>
      <x:c r="D367" s="217" t="n">
        <x:v>18</x:v>
      </x:c>
      <x:c r="E367" s="217" t="n">
        <x:v>120</x:v>
      </x:c>
      <x:c r="F367" s="218" t="n">
        <x:v>0.9994791666666667</x:v>
      </x:c>
      <x:c r="G367" s="217" t="n">
        <x:v>363</x:v>
      </x:c>
      <x:c r="H367" s="217" t="str">
        <x:f>IF(G367&lt;='排名定義'!$B$5,"是","")</x:f>
        <x:v>是</x:v>
      </x:c>
      <x:c r="I367" s="217" t="n">
        <x:v>348</x:v>
      </x:c>
      <x:c r="J367" s="217" t="str">
        <x:f>IF(I367&lt;='排名定義'!$B$5,"是","")</x:f>
        <x:v>是</x:v>
      </x:c>
      <x:c r="K367" s="217" t="n">
        <x:v>545</x:v>
      </x:c>
      <x:c r="L367" s="217" t="str">
        <x:f>IF(K367&lt;='排名定義'!$B$5,"是","")</x:f>
        <x:v>是</x:v>
      </x:c>
      <x:c r="M367" s="217" t="n">
        <x:f>COUNTIF(H367:L367,"是")</x:f>
        <x:v>3</x:v>
      </x:c>
      <x:c r="N367" s="217" t="str">
        <x:v>總變動＋一般變動</x:v>
      </x:c>
      <x:c r="O367" s="220" t="n">
        <x:v>75.35</x:v>
      </x:c>
      <x:c r="P367" s="220" t="n">
        <x:v>70.425</x:v>
      </x:c>
      <x:c r="Q367" s="220" t="n">
        <x:v>4.925</x:v>
      </x:c>
      <x:c r="R367" s="220" t="n">
        <x:v>0.06536164565361646</x:v>
      </x:c>
      <x:c r="S367" s="220" t="n">
        <x:v>90.93548387096774</x:v>
      </x:c>
      <x:c r="T367" s="220" t="n">
        <x:v>83.87096774193549</x:v>
      </x:c>
      <x:c r="U367" s="220" t="n">
        <x:v>7.064516129032258</x:v>
      </x:c>
      <x:c r="V367" s="218" t="n">
        <x:v>0.06682027649769585</x:v>
      </x:c>
      <x:c r="W367" s="217" t="n">
        <x:v>44</x:v>
      </x:c>
      <x:c r="X367" s="222" t="n">
        <x:v>5820</x:v>
      </x:c>
      <x:c r="Y367" s="217" t="n">
        <x:v>22</x:v>
      </x:c>
    </x:row>
    <x:row r="368">
      <x:c r="A368" s="216" t="n">
        <x:v>156</x:v>
      </x:c>
      <x:c r="B368" s="216" t="str">
        <x:v>覺明寺(豐年街53巷)</x:v>
      </x:c>
      <x:c r="C368" s="216" t="str">
        <x:v>新莊區</x:v>
      </x:c>
      <x:c r="D368" s="216" t="n">
        <x:v>11</x:v>
      </x:c>
      <x:c r="E368" s="216" t="n">
        <x:v>120</x:v>
      </x:c>
      <x:c r="F368" s="219" t="n">
        <x:v>0.9994791666666667</x:v>
      </x:c>
      <x:c r="G368" s="216" t="n">
        <x:v>364</x:v>
      </x:c>
      <x:c r="H368" s="216" t="str">
        <x:f>IF(G368&lt;='排名定義'!$B$5,"是","")</x:f>
        <x:v>是</x:v>
      </x:c>
      <x:c r="I368" s="216" t="n">
        <x:v>344</x:v>
      </x:c>
      <x:c r="J368" s="216" t="str">
        <x:f>IF(I368&lt;='排名定義'!$B$5,"是","")</x:f>
        <x:v>是</x:v>
      </x:c>
      <x:c r="K368" s="216" t="n">
        <x:v>609</x:v>
      </x:c>
      <x:c r="L368" s="216" t="str">
        <x:f>IF(K368&lt;='排名定義'!$B$5,"是","")</x:f>
        <x:v>是</x:v>
      </x:c>
      <x:c r="M368" s="216" t="n">
        <x:f>COUNTIF(H368:L368,"是")</x:f>
        <x:v>3</x:v>
      </x:c>
      <x:c r="N368" s="216" t="str">
        <x:v>總變動＋一般變動</x:v>
      </x:c>
      <x:c r="O368" s="221" t="n">
        <x:v>75.34166666666667</x:v>
      </x:c>
      <x:c r="P368" s="221" t="n">
        <x:v>70.68333333333334</x:v>
      </x:c>
      <x:c r="Q368" s="221" t="n">
        <x:v>4.658333333333333</x:v>
      </x:c>
      <x:c r="R368" s="221" t="n">
        <x:v>0.06182944364561442</x:v>
      </x:c>
      <x:c r="S368" s="221" t="n">
        <x:v>92.7741935483871</x:v>
      </x:c>
      <x:c r="T368" s="221" t="n">
        <x:v>87.3225806451613</x:v>
      </x:c>
      <x:c r="U368" s="221" t="n">
        <x:v>5.451612903225806</x:v>
      </x:c>
      <x:c r="V368" s="219" t="n">
        <x:v>0.2350230414746544</x:v>
      </x:c>
      <x:c r="W368" s="216" t="n">
        <x:v>37</x:v>
      </x:c>
      <x:c r="X368" s="223" t="n">
        <x:v>5760</x:v>
      </x:c>
      <x:c r="Y368" s="216" t="n">
        <x:v>11</x:v>
      </x:c>
    </x:row>
    <x:row r="369">
      <x:c r="A369" s="217" t="n">
        <x:v>857</x:v>
      </x:c>
      <x:c r="B369" s="217" t="str">
        <x:v>淡水中正路停車場</x:v>
      </x:c>
      <x:c r="C369" s="217" t="str">
        <x:v>淡水區</x:v>
      </x:c>
      <x:c r="D369" s="217" t="n">
        <x:v>24</x:v>
      </x:c>
      <x:c r="E369" s="217" t="n">
        <x:v>120</x:v>
      </x:c>
      <x:c r="F369" s="218" t="n">
        <x:v>0.9994791666666667</x:v>
      </x:c>
      <x:c r="G369" s="217" t="n">
        <x:v>365</x:v>
      </x:c>
      <x:c r="H369" s="217" t="str">
        <x:f>IF(G369&lt;='排名定義'!$B$5,"是","")</x:f>
        <x:v>是</x:v>
      </x:c>
      <x:c r="I369" s="217" t="n">
        <x:v>363</x:v>
      </x:c>
      <x:c r="J369" s="217" t="str">
        <x:f>IF(I369&lt;='排名定義'!$B$5,"是","")</x:f>
        <x:v>是</x:v>
      </x:c>
      <x:c r="K369" s="217" t="n">
        <x:v>370</x:v>
      </x:c>
      <x:c r="L369" s="217" t="str">
        <x:f>IF(K369&lt;='排名定義'!$B$5,"是","")</x:f>
        <x:v>是</x:v>
      </x:c>
      <x:c r="M369" s="217" t="n">
        <x:f>COUNTIF(H369:L369,"是")</x:f>
        <x:v>3</x:v>
      </x:c>
      <x:c r="N369" s="217" t="str">
        <x:v>三份皆入選</x:v>
      </x:c>
      <x:c r="O369" s="220" t="n">
        <x:v>75.31666666666666</x:v>
      </x:c>
      <x:c r="P369" s="220" t="n">
        <x:v>69.43333333333334</x:v>
      </x:c>
      <x:c r="Q369" s="220" t="n">
        <x:v>5.883333333333334</x:v>
      </x:c>
      <x:c r="R369" s="220" t="n">
        <x:v>0.07811462712989599</x:v>
      </x:c>
      <x:c r="S369" s="220" t="n">
        <x:v>136.83870967741936</x:v>
      </x:c>
      <x:c r="T369" s="220" t="n">
        <x:v>129.25806451612902</x:v>
      </x:c>
      <x:c r="U369" s="220" t="n">
        <x:v>7.580645161290323</x:v>
      </x:c>
      <x:c r="V369" s="218" t="n">
        <x:v>0.1152073732718894</x:v>
      </x:c>
      <x:c r="W369" s="217" t="n">
        <x:v>25</x:v>
      </x:c>
      <x:c r="X369" s="222" t="n">
        <x:v>3570</x:v>
      </x:c>
      <x:c r="Y369" s="217" t="n">
        <x:v>24</x:v>
      </x:c>
    </x:row>
    <x:row r="370">
      <x:c r="A370" s="216" t="n">
        <x:v>1024</x:v>
      </x:c>
      <x:c r="B370" s="216" t="str">
        <x:v>大智公園</x:v>
      </x:c>
      <x:c r="C370" s="216" t="str">
        <x:v>三重區</x:v>
      </x:c>
      <x:c r="D370" s="216" t="n">
        <x:v>30</x:v>
      </x:c>
      <x:c r="E370" s="216" t="n">
        <x:v>120</x:v>
      </x:c>
      <x:c r="F370" s="219" t="n">
        <x:v>0.9994791666666667</x:v>
      </x:c>
      <x:c r="G370" s="216" t="n">
        <x:v>366</x:v>
      </x:c>
      <x:c r="H370" s="216" t="str">
        <x:f>IF(G370&lt;='排名定義'!$B$5,"是","")</x:f>
        <x:v>是</x:v>
      </x:c>
      <x:c r="I370" s="216" t="n">
        <x:v>350</x:v>
      </x:c>
      <x:c r="J370" s="216" t="str">
        <x:f>IF(I370&lt;='排名定義'!$B$5,"是","")</x:f>
        <x:v>是</x:v>
      </x:c>
      <x:c r="K370" s="216" t="n">
        <x:v>521</x:v>
      </x:c>
      <x:c r="L370" s="216" t="str">
        <x:f>IF(K370&lt;='排名定義'!$B$5,"是","")</x:f>
        <x:v>是</x:v>
      </x:c>
      <x:c r="M370" s="216" t="n">
        <x:f>COUNTIF(H370:L370,"是")</x:f>
        <x:v>3</x:v>
      </x:c>
      <x:c r="N370" s="216" t="str">
        <x:v>總變動＋一般變動</x:v>
      </x:c>
      <x:c r="O370" s="221" t="n">
        <x:v>75.30833333333334</x:v>
      </x:c>
      <x:c r="P370" s="221" t="n">
        <x:v>70.25833333333334</x:v>
      </x:c>
      <x:c r="Q370" s="221" t="n">
        <x:v>5.05</x:v>
      </x:c>
      <x:c r="R370" s="221" t="n">
        <x:v>0.06705765187562245</x:v>
      </x:c>
      <x:c r="S370" s="221" t="n">
        <x:v>96.7741935483871</x:v>
      </x:c>
      <x:c r="T370" s="221" t="n">
        <x:v>93.09677419354838</x:v>
      </x:c>
      <x:c r="U370" s="221" t="n">
        <x:v>3.6774193548387095</x:v>
      </x:c>
      <x:c r="V370" s="219" t="n">
        <x:v>0.06912442396313365</x:v>
      </x:c>
      <x:c r="W370" s="216" t="n">
        <x:v>14</x:v>
      </x:c>
      <x:c r="X370" s="223" t="n">
        <x:v>1800</x:v>
      </x:c>
      <x:c r="Y370" s="216" t="n">
        <x:v>30</x:v>
      </x:c>
    </x:row>
    <x:row r="371">
      <x:c r="A371" s="217" t="n">
        <x:v>1377</x:v>
      </x:c>
      <x:c r="B371" s="217" t="str">
        <x:v>三張公園</x:v>
      </x:c>
      <x:c r="C371" s="217" t="str">
        <x:v>三重區</x:v>
      </x:c>
      <x:c r="D371" s="217" t="n">
        <x:v>45</x:v>
      </x:c>
      <x:c r="E371" s="217" t="n">
        <x:v>120</x:v>
      </x:c>
      <x:c r="F371" s="218" t="n">
        <x:v>0.9994791666666667</x:v>
      </x:c>
      <x:c r="G371" s="217" t="n">
        <x:v>367</x:v>
      </x:c>
      <x:c r="H371" s="217" t="str">
        <x:f>IF(G371&lt;='排名定義'!$B$5,"是","")</x:f>
        <x:v>是</x:v>
      </x:c>
      <x:c r="I371" s="217" t="n">
        <x:v>365</x:v>
      </x:c>
      <x:c r="J371" s="217" t="str">
        <x:f>IF(I371&lt;='排名定義'!$B$5,"是","")</x:f>
        <x:v>是</x:v>
      </x:c>
      <x:c r="K371" s="217" t="n">
        <x:v>368</x:v>
      </x:c>
      <x:c r="L371" s="217" t="str">
        <x:f>IF(K371&lt;='排名定義'!$B$5,"是","")</x:f>
        <x:v>是</x:v>
      </x:c>
      <x:c r="M371" s="217" t="n">
        <x:f>COUNTIF(H371:L371,"是")</x:f>
        <x:v>3</x:v>
      </x:c>
      <x:c r="N371" s="217" t="str">
        <x:v>三份皆入選</x:v>
      </x:c>
      <x:c r="O371" s="220" t="n">
        <x:v>75.23333333333333</x:v>
      </x:c>
      <x:c r="P371" s="220" t="n">
        <x:v>69.33333333333333</x:v>
      </x:c>
      <x:c r="Q371" s="220" t="n">
        <x:v>5.9</x:v>
      </x:c>
      <x:c r="R371" s="220" t="n">
        <x:v>0.07842268498006202</x:v>
      </x:c>
      <x:c r="S371" s="220" t="n">
        <x:v>102.03225806451613</x:v>
      </x:c>
      <x:c r="T371" s="220" t="n">
        <x:v>98.09677419354838</x:v>
      </x:c>
      <x:c r="U371" s="220" t="n">
        <x:v>3.935483870967742</x:v>
      </x:c>
      <x:c r="V371" s="218" t="n">
        <x:v>0.04377880184331797</x:v>
      </x:c>
      <x:c r="W371" s="217" t="n">
        <x:v>12</x:v>
      </x:c>
      <x:c r="X371" s="222" t="n">
        <x:v>1680</x:v>
      </x:c>
      <x:c r="Y371" s="217" t="n">
        <x:v>45</x:v>
      </x:c>
    </x:row>
    <x:row r="372">
      <x:c r="A372" s="216" t="n">
        <x:v>1207</x:v>
      </x:c>
      <x:c r="B372" s="216" t="str">
        <x:v>學成大成路口</x:v>
      </x:c>
      <x:c r="C372" s="216" t="str">
        <x:v>樹林區</x:v>
      </x:c>
      <x:c r="D372" s="216" t="n">
        <x:v>37</x:v>
      </x:c>
      <x:c r="E372" s="216" t="n">
        <x:v>120</x:v>
      </x:c>
      <x:c r="F372" s="219" t="n">
        <x:v>0.9994791666666667</x:v>
      </x:c>
      <x:c r="G372" s="216" t="n">
        <x:v>368</x:v>
      </x:c>
      <x:c r="H372" s="216" t="str">
        <x:f>IF(G372&lt;='排名定義'!$B$5,"是","")</x:f>
        <x:v>是</x:v>
      </x:c>
      <x:c r="I372" s="216" t="n">
        <x:v>364</x:v>
      </x:c>
      <x:c r="J372" s="216" t="str">
        <x:f>IF(I372&lt;='排名定義'!$B$5,"是","")</x:f>
        <x:v>是</x:v>
      </x:c>
      <x:c r="K372" s="216" t="n">
        <x:v>406</x:v>
      </x:c>
      <x:c r="L372" s="216" t="str">
        <x:f>IF(K372&lt;='排名定義'!$B$5,"是","")</x:f>
        <x:v>是</x:v>
      </x:c>
      <x:c r="M372" s="216" t="n">
        <x:f>COUNTIF(H372:L372,"是")</x:f>
        <x:v>3</x:v>
      </x:c>
      <x:c r="N372" s="216" t="str">
        <x:v>總變動＋一般變動</x:v>
      </x:c>
      <x:c r="O372" s="221" t="n">
        <x:v>75.025</x:v>
      </x:c>
      <x:c r="P372" s="221" t="n">
        <x:v>69.34166666666667</x:v>
      </x:c>
      <x:c r="Q372" s="221" t="n">
        <x:v>5.683333333333334</x:v>
      </x:c>
      <x:c r="R372" s="221" t="n">
        <x:v>0.07575252693546596</x:v>
      </x:c>
      <x:c r="S372" s="221" t="n">
        <x:v>114.58064516129032</x:v>
      </x:c>
      <x:c r="T372" s="221" t="n">
        <x:v>108.48387096774194</x:v>
      </x:c>
      <x:c r="U372" s="221" t="n">
        <x:v>6.096774193548387</x:v>
      </x:c>
      <x:c r="V372" s="219" t="n">
        <x:v>0.029953917050691243</x:v>
      </x:c>
      <x:c r="W372" s="216" t="n">
        <x:v>2</x:v>
      </x:c>
      <x:c r="X372" s="223" t="n">
        <x:v>480</x:v>
      </x:c>
      <x:c r="Y372" s="216" t="n">
        <x:v>37</x:v>
      </x:c>
    </x:row>
    <x:row r="373">
      <x:c r="A373" s="217" t="n">
        <x:v>475</x:v>
      </x:c>
      <x:c r="B373" s="217" t="str">
        <x:v>南華路56巷</x:v>
      </x:c>
      <x:c r="C373" s="217" t="str">
        <x:v>中和區</x:v>
      </x:c>
      <x:c r="D373" s="217" t="n">
        <x:v>16</x:v>
      </x:c>
      <x:c r="E373" s="217" t="n">
        <x:v>120</x:v>
      </x:c>
      <x:c r="F373" s="218" t="n">
        <x:v>0.9994791666666667</x:v>
      </x:c>
      <x:c r="G373" s="217" t="n">
        <x:v>369</x:v>
      </x:c>
      <x:c r="H373" s="217" t="str">
        <x:f>IF(G373&lt;='排名定義'!$B$5,"是","")</x:f>
        <x:v>是</x:v>
      </x:c>
      <x:c r="I373" s="217" t="n">
        <x:v>349</x:v>
      </x:c>
      <x:c r="J373" s="217" t="str">
        <x:f>IF(I373&lt;='排名定義'!$B$5,"是","")</x:f>
        <x:v>是</x:v>
      </x:c>
      <x:c r="K373" s="217" t="n">
        <x:v>626</x:v>
      </x:c>
      <x:c r="L373" s="217" t="str">
        <x:f>IF(K373&lt;='排名定義'!$B$5,"是","")</x:f>
        <x:v>是</x:v>
      </x:c>
      <x:c r="M373" s="217" t="n">
        <x:f>COUNTIF(H373:L373,"是")</x:f>
        <x:v>3</x:v>
      </x:c>
      <x:c r="N373" s="217" t="str">
        <x:v>總變動＋一般變動</x:v>
      </x:c>
      <x:c r="O373" s="220" t="n">
        <x:v>74.95</x:v>
      </x:c>
      <x:c r="P373" s="220" t="n">
        <x:v>70.38333333333334</x:v>
      </x:c>
      <x:c r="Q373" s="220" t="n">
        <x:v>4.566666666666666</x:v>
      </x:c>
      <x:c r="R373" s="220" t="n">
        <x:v>0.060929508561263064</x:v>
      </x:c>
      <x:c r="S373" s="220" t="n">
        <x:v>102.90322580645162</x:v>
      </x:c>
      <x:c r="T373" s="220" t="n">
        <x:v>98.09677419354838</x:v>
      </x:c>
      <x:c r="U373" s="220" t="n">
        <x:v>4.806451612903226</x:v>
      </x:c>
      <x:c r="V373" s="218" t="n">
        <x:v>0.08755760368663594</x:v>
      </x:c>
      <x:c r="W373" s="217" t="n">
        <x:v>25</x:v>
      </x:c>
      <x:c r="X373" s="222" t="n">
        <x:v>2880</x:v>
      </x:c>
      <x:c r="Y373" s="217" t="n">
        <x:v>16</x:v>
      </x:c>
    </x:row>
    <x:row r="374">
      <x:c r="A374" s="216" t="n">
        <x:v>856</x:v>
      </x:c>
      <x:c r="B374" s="216" t="str">
        <x:v>樹林國小</x:v>
      </x:c>
      <x:c r="C374" s="216" t="str">
        <x:v>樹林區</x:v>
      </x:c>
      <x:c r="D374" s="216" t="n">
        <x:v>24</x:v>
      </x:c>
      <x:c r="E374" s="216" t="n">
        <x:v>120</x:v>
      </x:c>
      <x:c r="F374" s="219" t="n">
        <x:v>0.9994791666666667</x:v>
      </x:c>
      <x:c r="G374" s="216" t="n">
        <x:v>370</x:v>
      </x:c>
      <x:c r="H374" s="216" t="str">
        <x:f>IF(G374&lt;='排名定義'!$B$5,"是","")</x:f>
        <x:v>是</x:v>
      </x:c>
      <x:c r="I374" s="216" t="n">
        <x:v>360</x:v>
      </x:c>
      <x:c r="J374" s="216" t="str">
        <x:f>IF(I374&lt;='排名定義'!$B$5,"是","")</x:f>
        <x:v>是</x:v>
      </x:c>
      <x:c r="K374" s="216" t="n">
        <x:v>505</x:v>
      </x:c>
      <x:c r="L374" s="216" t="str">
        <x:f>IF(K374&lt;='排名定義'!$B$5,"是","")</x:f>
        <x:v>是</x:v>
      </x:c>
      <x:c r="M374" s="216" t="n">
        <x:f>COUNTIF(H374:L374,"是")</x:f>
        <x:v>3</x:v>
      </x:c>
      <x:c r="N374" s="216" t="str">
        <x:v>總變動＋一般變動</x:v>
      </x:c>
      <x:c r="O374" s="221" t="n">
        <x:v>74.85</x:v>
      </x:c>
      <x:c r="P374" s="221" t="n">
        <x:v>69.725</x:v>
      </x:c>
      <x:c r="Q374" s="221" t="n">
        <x:v>5.125</x:v>
      </x:c>
      <x:c r="R374" s="221" t="n">
        <x:v>0.06847027388109553</x:v>
      </x:c>
      <x:c r="S374" s="221" t="n">
        <x:v>103.96774193548387</x:v>
      </x:c>
      <x:c r="T374" s="221" t="n">
        <x:v>98.64516129032258</x:v>
      </x:c>
      <x:c r="U374" s="221" t="n">
        <x:v>5.32258064516129</x:v>
      </x:c>
      <x:c r="V374" s="219" t="n">
        <x:v>0.05069124423963134</x:v>
      </x:c>
      <x:c r="W374" s="216" t="n">
        <x:v>5</x:v>
      </x:c>
      <x:c r="X374" s="223" t="n">
        <x:v>1290</x:v>
      </x:c>
      <x:c r="Y374" s="216" t="n">
        <x:v>24</x:v>
      </x:c>
    </x:row>
    <x:row r="375">
      <x:c r="A375" s="217" t="n">
        <x:v>1323</x:v>
      </x:c>
      <x:c r="B375" s="217" t="str">
        <x:v>上林里(環河東路一段)</x:v>
      </x:c>
      <x:c r="C375" s="217" t="str">
        <x:v>永和區</x:v>
      </x:c>
      <x:c r="D375" s="217" t="n">
        <x:v>42</x:v>
      </x:c>
      <x:c r="E375" s="217" t="n">
        <x:v>120</x:v>
      </x:c>
      <x:c r="F375" s="218" t="n">
        <x:v>0.9994791666666667</x:v>
      </x:c>
      <x:c r="G375" s="217" t="n">
        <x:v>371</x:v>
      </x:c>
      <x:c r="H375" s="217" t="str">
        <x:f>IF(G375&lt;='排名定義'!$B$5,"是","")</x:f>
        <x:v>是</x:v>
      </x:c>
      <x:c r="I375" s="217" t="n">
        <x:v>374</x:v>
      </x:c>
      <x:c r="J375" s="217" t="str">
        <x:f>IF(I375&lt;='排名定義'!$B$5,"是","")</x:f>
        <x:v>是</x:v>
      </x:c>
      <x:c r="K375" s="217" t="n">
        <x:v>322</x:v>
      </x:c>
      <x:c r="L375" s="217" t="str">
        <x:f>IF(K375&lt;='排名定義'!$B$5,"是","")</x:f>
        <x:v>是</x:v>
      </x:c>
      <x:c r="M375" s="217" t="n">
        <x:f>COUNTIF(H375:L375,"是")</x:f>
        <x:v>3</x:v>
      </x:c>
      <x:c r="N375" s="217" t="str">
        <x:v>總變動＋大幅變動</x:v>
      </x:c>
      <x:c r="O375" s="220" t="n">
        <x:v>74.79166666666667</x:v>
      </x:c>
      <x:c r="P375" s="220" t="n">
        <x:v>68.61666666666666</x:v>
      </x:c>
      <x:c r="Q375" s="220" t="n">
        <x:v>6.175</x:v>
      </x:c>
      <x:c r="R375" s="220" t="n">
        <x:v>0.08256267409470752</x:v>
      </x:c>
      <x:c r="S375" s="220" t="n">
        <x:v>100.41935483870968</x:v>
      </x:c>
      <x:c r="T375" s="220" t="n">
        <x:v>95.16129032258064</x:v>
      </x:c>
      <x:c r="U375" s="220" t="n">
        <x:v>5.258064516129032</x:v>
      </x:c>
      <x:c r="V375" s="218" t="n">
        <x:v>0.04838709677419355</x:v>
      </x:c>
      <x:c r="W375" s="217" t="n">
        <x:v>10</x:v>
      </x:c>
      <x:c r="X375" s="222" t="n">
        <x:v>1410</x:v>
      </x:c>
      <x:c r="Y375" s="217" t="n">
        <x:v>42</x:v>
      </x:c>
    </x:row>
    <x:row r="376">
      <x:c r="A376" s="216" t="n">
        <x:v>711</x:v>
      </x:c>
      <x:c r="B376" s="216" t="str">
        <x:v>新安永安街口</x:v>
      </x:c>
      <x:c r="C376" s="216" t="str">
        <x:v>新店區</x:v>
      </x:c>
      <x:c r="D376" s="216" t="n">
        <x:v>20</x:v>
      </x:c>
      <x:c r="E376" s="216" t="n">
        <x:v>120</x:v>
      </x:c>
      <x:c r="F376" s="219" t="n">
        <x:v>0.9994791666666667</x:v>
      </x:c>
      <x:c r="G376" s="216" t="n">
        <x:v>372</x:v>
      </x:c>
      <x:c r="H376" s="216" t="str">
        <x:f>IF(G376&lt;='排名定義'!$B$5,"是","")</x:f>
        <x:v>是</x:v>
      </x:c>
      <x:c r="I376" s="216" t="n">
        <x:v>355</x:v>
      </x:c>
      <x:c r="J376" s="216" t="str">
        <x:f>IF(I376&lt;='排名定義'!$B$5,"是","")</x:f>
        <x:v>是</x:v>
      </x:c>
      <x:c r="K376" s="216" t="n">
        <x:v>599</x:v>
      </x:c>
      <x:c r="L376" s="216" t="str">
        <x:f>IF(K376&lt;='排名定義'!$B$5,"是","")</x:f>
        <x:v>是</x:v>
      </x:c>
      <x:c r="M376" s="216" t="n">
        <x:f>COUNTIF(H376:L376,"是")</x:f>
        <x:v>3</x:v>
      </x:c>
      <x:c r="N376" s="216" t="str">
        <x:v>總變動＋一般變動</x:v>
      </x:c>
      <x:c r="O376" s="221" t="n">
        <x:v>74.70833333333333</x:v>
      </x:c>
      <x:c r="P376" s="221" t="n">
        <x:v>70.01666666666667</x:v>
      </x:c>
      <x:c r="Q376" s="221" t="n">
        <x:v>4.691666666666666</x:v>
      </x:c>
      <x:c r="R376" s="221" t="n">
        <x:v>0.06279977691020636</x:v>
      </x:c>
      <x:c r="S376" s="221" t="n">
        <x:v>99.19354838709677</x:v>
      </x:c>
      <x:c r="T376" s="221" t="n">
        <x:v>94.48387096774194</x:v>
      </x:c>
      <x:c r="U376" s="221" t="n">
        <x:v>4.709677419354839</x:v>
      </x:c>
      <x:c r="V376" s="219" t="n">
        <x:v>0.03456221198156682</x:v>
      </x:c>
      <x:c r="W376" s="216" t="n">
        <x:v>9</x:v>
      </x:c>
      <x:c r="X376" s="223" t="n">
        <x:v>1500</x:v>
      </x:c>
      <x:c r="Y376" s="216" t="n">
        <x:v>20</x:v>
      </x:c>
    </x:row>
    <x:row r="377">
      <x:c r="A377" s="217" t="n">
        <x:v>1384</x:v>
      </x:c>
      <x:c r="B377" s="217" t="str">
        <x:v>明志科技大學</x:v>
      </x:c>
      <x:c r="C377" s="217" t="str">
        <x:v>泰山區</x:v>
      </x:c>
      <x:c r="D377" s="217" t="n">
        <x:v>45</x:v>
      </x:c>
      <x:c r="E377" s="217" t="n">
        <x:v>120</x:v>
      </x:c>
      <x:c r="F377" s="218" t="n">
        <x:v>0.9994791666666667</x:v>
      </x:c>
      <x:c r="G377" s="217" t="n">
        <x:v>373</x:v>
      </x:c>
      <x:c r="H377" s="217" t="str">
        <x:f>IF(G377&lt;='排名定義'!$B$5,"是","")</x:f>
        <x:v>是</x:v>
      </x:c>
      <x:c r="I377" s="217" t="n">
        <x:v>387</x:v>
      </x:c>
      <x:c r="J377" s="217" t="str">
        <x:f>IF(I377&lt;='排名定義'!$B$5,"是","")</x:f>
        <x:v>是</x:v>
      </x:c>
      <x:c r="K377" s="217" t="n">
        <x:v>239</x:v>
      </x:c>
      <x:c r="L377" s="217" t="str">
        <x:f>IF(K377&lt;='排名定義'!$B$5,"是","")</x:f>
        <x:v>是</x:v>
      </x:c>
      <x:c r="M377" s="217" t="n">
        <x:f>COUNTIF(H377:L377,"是")</x:f>
        <x:v>3</x:v>
      </x:c>
      <x:c r="N377" s="217" t="str">
        <x:v>總變動＋大幅變動</x:v>
      </x:c>
      <x:c r="O377" s="220" t="n">
        <x:v>74.63333333333334</x:v>
      </x:c>
      <x:c r="P377" s="220" t="n">
        <x:v>67.78333333333333</x:v>
      </x:c>
      <x:c r="Q377" s="220" t="n">
        <x:v>6.85</x:v>
      </x:c>
      <x:c r="R377" s="220" t="n">
        <x:v>0.09178204555605181</x:v>
      </x:c>
      <x:c r="S377" s="220" t="n">
        <x:v>96.09677419354838</x:v>
      </x:c>
      <x:c r="T377" s="220" t="n">
        <x:v>91.16129032258064</x:v>
      </x:c>
      <x:c r="U377" s="220" t="n">
        <x:v>4.935483870967742</x:v>
      </x:c>
      <x:c r="V377" s="218" t="n">
        <x:v>0.06451612903225806</x:v>
      </x:c>
      <x:c r="W377" s="217" t="n">
        <x:v>11</x:v>
      </x:c>
      <x:c r="X377" s="222" t="n">
        <x:v>1680</x:v>
      </x:c>
      <x:c r="Y377" s="217" t="n">
        <x:v>45</x:v>
      </x:c>
    </x:row>
    <x:row r="378">
      <x:c r="A378" s="216" t="n">
        <x:v>1273</x:v>
      </x:c>
      <x:c r="B378" s="216" t="str">
        <x:v>正德國中</x:v>
      </x:c>
      <x:c r="C378" s="216" t="str">
        <x:v>淡水區</x:v>
      </x:c>
      <x:c r="D378" s="216" t="n">
        <x:v>40</x:v>
      </x:c>
      <x:c r="E378" s="216" t="n">
        <x:v>120</x:v>
      </x:c>
      <x:c r="F378" s="219" t="n">
        <x:v>0.9994791666666667</x:v>
      </x:c>
      <x:c r="G378" s="216" t="n">
        <x:v>374</x:v>
      </x:c>
      <x:c r="H378" s="216" t="str">
        <x:f>IF(G378&lt;='排名定義'!$B$5,"是","")</x:f>
        <x:v>是</x:v>
      </x:c>
      <x:c r="I378" s="216" t="n">
        <x:v>379</x:v>
      </x:c>
      <x:c r="J378" s="216" t="str">
        <x:f>IF(I378&lt;='排名定義'!$B$5,"是","")</x:f>
        <x:v>是</x:v>
      </x:c>
      <x:c r="K378" s="216" t="n">
        <x:v>307</x:v>
      </x:c>
      <x:c r="L378" s="216" t="str">
        <x:f>IF(K378&lt;='排名定義'!$B$5,"是","")</x:f>
        <x:v>是</x:v>
      </x:c>
      <x:c r="M378" s="216" t="n">
        <x:f>COUNTIF(H378:L378,"是")</x:f>
        <x:v>3</x:v>
      </x:c>
      <x:c r="N378" s="216" t="str">
        <x:v>僅大幅變動</x:v>
      </x:c>
      <x:c r="O378" s="221" t="n">
        <x:v>74.5</x:v>
      </x:c>
      <x:c r="P378" s="221" t="n">
        <x:v>68.18333333333334</x:v>
      </x:c>
      <x:c r="Q378" s="221" t="n">
        <x:v>6.316666666666666</x:v>
      </x:c>
      <x:c r="R378" s="221" t="n">
        <x:v>0.08478747203579419</x:v>
      </x:c>
      <x:c r="S378" s="221" t="n">
        <x:v>94.51612903225806</x:v>
      </x:c>
      <x:c r="T378" s="221" t="n">
        <x:v>88.2258064516129</x:v>
      </x:c>
      <x:c r="U378" s="221" t="n">
        <x:v>6.290322580645161</x:v>
      </x:c>
      <x:c r="V378" s="219" t="n">
        <x:v>0.1359447004608295</x:v>
      </x:c>
      <x:c r="W378" s="216" t="n">
        <x:v>29</x:v>
      </x:c>
      <x:c r="X378" s="223" t="n">
        <x:v>3690</x:v>
      </x:c>
      <x:c r="Y378" s="216" t="n">
        <x:v>40</x:v>
      </x:c>
    </x:row>
    <x:row r="379">
      <x:c r="A379" s="217" t="n">
        <x:v>1272</x:v>
      </x:c>
      <x:c r="B379" s="217" t="str">
        <x:v>林本源園邸</x:v>
      </x:c>
      <x:c r="C379" s="217" t="str">
        <x:v>板橋區</x:v>
      </x:c>
      <x:c r="D379" s="217" t="n">
        <x:v>40</x:v>
      </x:c>
      <x:c r="E379" s="217" t="n">
        <x:v>120</x:v>
      </x:c>
      <x:c r="F379" s="218" t="n">
        <x:v>0.9994791666666667</x:v>
      </x:c>
      <x:c r="G379" s="217" t="n">
        <x:v>375</x:v>
      </x:c>
      <x:c r="H379" s="217" t="str">
        <x:f>IF(G379&lt;='排名定義'!$B$5,"是","")</x:f>
        <x:v>是</x:v>
      </x:c>
      <x:c r="I379" s="217" t="n">
        <x:v>395</x:v>
      </x:c>
      <x:c r="J379" s="217" t="str">
        <x:f>IF(I379&lt;='排名定義'!$B$5,"是","")</x:f>
        <x:v>是</x:v>
      </x:c>
      <x:c r="K379" s="217" t="n">
        <x:v>245</x:v>
      </x:c>
      <x:c r="L379" s="217" t="str">
        <x:f>IF(K379&lt;='排名定義'!$B$5,"是","")</x:f>
        <x:v>是</x:v>
      </x:c>
      <x:c r="M379" s="217" t="n">
        <x:f>COUNTIF(H379:L379,"是")</x:f>
        <x:v>3</x:v>
      </x:c>
      <x:c r="N379" s="217" t="str">
        <x:v>僅大幅變動</x:v>
      </x:c>
      <x:c r="O379" s="220" t="n">
        <x:v>74.05833333333334</x:v>
      </x:c>
      <x:c r="P379" s="220" t="n">
        <x:v>67.24166666666666</x:v>
      </x:c>
      <x:c r="Q379" s="220" t="n">
        <x:v>6.816666666666666</x:v>
      </x:c>
      <x:c r="R379" s="220" t="n">
        <x:v>0.09204455946888714</x:v>
      </x:c>
      <x:c r="S379" s="220" t="n">
        <x:v>103.58064516129032</x:v>
      </x:c>
      <x:c r="T379" s="220" t="n">
        <x:v>98.09677419354838</x:v>
      </x:c>
      <x:c r="U379" s="220" t="n">
        <x:v>5.483870967741935</x:v>
      </x:c>
      <x:c r="V379" s="218" t="n">
        <x:v>0.03686635944700461</x:v>
      </x:c>
      <x:c r="W379" s="217" t="n">
        <x:v>7</x:v>
      </x:c>
      <x:c r="X379" s="222" t="n">
        <x:v>1380</x:v>
      </x:c>
      <x:c r="Y379" s="217" t="n">
        <x:v>40</x:v>
      </x:c>
    </x:row>
    <x:row r="380">
      <x:c r="A380" s="216" t="n">
        <x:v>1407</x:v>
      </x:c>
      <x:c r="B380" s="216" t="str">
        <x:v>捷運永寧站(2號出口)</x:v>
      </x:c>
      <x:c r="C380" s="216" t="str">
        <x:v>土城區</x:v>
      </x:c>
      <x:c r="D380" s="216" t="n">
        <x:v>47</x:v>
      </x:c>
      <x:c r="E380" s="216" t="n">
        <x:v>120</x:v>
      </x:c>
      <x:c r="F380" s="219" t="n">
        <x:v>0.9994791666666667</x:v>
      </x:c>
      <x:c r="G380" s="216" t="n">
        <x:v>376</x:v>
      </x:c>
      <x:c r="H380" s="216" t="str">
        <x:f>IF(G380&lt;='排名定義'!$B$5,"是","")</x:f>
        <x:v>是</x:v>
      </x:c>
      <x:c r="I380" s="216" t="n">
        <x:v>392</x:v>
      </x:c>
      <x:c r="J380" s="216" t="str">
        <x:f>IF(I380&lt;='排名定義'!$B$5,"是","")</x:f>
        <x:v>是</x:v>
      </x:c>
      <x:c r="K380" s="216" t="n">
        <x:v>266</x:v>
      </x:c>
      <x:c r="L380" s="216" t="str">
        <x:f>IF(K380&lt;='排名定義'!$B$5,"是","")</x:f>
        <x:v>是</x:v>
      </x:c>
      <x:c r="M380" s="216" t="n">
        <x:f>COUNTIF(H380:L380,"是")</x:f>
        <x:v>3</x:v>
      </x:c>
      <x:c r="N380" s="216" t="str">
        <x:v>僅大幅變動</x:v>
      </x:c>
      <x:c r="O380" s="221" t="n">
        <x:v>74.01666666666667</x:v>
      </x:c>
      <x:c r="P380" s="221" t="n">
        <x:v>67.36666666666666</x:v>
      </x:c>
      <x:c r="Q380" s="221" t="n">
        <x:v>6.65</x:v>
      </x:c>
      <x:c r="R380" s="221" t="n">
        <x:v>0.08984462958793064</x:v>
      </x:c>
      <x:c r="S380" s="221" t="n">
        <x:v>114.09677419354838</x:v>
      </x:c>
      <x:c r="T380" s="221" t="n">
        <x:v>107.19354838709677</x:v>
      </x:c>
      <x:c r="U380" s="221" t="n">
        <x:v>6.903225806451613</x:v>
      </x:c>
      <x:c r="V380" s="219" t="n">
        <x:v>0.027649769585253458</x:v>
      </x:c>
      <x:c r="W380" s="216" t="n">
        <x:v>12</x:v>
      </x:c>
      <x:c r="X380" s="223" t="n">
        <x:v>1560</x:v>
      </x:c>
      <x:c r="Y380" s="216" t="n">
        <x:v>47</x:v>
      </x:c>
    </x:row>
    <x:row r="381">
      <x:c r="A381" s="217" t="n">
        <x:v>25</x:v>
      </x:c>
      <x:c r="B381" s="217" t="str">
        <x:v>忠孝國中</x:v>
      </x:c>
      <x:c r="C381" s="217" t="str">
        <x:v>板橋區</x:v>
      </x:c>
      <x:c r="D381" s="217" t="n">
        <x:v>66</x:v>
      </x:c>
      <x:c r="E381" s="217" t="n">
        <x:v>120</x:v>
      </x:c>
      <x:c r="F381" s="218" t="n">
        <x:v>0.9994791666666667</x:v>
      </x:c>
      <x:c r="G381" s="217" t="n">
        <x:v>377</x:v>
      </x:c>
      <x:c r="H381" s="217" t="str">
        <x:f>IF(G381&lt;='排名定義'!$B$5,"是","")</x:f>
        <x:v>是</x:v>
      </x:c>
      <x:c r="I381" s="217" t="n">
        <x:v>389</x:v>
      </x:c>
      <x:c r="J381" s="217" t="str">
        <x:f>IF(I381&lt;='排名定義'!$B$5,"是","")</x:f>
        <x:v>是</x:v>
      </x:c>
      <x:c r="K381" s="217" t="n">
        <x:v>291</x:v>
      </x:c>
      <x:c r="L381" s="217" t="str">
        <x:f>IF(K381&lt;='排名定義'!$B$5,"是","")</x:f>
        <x:v>是</x:v>
      </x:c>
      <x:c r="M381" s="217" t="n">
        <x:f>COUNTIF(H381:L381,"是")</x:f>
        <x:v>3</x:v>
      </x:c>
      <x:c r="N381" s="217" t="str">
        <x:v>僅大幅變動</x:v>
      </x:c>
      <x:c r="O381" s="220" t="n">
        <x:v>73.91666666666667</x:v>
      </x:c>
      <x:c r="P381" s="220" t="n">
        <x:v>67.49166666666666</x:v>
      </x:c>
      <x:c r="Q381" s="220" t="n">
        <x:v>6.425</x:v>
      </x:c>
      <x:c r="R381" s="220" t="n">
        <x:v>0.08692220969560316</x:v>
      </x:c>
      <x:c r="S381" s="220" t="n">
        <x:v>106.25806451612904</x:v>
      </x:c>
      <x:c r="T381" s="220" t="n">
        <x:v>101.38709677419355</x:v>
      </x:c>
      <x:c r="U381" s="220" t="n">
        <x:v>4.870967741935484</x:v>
      </x:c>
      <x:c r="V381" s="218" t="n">
        <x:v>0.07373271889400922</x:v>
      </x:c>
      <x:c r="W381" s="217" t="n">
        <x:v>13</x:v>
      </x:c>
      <x:c r="X381" s="222" t="n">
        <x:v>2340</x:v>
      </x:c>
      <x:c r="Y381" s="217" t="n">
        <x:v>66</x:v>
      </x:c>
    </x:row>
    <x:row r="382">
      <x:c r="A382" s="216" t="n">
        <x:v>22</x:v>
      </x:c>
      <x:c r="B382" s="216" t="str">
        <x:v>安康高中</x:v>
      </x:c>
      <x:c r="C382" s="216" t="str">
        <x:v>新店區</x:v>
      </x:c>
      <x:c r="D382" s="216" t="n">
        <x:v>75</x:v>
      </x:c>
      <x:c r="E382" s="216" t="n">
        <x:v>120</x:v>
      </x:c>
      <x:c r="F382" s="219" t="n">
        <x:v>0.9994791666666667</x:v>
      </x:c>
      <x:c r="G382" s="216" t="n">
        <x:v>378</x:v>
      </x:c>
      <x:c r="H382" s="216" t="str">
        <x:f>IF(G382&lt;='排名定義'!$B$5,"是","")</x:f>
        <x:v>是</x:v>
      </x:c>
      <x:c r="I382" s="216" t="n">
        <x:v>394</x:v>
      </x:c>
      <x:c r="J382" s="216" t="str">
        <x:f>IF(I382&lt;='排名定義'!$B$5,"是","")</x:f>
        <x:v>是</x:v>
      </x:c>
      <x:c r="K382" s="216" t="n">
        <x:v>281</x:v>
      </x:c>
      <x:c r="L382" s="216" t="str">
        <x:f>IF(K382&lt;='排名定義'!$B$5,"是","")</x:f>
        <x:v>是</x:v>
      </x:c>
      <x:c r="M382" s="216" t="n">
        <x:f>COUNTIF(H382:L382,"是")</x:f>
        <x:v>3</x:v>
      </x:c>
      <x:c r="N382" s="216" t="str">
        <x:v>僅大幅變動</x:v>
      </x:c>
      <x:c r="O382" s="221" t="n">
        <x:v>73.79166666666667</x:v>
      </x:c>
      <x:c r="P382" s="221" t="n">
        <x:v>67.28333333333333</x:v>
      </x:c>
      <x:c r="Q382" s="221" t="n">
        <x:v>6.508333333333334</x:v>
      </x:c>
      <x:c r="R382" s="221" t="n">
        <x:v>0.08819875776397515</x:v>
      </x:c>
      <x:c r="S382" s="221" t="n">
        <x:v>117.61290322580645</x:v>
      </x:c>
      <x:c r="T382" s="221" t="n">
        <x:v>109.70967741935483</x:v>
      </x:c>
      <x:c r="U382" s="221" t="n">
        <x:v>7.903225806451613</x:v>
      </x:c>
      <x:c r="V382" s="219" t="n">
        <x:v>0.12211981566820276</x:v>
      </x:c>
      <x:c r="W382" s="216" t="n">
        <x:v>17</x:v>
      </x:c>
      <x:c r="X382" s="223" t="n">
        <x:v>1950</x:v>
      </x:c>
      <x:c r="Y382" s="216" t="n">
        <x:v>75</x:v>
      </x:c>
    </x:row>
    <x:row r="383">
      <x:c r="A383" s="217" t="n">
        <x:v>563</x:v>
      </x:c>
      <x:c r="B383" s="217" t="str">
        <x:v>仁愛仁政街145巷口</x:v>
      </x:c>
      <x:c r="C383" s="217" t="str">
        <x:v>三重區</x:v>
      </x:c>
      <x:c r="D383" s="217" t="n">
        <x:v>18</x:v>
      </x:c>
      <x:c r="E383" s="217" t="n">
        <x:v>120</x:v>
      </x:c>
      <x:c r="F383" s="218" t="n">
        <x:v>0.9994791666666667</x:v>
      </x:c>
      <x:c r="G383" s="217" t="n">
        <x:v>379</x:v>
      </x:c>
      <x:c r="H383" s="217" t="str">
        <x:f>IF(G383&lt;='排名定義'!$B$5,"是","")</x:f>
        <x:v>是</x:v>
      </x:c>
      <x:c r="I383" s="217" t="n">
        <x:v>373</x:v>
      </x:c>
      <x:c r="J383" s="217" t="str">
        <x:f>IF(I383&lt;='排名定義'!$B$5,"是","")</x:f>
        <x:v>是</x:v>
      </x:c>
      <x:c r="K383" s="217" t="n">
        <x:v>502</x:v>
      </x:c>
      <x:c r="L383" s="217" t="str">
        <x:f>IF(K383&lt;='排名定義'!$B$5,"是","")</x:f>
        <x:v>是</x:v>
      </x:c>
      <x:c r="M383" s="217" t="n">
        <x:f>COUNTIF(H383:L383,"是")</x:f>
        <x:v>3</x:v>
      </x:c>
      <x:c r="N383" s="217" t="str">
        <x:v>僅一般變動</x:v>
      </x:c>
      <x:c r="O383" s="220" t="n">
        <x:v>73.775</x:v>
      </x:c>
      <x:c r="P383" s="220" t="n">
        <x:v>68.64166666666667</x:v>
      </x:c>
      <x:c r="Q383" s="220" t="n">
        <x:v>5.133333333333334</x:v>
      </x:c>
      <x:c r="R383" s="220" t="n">
        <x:v>0.06958093301705637</x:v>
      </x:c>
      <x:c r="S383" s="220" t="n">
        <x:v>105.90322580645162</x:v>
      </x:c>
      <x:c r="T383" s="220" t="n">
        <x:v>101.3225806451613</x:v>
      </x:c>
      <x:c r="U383" s="220" t="n">
        <x:v>4.580645161290323</x:v>
      </x:c>
      <x:c r="V383" s="218" t="n">
        <x:v>0.18433179723502305</x:v>
      </x:c>
      <x:c r="W383" s="217" t="n">
        <x:v>39</x:v>
      </x:c>
      <x:c r="X383" s="222" t="n">
        <x:v>5340</x:v>
      </x:c>
      <x:c r="Y383" s="217" t="n">
        <x:v>18</x:v>
      </x:c>
    </x:row>
    <x:row r="384">
      <x:c r="A384" s="216" t="n">
        <x:v>1412</x:v>
      </x:c>
      <x:c r="B384" s="216" t="str">
        <x:v>金城立德路口</x:v>
      </x:c>
      <x:c r="C384" s="216" t="str">
        <x:v>土城區</x:v>
      </x:c>
      <x:c r="D384" s="216" t="n">
        <x:v>47</x:v>
      </x:c>
      <x:c r="E384" s="216" t="n">
        <x:v>120</x:v>
      </x:c>
      <x:c r="F384" s="219" t="n">
        <x:v>0.9994791666666667</x:v>
      </x:c>
      <x:c r="G384" s="216" t="n">
        <x:v>380</x:v>
      </x:c>
      <x:c r="H384" s="216" t="str">
        <x:f>IF(G384&lt;='排名定義'!$B$5,"是","")</x:f>
        <x:v>是</x:v>
      </x:c>
      <x:c r="I384" s="216" t="n">
        <x:v>385</x:v>
      </x:c>
      <x:c r="J384" s="216" t="str">
        <x:f>IF(I384&lt;='排名定義'!$B$5,"是","")</x:f>
        <x:v>是</x:v>
      </x:c>
      <x:c r="K384" s="216" t="n">
        <x:v>392</x:v>
      </x:c>
      <x:c r="L384" s="216" t="str">
        <x:f>IF(K384&lt;='排名定義'!$B$5,"是","")</x:f>
        <x:v>是</x:v>
      </x:c>
      <x:c r="M384" s="216" t="n">
        <x:f>COUNTIF(H384:L384,"是")</x:f>
        <x:v>3</x:v>
      </x:c>
      <x:c r="N384" s="216" t="str">
        <x:v>三份皆未入選</x:v>
      </x:c>
      <x:c r="O384" s="221" t="n">
        <x:v>73.73333333333333</x:v>
      </x:c>
      <x:c r="P384" s="221" t="n">
        <x:v>67.975</x:v>
      </x:c>
      <x:c r="Q384" s="221" t="n">
        <x:v>5.758333333333334</x:v>
      </x:c>
      <x:c r="R384" s="221" t="n">
        <x:v>0.07809674502712477</x:v>
      </x:c>
      <x:c r="S384" s="221" t="n">
        <x:v>93.70967741935483</x:v>
      </x:c>
      <x:c r="T384" s="221" t="n">
        <x:v>90.19354838709677</x:v>
      </x:c>
      <x:c r="U384" s="221" t="n">
        <x:v>3.5161290322580645</x:v>
      </x:c>
      <x:c r="V384" s="219" t="n">
        <x:v>0.0967741935483871</x:v>
      </x:c>
      <x:c r="W384" s="216" t="n">
        <x:v>15</x:v>
      </x:c>
      <x:c r="X384" s="223" t="n">
        <x:v>2040</x:v>
      </x:c>
      <x:c r="Y384" s="216" t="n">
        <x:v>47</x:v>
      </x:c>
    </x:row>
    <x:row r="385">
      <x:c r="A385" s="217" t="n">
        <x:v>1125</x:v>
      </x:c>
      <x:c r="B385" s="217" t="str">
        <x:v>建福公園</x:v>
      </x:c>
      <x:c r="C385" s="217" t="str">
        <x:v>新莊區</x:v>
      </x:c>
      <x:c r="D385" s="217" t="n">
        <x:v>33</x:v>
      </x:c>
      <x:c r="E385" s="217" t="n">
        <x:v>120</x:v>
      </x:c>
      <x:c r="F385" s="218" t="n">
        <x:v>0.9994791666666667</x:v>
      </x:c>
      <x:c r="G385" s="217" t="n">
        <x:v>381</x:v>
      </x:c>
      <x:c r="H385" s="217" t="str">
        <x:f>IF(G385&lt;='排名定義'!$B$5,"是","")</x:f>
        <x:v>是</x:v>
      </x:c>
      <x:c r="I385" s="217" t="n">
        <x:v>382</x:v>
      </x:c>
      <x:c r="J385" s="217" t="str">
        <x:f>IF(I385&lt;='排名定義'!$B$5,"是","")</x:f>
        <x:v>是</x:v>
      </x:c>
      <x:c r="K385" s="217" t="n">
        <x:v>420</x:v>
      </x:c>
      <x:c r="L385" s="217" t="str">
        <x:f>IF(K385&lt;='排名定義'!$B$5,"是","")</x:f>
        <x:v>是</x:v>
      </x:c>
      <x:c r="M385" s="217" t="n">
        <x:f>COUNTIF(H385:L385,"是")</x:f>
        <x:v>3</x:v>
      </x:c>
      <x:c r="N385" s="217" t="str">
        <x:v>三份皆未入選</x:v>
      </x:c>
      <x:c r="O385" s="220" t="n">
        <x:v>73.66666666666667</x:v>
      </x:c>
      <x:c r="P385" s="220" t="n">
        <x:v>68.08333333333333</x:v>
      </x:c>
      <x:c r="Q385" s="220" t="n">
        <x:v>5.583333333333333</x:v>
      </x:c>
      <x:c r="R385" s="220" t="n">
        <x:v>0.0757918552036199</x:v>
      </x:c>
      <x:c r="S385" s="220" t="n">
        <x:v>83</x:v>
      </x:c>
      <x:c r="T385" s="220" t="n">
        <x:v>78.90322580645162</x:v>
      </x:c>
      <x:c r="U385" s="220" t="n">
        <x:v>4.096774193548387</x:v>
      </x:c>
      <x:c r="V385" s="218" t="n">
        <x:v>0.03917050691244239</x:v>
      </x:c>
      <x:c r="W385" s="217" t="n">
        <x:v>6</x:v>
      </x:c>
      <x:c r="X385" s="222" t="n">
        <x:v>930</x:v>
      </x:c>
      <x:c r="Y385" s="217" t="n">
        <x:v>33</x:v>
      </x:c>
    </x:row>
    <x:row r="386">
      <x:c r="A386" s="216" t="n">
        <x:v>1203</x:v>
      </x:c>
      <x:c r="B386" s="216" t="str">
        <x:v>雙和醫院</x:v>
      </x:c>
      <x:c r="C386" s="216" t="str">
        <x:v>中和區</x:v>
      </x:c>
      <x:c r="D386" s="216" t="n">
        <x:v>37</x:v>
      </x:c>
      <x:c r="E386" s="216" t="n">
        <x:v>120</x:v>
      </x:c>
      <x:c r="F386" s="219" t="n">
        <x:v>0.9994791666666667</x:v>
      </x:c>
      <x:c r="G386" s="216" t="n">
        <x:v>382</x:v>
      </x:c>
      <x:c r="H386" s="216" t="str">
        <x:f>IF(G386&lt;='排名定義'!$B$5,"是","")</x:f>
        <x:v>是</x:v>
      </x:c>
      <x:c r="I386" s="216" t="n">
        <x:v>376</x:v>
      </x:c>
      <x:c r="J386" s="216" t="str">
        <x:f>IF(I386&lt;='排名定義'!$B$5,"是","")</x:f>
        <x:v>是</x:v>
      </x:c>
      <x:c r="K386" s="216" t="n">
        <x:v>478</x:v>
      </x:c>
      <x:c r="L386" s="216" t="str">
        <x:f>IF(K386&lt;='排名定義'!$B$5,"是","")</x:f>
        <x:v>是</x:v>
      </x:c>
      <x:c r="M386" s="216" t="n">
        <x:f>COUNTIF(H386:L386,"是")</x:f>
        <x:v>3</x:v>
      </x:c>
      <x:c r="N386" s="216" t="str">
        <x:v>三份皆未入選</x:v>
      </x:c>
      <x:c r="O386" s="221" t="n">
        <x:v>73.54166666666667</x:v>
      </x:c>
      <x:c r="P386" s="221" t="n">
        <x:v>68.28333333333333</x:v>
      </x:c>
      <x:c r="Q386" s="221" t="n">
        <x:v>5.258333333333334</x:v>
      </x:c>
      <x:c r="R386" s="221" t="n">
        <x:v>0.0715014164305949</x:v>
      </x:c>
      <x:c r="S386" s="221" t="n">
        <x:v>88.83870967741936</x:v>
      </x:c>
      <x:c r="T386" s="221" t="n">
        <x:v>83.2258064516129</x:v>
      </x:c>
      <x:c r="U386" s="221" t="n">
        <x:v>5.612903225806452</x:v>
      </x:c>
      <x:c r="V386" s="219" t="n">
        <x:v>0.07603686635944701</x:v>
      </x:c>
      <x:c r="W386" s="216" t="n">
        <x:v>21</x:v>
      </x:c>
      <x:c r="X386" s="223" t="n">
        <x:v>2910</x:v>
      </x:c>
      <x:c r="Y386" s="216" t="n">
        <x:v>37</x:v>
      </x:c>
    </x:row>
    <x:row r="387">
      <x:c r="A387" s="217" t="n">
        <x:v>1276</x:v>
      </x:c>
      <x:c r="B387" s="217" t="str">
        <x:v>溪洲公園停車場</x:v>
      </x:c>
      <x:c r="C387" s="217" t="str">
        <x:v>板橋區</x:v>
      </x:c>
      <x:c r="D387" s="217" t="n">
        <x:v>40</x:v>
      </x:c>
      <x:c r="E387" s="217" t="n">
        <x:v>120</x:v>
      </x:c>
      <x:c r="F387" s="218" t="n">
        <x:v>0.9994791666666667</x:v>
      </x:c>
      <x:c r="G387" s="217" t="n">
        <x:v>383</x:v>
      </x:c>
      <x:c r="H387" s="217" t="str">
        <x:f>IF(G387&lt;='排名定義'!$B$5,"是","")</x:f>
        <x:v>是</x:v>
      </x:c>
      <x:c r="I387" s="217" t="n">
        <x:v>388</x:v>
      </x:c>
      <x:c r="J387" s="217" t="str">
        <x:f>IF(I387&lt;='排名定義'!$B$5,"是","")</x:f>
        <x:v>是</x:v>
      </x:c>
      <x:c r="K387" s="217" t="n">
        <x:v>350</x:v>
      </x:c>
      <x:c r="L387" s="217" t="str">
        <x:f>IF(K387&lt;='排名定義'!$B$5,"是","")</x:f>
        <x:v>是</x:v>
      </x:c>
      <x:c r="M387" s="217" t="n">
        <x:f>COUNTIF(H387:L387,"是")</x:f>
        <x:v>3</x:v>
      </x:c>
      <x:c r="N387" s="217" t="str">
        <x:v>僅大幅變動</x:v>
      </x:c>
      <x:c r="O387" s="220" t="n">
        <x:v>73.54166666666667</x:v>
      </x:c>
      <x:c r="P387" s="220" t="n">
        <x:v>67.51666666666667</x:v>
      </x:c>
      <x:c r="Q387" s="220" t="n">
        <x:v>6.025</x:v>
      </x:c>
      <x:c r="R387" s="220" t="n">
        <x:v>0.08192634560906516</x:v>
      </x:c>
      <x:c r="S387" s="220" t="n">
        <x:v>109.7741935483871</x:v>
      </x:c>
      <x:c r="T387" s="220" t="n">
        <x:v>102.93548387096774</x:v>
      </x:c>
      <x:c r="U387" s="220" t="n">
        <x:v>6.838709677419355</x:v>
      </x:c>
      <x:c r="V387" s="218" t="n">
        <x:v>0.004608294930875576</x:v>
      </x:c>
      <x:c r="W387" s="217" t="n">
        <x:v>2</x:v>
      </x:c>
      <x:c r="X387" s="222" t="n">
        <x:v>600</x:v>
      </x:c>
      <x:c r="Y387" s="217" t="n">
        <x:v>40</x:v>
      </x:c>
    </x:row>
    <x:row r="388">
      <x:c r="A388" s="216" t="n">
        <x:v>1334</x:v>
      </x:c>
      <x:c r="B388" s="216" t="str">
        <x:v>溪北公園</x:v>
      </x:c>
      <x:c r="C388" s="216" t="str">
        <x:v>板橋區</x:v>
      </x:c>
      <x:c r="D388" s="216" t="n">
        <x:v>42</x:v>
      </x:c>
      <x:c r="E388" s="216" t="n">
        <x:v>120</x:v>
      </x:c>
      <x:c r="F388" s="219" t="n">
        <x:v>0.9994791666666667</x:v>
      </x:c>
      <x:c r="G388" s="216" t="n">
        <x:v>384</x:v>
      </x:c>
      <x:c r="H388" s="216" t="str">
        <x:f>IF(G388&lt;='排名定義'!$B$5,"是","")</x:f>
        <x:v>是</x:v>
      </x:c>
      <x:c r="I388" s="216" t="n">
        <x:v>396</x:v>
      </x:c>
      <x:c r="J388" s="216" t="str">
        <x:f>IF(I388&lt;='排名定義'!$B$5,"是","")</x:f>
        <x:v>是</x:v>
      </x:c>
      <x:c r="K388" s="216" t="n">
        <x:v>323</x:v>
      </x:c>
      <x:c r="L388" s="216" t="str">
        <x:f>IF(K388&lt;='排名定義'!$B$5,"是","")</x:f>
        <x:v>是</x:v>
      </x:c>
      <x:c r="M388" s="216" t="n">
        <x:f>COUNTIF(H388:L388,"是")</x:f>
        <x:v>3</x:v>
      </x:c>
      <x:c r="N388" s="216" t="str">
        <x:v>僅大幅變動</x:v>
      </x:c>
      <x:c r="O388" s="221" t="n">
        <x:v>73.4</x:v>
      </x:c>
      <x:c r="P388" s="221" t="n">
        <x:v>67.225</x:v>
      </x:c>
      <x:c r="Q388" s="221" t="n">
        <x:v>6.175</x:v>
      </x:c>
      <x:c r="R388" s="221" t="n">
        <x:v>0.08412806539509536</x:v>
      </x:c>
      <x:c r="S388" s="221" t="n">
        <x:v>116.93548387096774</x:v>
      </x:c>
      <x:c r="T388" s="221" t="n">
        <x:v>110.58064516129032</x:v>
      </x:c>
      <x:c r="U388" s="221" t="n">
        <x:v>6.354838709677419</x:v>
      </x:c>
      <x:c r="V388" s="219" t="n">
        <x:v>0.04608294930875576</x:v>
      </x:c>
      <x:c r="W388" s="216" t="n">
        <x:v>8</x:v>
      </x:c>
      <x:c r="X388" s="223" t="n">
        <x:v>1260</x:v>
      </x:c>
      <x:c r="Y388" s="216" t="n">
        <x:v>42</x:v>
      </x:c>
    </x:row>
    <x:row r="389">
      <x:c r="A389" s="217" t="n">
        <x:v>842</x:v>
      </x:c>
      <x:c r="B389" s="217" t="str">
        <x:v>普庵寺</x:v>
      </x:c>
      <x:c r="C389" s="217" t="str">
        <x:v>蘆洲區</x:v>
      </x:c>
      <x:c r="D389" s="217" t="n">
        <x:v>23</x:v>
      </x:c>
      <x:c r="E389" s="217" t="n">
        <x:v>120</x:v>
      </x:c>
      <x:c r="F389" s="218" t="n">
        <x:v>0.9994791666666667</x:v>
      </x:c>
      <x:c r="G389" s="217" t="n">
        <x:v>385</x:v>
      </x:c>
      <x:c r="H389" s="217" t="str">
        <x:f>IF(G389&lt;='排名定義'!$B$5,"是","")</x:f>
        <x:v>是</x:v>
      </x:c>
      <x:c r="I389" s="217" t="n">
        <x:v>386</x:v>
      </x:c>
      <x:c r="J389" s="217" t="str">
        <x:f>IF(I389&lt;='排名定義'!$B$5,"是","")</x:f>
        <x:v>是</x:v>
      </x:c>
      <x:c r="K389" s="217" t="n">
        <x:v>437</x:v>
      </x:c>
      <x:c r="L389" s="217" t="str">
        <x:f>IF(K389&lt;='排名定義'!$B$5,"是","")</x:f>
        <x:v>是</x:v>
      </x:c>
      <x:c r="M389" s="217" t="n">
        <x:f>COUNTIF(H389:L389,"是")</x:f>
        <x:v>3</x:v>
      </x:c>
      <x:c r="N389" s="217" t="str">
        <x:v>三份皆未入選</x:v>
      </x:c>
      <x:c r="O389" s="220" t="n">
        <x:v>73.38333333333334</x:v>
      </x:c>
      <x:c r="P389" s="220" t="n">
        <x:v>67.88333333333334</x:v>
      </x:c>
      <x:c r="Q389" s="220" t="n">
        <x:v>5.5</x:v>
      </x:c>
      <x:c r="R389" s="220" t="n">
        <x:v>0.07494889847831024</x:v>
      </x:c>
      <x:c r="S389" s="220" t="n">
        <x:v>99.83870967741936</x:v>
      </x:c>
      <x:c r="T389" s="220" t="n">
        <x:v>95.96774193548387</x:v>
      </x:c>
      <x:c r="U389" s="220" t="n">
        <x:v>3.870967741935484</x:v>
      </x:c>
      <x:c r="V389" s="218" t="n">
        <x:v>0.027649769585253458</x:v>
      </x:c>
      <x:c r="W389" s="217" t="n">
        <x:v>6</x:v>
      </x:c>
      <x:c r="X389" s="222" t="n">
        <x:v>1290</x:v>
      </x:c>
      <x:c r="Y389" s="217" t="n">
        <x:v>23</x:v>
      </x:c>
    </x:row>
    <x:row r="390">
      <x:c r="A390" s="216" t="n">
        <x:v>1091</x:v>
      </x:c>
      <x:c r="B390" s="216" t="str">
        <x:v>三重五常公園</x:v>
      </x:c>
      <x:c r="C390" s="216" t="str">
        <x:v>三重區</x:v>
      </x:c>
      <x:c r="D390" s="216" t="n">
        <x:v>32</x:v>
      </x:c>
      <x:c r="E390" s="216" t="n">
        <x:v>120</x:v>
      </x:c>
      <x:c r="F390" s="219" t="n">
        <x:v>0.9994791666666667</x:v>
      </x:c>
      <x:c r="G390" s="216" t="n">
        <x:v>386</x:v>
      </x:c>
      <x:c r="H390" s="216" t="str">
        <x:f>IF(G390&lt;='排名定義'!$B$5,"是","")</x:f>
        <x:v>是</x:v>
      </x:c>
      <x:c r="I390" s="216" t="n">
        <x:v>393</x:v>
      </x:c>
      <x:c r="J390" s="216" t="str">
        <x:f>IF(I390&lt;='排名定義'!$B$5,"是","")</x:f>
        <x:v>是</x:v>
      </x:c>
      <x:c r="K390" s="216" t="n">
        <x:v>357</x:v>
      </x:c>
      <x:c r="L390" s="216" t="str">
        <x:f>IF(K390&lt;='排名定義'!$B$5,"是","")</x:f>
        <x:v>是</x:v>
      </x:c>
      <x:c r="M390" s="216" t="n">
        <x:f>COUNTIF(H390:L390,"是")</x:f>
        <x:v>3</x:v>
      </x:c>
      <x:c r="N390" s="216" t="str">
        <x:v>僅大幅變動</x:v>
      </x:c>
      <x:c r="O390" s="221" t="n">
        <x:v>73.275</x:v>
      </x:c>
      <x:c r="P390" s="221" t="n">
        <x:v>67.30833333333334</x:v>
      </x:c>
      <x:c r="Q390" s="221" t="n">
        <x:v>5.966666666666667</x:v>
      </x:c>
      <x:c r="R390" s="221" t="n">
        <x:v>0.08142840896167405</x:v>
      </x:c>
      <x:c r="S390" s="221" t="n">
        <x:v>94.03225806451613</x:v>
      </x:c>
      <x:c r="T390" s="221" t="n">
        <x:v>89.80645161290323</x:v>
      </x:c>
      <x:c r="U390" s="221" t="n">
        <x:v>4.225806451612903</x:v>
      </x:c>
      <x:c r="V390" s="219" t="n">
        <x:v>0.06682027649769585</x:v>
      </x:c>
      <x:c r="W390" s="216" t="n">
        <x:v>13</x:v>
      </x:c>
      <x:c r="X390" s="223" t="n">
        <x:v>1620</x:v>
      </x:c>
      <x:c r="Y390" s="216" t="n">
        <x:v>32</x:v>
      </x:c>
    </x:row>
    <x:row r="391">
      <x:c r="A391" s="217" t="n">
        <x:v>373</x:v>
      </x:c>
      <x:c r="B391" s="217" t="str">
        <x:v>民德路口</x:v>
      </x:c>
      <x:c r="C391" s="217" t="str">
        <x:v>中和區</x:v>
      </x:c>
      <x:c r="D391" s="217" t="n">
        <x:v>15</x:v>
      </x:c>
      <x:c r="E391" s="217" t="n">
        <x:v>120</x:v>
      </x:c>
      <x:c r="F391" s="218" t="n">
        <x:v>0.9994791666666667</x:v>
      </x:c>
      <x:c r="G391" s="217" t="n">
        <x:v>387</x:v>
      </x:c>
      <x:c r="H391" s="217" t="str">
        <x:f>IF(G391&lt;='排名定義'!$B$5,"是","")</x:f>
        <x:v>是</x:v>
      </x:c>
      <x:c r="I391" s="217" t="n">
        <x:v>378</x:v>
      </x:c>
      <x:c r="J391" s="217" t="str">
        <x:f>IF(I391&lt;='排名定義'!$B$5,"是","")</x:f>
        <x:v>是</x:v>
      </x:c>
      <x:c r="K391" s="217" t="n">
        <x:v>535</x:v>
      </x:c>
      <x:c r="L391" s="217" t="str">
        <x:f>IF(K391&lt;='排名定義'!$B$5,"是","")</x:f>
        <x:v>是</x:v>
      </x:c>
      <x:c r="M391" s="217" t="n">
        <x:f>COUNTIF(H391:L391,"是")</x:f>
        <x:v>3</x:v>
      </x:c>
      <x:c r="N391" s="217" t="str">
        <x:v>三份皆未入選</x:v>
      </x:c>
      <x:c r="O391" s="220" t="n">
        <x:v>73.15833333333333</x:v>
      </x:c>
      <x:c r="P391" s="220" t="n">
        <x:v>68.18333333333334</x:v>
      </x:c>
      <x:c r="Q391" s="220" t="n">
        <x:v>4.975</x:v>
      </x:c>
      <x:c r="R391" s="220" t="n">
        <x:v>0.06800318942931997</x:v>
      </x:c>
      <x:c r="S391" s="220" t="n">
        <x:v>95.09677419354838</x:v>
      </x:c>
      <x:c r="T391" s="220" t="n">
        <x:v>91.38709677419355</x:v>
      </x:c>
      <x:c r="U391" s="220" t="n">
        <x:v>3.7096774193548385</x:v>
      </x:c>
      <x:c r="V391" s="218" t="n">
        <x:v>0.15668202764976957</x:v>
      </x:c>
      <x:c r="W391" s="217" t="n">
        <x:v>25</x:v>
      </x:c>
      <x:c r="X391" s="222" t="n">
        <x:v>3660</x:v>
      </x:c>
      <x:c r="Y391" s="217" t="n">
        <x:v>15</x:v>
      </x:c>
    </x:row>
    <x:row r="392">
      <x:c r="A392" s="216" t="n">
        <x:v>780</x:v>
      </x:c>
      <x:c r="B392" s="216" t="str">
        <x:v>中港平面停車場</x:v>
      </x:c>
      <x:c r="C392" s="216" t="str">
        <x:v>新莊區</x:v>
      </x:c>
      <x:c r="D392" s="216" t="n">
        <x:v>21</x:v>
      </x:c>
      <x:c r="E392" s="216" t="n">
        <x:v>120</x:v>
      </x:c>
      <x:c r="F392" s="219" t="n">
        <x:v>0.9994791666666667</x:v>
      </x:c>
      <x:c r="G392" s="216" t="n">
        <x:v>388</x:v>
      </x:c>
      <x:c r="H392" s="216" t="str">
        <x:f>IF(G392&lt;='排名定義'!$B$5,"是","")</x:f>
        <x:v>是</x:v>
      </x:c>
      <x:c r="I392" s="216" t="n">
        <x:v>370</x:v>
      </x:c>
      <x:c r="J392" s="216" t="str">
        <x:f>IF(I392&lt;='排名定義'!$B$5,"是","")</x:f>
        <x:v>是</x:v>
      </x:c>
      <x:c r="K392" s="216" t="n">
        <x:v>688</x:v>
      </x:c>
      <x:c r="L392" s="216" t="str">
        <x:f>IF(K392&lt;='排名定義'!$B$5,"是","")</x:f>
        <x:v>是</x:v>
      </x:c>
      <x:c r="M392" s="216" t="n">
        <x:f>COUNTIF(H392:L392,"是")</x:f>
        <x:v>3</x:v>
      </x:c>
      <x:c r="N392" s="216" t="str">
        <x:v>僅一般變動</x:v>
      </x:c>
      <x:c r="O392" s="221" t="n">
        <x:v>73.14166666666667</x:v>
      </x:c>
      <x:c r="P392" s="221" t="n">
        <x:v>68.79166666666667</x:v>
      </x:c>
      <x:c r="Q392" s="221" t="n">
        <x:v>4.35</x:v>
      </x:c>
      <x:c r="R392" s="221" t="n">
        <x:v>0.059473624245186284</x:v>
      </x:c>
      <x:c r="S392" s="221" t="n">
        <x:v>110.6774193548387</x:v>
      </x:c>
      <x:c r="T392" s="221" t="n">
        <x:v>106.12903225806451</x:v>
      </x:c>
      <x:c r="U392" s="221" t="n">
        <x:v>4.548387096774194</x:v>
      </x:c>
      <x:c r="V392" s="219" t="n">
        <x:v>0.10138248847926268</x:v>
      </x:c>
      <x:c r="W392" s="216" t="n">
        <x:v>16</x:v>
      </x:c>
      <x:c r="X392" s="223" t="n">
        <x:v>2610</x:v>
      </x:c>
      <x:c r="Y392" s="216" t="n">
        <x:v>21</x:v>
      </x:c>
    </x:row>
    <x:row r="393">
      <x:c r="A393" s="217" t="n">
        <x:v>1256</x:v>
      </x:c>
      <x:c r="B393" s="217" t="str">
        <x:v>中正橋</x:v>
      </x:c>
      <x:c r="C393" s="217" t="str">
        <x:v>永和區</x:v>
      </x:c>
      <x:c r="D393" s="217" t="n">
        <x:v>40</x:v>
      </x:c>
      <x:c r="E393" s="217" t="n">
        <x:v>120</x:v>
      </x:c>
      <x:c r="F393" s="218" t="n">
        <x:v>0.9994791666666667</x:v>
      </x:c>
      <x:c r="G393" s="217" t="n">
        <x:v>389</x:v>
      </x:c>
      <x:c r="H393" s="217" t="str">
        <x:f>IF(G393&lt;='排名定義'!$B$5,"是","")</x:f>
        <x:v>是</x:v>
      </x:c>
      <x:c r="I393" s="217" t="n">
        <x:v>390</x:v>
      </x:c>
      <x:c r="J393" s="217" t="str">
        <x:f>IF(I393&lt;='排名定義'!$B$5,"是","")</x:f>
        <x:v>是</x:v>
      </x:c>
      <x:c r="K393" s="217" t="n">
        <x:v>393</x:v>
      </x:c>
      <x:c r="L393" s="217" t="str">
        <x:f>IF(K393&lt;='排名定義'!$B$5,"是","")</x:f>
        <x:v>是</x:v>
      </x:c>
      <x:c r="M393" s="217" t="n">
        <x:f>COUNTIF(H393:L393,"是")</x:f>
        <x:v>3</x:v>
      </x:c>
      <x:c r="N393" s="217" t="str">
        <x:v>三份皆未入選</x:v>
      </x:c>
      <x:c r="O393" s="220" t="n">
        <x:v>73.125</x:v>
      </x:c>
      <x:c r="P393" s="220" t="n">
        <x:v>67.375</x:v>
      </x:c>
      <x:c r="Q393" s="220" t="n">
        <x:v>5.75</x:v>
      </x:c>
      <x:c r="R393" s="220" t="n">
        <x:v>0.07863247863247863</x:v>
      </x:c>
      <x:c r="S393" s="220" t="n">
        <x:v>95.96774193548387</x:v>
      </x:c>
      <x:c r="T393" s="220" t="n">
        <x:v>91.16129032258064</x:v>
      </x:c>
      <x:c r="U393" s="220" t="n">
        <x:v>4.806451612903226</x:v>
      </x:c>
      <x:c r="V393" s="218" t="n">
        <x:v>0.013824884792626729</x:v>
      </x:c>
      <x:c r="W393" s="217" t="n">
        <x:v>2</x:v>
      </x:c>
      <x:c r="X393" s="222" t="n">
        <x:v>330</x:v>
      </x:c>
      <x:c r="Y393" s="217" t="n">
        <x:v>40</x:v>
      </x:c>
    </x:row>
    <x:row r="394">
      <x:c r="A394" s="216" t="n">
        <x:v>963</x:v>
      </x:c>
      <x:c r="B394" s="216" t="str">
        <x:v>新五泰國民運動中心</x:v>
      </x:c>
      <x:c r="C394" s="216" t="str">
        <x:v>泰山區</x:v>
      </x:c>
      <x:c r="D394" s="216" t="n">
        <x:v>28</x:v>
      </x:c>
      <x:c r="E394" s="216" t="n">
        <x:v>120</x:v>
      </x:c>
      <x:c r="F394" s="219" t="n">
        <x:v>0.9994791666666667</x:v>
      </x:c>
      <x:c r="G394" s="216" t="n">
        <x:v>390</x:v>
      </x:c>
      <x:c r="H394" s="216" t="str">
        <x:f>IF(G394&lt;='排名定義'!$B$5,"是","")</x:f>
        <x:v>是</x:v>
      </x:c>
      <x:c r="I394" s="216" t="n">
        <x:v>372</x:v>
      </x:c>
      <x:c r="J394" s="216" t="str">
        <x:f>IF(I394&lt;='排名定義'!$B$5,"是","")</x:f>
        <x:v>是</x:v>
      </x:c>
      <x:c r="K394" s="216" t="n">
        <x:v>669</x:v>
      </x:c>
      <x:c r="L394" s="216" t="str">
        <x:f>IF(K394&lt;='排名定義'!$B$5,"是","")</x:f>
        <x:v>是</x:v>
      </x:c>
      <x:c r="M394" s="216" t="n">
        <x:f>COUNTIF(H394:L394,"是")</x:f>
        <x:v>3</x:v>
      </x:c>
      <x:c r="N394" s="216" t="str">
        <x:v>僅一般變動</x:v>
      </x:c>
      <x:c r="O394" s="221" t="n">
        <x:v>73.08333333333333</x:v>
      </x:c>
      <x:c r="P394" s="221" t="n">
        <x:v>68.675</x:v>
      </x:c>
      <x:c r="Q394" s="221" t="n">
        <x:v>4.408333333333333</x:v>
      </x:c>
      <x:c r="R394" s="221" t="n">
        <x:v>0.06031927023945268</x:v>
      </x:c>
      <x:c r="S394" s="221" t="n">
        <x:v>107.7741935483871</x:v>
      </x:c>
      <x:c r="T394" s="221" t="n">
        <x:v>102.35483870967742</x:v>
      </x:c>
      <x:c r="U394" s="221" t="n">
        <x:v>5.419354838709677</x:v>
      </x:c>
      <x:c r="V394" s="219" t="n">
        <x:v>0.027649769585253458</x:v>
      </x:c>
      <x:c r="W394" s="216" t="n">
        <x:v>3</x:v>
      </x:c>
      <x:c r="X394" s="223" t="n">
        <x:v>690</x:v>
      </x:c>
      <x:c r="Y394" s="216" t="n">
        <x:v>28</x:v>
      </x:c>
    </x:row>
    <x:row r="395">
      <x:c r="A395" s="217" t="n">
        <x:v>906</x:v>
      </x:c>
      <x:c r="B395" s="217" t="str">
        <x:v>同興公園</x:v>
      </x:c>
      <x:c r="C395" s="217" t="str">
        <x:v>泰山區</x:v>
      </x:c>
      <x:c r="D395" s="217" t="n">
        <x:v>26</x:v>
      </x:c>
      <x:c r="E395" s="217" t="n">
        <x:v>120</x:v>
      </x:c>
      <x:c r="F395" s="218" t="n">
        <x:v>0.9994791666666667</x:v>
      </x:c>
      <x:c r="G395" s="217" t="n">
        <x:v>391</x:v>
      </x:c>
      <x:c r="H395" s="217" t="str">
        <x:f>IF(G395&lt;='排名定義'!$B$5,"是","")</x:f>
        <x:v>是</x:v>
      </x:c>
      <x:c r="I395" s="217" t="n">
        <x:v>384</x:v>
      </x:c>
      <x:c r="J395" s="217" t="str">
        <x:f>IF(I395&lt;='排名定義'!$B$5,"是","")</x:f>
        <x:v>是</x:v>
      </x:c>
      <x:c r="K395" s="217" t="n">
        <x:v>572</x:v>
      </x:c>
      <x:c r="L395" s="217" t="str">
        <x:f>IF(K395&lt;='排名定義'!$B$5,"是","")</x:f>
        <x:v>是</x:v>
      </x:c>
      <x:c r="M395" s="217" t="n">
        <x:f>COUNTIF(H395:L395,"是")</x:f>
        <x:v>3</x:v>
      </x:c>
      <x:c r="N395" s="217" t="str">
        <x:v>三份皆未入選</x:v>
      </x:c>
      <x:c r="O395" s="220" t="n">
        <x:v>72.83333333333333</x:v>
      </x:c>
      <x:c r="P395" s="220" t="n">
        <x:v>68.00833333333334</x:v>
      </x:c>
      <x:c r="Q395" s="220" t="n">
        <x:v>4.825</x:v>
      </x:c>
      <x:c r="R395" s="220" t="n">
        <x:v>0.06624713958810069</x:v>
      </x:c>
      <x:c r="S395" s="220" t="n">
        <x:v>99.64516129032258</x:v>
      </x:c>
      <x:c r="T395" s="220" t="n">
        <x:v>93.87096774193549</x:v>
      </x:c>
      <x:c r="U395" s="220" t="n">
        <x:v>5.774193548387097</x:v>
      </x:c>
      <x:c r="V395" s="218" t="n">
        <x:v>0.04838709677419355</x:v>
      </x:c>
      <x:c r="W395" s="217" t="n">
        <x:v>14</x:v>
      </x:c>
      <x:c r="X395" s="222" t="n">
        <x:v>1500</x:v>
      </x:c>
      <x:c r="Y395" s="217" t="n">
        <x:v>26</x:v>
      </x:c>
    </x:row>
    <x:row r="396">
      <x:c r="A396" s="216" t="n">
        <x:v>147</x:v>
      </x:c>
      <x:c r="B396" s="216" t="str">
        <x:v>大學學成路口</x:v>
      </x:c>
      <x:c r="C396" s="216" t="str">
        <x:v>三峽區</x:v>
      </x:c>
      <x:c r="D396" s="216" t="n">
        <x:v>11</x:v>
      </x:c>
      <x:c r="E396" s="216" t="n">
        <x:v>120</x:v>
      </x:c>
      <x:c r="F396" s="219" t="n">
        <x:v>0.9994791666666667</x:v>
      </x:c>
      <x:c r="G396" s="216" t="n">
        <x:v>392</x:v>
      </x:c>
      <x:c r="H396" s="216" t="str">
        <x:f>IF(G396&lt;='排名定義'!$B$5,"是","")</x:f>
        <x:v>是</x:v>
      </x:c>
      <x:c r="I396" s="216" t="n">
        <x:v>366</x:v>
      </x:c>
      <x:c r="J396" s="216" t="str">
        <x:f>IF(I396&lt;='排名定義'!$B$5,"是","")</x:f>
        <x:v>是</x:v>
      </x:c>
      <x:c r="K396" s="216" t="n">
        <x:v>916</x:v>
      </x:c>
      <x:c r="L396" s="216" t="str">
        <x:f>IF(K396&lt;='排名定義'!$B$5,"是","")</x:f>
        <x:v>是</x:v>
      </x:c>
      <x:c r="M396" s="216" t="n">
        <x:f>COUNTIF(H396:L396,"是")</x:f>
        <x:v>3</x:v>
      </x:c>
      <x:c r="N396" s="216" t="str">
        <x:v>僅一般變動</x:v>
      </x:c>
      <x:c r="O396" s="221" t="n">
        <x:v>72.79166666666667</x:v>
      </x:c>
      <x:c r="P396" s="221" t="n">
        <x:v>69.125</x:v>
      </x:c>
      <x:c r="Q396" s="221" t="n">
        <x:v>3.6666666666666665</x:v>
      </x:c>
      <x:c r="R396" s="221" t="n">
        <x:v>0.05037206639954207</x:v>
      </x:c>
      <x:c r="S396" s="221" t="n">
        <x:v>95.80645161290323</x:v>
      </x:c>
      <x:c r="T396" s="221" t="n">
        <x:v>90.87096774193549</x:v>
      </x:c>
      <x:c r="U396" s="221" t="n">
        <x:v>4.935483870967742</x:v>
      </x:c>
      <x:c r="V396" s="219" t="n">
        <x:v>0.1497695852534562</x:v>
      </x:c>
      <x:c r="W396" s="216" t="n">
        <x:v>43</x:v>
      </x:c>
      <x:c r="X396" s="223" t="n">
        <x:v>5970</x:v>
      </x:c>
      <x:c r="Y396" s="216" t="n">
        <x:v>11</x:v>
      </x:c>
    </x:row>
    <x:row r="397">
      <x:c r="A397" s="217" t="n">
        <x:v>871</x:v>
      </x:c>
      <x:c r="B397" s="217" t="str">
        <x:v>保平路214巷</x:v>
      </x:c>
      <x:c r="C397" s="217" t="str">
        <x:v>永和區</x:v>
      </x:c>
      <x:c r="D397" s="217" t="n">
        <x:v>25</x:v>
      </x:c>
      <x:c r="E397" s="217" t="n">
        <x:v>120</x:v>
      </x:c>
      <x:c r="F397" s="218" t="n">
        <x:v>0.9994791666666667</x:v>
      </x:c>
      <x:c r="G397" s="217" t="n">
        <x:v>393</x:v>
      </x:c>
      <x:c r="H397" s="217" t="str">
        <x:f>IF(G397&lt;='排名定義'!$B$5,"是","")</x:f>
        <x:v>是</x:v>
      </x:c>
      <x:c r="I397" s="217" t="n">
        <x:v>381</x:v>
      </x:c>
      <x:c r="J397" s="217" t="str">
        <x:f>IF(I397&lt;='排名定義'!$B$5,"是","")</x:f>
        <x:v>是</x:v>
      </x:c>
      <x:c r="K397" s="217" t="n">
        <x:v>605</x:v>
      </x:c>
      <x:c r="L397" s="217" t="str">
        <x:f>IF(K397&lt;='排名定義'!$B$5,"是","")</x:f>
        <x:v>是</x:v>
      </x:c>
      <x:c r="M397" s="217" t="n">
        <x:f>COUNTIF(H397:L397,"是")</x:f>
        <x:v>3</x:v>
      </x:c>
      <x:c r="N397" s="217" t="str">
        <x:v>三份皆未入選</x:v>
      </x:c>
      <x:c r="O397" s="220" t="n">
        <x:v>72.75833333333334</x:v>
      </x:c>
      <x:c r="P397" s="220" t="n">
        <x:v>68.09166666666667</x:v>
      </x:c>
      <x:c r="Q397" s="220" t="n">
        <x:v>4.666666666666667</x:v>
      </x:c>
      <x:c r="R397" s="220" t="n">
        <x:v>0.06413927385179247</x:v>
      </x:c>
      <x:c r="S397" s="220" t="n">
        <x:v>103.87096774193549</x:v>
      </x:c>
      <x:c r="T397" s="220" t="n">
        <x:v>98.45161290322581</x:v>
      </x:c>
      <x:c r="U397" s="220" t="n">
        <x:v>5.419354838709677</x:v>
      </x:c>
      <x:c r="V397" s="218" t="n">
        <x:v>0.07373271889400922</x:v>
      </x:c>
      <x:c r="W397" s="217" t="n">
        <x:v>18</x:v>
      </x:c>
      <x:c r="X397" s="222" t="n">
        <x:v>2520</x:v>
      </x:c>
      <x:c r="Y397" s="217" t="n">
        <x:v>25</x:v>
      </x:c>
    </x:row>
    <x:row r="398">
      <x:c r="A398" s="216" t="n">
        <x:v>85</x:v>
      </x:c>
      <x:c r="B398" s="216" t="str">
        <x:v>溪頭公園</x:v>
      </x:c>
      <x:c r="C398" s="216" t="str">
        <x:v>板橋區</x:v>
      </x:c>
      <x:c r="D398" s="216" t="n">
        <x:v>58</x:v>
      </x:c>
      <x:c r="E398" s="216" t="n">
        <x:v>120</x:v>
      </x:c>
      <x:c r="F398" s="219" t="n">
        <x:v>0.9994791666666667</x:v>
      </x:c>
      <x:c r="G398" s="216" t="n">
        <x:v>394</x:v>
      </x:c>
      <x:c r="H398" s="216" t="str">
        <x:f>IF(G398&lt;='排名定義'!$B$5,"是","")</x:f>
        <x:v>是</x:v>
      </x:c>
      <x:c r="I398" s="216" t="n">
        <x:v>406</x:v>
      </x:c>
      <x:c r="J398" s="216" t="str">
        <x:f>IF(I398&lt;='排名定義'!$B$5,"是","")</x:f>
        <x:v>是</x:v>
      </x:c>
      <x:c r="K398" s="216" t="n">
        <x:v>215</x:v>
      </x:c>
      <x:c r="L398" s="216" t="str">
        <x:f>IF(K398&lt;='排名定義'!$B$5,"是","")</x:f>
        <x:v>是</x:v>
      </x:c>
      <x:c r="M398" s="216" t="n">
        <x:f>COUNTIF(H398:L398,"是")</x:f>
        <x:v>3</x:v>
      </x:c>
      <x:c r="N398" s="216" t="str">
        <x:v>僅大幅變動</x:v>
      </x:c>
      <x:c r="O398" s="221" t="n">
        <x:v>72.75</x:v>
      </x:c>
      <x:c r="P398" s="221" t="n">
        <x:v>65.675</x:v>
      </x:c>
      <x:c r="Q398" s="221" t="n">
        <x:v>7.075</x:v>
      </x:c>
      <x:c r="R398" s="221" t="n">
        <x:v>0.09725085910652921</x:v>
      </x:c>
      <x:c r="S398" s="221" t="n">
        <x:v>94.25806451612904</x:v>
      </x:c>
      <x:c r="T398" s="221" t="n">
        <x:v>89</x:v>
      </x:c>
      <x:c r="U398" s="221" t="n">
        <x:v>5.258064516129032</x:v>
      </x:c>
      <x:c r="V398" s="219" t="n">
        <x:v>0.09216589861751152</x:v>
      </x:c>
      <x:c r="W398" s="216" t="n">
        <x:v>26</x:v>
      </x:c>
      <x:c r="X398" s="223" t="n">
        <x:v>3060</x:v>
      </x:c>
      <x:c r="Y398" s="216" t="n">
        <x:v>58</x:v>
      </x:c>
    </x:row>
    <x:row r="399">
      <x:c r="A399" s="217" t="n">
        <x:v>1355</x:v>
      </x:c>
      <x:c r="B399" s="217" t="str">
        <x:v>中和安和路口</x:v>
      </x:c>
      <x:c r="C399" s="217" t="str">
        <x:v>中和區</x:v>
      </x:c>
      <x:c r="D399" s="217" t="n">
        <x:v>44</x:v>
      </x:c>
      <x:c r="E399" s="217" t="n">
        <x:v>120</x:v>
      </x:c>
      <x:c r="F399" s="218" t="n">
        <x:v>0.9994791666666667</x:v>
      </x:c>
      <x:c r="G399" s="217" t="n">
        <x:v>395</x:v>
      </x:c>
      <x:c r="H399" s="217" t="str">
        <x:f>IF(G399&lt;='排名定義'!$B$5,"是","")</x:f>
        <x:v>是</x:v>
      </x:c>
      <x:c r="I399" s="217" t="n">
        <x:v>391</x:v>
      </x:c>
      <x:c r="J399" s="217" t="str">
        <x:f>IF(I399&lt;='排名定義'!$B$5,"是","")</x:f>
        <x:v>是</x:v>
      </x:c>
      <x:c r="K399" s="217" t="n">
        <x:v>469</x:v>
      </x:c>
      <x:c r="L399" s="217" t="str">
        <x:f>IF(K399&lt;='排名定義'!$B$5,"是","")</x:f>
        <x:v>是</x:v>
      </x:c>
      <x:c r="M399" s="217" t="n">
        <x:f>COUNTIF(H399:L399,"是")</x:f>
        <x:v>3</x:v>
      </x:c>
      <x:c r="N399" s="217" t="str">
        <x:v>三份皆未入選</x:v>
      </x:c>
      <x:c r="O399" s="220" t="n">
        <x:v>72.675</x:v>
      </x:c>
      <x:c r="P399" s="220" t="n">
        <x:v>67.36666666666666</x:v>
      </x:c>
      <x:c r="Q399" s="220" t="n">
        <x:v>5.308333333333334</x:v>
      </x:c>
      <x:c r="R399" s="220" t="n">
        <x:v>0.07304208233000803</x:v>
      </x:c>
      <x:c r="S399" s="220" t="n">
        <x:v>102.93548387096774</x:v>
      </x:c>
      <x:c r="T399" s="220" t="n">
        <x:v>98.16129032258064</x:v>
      </x:c>
      <x:c r="U399" s="220" t="n">
        <x:v>4.774193548387097</x:v>
      </x:c>
      <x:c r="V399" s="218" t="n">
        <x:v>0.018433179723502304</x:v>
      </x:c>
      <x:c r="W399" s="217" t="n">
        <x:v>7</x:v>
      </x:c>
      <x:c r="X399" s="222" t="n">
        <x:v>810</x:v>
      </x:c>
      <x:c r="Y399" s="217" t="n">
        <x:v>44</x:v>
      </x:c>
    </x:row>
    <x:row r="400">
      <x:c r="A400" s="216" t="n">
        <x:v>1084</x:v>
      </x:c>
      <x:c r="B400" s="216" t="str">
        <x:v>林口高中</x:v>
      </x:c>
      <x:c r="C400" s="216" t="str">
        <x:v>林口區</x:v>
      </x:c>
      <x:c r="D400" s="216" t="n">
        <x:v>31</x:v>
      </x:c>
      <x:c r="E400" s="216" t="n">
        <x:v>120</x:v>
      </x:c>
      <x:c r="F400" s="219" t="n">
        <x:v>0.9994791666666667</x:v>
      </x:c>
      <x:c r="G400" s="216" t="n">
        <x:v>396</x:v>
      </x:c>
      <x:c r="H400" s="216" t="str">
        <x:f>IF(G400&lt;='排名定義'!$B$5,"是","")</x:f>
        <x:v>是</x:v>
      </x:c>
      <x:c r="I400" s="216" t="n">
        <x:v>411</x:v>
      </x:c>
      <x:c r="J400" s="216" t="str">
        <x:f>IF(I400&lt;='排名定義'!$B$5,"是","")</x:f>
        <x:v>是</x:v>
      </x:c>
      <x:c r="K400" s="216" t="n">
        <x:v>167</x:v>
      </x:c>
      <x:c r="L400" s="216" t="str">
        <x:f>IF(K400&lt;='排名定義'!$B$5,"是","")</x:f>
        <x:v>是</x:v>
      </x:c>
      <x:c r="M400" s="216" t="n">
        <x:f>COUNTIF(H400:L400,"是")</x:f>
        <x:v>3</x:v>
      </x:c>
      <x:c r="N400" s="216" t="str">
        <x:v>僅大幅變動</x:v>
      </x:c>
      <x:c r="O400" s="221" t="n">
        <x:v>72.625</x:v>
      </x:c>
      <x:c r="P400" s="221" t="n">
        <x:v>65.05</x:v>
      </x:c>
      <x:c r="Q400" s="221" t="n">
        <x:v>7.575</x:v>
      </x:c>
      <x:c r="R400" s="221" t="n">
        <x:v>0.10430292598967297</x:v>
      </x:c>
      <x:c r="S400" s="221" t="n">
        <x:v>105.16129032258064</x:v>
      </x:c>
      <x:c r="T400" s="221" t="n">
        <x:v>97.70967741935483</x:v>
      </x:c>
      <x:c r="U400" s="221" t="n">
        <x:v>7.451612903225806</x:v>
      </x:c>
      <x:c r="V400" s="219" t="n">
        <x:v>0.10829493087557604</x:v>
      </x:c>
      <x:c r="W400" s="216" t="n">
        <x:v>16</x:v>
      </x:c>
      <x:c r="X400" s="223" t="n">
        <x:v>2460</x:v>
      </x:c>
      <x:c r="Y400" s="216" t="n">
        <x:v>31</x:v>
      </x:c>
    </x:row>
    <x:row r="401">
      <x:c r="A401" s="217" t="n">
        <x:v>1281</x:v>
      </x:c>
      <x:c r="B401" s="217" t="str">
        <x:v>莊泰坡雅路口(沐光社區)</x:v>
      </x:c>
      <x:c r="C401" s="217" t="str">
        <x:v>泰山區</x:v>
      </x:c>
      <x:c r="D401" s="217" t="n">
        <x:v>40</x:v>
      </x:c>
      <x:c r="E401" s="217" t="n">
        <x:v>120</x:v>
      </x:c>
      <x:c r="F401" s="218" t="n">
        <x:v>0.9994791666666667</x:v>
      </x:c>
      <x:c r="G401" s="217" t="n">
        <x:v>397</x:v>
      </x:c>
      <x:c r="H401" s="217" t="str">
        <x:f>IF(G401&lt;='排名定義'!$B$5,"是","")</x:f>
        <x:v>是</x:v>
      </x:c>
      <x:c r="I401" s="217" t="n">
        <x:v>403</x:v>
      </x:c>
      <x:c r="J401" s="217" t="str">
        <x:f>IF(I401&lt;='排名定義'!$B$5,"是","")</x:f>
        <x:v>是</x:v>
      </x:c>
      <x:c r="K401" s="217" t="n">
        <x:v>305</x:v>
      </x:c>
      <x:c r="L401" s="217" t="str">
        <x:f>IF(K401&lt;='排名定義'!$B$5,"是","")</x:f>
        <x:v>是</x:v>
      </x:c>
      <x:c r="M401" s="217" t="n">
        <x:f>COUNTIF(H401:L401,"是")</x:f>
        <x:v>3</x:v>
      </x:c>
      <x:c r="N401" s="217" t="str">
        <x:v>僅大幅變動</x:v>
      </x:c>
      <x:c r="O401" s="220" t="n">
        <x:v>72.375</x:v>
      </x:c>
      <x:c r="P401" s="220" t="n">
        <x:v>66.04166666666667</x:v>
      </x:c>
      <x:c r="Q401" s="220" t="n">
        <x:v>6.333333333333333</x:v>
      </x:c>
      <x:c r="R401" s="220" t="n">
        <x:v>0.08750719631548647</x:v>
      </x:c>
      <x:c r="S401" s="220" t="n">
        <x:v>94.48387096774194</x:v>
      </x:c>
      <x:c r="T401" s="220" t="n">
        <x:v>89.25806451612904</x:v>
      </x:c>
      <x:c r="U401" s="220" t="n">
        <x:v>5.225806451612903</x:v>
      </x:c>
      <x:c r="V401" s="218" t="n">
        <x:v>0.027649769585253458</x:v>
      </x:c>
      <x:c r="W401" s="217" t="n">
        <x:v>3</x:v>
      </x:c>
      <x:c r="X401" s="222" t="n">
        <x:v>540</x:v>
      </x:c>
      <x:c r="Y401" s="217" t="n">
        <x:v>40</x:v>
      </x:c>
    </x:row>
    <x:row r="402">
      <x:c r="A402" s="216" t="n">
        <x:v>1294</x:v>
      </x:c>
      <x:c r="B402" s="216" t="str">
        <x:v>十四張央北二路口(波爾多社區)</x:v>
      </x:c>
      <x:c r="C402" s="216" t="str">
        <x:v>新店區</x:v>
      </x:c>
      <x:c r="D402" s="216" t="n">
        <x:v>40</x:v>
      </x:c>
      <x:c r="E402" s="216" t="n">
        <x:v>120</x:v>
      </x:c>
      <x:c r="F402" s="219" t="n">
        <x:v>0.9994791666666667</x:v>
      </x:c>
      <x:c r="G402" s="216" t="n">
        <x:v>398</x:v>
      </x:c>
      <x:c r="H402" s="216" t="str">
        <x:f>IF(G402&lt;='排名定義'!$B$5,"是","")</x:f>
        <x:v>是</x:v>
      </x:c>
      <x:c r="I402" s="216" t="n">
        <x:v>405</x:v>
      </x:c>
      <x:c r="J402" s="216" t="str">
        <x:f>IF(I402&lt;='排名定義'!$B$5,"是","")</x:f>
        <x:v>是</x:v>
      </x:c>
      <x:c r="K402" s="216" t="n">
        <x:v>298</x:v>
      </x:c>
      <x:c r="L402" s="216" t="str">
        <x:f>IF(K402&lt;='排名定義'!$B$5,"是","")</x:f>
        <x:v>是</x:v>
      </x:c>
      <x:c r="M402" s="216" t="n">
        <x:f>COUNTIF(H402:L402,"是")</x:f>
        <x:v>3</x:v>
      </x:c>
      <x:c r="N402" s="216" t="str">
        <x:v>僅大幅變動</x:v>
      </x:c>
      <x:c r="O402" s="221" t="n">
        <x:v>72.325</x:v>
      </x:c>
      <x:c r="P402" s="221" t="n">
        <x:v>65.94166666666666</x:v>
      </x:c>
      <x:c r="Q402" s="221" t="n">
        <x:v>6.383333333333334</x:v>
      </x:c>
      <x:c r="R402" s="221" t="n">
        <x:v>0.08825901601567</x:v>
      </x:c>
      <x:c r="S402" s="221" t="n">
        <x:v>104.29032258064517</x:v>
      </x:c>
      <x:c r="T402" s="221" t="n">
        <x:v>99.41935483870968</x:v>
      </x:c>
      <x:c r="U402" s="221" t="n">
        <x:v>4.870967741935484</x:v>
      </x:c>
      <x:c r="V402" s="219" t="n">
        <x:v>0.0576036866359447</x:v>
      </x:c>
      <x:c r="W402" s="216" t="n">
        <x:v>23</x:v>
      </x:c>
      <x:c r="X402" s="223" t="n">
        <x:v>3000</x:v>
      </x:c>
      <x:c r="Y402" s="216" t="n">
        <x:v>40</x:v>
      </x:c>
    </x:row>
    <x:row r="403">
      <x:c r="A403" s="217" t="n">
        <x:v>1344</x:v>
      </x:c>
      <x:c r="B403" s="217" t="str">
        <x:v>二重國小</x:v>
      </x:c>
      <x:c r="C403" s="217" t="str">
        <x:v>三重區</x:v>
      </x:c>
      <x:c r="D403" s="217" t="n">
        <x:v>43</x:v>
      </x:c>
      <x:c r="E403" s="217" t="n">
        <x:v>120</x:v>
      </x:c>
      <x:c r="F403" s="218" t="n">
        <x:v>0.9994791666666667</x:v>
      </x:c>
      <x:c r="G403" s="217" t="n">
        <x:v>399</x:v>
      </x:c>
      <x:c r="H403" s="217" t="str">
        <x:f>IF(G403&lt;='排名定義'!$B$5,"是","")</x:f>
        <x:v>是</x:v>
      </x:c>
      <x:c r="I403" s="217" t="n">
        <x:v>399</x:v>
      </x:c>
      <x:c r="J403" s="217" t="str">
        <x:f>IF(I403&lt;='排名定義'!$B$5,"是","")</x:f>
        <x:v>是</x:v>
      </x:c>
      <x:c r="K403" s="217" t="n">
        <x:v>362</x:v>
      </x:c>
      <x:c r="L403" s="217" t="str">
        <x:f>IF(K403&lt;='排名定義'!$B$5,"是","")</x:f>
        <x:v>是</x:v>
      </x:c>
      <x:c r="M403" s="217" t="n">
        <x:f>COUNTIF(H403:L403,"是")</x:f>
        <x:v>3</x:v>
      </x:c>
      <x:c r="N403" s="217" t="str">
        <x:v>僅大幅變動</x:v>
      </x:c>
      <x:c r="O403" s="220" t="n">
        <x:v>72.31666666666666</x:v>
      </x:c>
      <x:c r="P403" s="220" t="n">
        <x:v>66.36666666666666</x:v>
      </x:c>
      <x:c r="Q403" s="220" t="n">
        <x:v>5.95</x:v>
      </x:c>
      <x:c r="R403" s="220" t="n">
        <x:v>0.08227702235538142</x:v>
      </x:c>
      <x:c r="S403" s="220" t="n">
        <x:v>89.12903225806451</x:v>
      </x:c>
      <x:c r="T403" s="220" t="n">
        <x:v>83.58064516129032</x:v>
      </x:c>
      <x:c r="U403" s="220" t="n">
        <x:v>5.548387096774194</x:v>
      </x:c>
      <x:c r="V403" s="218" t="n">
        <x:v>0.04838709677419355</x:v>
      </x:c>
      <x:c r="W403" s="217" t="n">
        <x:v>5</x:v>
      </x:c>
      <x:c r="X403" s="222" t="n">
        <x:v>930</x:v>
      </x:c>
      <x:c r="Y403" s="217" t="n">
        <x:v>43</x:v>
      </x:c>
    </x:row>
    <x:row r="404">
      <x:c r="A404" s="216" t="n">
        <x:v>203</x:v>
      </x:c>
      <x:c r="B404" s="216" t="str">
        <x:v>貴子路36巷3弄口</x:v>
      </x:c>
      <x:c r="C404" s="216" t="str">
        <x:v>泰山區</x:v>
      </x:c>
      <x:c r="D404" s="216" t="n">
        <x:v>12</x:v>
      </x:c>
      <x:c r="E404" s="216" t="n">
        <x:v>120</x:v>
      </x:c>
      <x:c r="F404" s="219" t="n">
        <x:v>0.9994791666666667</x:v>
      </x:c>
      <x:c r="G404" s="216" t="n">
        <x:v>400</x:v>
      </x:c>
      <x:c r="H404" s="216" t="str">
        <x:f>IF(G404&lt;='排名定義'!$B$5,"是","")</x:f>
        <x:v>是</x:v>
      </x:c>
      <x:c r="I404" s="216" t="n">
        <x:v>371</x:v>
      </x:c>
      <x:c r="J404" s="216" t="str">
        <x:f>IF(I404&lt;='排名定義'!$B$5,"是","")</x:f>
        <x:v>是</x:v>
      </x:c>
      <x:c r="K404" s="216" t="n">
        <x:v>1036</x:v>
      </x:c>
      <x:c r="L404" s="216" t="str">
        <x:f>IF(K404&lt;='排名定義'!$B$5,"是","")</x:f>
        <x:v>是</x:v>
      </x:c>
      <x:c r="M404" s="216" t="n">
        <x:f>COUNTIF(H404:L404,"是")</x:f>
        <x:v>3</x:v>
      </x:c>
      <x:c r="N404" s="216" t="str">
        <x:v>僅一般變動</x:v>
      </x:c>
      <x:c r="O404" s="221" t="n">
        <x:v>72.11666666666666</x:v>
      </x:c>
      <x:c r="P404" s="221" t="n">
        <x:v>68.75833333333334</x:v>
      </x:c>
      <x:c r="Q404" s="221" t="n">
        <x:v>3.3583333333333334</x:v>
      </x:c>
      <x:c r="R404" s="221" t="n">
        <x:v>0.04656806101224867</x:v>
      </x:c>
      <x:c r="S404" s="221" t="n">
        <x:v>99.41935483870968</x:v>
      </x:c>
      <x:c r="T404" s="221" t="n">
        <x:v>90.74193548387096</x:v>
      </x:c>
      <x:c r="U404" s="221" t="n">
        <x:v>8.67741935483871</x:v>
      </x:c>
      <x:c r="V404" s="219" t="n">
        <x:v>0.20276497695852536</x:v>
      </x:c>
      <x:c r="W404" s="216" t="n">
        <x:v>42</x:v>
      </x:c>
      <x:c r="X404" s="223" t="n">
        <x:v>6090</x:v>
      </x:c>
      <x:c r="Y404" s="216" t="n">
        <x:v>12</x:v>
      </x:c>
    </x:row>
    <x:row r="405">
      <x:c r="A405" s="217" t="n">
        <x:v>995</x:v>
      </x:c>
      <x:c r="B405" s="217" t="str">
        <x:v>淡江大學(水源街)</x:v>
      </x:c>
      <x:c r="C405" s="217" t="str">
        <x:v>淡水區</x:v>
      </x:c>
      <x:c r="D405" s="217" t="n">
        <x:v>29</x:v>
      </x:c>
      <x:c r="E405" s="217" t="n">
        <x:v>120</x:v>
      </x:c>
      <x:c r="F405" s="218" t="n">
        <x:v>0.9975694444444444</x:v>
      </x:c>
      <x:c r="G405" s="217" t="n">
        <x:v>401</x:v>
      </x:c>
      <x:c r="H405" s="217" t="str">
        <x:f>IF(G405&lt;='排名定義'!$B$5,"是","")</x:f>
        <x:v>是</x:v>
      </x:c>
      <x:c r="I405" s="217" t="n">
        <x:v>400</x:v>
      </x:c>
      <x:c r="J405" s="217" t="str">
        <x:f>IF(I405&lt;='排名定義'!$B$5,"是","")</x:f>
        <x:v>是</x:v>
      </x:c>
      <x:c r="K405" s="217" t="n">
        <x:v>389</x:v>
      </x:c>
      <x:c r="L405" s="217" t="str">
        <x:f>IF(K405&lt;='排名定義'!$B$5,"是","")</x:f>
        <x:v>是</x:v>
      </x:c>
      <x:c r="M405" s="217" t="n">
        <x:f>COUNTIF(H405:L405,"是")</x:f>
        <x:v>3</x:v>
      </x:c>
      <x:c r="N405" s="217" t="str">
        <x:v>三份皆未入選</x:v>
      </x:c>
      <x:c r="O405" s="220" t="n">
        <x:v>72.11666666666666</x:v>
      </x:c>
      <x:c r="P405" s="220" t="n">
        <x:v>66.35833333333333</x:v>
      </x:c>
      <x:c r="Q405" s="220" t="n">
        <x:v>5.758333333333334</x:v>
      </x:c>
      <x:c r="R405" s="220" t="n">
        <x:v>0.07984746937832217</x:v>
      </x:c>
      <x:c r="S405" s="220" t="n">
        <x:v>93.03225806451613</x:v>
      </x:c>
      <x:c r="T405" s="220" t="n">
        <x:v>88.51612903225806</x:v>
      </x:c>
      <x:c r="U405" s="220" t="n">
        <x:v>4.516129032258065</x:v>
      </x:c>
      <x:c r="V405" s="218" t="n">
        <x:v>0.195852534562212</x:v>
      </x:c>
      <x:c r="W405" s="217" t="n">
        <x:v>42</x:v>
      </x:c>
      <x:c r="X405" s="222" t="n">
        <x:v>5160</x:v>
      </x:c>
      <x:c r="Y405" s="217" t="n">
        <x:v>29</x:v>
      </x:c>
    </x:row>
    <x:row r="406">
      <x:c r="A406" s="216" t="n">
        <x:v>1163</x:v>
      </x:c>
      <x:c r="B406" s="216" t="str">
        <x:v>集成成功路口</x:v>
      </x:c>
      <x:c r="C406" s="216" t="str">
        <x:v>三重區</x:v>
      </x:c>
      <x:c r="D406" s="216" t="n">
        <x:v>35</x:v>
      </x:c>
      <x:c r="E406" s="216" t="n">
        <x:v>120</x:v>
      </x:c>
      <x:c r="F406" s="219" t="n">
        <x:v>0.9994791666666667</x:v>
      </x:c>
      <x:c r="G406" s="216" t="n">
        <x:v>402</x:v>
      </x:c>
      <x:c r="H406" s="216" t="str">
        <x:f>IF(G406&lt;='排名定義'!$B$5,"是","")</x:f>
        <x:v>是</x:v>
      </x:c>
      <x:c r="I406" s="216" t="n">
        <x:v>398</x:v>
      </x:c>
      <x:c r="J406" s="216" t="str">
        <x:f>IF(I406&lt;='排名定義'!$B$5,"是","")</x:f>
        <x:v>是</x:v>
      </x:c>
      <x:c r="K406" s="216" t="n">
        <x:v>480</x:v>
      </x:c>
      <x:c r="L406" s="216" t="str">
        <x:f>IF(K406&lt;='排名定義'!$B$5,"是","")</x:f>
        <x:v>是</x:v>
      </x:c>
      <x:c r="M406" s="216" t="n">
        <x:f>COUNTIF(H406:L406,"是")</x:f>
        <x:v>3</x:v>
      </x:c>
      <x:c r="N406" s="216" t="str">
        <x:v>三份皆未入選</x:v>
      </x:c>
      <x:c r="O406" s="221" t="n">
        <x:v>71.85833333333333</x:v>
      </x:c>
      <x:c r="P406" s="221" t="n">
        <x:v>66.60833333333333</x:v>
      </x:c>
      <x:c r="Q406" s="221" t="n">
        <x:v>5.25</x:v>
      </x:c>
      <x:c r="R406" s="221" t="n">
        <x:v>0.07306041980749159</x:v>
      </x:c>
      <x:c r="S406" s="221" t="n">
        <x:v>95.90322580645162</x:v>
      </x:c>
      <x:c r="T406" s="221" t="n">
        <x:v>91.87096774193549</x:v>
      </x:c>
      <x:c r="U406" s="221" t="n">
        <x:v>4.032258064516129</x:v>
      </x:c>
      <x:c r="V406" s="219" t="n">
        <x:v>0.055299539170506916</x:v>
      </x:c>
      <x:c r="W406" s="216" t="n">
        <x:v>8</x:v>
      </x:c>
      <x:c r="X406" s="223" t="n">
        <x:v>1740</x:v>
      </x:c>
      <x:c r="Y406" s="216" t="n">
        <x:v>35</x:v>
      </x:c>
    </x:row>
    <x:row r="407">
      <x:c r="A407" s="217" t="n">
        <x:v>1143</x:v>
      </x:c>
      <x:c r="B407" s="217" t="str">
        <x:v>浮洲合宜住宅(合安一路)</x:v>
      </x:c>
      <x:c r="C407" s="217" t="str">
        <x:v>板橋區</x:v>
      </x:c>
      <x:c r="D407" s="217" t="n">
        <x:v>34</x:v>
      </x:c>
      <x:c r="E407" s="217" t="n">
        <x:v>96</x:v>
      </x:c>
      <x:c r="F407" s="218" t="n">
        <x:v>0.9756944444444444</x:v>
      </x:c>
      <x:c r="G407" s="217" t="n">
        <x:v>403</x:v>
      </x:c>
      <x:c r="H407" s="217" t="str">
        <x:f>IF(G407&lt;='排名定義'!$B$5,"是","")</x:f>
        <x:v>是</x:v>
      </x:c>
      <x:c r="I407" s="217" t="n">
        <x:v>422</x:v>
      </x:c>
      <x:c r="J407" s="217" t="str">
        <x:f>IF(I407&lt;='排名定義'!$B$5,"是","")</x:f>
        <x:v>是</x:v>
      </x:c>
      <x:c r="K407" s="217" t="n">
        <x:v>205</x:v>
      </x:c>
      <x:c r="L407" s="217" t="str">
        <x:f>IF(K407&lt;='排名定義'!$B$5,"是","")</x:f>
        <x:v>是</x:v>
      </x:c>
      <x:c r="M407" s="217" t="n">
        <x:f>COUNTIF(H407:L407,"是")</x:f>
        <x:v>3</x:v>
      </x:c>
      <x:c r="N407" s="217" t="str">
        <x:v>僅大幅變動</x:v>
      </x:c>
      <x:c r="O407" s="220" t="n">
        <x:v>71.57291666666667</x:v>
      </x:c>
      <x:c r="P407" s="220" t="n">
        <x:v>64.41666666666667</x:v>
      </x:c>
      <x:c r="Q407" s="220" t="n">
        <x:v>7.15625</x:v>
      </x:c>
      <x:c r="R407" s="220" t="n">
        <x:v>0.09998544607771795</x:v>
      </x:c>
      <x:c r="S407" s="220" t="n">
        <x:v>92.6774193548387</x:v>
      </x:c>
      <x:c r="T407" s="220" t="n">
        <x:v>88.87096774193549</x:v>
      </x:c>
      <x:c r="U407" s="220" t="n">
        <x:v>3.806451612903226</x:v>
      </x:c>
      <x:c r="V407" s="218" t="n">
        <x:v>0.11290322580645161</x:v>
      </x:c>
      <x:c r="W407" s="217" t="n">
        <x:v>26</x:v>
      </x:c>
      <x:c r="X407" s="222" t="n">
        <x:v>3360</x:v>
      </x:c>
      <x:c r="Y407" s="217" t="n">
        <x:v>34</x:v>
      </x:c>
    </x:row>
    <x:row r="408">
      <x:c r="A408" s="216" t="n">
        <x:v>115</x:v>
      </x:c>
      <x:c r="B408" s="216" t="str">
        <x:v>大觀路二段265巷3弄口</x:v>
      </x:c>
      <x:c r="C408" s="216" t="str">
        <x:v>板橋區</x:v>
      </x:c>
      <x:c r="D408" s="216" t="n">
        <x:v>10</x:v>
      </x:c>
      <x:c r="E408" s="216" t="n">
        <x:v>120</x:v>
      </x:c>
      <x:c r="F408" s="219" t="n">
        <x:v>0.9994791666666667</x:v>
      </x:c>
      <x:c r="G408" s="216" t="n">
        <x:v>404</x:v>
      </x:c>
      <x:c r="H408" s="216" t="str">
        <x:f>IF(G408&lt;='排名定義'!$B$5,"是","")</x:f>
        <x:v>是</x:v>
      </x:c>
      <x:c r="I408" s="216" t="n">
        <x:v>380</x:v>
      </x:c>
      <x:c r="J408" s="216" t="str">
        <x:f>IF(I408&lt;='排名定義'!$B$5,"是","")</x:f>
        <x:v>是</x:v>
      </x:c>
      <x:c r="K408" s="216" t="n">
        <x:v>1040</x:v>
      </x:c>
      <x:c r="L408" s="216" t="str">
        <x:f>IF(K408&lt;='排名定義'!$B$5,"是","")</x:f>
        <x:v>是</x:v>
      </x:c>
      <x:c r="M408" s="216" t="n">
        <x:f>COUNTIF(H408:L408,"是")</x:f>
        <x:v>3</x:v>
      </x:c>
      <x:c r="N408" s="216" t="str">
        <x:v>三份皆未入選</x:v>
      </x:c>
      <x:c r="O408" s="221" t="n">
        <x:v>71.525</x:v>
      </x:c>
      <x:c r="P408" s="221" t="n">
        <x:v>68.175</x:v>
      </x:c>
      <x:c r="Q408" s="221" t="n">
        <x:v>3.35</x:v>
      </x:c>
      <x:c r="R408" s="221" t="n">
        <x:v>0.046836770360013984</x:v>
      </x:c>
      <x:c r="S408" s="221" t="n">
        <x:v>89.48387096774194</x:v>
      </x:c>
      <x:c r="T408" s="221" t="n">
        <x:v>86.83870967741936</x:v>
      </x:c>
      <x:c r="U408" s="221" t="n">
        <x:v>2.6451612903225805</x:v>
      </x:c>
      <x:c r="V408" s="219" t="n">
        <x:v>0.2465437788018433</x:v>
      </x:c>
      <x:c r="W408" s="216" t="n">
        <x:v>50</x:v>
      </x:c>
      <x:c r="X408" s="223" t="n">
        <x:v>7410</x:v>
      </x:c>
      <x:c r="Y408" s="216" t="n">
        <x:v>10</x:v>
      </x:c>
    </x:row>
    <x:row r="409">
      <x:c r="A409" s="217" t="n">
        <x:v>1128</x:v>
      </x:c>
      <x:c r="B409" s="217" t="str">
        <x:v>積穗國中</x:v>
      </x:c>
      <x:c r="C409" s="217" t="str">
        <x:v>中和區</x:v>
      </x:c>
      <x:c r="D409" s="217" t="n">
        <x:v>33</x:v>
      </x:c>
      <x:c r="E409" s="217" t="n">
        <x:v>120</x:v>
      </x:c>
      <x:c r="F409" s="218" t="n">
        <x:v>0.9994791666666667</x:v>
      </x:c>
      <x:c r="G409" s="217" t="n">
        <x:v>405</x:v>
      </x:c>
      <x:c r="H409" s="217" t="str">
        <x:f>IF(G409&lt;='排名定義'!$B$5,"是","")</x:f>
        <x:v>是</x:v>
      </x:c>
      <x:c r="I409" s="217" t="n">
        <x:v>407</x:v>
      </x:c>
      <x:c r="J409" s="217" t="str">
        <x:f>IF(I409&lt;='排名定義'!$B$5,"是","")</x:f>
        <x:v>是</x:v>
      </x:c>
      <x:c r="K409" s="217" t="n">
        <x:v>381</x:v>
      </x:c>
      <x:c r="L409" s="217" t="str">
        <x:f>IF(K409&lt;='排名定義'!$B$5,"是","")</x:f>
        <x:v>是</x:v>
      </x:c>
      <x:c r="M409" s="217" t="n">
        <x:f>COUNTIF(H409:L409,"是")</x:f>
        <x:v>3</x:v>
      </x:c>
      <x:c r="N409" s="217" t="str">
        <x:v>三份皆未入選</x:v>
      </x:c>
      <x:c r="O409" s="220" t="n">
        <x:v>71.50833333333334</x:v>
      </x:c>
      <x:c r="P409" s="220" t="n">
        <x:v>65.675</x:v>
      </x:c>
      <x:c r="Q409" s="220" t="n">
        <x:v>5.833333333333333</x:v>
      </x:c>
      <x:c r="R409" s="220" t="n">
        <x:v>0.08157557394243095</x:v>
      </x:c>
      <x:c r="S409" s="220" t="n">
        <x:v>95.06451612903226</x:v>
      </x:c>
      <x:c r="T409" s="220" t="n">
        <x:v>90.41935483870968</x:v>
      </x:c>
      <x:c r="U409" s="220" t="n">
        <x:v>4.645161290322581</x:v>
      </x:c>
      <x:c r="V409" s="218" t="n">
        <x:v>0.004608294930875576</x:v>
      </x:c>
      <x:c r="W409" s="217" t="n">
        <x:v>1</x:v>
      </x:c>
      <x:c r="X409" s="222" t="n">
        <x:v>180</x:v>
      </x:c>
      <x:c r="Y409" s="217" t="n">
        <x:v>33</x:v>
      </x:c>
    </x:row>
    <x:row r="410">
      <x:c r="A410" s="216" t="n">
        <x:v>793</x:v>
      </x:c>
      <x:c r="B410" s="216" t="str">
        <x:v>修德國小(重陽路三段)</x:v>
      </x:c>
      <x:c r="C410" s="216" t="str">
        <x:v>三重區</x:v>
      </x:c>
      <x:c r="D410" s="216" t="n">
        <x:v>22</x:v>
      </x:c>
      <x:c r="E410" s="216" t="n">
        <x:v>120</x:v>
      </x:c>
      <x:c r="F410" s="219" t="n">
        <x:v>0.9994791666666667</x:v>
      </x:c>
      <x:c r="G410" s="216" t="n">
        <x:v>406</x:v>
      </x:c>
      <x:c r="H410" s="216" t="str">
        <x:f>IF(G410&lt;='排名定義'!$B$5,"是","")</x:f>
        <x:v>是</x:v>
      </x:c>
      <x:c r="I410" s="216" t="n">
        <x:v>397</x:v>
      </x:c>
      <x:c r="J410" s="216" t="str">
        <x:f>IF(I410&lt;='排名定義'!$B$5,"是","")</x:f>
        <x:v>是</x:v>
      </x:c>
      <x:c r="K410" s="216" t="n">
        <x:v>685</x:v>
      </x:c>
      <x:c r="L410" s="216" t="str">
        <x:f>IF(K410&lt;='排名定義'!$B$5,"是","")</x:f>
        <x:v>是</x:v>
      </x:c>
      <x:c r="M410" s="216" t="n">
        <x:f>COUNTIF(H410:L410,"是")</x:f>
        <x:v>3</x:v>
      </x:c>
      <x:c r="N410" s="216" t="str">
        <x:v>三份皆未入選</x:v>
      </x:c>
      <x:c r="O410" s="221" t="n">
        <x:v>71.375</x:v>
      </x:c>
      <x:c r="P410" s="221" t="n">
        <x:v>67.01666666666667</x:v>
      </x:c>
      <x:c r="Q410" s="221" t="n">
        <x:v>4.358333333333333</x:v>
      </x:c>
      <x:c r="R410" s="221" t="n">
        <x:v>0.0610624635143024</x:v>
      </x:c>
      <x:c r="S410" s="221" t="n">
        <x:v>94.70967741935483</x:v>
      </x:c>
      <x:c r="T410" s="221" t="n">
        <x:v>89.19354838709677</x:v>
      </x:c>
      <x:c r="U410" s="221" t="n">
        <x:v>5.516129032258065</x:v>
      </x:c>
      <x:c r="V410" s="219" t="n">
        <x:v>0.06682027649769585</x:v>
      </x:c>
      <x:c r="W410" s="216" t="n">
        <x:v>8</x:v>
      </x:c>
      <x:c r="X410" s="223" t="n">
        <x:v>1650</x:v>
      </x:c>
      <x:c r="Y410" s="216" t="n">
        <x:v>22</x:v>
      </x:c>
    </x:row>
    <x:row r="411">
      <x:c r="A411" s="217" t="n">
        <x:v>1078</x:v>
      </x:c>
      <x:c r="B411" s="217" t="str">
        <x:v>捷運江子翠站(5號出口)</x:v>
      </x:c>
      <x:c r="C411" s="217" t="str">
        <x:v>板橋區</x:v>
      </x:c>
      <x:c r="D411" s="217" t="n">
        <x:v>31</x:v>
      </x:c>
      <x:c r="E411" s="217" t="n">
        <x:v>120</x:v>
      </x:c>
      <x:c r="F411" s="218" t="n">
        <x:v>0.9994791666666667</x:v>
      </x:c>
      <x:c r="G411" s="217" t="n">
        <x:v>407</x:v>
      </x:c>
      <x:c r="H411" s="217" t="str">
        <x:f>IF(G411&lt;='排名定義'!$B$5,"是","")</x:f>
        <x:v>是</x:v>
      </x:c>
      <x:c r="I411" s="217" t="n">
        <x:v>423</x:v>
      </x:c>
      <x:c r="J411" s="217" t="str">
        <x:f>IF(I411&lt;='排名定義'!$B$5,"是","")</x:f>
        <x:v>是</x:v>
      </x:c>
      <x:c r="K411" s="217" t="n">
        <x:v>263</x:v>
      </x:c>
      <x:c r="L411" s="217" t="str">
        <x:f>IF(K411&lt;='排名定義'!$B$5,"是","")</x:f>
        <x:v>是</x:v>
      </x:c>
      <x:c r="M411" s="217" t="n">
        <x:f>COUNTIF(H411:L411,"是")</x:f>
        <x:v>3</x:v>
      </x:c>
      <x:c r="N411" s="217" t="str">
        <x:v>僅大幅變動</x:v>
      </x:c>
      <x:c r="O411" s="220" t="n">
        <x:v>71.075</x:v>
      </x:c>
      <x:c r="P411" s="220" t="n">
        <x:v>64.40833333333333</x:v>
      </x:c>
      <x:c r="Q411" s="220" t="n">
        <x:v>6.666666666666667</x:v>
      </x:c>
      <x:c r="R411" s="220" t="n">
        <x:v>0.09379763160980185</x:v>
      </x:c>
      <x:c r="S411" s="220" t="n">
        <x:v>85.41935483870968</x:v>
      </x:c>
      <x:c r="T411" s="220" t="n">
        <x:v>80.54838709677419</x:v>
      </x:c>
      <x:c r="U411" s="220" t="n">
        <x:v>4.870967741935484</x:v>
      </x:c>
      <x:c r="V411" s="218" t="n">
        <x:v>0.07834101382488479</x:v>
      </x:c>
      <x:c r="W411" s="217" t="n">
        <x:v>58</x:v>
      </x:c>
      <x:c r="X411" s="222" t="n">
        <x:v>7110</x:v>
      </x:c>
      <x:c r="Y411" s="217" t="n">
        <x:v>31</x:v>
      </x:c>
    </x:row>
    <x:row r="412">
      <x:c r="A412" s="216" t="n">
        <x:v>1162</x:v>
      </x:c>
      <x:c r="B412" s="216" t="str">
        <x:v>輕軌濱海沙崙站</x:v>
      </x:c>
      <x:c r="C412" s="216" t="str">
        <x:v>淡水區</x:v>
      </x:c>
      <x:c r="D412" s="216" t="n">
        <x:v>35</x:v>
      </x:c>
      <x:c r="E412" s="216" t="n">
        <x:v>120</x:v>
      </x:c>
      <x:c r="F412" s="219" t="n">
        <x:v>0.9994791666666667</x:v>
      </x:c>
      <x:c r="G412" s="216" t="n">
        <x:v>408</x:v>
      </x:c>
      <x:c r="H412" s="216" t="str">
        <x:f>IF(G412&lt;='排名定義'!$B$5,"是","")</x:f>
        <x:v>是</x:v>
      </x:c>
      <x:c r="I412" s="216" t="n">
        <x:v>410</x:v>
      </x:c>
      <x:c r="J412" s="216" t="str">
        <x:f>IF(I412&lt;='排名定義'!$B$5,"是","")</x:f>
        <x:v>是</x:v>
      </x:c>
      <x:c r="K412" s="216" t="n">
        <x:v>401</x:v>
      </x:c>
      <x:c r="L412" s="216" t="str">
        <x:f>IF(K412&lt;='排名定義'!$B$5,"是","")</x:f>
        <x:v>是</x:v>
      </x:c>
      <x:c r="M412" s="216" t="n">
        <x:f>COUNTIF(H412:L412,"是")</x:f>
        <x:v>3</x:v>
      </x:c>
      <x:c r="N412" s="216" t="str">
        <x:v>三份皆未入選</x:v>
      </x:c>
      <x:c r="O412" s="221" t="n">
        <x:v>70.91666666666667</x:v>
      </x:c>
      <x:c r="P412" s="221" t="n">
        <x:v>65.20833333333333</x:v>
      </x:c>
      <x:c r="Q412" s="221" t="n">
        <x:v>5.708333333333333</x:v>
      </x:c>
      <x:c r="R412" s="221" t="n">
        <x:v>0.08049353701527615</x:v>
      </x:c>
      <x:c r="S412" s="221" t="n">
        <x:v>99.64516129032258</x:v>
      </x:c>
      <x:c r="T412" s="221" t="n">
        <x:v>93.93548387096774</x:v>
      </x:c>
      <x:c r="U412" s="221" t="n">
        <x:v>5.709677419354839</x:v>
      </x:c>
      <x:c r="V412" s="219" t="n">
        <x:v>0.04838709677419355</x:v>
      </x:c>
      <x:c r="W412" s="216" t="n">
        <x:v>14</x:v>
      </x:c>
      <x:c r="X412" s="223" t="n">
        <x:v>2310</x:v>
      </x:c>
      <x:c r="Y412" s="216" t="n">
        <x:v>35</x:v>
      </x:c>
    </x:row>
    <x:row r="413">
      <x:c r="A413" s="217" t="n">
        <x:v>1342</x:v>
      </x:c>
      <x:c r="B413" s="217" t="str">
        <x:v>永和國小</x:v>
      </x:c>
      <x:c r="C413" s="217" t="str">
        <x:v>永和區</x:v>
      </x:c>
      <x:c r="D413" s="217" t="n">
        <x:v>42</x:v>
      </x:c>
      <x:c r="E413" s="217" t="n">
        <x:v>120</x:v>
      </x:c>
      <x:c r="F413" s="218" t="n">
        <x:v>0.9994791666666667</x:v>
      </x:c>
      <x:c r="G413" s="217" t="n">
        <x:v>409</x:v>
      </x:c>
      <x:c r="H413" s="217" t="str">
        <x:f>IF(G413&lt;='排名定義'!$B$5,"是","")</x:f>
        <x:v>是</x:v>
      </x:c>
      <x:c r="I413" s="217" t="n">
        <x:v>413</x:v>
      </x:c>
      <x:c r="J413" s="217" t="str">
        <x:f>IF(I413&lt;='排名定義'!$B$5,"是","")</x:f>
        <x:v>是</x:v>
      </x:c>
      <x:c r="K413" s="217" t="n">
        <x:v>365</x:v>
      </x:c>
      <x:c r="L413" s="217" t="str">
        <x:f>IF(K413&lt;='排名定義'!$B$5,"是","")</x:f>
        <x:v>是</x:v>
      </x:c>
      <x:c r="M413" s="217" t="n">
        <x:f>COUNTIF(H413:L413,"是")</x:f>
        <x:v>3</x:v>
      </x:c>
      <x:c r="N413" s="217" t="str">
        <x:v>僅大幅變動</x:v>
      </x:c>
      <x:c r="O413" s="220" t="n">
        <x:v>70.875</x:v>
      </x:c>
      <x:c r="P413" s="220" t="n">
        <x:v>64.95</x:v>
      </x:c>
      <x:c r="Q413" s="220" t="n">
        <x:v>5.925</x:v>
      </x:c>
      <x:c r="R413" s="220" t="n">
        <x:v>0.0835978835978836</x:v>
      </x:c>
      <x:c r="S413" s="220" t="n">
        <x:v>99.58064516129032</x:v>
      </x:c>
      <x:c r="T413" s="220" t="n">
        <x:v>95.12903225806451</x:v>
      </x:c>
      <x:c r="U413" s="220" t="n">
        <x:v>4.451612903225806</x:v>
      </x:c>
      <x:c r="V413" s="218" t="n">
        <x:v>0.02534562211981567</x:v>
      </x:c>
      <x:c r="W413" s="217" t="n">
        <x:v>4</x:v>
      </x:c>
      <x:c r="X413" s="222" t="n">
        <x:v>750</x:v>
      </x:c>
      <x:c r="Y413" s="217" t="n">
        <x:v>42</x:v>
      </x:c>
    </x:row>
    <x:row r="414">
      <x:c r="A414" s="216" t="n">
        <x:v>1332</x:v>
      </x:c>
      <x:c r="B414" s="216" t="str">
        <x:v>民樂人行廣場</x:v>
      </x:c>
      <x:c r="C414" s="216" t="str">
        <x:v>中和區</x:v>
      </x:c>
      <x:c r="D414" s="216" t="n">
        <x:v>42</x:v>
      </x:c>
      <x:c r="E414" s="216" t="n">
        <x:v>120</x:v>
      </x:c>
      <x:c r="F414" s="219" t="n">
        <x:v>0.9994791666666667</x:v>
      </x:c>
      <x:c r="G414" s="216" t="n">
        <x:v>410</x:v>
      </x:c>
      <x:c r="H414" s="216" t="str">
        <x:f>IF(G414&lt;='排名定義'!$B$5,"是","")</x:f>
        <x:v>是</x:v>
      </x:c>
      <x:c r="I414" s="216" t="n">
        <x:v>420</x:v>
      </x:c>
      <x:c r="J414" s="216" t="str">
        <x:f>IF(I414&lt;='排名定義'!$B$5,"是","")</x:f>
        <x:v>是</x:v>
      </x:c>
      <x:c r="K414" s="216" t="n">
        <x:v>317</x:v>
      </x:c>
      <x:c r="L414" s="216" t="str">
        <x:f>IF(K414&lt;='排名定義'!$B$5,"是","")</x:f>
        <x:v>是</x:v>
      </x:c>
      <x:c r="M414" s="216" t="n">
        <x:f>COUNTIF(H414:L414,"是")</x:f>
        <x:v>3</x:v>
      </x:c>
      <x:c r="N414" s="216" t="str">
        <x:v>僅大幅變動</x:v>
      </x:c>
      <x:c r="O414" s="221" t="n">
        <x:v>70.81666666666666</x:v>
      </x:c>
      <x:c r="P414" s="221" t="n">
        <x:v>64.59166666666667</x:v>
      </x:c>
      <x:c r="Q414" s="221" t="n">
        <x:v>6.225</x:v>
      </x:c>
      <x:c r="R414" s="221" t="n">
        <x:v>0.08790303600847259</x:v>
      </x:c>
      <x:c r="S414" s="221" t="n">
        <x:v>96.35483870967742</x:v>
      </x:c>
      <x:c r="T414" s="221" t="n">
        <x:v>91.64516129032258</x:v>
      </x:c>
      <x:c r="U414" s="221" t="n">
        <x:v>4.709677419354839</x:v>
      </x:c>
      <x:c r="V414" s="219" t="n">
        <x:v>0</x:v>
      </x:c>
      <x:c r="W414" s="216" t="n">
        <x:v>0</x:v>
      </x:c>
      <x:c r="X414" s="223" t="n">
        <x:v>30</x:v>
      </x:c>
      <x:c r="Y414" s="216" t="n">
        <x:v>42</x:v>
      </x:c>
    </x:row>
    <x:row r="415">
      <x:c r="A415" s="217" t="n">
        <x:v>655</x:v>
      </x:c>
      <x:c r="B415" s="217" t="str">
        <x:v>忠孝國中地下停車場</x:v>
      </x:c>
      <x:c r="C415" s="217" t="str">
        <x:v>板橋區</x:v>
      </x:c>
      <x:c r="D415" s="217" t="n">
        <x:v>20</x:v>
      </x:c>
      <x:c r="E415" s="217" t="n">
        <x:v>120</x:v>
      </x:c>
      <x:c r="F415" s="218" t="n">
        <x:v>0.9994791666666667</x:v>
      </x:c>
      <x:c r="G415" s="217" t="n">
        <x:v>411</x:v>
      </x:c>
      <x:c r="H415" s="217" t="str">
        <x:f>IF(G415&lt;='排名定義'!$B$5,"是","")</x:f>
        <x:v>是</x:v>
      </x:c>
      <x:c r="I415" s="217" t="n">
        <x:v>408</x:v>
      </x:c>
      <x:c r="J415" s="217" t="str">
        <x:f>IF(I415&lt;='排名定義'!$B$5,"是","")</x:f>
        <x:v>是</x:v>
      </x:c>
      <x:c r="K415" s="217" t="n">
        <x:v>489</x:v>
      </x:c>
      <x:c r="L415" s="217" t="str">
        <x:f>IF(K415&lt;='排名定義'!$B$5,"是","")</x:f>
        <x:v>是</x:v>
      </x:c>
      <x:c r="M415" s="217" t="n">
        <x:f>COUNTIF(H415:L415,"是")</x:f>
        <x:v>3</x:v>
      </x:c>
      <x:c r="N415" s="217" t="str">
        <x:v>三份皆未入選</x:v>
      </x:c>
      <x:c r="O415" s="220" t="n">
        <x:v>70.78333333333333</x:v>
      </x:c>
      <x:c r="P415" s="220" t="n">
        <x:v>65.575</x:v>
      </x:c>
      <x:c r="Q415" s="220" t="n">
        <x:v>5.208333333333333</x:v>
      </x:c>
      <x:c r="R415" s="220" t="n">
        <x:v>0.07358135154226512</x:v>
      </x:c>
      <x:c r="S415" s="220" t="n">
        <x:v>87.83870967741936</x:v>
      </x:c>
      <x:c r="T415" s="220" t="n">
        <x:v>82</x:v>
      </x:c>
      <x:c r="U415" s="220" t="n">
        <x:v>5.838709677419355</x:v>
      </x:c>
      <x:c r="V415" s="218" t="n">
        <x:v>0.1497695852534562</x:v>
      </x:c>
      <x:c r="W415" s="217" t="n">
        <x:v>46</x:v>
      </x:c>
      <x:c r="X415" s="222" t="n">
        <x:v>5550</x:v>
      </x:c>
      <x:c r="Y415" s="217" t="n">
        <x:v>20</x:v>
      </x:c>
    </x:row>
    <x:row r="416">
      <x:c r="A416" s="216" t="n">
        <x:v>1427</x:v>
      </x:c>
      <x:c r="B416" s="216" t="str">
        <x:v>輕軌淡水行政中心站</x:v>
      </x:c>
      <x:c r="C416" s="216" t="str">
        <x:v>淡水區</x:v>
      </x:c>
      <x:c r="D416" s="216" t="n">
        <x:v>48</x:v>
      </x:c>
      <x:c r="E416" s="216" t="n">
        <x:v>120</x:v>
      </x:c>
      <x:c r="F416" s="219" t="n">
        <x:v>0.9994791666666667</x:v>
      </x:c>
      <x:c r="G416" s="216" t="n">
        <x:v>412</x:v>
      </x:c>
      <x:c r="H416" s="216" t="str">
        <x:f>IF(G416&lt;='排名定義'!$B$5,"是","")</x:f>
        <x:v>是</x:v>
      </x:c>
      <x:c r="I416" s="216" t="n">
        <x:v>424</x:v>
      </x:c>
      <x:c r="J416" s="216" t="str">
        <x:f>IF(I416&lt;='排名定義'!$B$5,"是","")</x:f>
        <x:v>是</x:v>
      </x:c>
      <x:c r="K416" s="216" t="n">
        <x:v>304</x:v>
      </x:c>
      <x:c r="L416" s="216" t="str">
        <x:f>IF(K416&lt;='排名定義'!$B$5,"是","")</x:f>
        <x:v>是</x:v>
      </x:c>
      <x:c r="M416" s="216" t="n">
        <x:f>COUNTIF(H416:L416,"是")</x:f>
        <x:v>3</x:v>
      </x:c>
      <x:c r="N416" s="216" t="str">
        <x:v>僅大幅變動</x:v>
      </x:c>
      <x:c r="O416" s="221" t="n">
        <x:v>70.73333333333333</x:v>
      </x:c>
      <x:c r="P416" s="221" t="n">
        <x:v>64.39166666666667</x:v>
      </x:c>
      <x:c r="Q416" s="221" t="n">
        <x:v>6.341666666666667</x:v>
      </x:c>
      <x:c r="R416" s="221" t="n">
        <x:v>0.0896559849198869</x:v>
      </x:c>
      <x:c r="S416" s="221" t="n">
        <x:v>93.41935483870968</x:v>
      </x:c>
      <x:c r="T416" s="221" t="n">
        <x:v>85.29032258064517</x:v>
      </x:c>
      <x:c r="U416" s="221" t="n">
        <x:v>8.129032258064516</x:v>
      </x:c>
      <x:c r="V416" s="219" t="n">
        <x:v>0.07603686635944701</x:v>
      </x:c>
      <x:c r="W416" s="216" t="n">
        <x:v>12</x:v>
      </x:c>
      <x:c r="X416" s="223" t="n">
        <x:v>2310</x:v>
      </x:c>
      <x:c r="Y416" s="216" t="n">
        <x:v>48</x:v>
      </x:c>
    </x:row>
    <x:row r="417">
      <x:c r="A417" s="217" t="n">
        <x:v>1510</x:v>
      </x:c>
      <x:c r="B417" s="217" t="str">
        <x:v>四川遠東路口</x:v>
      </x:c>
      <x:c r="C417" s="217" t="str">
        <x:v>板橋區</x:v>
      </x:c>
      <x:c r="D417" s="217" t="n">
        <x:v>60</x:v>
      </x:c>
      <x:c r="E417" s="217" t="n">
        <x:v>120</x:v>
      </x:c>
      <x:c r="F417" s="218" t="n">
        <x:v>0.9994791666666667</x:v>
      </x:c>
      <x:c r="G417" s="217" t="n">
        <x:v>413</x:v>
      </x:c>
      <x:c r="H417" s="217" t="str">
        <x:f>IF(G417&lt;='排名定義'!$B$5,"是","")</x:f>
        <x:v>是</x:v>
      </x:c>
      <x:c r="I417" s="217" t="n">
        <x:v>437</x:v>
      </x:c>
      <x:c r="J417" s="217" t="str">
        <x:f>IF(I417&lt;='排名定義'!$B$5,"是","")</x:f>
        <x:v>是</x:v>
      </x:c>
      <x:c r="K417" s="217" t="n">
        <x:v>218</x:v>
      </x:c>
      <x:c r="L417" s="217" t="str">
        <x:f>IF(K417&lt;='排名定義'!$B$5,"是","")</x:f>
        <x:v>是</x:v>
      </x:c>
      <x:c r="M417" s="217" t="n">
        <x:f>COUNTIF(H417:L417,"是")</x:f>
        <x:v>3</x:v>
      </x:c>
      <x:c r="N417" s="217" t="str">
        <x:v>僅大幅變動</x:v>
      </x:c>
      <x:c r="O417" s="220" t="n">
        <x:v>70.65</x:v>
      </x:c>
      <x:c r="P417" s="220" t="n">
        <x:v>63.608333333333334</x:v>
      </x:c>
      <x:c r="Q417" s="220" t="n">
        <x:v>7.041666666666667</x:v>
      </x:c>
      <x:c r="R417" s="220" t="n">
        <x:v>0.09966973342769521</x:v>
      </x:c>
      <x:c r="S417" s="220" t="n">
        <x:v>103.93548387096774</x:v>
      </x:c>
      <x:c r="T417" s="220" t="n">
        <x:v>97.90322580645162</x:v>
      </x:c>
      <x:c r="U417" s="220" t="n">
        <x:v>6.032258064516129</x:v>
      </x:c>
      <x:c r="V417" s="218" t="n">
        <x:v>0.04838709677419355</x:v>
      </x:c>
      <x:c r="W417" s="217" t="n">
        <x:v>19</x:v>
      </x:c>
      <x:c r="X417" s="222" t="n">
        <x:v>2850</x:v>
      </x:c>
      <x:c r="Y417" s="217" t="n">
        <x:v>60</x:v>
      </x:c>
    </x:row>
    <x:row r="418">
      <x:c r="A418" s="216" t="n">
        <x:v>1533</x:v>
      </x:c>
      <x:c r="B418" s="216" t="str">
        <x:v>瓦?截流站</x:v>
      </x:c>
      <x:c r="C418" s="216" t="str">
        <x:v>永和區</x:v>
      </x:c>
      <x:c r="D418" s="216" t="n">
        <x:v>11</x:v>
      </x:c>
      <x:c r="E418" s="216" t="n">
        <x:v>61</x:v>
      </x:c>
      <x:c r="F418" s="219" t="n">
        <x:v>0.9996584699453552</x:v>
      </x:c>
      <x:c r="G418" s="216" t="n">
        <x:v>414</x:v>
      </x:c>
      <x:c r="H418" s="216" t="str">
        <x:f>IF(G418&lt;='排名定義'!$B$5,"是","")</x:f>
        <x:v>是</x:v>
      </x:c>
      <x:c r="I418" s="216" t="n">
        <x:v>383</x:v>
      </x:c>
      <x:c r="J418" s="216" t="str">
        <x:f>IF(I418&lt;='排名定義'!$B$5,"是","")</x:f>
        <x:v>是</x:v>
      </x:c>
      <x:c r="K418" s="216" t="n">
        <x:v>1315</x:v>
      </x:c>
      <x:c r="L418" s="216" t="str">
        <x:f>IF(K418&lt;='排名定義'!$B$5,"是","")</x:f>
        <x:v>是</x:v>
      </x:c>
      <x:c r="M418" s="216" t="n">
        <x:f>COUNTIF(H418:L418,"是")</x:f>
        <x:v>3</x:v>
      </x:c>
      <x:c r="N418" s="216" t="str">
        <x:v>三份皆未入選</x:v>
      </x:c>
      <x:c r="O418" s="221" t="n">
        <x:v>70.42622950819673</x:v>
      </x:c>
      <x:c r="P418" s="221" t="n">
        <x:v>68.01639344262296</x:v>
      </x:c>
      <x:c r="Q418" s="221" t="n">
        <x:v>2.4098360655737703</x:v>
      </x:c>
      <x:c r="R418" s="221" t="n">
        <x:v>0.034217877094972066</x:v>
      </x:c>
      <x:c r="S418" s="221" t="n">
        <x:v>70.29032258064517</x:v>
      </x:c>
      <x:c r="T418" s="221" t="n">
        <x:v>66.58064516129032</x:v>
      </x:c>
      <x:c r="U418" s="221" t="n">
        <x:v>3.7096774193548385</x:v>
      </x:c>
      <x:c r="V418" s="219" t="n">
        <x:v>0.09907834101382489</x:v>
      </x:c>
      <x:c r="W418" s="216" t="n">
        <x:v>34</x:v>
      </x:c>
      <x:c r="X418" s="223" t="n">
        <x:v>4710</x:v>
      </x:c>
      <x:c r="Y418" s="216" t="n">
        <x:v>11</x:v>
      </x:c>
    </x:row>
    <x:row r="419">
      <x:c r="A419" s="217" t="n">
        <x:v>230</x:v>
      </x:c>
      <x:c r="B419" s="217" t="str">
        <x:v>圓通綠廊</x:v>
      </x:c>
      <x:c r="C419" s="217" t="str">
        <x:v>中和區</x:v>
      </x:c>
      <x:c r="D419" s="217" t="n">
        <x:v>13</x:v>
      </x:c>
      <x:c r="E419" s="217" t="n">
        <x:v>120</x:v>
      </x:c>
      <x:c r="F419" s="218" t="n">
        <x:v>0.9994791666666667</x:v>
      </x:c>
      <x:c r="G419" s="217" t="n">
        <x:v>415</x:v>
      </x:c>
      <x:c r="H419" s="217" t="str">
        <x:f>IF(G419&lt;='排名定義'!$B$5,"是","")</x:f>
        <x:v>是</x:v>
      </x:c>
      <x:c r="I419" s="217" t="n">
        <x:v>401</x:v>
      </x:c>
      <x:c r="J419" s="217" t="str">
        <x:f>IF(I419&lt;='排名定義'!$B$5,"是","")</x:f>
        <x:v>是</x:v>
      </x:c>
      <x:c r="K419" s="217" t="n">
        <x:v>792</x:v>
      </x:c>
      <x:c r="L419" s="217" t="str">
        <x:f>IF(K419&lt;='排名定義'!$B$5,"是","")</x:f>
        <x:v>是</x:v>
      </x:c>
      <x:c r="M419" s="217" t="n">
        <x:f>COUNTIF(H419:L419,"是")</x:f>
        <x:v>3</x:v>
      </x:c>
      <x:c r="N419" s="217" t="str">
        <x:v>三份皆未入選</x:v>
      </x:c>
      <x:c r="O419" s="220" t="n">
        <x:v>70.325</x:v>
      </x:c>
      <x:c r="P419" s="220" t="n">
        <x:v>66.325</x:v>
      </x:c>
      <x:c r="Q419" s="220" t="n">
        <x:v>4</x:v>
      </x:c>
      <x:c r="R419" s="220" t="n">
        <x:v>0.056878777106292217</x:v>
      </x:c>
      <x:c r="S419" s="220" t="n">
        <x:v>87.6774193548387</x:v>
      </x:c>
      <x:c r="T419" s="220" t="n">
        <x:v>83.45161290322581</x:v>
      </x:c>
      <x:c r="U419" s="220" t="n">
        <x:v>4.225806451612903</x:v>
      </x:c>
      <x:c r="V419" s="218" t="n">
        <x:v>0.1497695852534562</x:v>
      </x:c>
      <x:c r="W419" s="217" t="n">
        <x:v>24</x:v>
      </x:c>
      <x:c r="X419" s="222" t="n">
        <x:v>3630</x:v>
      </x:c>
      <x:c r="Y419" s="217" t="n">
        <x:v>13</x:v>
      </x:c>
    </x:row>
    <x:row r="420">
      <x:c r="A420" s="216" t="n">
        <x:v>829</x:v>
      </x:c>
      <x:c r="B420" s="216" t="str">
        <x:v>忠孝二文化二路口</x:v>
      </x:c>
      <x:c r="C420" s="216" t="str">
        <x:v>林口區</x:v>
      </x:c>
      <x:c r="D420" s="216" t="n">
        <x:v>23</x:v>
      </x:c>
      <x:c r="E420" s="216" t="n">
        <x:v>120</x:v>
      </x:c>
      <x:c r="F420" s="219" t="n">
        <x:v>0.9994791666666667</x:v>
      </x:c>
      <x:c r="G420" s="216" t="n">
        <x:v>416</x:v>
      </x:c>
      <x:c r="H420" s="216" t="str">
        <x:f>IF(G420&lt;='排名定義'!$B$5,"是","")</x:f>
        <x:v>是</x:v>
      </x:c>
      <x:c r="I420" s="216" t="n">
        <x:v>412</x:v>
      </x:c>
      <x:c r="J420" s="216" t="str">
        <x:f>IF(I420&lt;='排名定義'!$B$5,"是","")</x:f>
        <x:v>是</x:v>
      </x:c>
      <x:c r="K420" s="216" t="n">
        <x:v>456</x:v>
      </x:c>
      <x:c r="L420" s="216" t="str">
        <x:f>IF(K420&lt;='排名定義'!$B$5,"是","")</x:f>
        <x:v>是</x:v>
      </x:c>
      <x:c r="M420" s="216" t="n">
        <x:f>COUNTIF(H420:L420,"是")</x:f>
        <x:v>3</x:v>
      </x:c>
      <x:c r="N420" s="216" t="str">
        <x:v>三份皆未入選</x:v>
      </x:c>
      <x:c r="O420" s="221" t="n">
        <x:v>70.31666666666666</x:v>
      </x:c>
      <x:c r="P420" s="221" t="n">
        <x:v>64.96666666666667</x:v>
      </x:c>
      <x:c r="Q420" s="221" t="n">
        <x:v>5.35</x:v>
      </x:c>
      <x:c r="R420" s="221" t="n">
        <x:v>0.07608438018487794</x:v>
      </x:c>
      <x:c r="S420" s="221" t="n">
        <x:v>93.87096774193549</x:v>
      </x:c>
      <x:c r="T420" s="221" t="n">
        <x:v>90.35483870967742</x:v>
      </x:c>
      <x:c r="U420" s="221" t="n">
        <x:v>3.5161290322580645</x:v>
      </x:c>
      <x:c r="V420" s="219" t="n">
        <x:v>0.10368663594470046</x:v>
      </x:c>
      <x:c r="W420" s="216" t="n">
        <x:v>40</x:v>
      </x:c>
      <x:c r="X420" s="223" t="n">
        <x:v>5400</x:v>
      </x:c>
      <x:c r="Y420" s="216" t="n">
        <x:v>23</x:v>
      </x:c>
    </x:row>
    <x:row r="421">
      <x:c r="A421" s="217" t="n">
        <x:v>1333</x:v>
      </x:c>
      <x:c r="B421" s="217" t="str">
        <x:v>清水社區公園</x:v>
      </x:c>
      <x:c r="C421" s="217" t="str">
        <x:v>土城區</x:v>
      </x:c>
      <x:c r="D421" s="217" t="n">
        <x:v>42</x:v>
      </x:c>
      <x:c r="E421" s="217" t="n">
        <x:v>120</x:v>
      </x:c>
      <x:c r="F421" s="218" t="n">
        <x:v>0.9994791666666667</x:v>
      </x:c>
      <x:c r="G421" s="217" t="n">
        <x:v>417</x:v>
      </x:c>
      <x:c r="H421" s="217" t="str">
        <x:f>IF(G421&lt;='排名定義'!$B$5,"是","")</x:f>
        <x:v>是</x:v>
      </x:c>
      <x:c r="I421" s="217" t="n">
        <x:v>433</x:v>
      </x:c>
      <x:c r="J421" s="217" t="str">
        <x:f>IF(I421&lt;='排名定義'!$B$5,"是","")</x:f>
        <x:v>是</x:v>
      </x:c>
      <x:c r="K421" s="217" t="n">
        <x:v>294</x:v>
      </x:c>
      <x:c r="L421" s="217" t="str">
        <x:f>IF(K421&lt;='排名定義'!$B$5,"是","")</x:f>
        <x:v>是</x:v>
      </x:c>
      <x:c r="M421" s="217" t="n">
        <x:f>COUNTIF(H421:L421,"是")</x:f>
        <x:v>3</x:v>
      </x:c>
      <x:c r="N421" s="217" t="str">
        <x:v>僅大幅變動</x:v>
      </x:c>
      <x:c r="O421" s="220" t="n">
        <x:v>70.15833333333333</x:v>
      </x:c>
      <x:c r="P421" s="220" t="n">
        <x:v>63.74166666666667</x:v>
      </x:c>
      <x:c r="Q421" s="220" t="n">
        <x:v>6.416666666666667</x:v>
      </x:c>
      <x:c r="R421" s="220" t="n">
        <x:v>0.09145979332462288</x:v>
      </x:c>
      <x:c r="S421" s="220" t="n">
        <x:v>95.93548387096774</x:v>
      </x:c>
      <x:c r="T421" s="220" t="n">
        <x:v>92.12903225806451</x:v>
      </x:c>
      <x:c r="U421" s="220" t="n">
        <x:v>3.806451612903226</x:v>
      </x:c>
      <x:c r="V421" s="218" t="n">
        <x:v>0.052995391705069124</x:v>
      </x:c>
      <x:c r="W421" s="217" t="n">
        <x:v>13</x:v>
      </x:c>
      <x:c r="X421" s="222" t="n">
        <x:v>1800</x:v>
      </x:c>
      <x:c r="Y421" s="217" t="n">
        <x:v>42</x:v>
      </x:c>
    </x:row>
    <x:row r="422">
      <x:c r="A422" s="216" t="n">
        <x:v>1486</x:v>
      </x:c>
      <x:c r="B422" s="216" t="str">
        <x:v>板橋信義公園</x:v>
      </x:c>
      <x:c r="C422" s="216" t="str">
        <x:v>板橋區</x:v>
      </x:c>
      <x:c r="D422" s="216" t="n">
        <x:v>55</x:v>
      </x:c>
      <x:c r="E422" s="216" t="n">
        <x:v>120</x:v>
      </x:c>
      <x:c r="F422" s="219" t="n">
        <x:v>0.9994791666666667</x:v>
      </x:c>
      <x:c r="G422" s="216" t="n">
        <x:v>418</x:v>
      </x:c>
      <x:c r="H422" s="216" t="str">
        <x:f>IF(G422&lt;='排名定義'!$B$5,"是","")</x:f>
        <x:v>是</x:v>
      </x:c>
      <x:c r="I422" s="216" t="n">
        <x:v>431</x:v>
      </x:c>
      <x:c r="J422" s="216" t="str">
        <x:f>IF(I422&lt;='排名定義'!$B$5,"是","")</x:f>
        <x:v>是</x:v>
      </x:c>
      <x:c r="K422" s="216" t="n">
        <x:v>318</x:v>
      </x:c>
      <x:c r="L422" s="216" t="str">
        <x:f>IF(K422&lt;='排名定義'!$B$5,"是","")</x:f>
        <x:v>是</x:v>
      </x:c>
      <x:c r="M422" s="216" t="n">
        <x:f>COUNTIF(H422:L422,"是")</x:f>
        <x:v>3</x:v>
      </x:c>
      <x:c r="N422" s="216" t="str">
        <x:v>僅大幅變動</x:v>
      </x:c>
      <x:c r="O422" s="221" t="n">
        <x:v>70.04166666666667</x:v>
      </x:c>
      <x:c r="P422" s="221" t="n">
        <x:v>63.84166666666667</x:v>
      </x:c>
      <x:c r="Q422" s="221" t="n">
        <x:v>6.2</x:v>
      </x:c>
      <x:c r="R422" s="221" t="n">
        <x:v>0.08851873884592504</x:v>
      </x:c>
      <x:c r="S422" s="221" t="n">
        <x:v>89.09677419354838</x:v>
      </x:c>
      <x:c r="T422" s="221" t="n">
        <x:v>84.80645161290323</x:v>
      </x:c>
      <x:c r="U422" s="221" t="n">
        <x:v>4.290322580645161</x:v>
      </x:c>
      <x:c r="V422" s="219" t="n">
        <x:v>0.07142857142857142</x:v>
      </x:c>
      <x:c r="W422" s="216" t="n">
        <x:v>21</x:v>
      </x:c>
      <x:c r="X422" s="223" t="n">
        <x:v>2880</x:v>
      </x:c>
      <x:c r="Y422" s="216" t="n">
        <x:v>55</x:v>
      </x:c>
    </x:row>
    <x:row r="423">
      <x:c r="A423" s="217" t="n">
        <x:v>611</x:v>
      </x:c>
      <x:c r="B423" s="217" t="str">
        <x:v>幸福路753巷口</x:v>
      </x:c>
      <x:c r="C423" s="217" t="str">
        <x:v>新莊區</x:v>
      </x:c>
      <x:c r="D423" s="217" t="n">
        <x:v>19</x:v>
      </x:c>
      <x:c r="E423" s="217" t="n">
        <x:v>120</x:v>
      </x:c>
      <x:c r="F423" s="218" t="n">
        <x:v>0.9994791666666667</x:v>
      </x:c>
      <x:c r="G423" s="217" t="n">
        <x:v>419</x:v>
      </x:c>
      <x:c r="H423" s="217" t="str">
        <x:f>IF(G423&lt;='排名定義'!$B$5,"是","")</x:f>
        <x:v>是</x:v>
      </x:c>
      <x:c r="I423" s="217" t="n">
        <x:v>409</x:v>
      </x:c>
      <x:c r="J423" s="217" t="str">
        <x:f>IF(I423&lt;='排名定義'!$B$5,"是","")</x:f>
        <x:v>是</x:v>
      </x:c>
      <x:c r="K423" s="217" t="n">
        <x:v>665</x:v>
      </x:c>
      <x:c r="L423" s="217" t="str">
        <x:f>IF(K423&lt;='排名定義'!$B$5,"是","")</x:f>
        <x:v>是</x:v>
      </x:c>
      <x:c r="M423" s="217" t="n">
        <x:f>COUNTIF(H423:L423,"是")</x:f>
        <x:v>3</x:v>
      </x:c>
      <x:c r="N423" s="217" t="str">
        <x:v>三份皆未入選</x:v>
      </x:c>
      <x:c r="O423" s="220" t="n">
        <x:v>69.89166666666667</x:v>
      </x:c>
      <x:c r="P423" s="220" t="n">
        <x:v>65.475</x:v>
      </x:c>
      <x:c r="Q423" s="220" t="n">
        <x:v>4.416666666666667</x:v>
      </x:c>
      <x:c r="R423" s="220" t="n">
        <x:v>0.0631930368427328</x:v>
      </x:c>
      <x:c r="S423" s="220" t="n">
        <x:v>90.74193548387096</x:v>
      </x:c>
      <x:c r="T423" s="220" t="n">
        <x:v>87.51612903225806</x:v>
      </x:c>
      <x:c r="U423" s="220" t="n">
        <x:v>3.225806451612903</x:v>
      </x:c>
      <x:c r="V423" s="218" t="n">
        <x:v>0.1935483870967742</x:v>
      </x:c>
      <x:c r="W423" s="217" t="n">
        <x:v>36</x:v>
      </x:c>
      <x:c r="X423" s="222" t="n">
        <x:v>4950</x:v>
      </x:c>
      <x:c r="Y423" s="217" t="n">
        <x:v>19</x:v>
      </x:c>
    </x:row>
    <x:row r="424">
      <x:c r="A424" s="216" t="n">
        <x:v>369</x:v>
      </x:c>
      <x:c r="B424" s="216" t="str">
        <x:v>板新中山路一段口</x:v>
      </x:c>
      <x:c r="C424" s="216" t="str">
        <x:v>板橋區</x:v>
      </x:c>
      <x:c r="D424" s="216" t="n">
        <x:v>15</x:v>
      </x:c>
      <x:c r="E424" s="216" t="n">
        <x:v>120</x:v>
      </x:c>
      <x:c r="F424" s="219" t="n">
        <x:v>0.9994791666666667</x:v>
      </x:c>
      <x:c r="G424" s="216" t="n">
        <x:v>420</x:v>
      </x:c>
      <x:c r="H424" s="216" t="str">
        <x:f>IF(G424&lt;='排名定義'!$B$5,"是","")</x:f>
        <x:v>是</x:v>
      </x:c>
      <x:c r="I424" s="216" t="n">
        <x:v>404</x:v>
      </x:c>
      <x:c r="J424" s="216" t="str">
        <x:f>IF(I424&lt;='排名定義'!$B$5,"是","")</x:f>
        <x:v>是</x:v>
      </x:c>
      <x:c r="K424" s="216" t="n">
        <x:v>837</x:v>
      </x:c>
      <x:c r="L424" s="216" t="str">
        <x:f>IF(K424&lt;='排名定義'!$B$5,"是","")</x:f>
        <x:v>是</x:v>
      </x:c>
      <x:c r="M424" s="216" t="n">
        <x:f>COUNTIF(H424:L424,"是")</x:f>
        <x:v>3</x:v>
      </x:c>
      <x:c r="N424" s="216" t="str">
        <x:v>三份皆未入選</x:v>
      </x:c>
      <x:c r="O424" s="221" t="n">
        <x:v>69.88333333333334</x:v>
      </x:c>
      <x:c r="P424" s="221" t="n">
        <x:v>65.99166666666666</x:v>
      </x:c>
      <x:c r="Q424" s="221" t="n">
        <x:v>3.8916666666666666</x:v>
      </x:c>
      <x:c r="R424" s="221" t="n">
        <x:v>0.05568805151442881</x:v>
      </x:c>
      <x:c r="S424" s="221" t="n">
        <x:v>93.2258064516129</x:v>
      </x:c>
      <x:c r="T424" s="221" t="n">
        <x:v>90.51612903225806</x:v>
      </x:c>
      <x:c r="U424" s="221" t="n">
        <x:v>2.7096774193548385</x:v>
      </x:c>
      <x:c r="V424" s="219" t="n">
        <x:v>0.09907834101382489</x:v>
      </x:c>
      <x:c r="W424" s="216" t="n">
        <x:v>24</x:v>
      </x:c>
      <x:c r="X424" s="223" t="n">
        <x:v>3810</x:v>
      </x:c>
      <x:c r="Y424" s="216" t="n">
        <x:v>15</x:v>
      </x:c>
    </x:row>
    <x:row r="425">
      <x:c r="A425" s="217" t="n">
        <x:v>1450</x:v>
      </x:c>
      <x:c r="B425" s="217" t="str">
        <x:v>麗水富貴路口(聯合公園社區)</x:v>
      </x:c>
      <x:c r="C425" s="217" t="str">
        <x:v>新莊區</x:v>
      </x:c>
      <x:c r="D425" s="217" t="n">
        <x:v>50</x:v>
      </x:c>
      <x:c r="E425" s="217" t="n">
        <x:v>120</x:v>
      </x:c>
      <x:c r="F425" s="218" t="n">
        <x:v>0.9994791666666667</x:v>
      </x:c>
      <x:c r="G425" s="217" t="n">
        <x:v>421</x:v>
      </x:c>
      <x:c r="H425" s="217" t="str">
        <x:f>IF(G425&lt;='排名定義'!$B$5,"是","")</x:f>
        <x:v>是</x:v>
      </x:c>
      <x:c r="I425" s="217" t="n">
        <x:v>441</x:v>
      </x:c>
      <x:c r="J425" s="217" t="str">
        <x:f>IF(I425&lt;='排名定義'!$B$5,"是","")</x:f>
        <x:v>是</x:v>
      </x:c>
      <x:c r="K425" s="217" t="n">
        <x:v>285</x:v>
      </x:c>
      <x:c r="L425" s="217" t="str">
        <x:f>IF(K425&lt;='排名定義'!$B$5,"是","")</x:f>
        <x:v>是</x:v>
      </x:c>
      <x:c r="M425" s="217" t="n">
        <x:f>COUNTIF(H425:L425,"是")</x:f>
        <x:v>3</x:v>
      </x:c>
      <x:c r="N425" s="217" t="str">
        <x:v>僅大幅變動</x:v>
      </x:c>
      <x:c r="O425" s="220" t="n">
        <x:v>69.88333333333334</x:v>
      </x:c>
      <x:c r="P425" s="220" t="n">
        <x:v>63.391666666666666</x:v>
      </x:c>
      <x:c r="Q425" s="220" t="n">
        <x:v>6.491666666666666</x:v>
      </x:c>
      <x:c r="R425" s="220" t="n">
        <x:v>0.09289291676603864</x:v>
      </x:c>
      <x:c r="S425" s="220" t="n">
        <x:v>91.70967741935483</x:v>
      </x:c>
      <x:c r="T425" s="220" t="n">
        <x:v>87.70967741935483</x:v>
      </x:c>
      <x:c r="U425" s="220" t="n">
        <x:v>4</x:v>
      </x:c>
      <x:c r="V425" s="218" t="n">
        <x:v>0.04377880184331797</x:v>
      </x:c>
      <x:c r="W425" s="217" t="n">
        <x:v>5</x:v>
      </x:c>
      <x:c r="X425" s="222" t="n">
        <x:v>870</x:v>
      </x:c>
      <x:c r="Y425" s="217" t="n">
        <x:v>50</x:v>
      </x:c>
    </x:row>
    <x:row r="426">
      <x:c r="A426" s="216" t="n">
        <x:v>1013</x:v>
      </x:c>
      <x:c r="B426" s="216" t="str">
        <x:v>碧華國中(三賢街)</x:v>
      </x:c>
      <x:c r="C426" s="216" t="str">
        <x:v>三重區</x:v>
      </x:c>
      <x:c r="D426" s="216" t="n">
        <x:v>30</x:v>
      </x:c>
      <x:c r="E426" s="216" t="n">
        <x:v>120</x:v>
      </x:c>
      <x:c r="F426" s="219" t="n">
        <x:v>0.9994791666666667</x:v>
      </x:c>
      <x:c r="G426" s="216" t="n">
        <x:v>422</x:v>
      </x:c>
      <x:c r="H426" s="216" t="str">
        <x:f>IF(G426&lt;='排名定義'!$B$5,"是","")</x:f>
        <x:v>是</x:v>
      </x:c>
      <x:c r="I426" s="216" t="n">
        <x:v>418</x:v>
      </x:c>
      <x:c r="J426" s="216" t="str">
        <x:f>IF(I426&lt;='排名定義'!$B$5,"是","")</x:f>
        <x:v>是</x:v>
      </x:c>
      <x:c r="K426" s="216" t="n">
        <x:v>503</x:v>
      </x:c>
      <x:c r="L426" s="216" t="str">
        <x:f>IF(K426&lt;='排名定義'!$B$5,"是","")</x:f>
        <x:v>是</x:v>
      </x:c>
      <x:c r="M426" s="216" t="n">
        <x:f>COUNTIF(H426:L426,"是")</x:f>
        <x:v>3</x:v>
      </x:c>
      <x:c r="N426" s="216" t="str">
        <x:v>三份皆未入選</x:v>
      </x:c>
      <x:c r="O426" s="221" t="n">
        <x:v>69.86666666666666</x:v>
      </x:c>
      <x:c r="P426" s="221" t="n">
        <x:v>64.73333333333333</x:v>
      </x:c>
      <x:c r="Q426" s="221" t="n">
        <x:v>5.133333333333334</x:v>
      </x:c>
      <x:c r="R426" s="221" t="n">
        <x:v>0.07347328244274809</x:v>
      </x:c>
      <x:c r="S426" s="221" t="n">
        <x:v>101.6774193548387</x:v>
      </x:c>
      <x:c r="T426" s="221" t="n">
        <x:v>97.2258064516129</x:v>
      </x:c>
      <x:c r="U426" s="221" t="n">
        <x:v>4.451612903225806</x:v>
      </x:c>
      <x:c r="V426" s="219" t="n">
        <x:v>0.041474654377880185</x:v>
      </x:c>
      <x:c r="W426" s="216" t="n">
        <x:v>3</x:v>
      </x:c>
      <x:c r="X426" s="223" t="n">
        <x:v>930</x:v>
      </x:c>
      <x:c r="Y426" s="216" t="n">
        <x:v>30</x:v>
      </x:c>
    </x:row>
    <x:row r="427">
      <x:c r="A427" s="217" t="n">
        <x:v>1151</x:v>
      </x:c>
      <x:c r="B427" s="217" t="str">
        <x:v>板橋中山公園</x:v>
      </x:c>
      <x:c r="C427" s="217" t="str">
        <x:v>板橋區</x:v>
      </x:c>
      <x:c r="D427" s="217" t="n">
        <x:v>34</x:v>
      </x:c>
      <x:c r="E427" s="217" t="n">
        <x:v>120</x:v>
      </x:c>
      <x:c r="F427" s="218" t="n">
        <x:v>0.9994791666666667</x:v>
      </x:c>
      <x:c r="G427" s="217" t="n">
        <x:v>423</x:v>
      </x:c>
      <x:c r="H427" s="217" t="str">
        <x:f>IF(G427&lt;='排名定義'!$B$5,"是","")</x:f>
        <x:v>是</x:v>
      </x:c>
      <x:c r="I427" s="217" t="n">
        <x:v>414</x:v>
      </x:c>
      <x:c r="J427" s="217" t="str">
        <x:f>IF(I427&lt;='排名定義'!$B$5,"是","")</x:f>
        <x:v>是</x:v>
      </x:c>
      <x:c r="K427" s="217" t="n">
        <x:v>578</x:v>
      </x:c>
      <x:c r="L427" s="217" t="str">
        <x:f>IF(K427&lt;='排名定義'!$B$5,"是","")</x:f>
        <x:v>是</x:v>
      </x:c>
      <x:c r="M427" s="217" t="n">
        <x:f>COUNTIF(H427:L427,"是")</x:f>
        <x:v>3</x:v>
      </x:c>
      <x:c r="N427" s="217" t="str">
        <x:v>三份皆未入選</x:v>
      </x:c>
      <x:c r="O427" s="220" t="n">
        <x:v>69.725</x:v>
      </x:c>
      <x:c r="P427" s="220" t="n">
        <x:v>64.925</x:v>
      </x:c>
      <x:c r="Q427" s="220" t="n">
        <x:v>4.8</x:v>
      </x:c>
      <x:c r="R427" s="220" t="n">
        <x:v>0.06884187880960918</x:v>
      </x:c>
      <x:c r="S427" s="220" t="n">
        <x:v>98.90322580645162</x:v>
      </x:c>
      <x:c r="T427" s="220" t="n">
        <x:v>93.70967741935483</x:v>
      </x:c>
      <x:c r="U427" s="220" t="n">
        <x:v>5.193548387096774</x:v>
      </x:c>
      <x:c r="V427" s="218" t="n">
        <x:v>0.06912442396313365</x:v>
      </x:c>
      <x:c r="W427" s="217" t="n">
        <x:v>18</x:v>
      </x:c>
      <x:c r="X427" s="222" t="n">
        <x:v>2730</x:v>
      </x:c>
      <x:c r="Y427" s="217" t="n">
        <x:v>34</x:v>
      </x:c>
    </x:row>
    <x:row r="428">
      <x:c r="A428" s="216" t="n">
        <x:v>1037</x:v>
      </x:c>
      <x:c r="B428" s="216" t="str">
        <x:v>蘆洲李宅古蹟</x:v>
      </x:c>
      <x:c r="C428" s="216" t="str">
        <x:v>蘆洲區</x:v>
      </x:c>
      <x:c r="D428" s="216" t="n">
        <x:v>30</x:v>
      </x:c>
      <x:c r="E428" s="216" t="n">
        <x:v>120</x:v>
      </x:c>
      <x:c r="F428" s="219" t="n">
        <x:v>0.9994791666666667</x:v>
      </x:c>
      <x:c r="G428" s="216" t="n">
        <x:v>424</x:v>
      </x:c>
      <x:c r="H428" s="216" t="str">
        <x:f>IF(G428&lt;='排名定義'!$B$5,"是","")</x:f>
        <x:v>是</x:v>
      </x:c>
      <x:c r="I428" s="216" t="n">
        <x:v>428</x:v>
      </x:c>
      <x:c r="J428" s="216" t="str">
        <x:f>IF(I428&lt;='排名定義'!$B$5,"是","")</x:f>
        <x:v>是</x:v>
      </x:c>
      <x:c r="K428" s="216" t="n">
        <x:v>438</x:v>
      </x:c>
      <x:c r="L428" s="216" t="str">
        <x:f>IF(K428&lt;='排名定義'!$B$5,"是","")</x:f>
        <x:v>是</x:v>
      </x:c>
      <x:c r="M428" s="216" t="n">
        <x:f>COUNTIF(H428:L428,"是")</x:f>
        <x:v>3</x:v>
      </x:c>
      <x:c r="N428" s="216" t="str">
        <x:v>三份皆未入選</x:v>
      </x:c>
      <x:c r="O428" s="221" t="n">
        <x:v>69.70833333333333</x:v>
      </x:c>
      <x:c r="P428" s="221" t="n">
        <x:v>64.20833333333333</x:v>
      </x:c>
      <x:c r="Q428" s="221" t="n">
        <x:v>5.5</x:v>
      </x:c>
      <x:c r="R428" s="221" t="n">
        <x:v>0.07890017931858936</x:v>
      </x:c>
      <x:c r="S428" s="221" t="n">
        <x:v>89.96774193548387</x:v>
      </x:c>
      <x:c r="T428" s="221" t="n">
        <x:v>85.25806451612904</x:v>
      </x:c>
      <x:c r="U428" s="221" t="n">
        <x:v>4.709677419354839</x:v>
      </x:c>
      <x:c r="V428" s="219" t="n">
        <x:v>0.12903225806451613</x:v>
      </x:c>
      <x:c r="W428" s="216" t="n">
        <x:v>24</x:v>
      </x:c>
      <x:c r="X428" s="223" t="n">
        <x:v>3210</x:v>
      </x:c>
      <x:c r="Y428" s="216" t="n">
        <x:v>30</x:v>
      </x:c>
    </x:row>
    <x:row r="429">
      <x:c r="A429" s="217" t="n">
        <x:v>1059</x:v>
      </x:c>
      <x:c r="B429" s="217" t="str">
        <x:v>新府區運路口</x:v>
      </x:c>
      <x:c r="C429" s="217" t="str">
        <x:v>板橋區</x:v>
      </x:c>
      <x:c r="D429" s="217" t="n">
        <x:v>30</x:v>
      </x:c>
      <x:c r="E429" s="217" t="n">
        <x:v>120</x:v>
      </x:c>
      <x:c r="F429" s="218" t="n">
        <x:v>0.9994791666666667</x:v>
      </x:c>
      <x:c r="G429" s="217" t="n">
        <x:v>425</x:v>
      </x:c>
      <x:c r="H429" s="217" t="str">
        <x:f>IF(G429&lt;='排名定義'!$B$5,"是","")</x:f>
        <x:v>是</x:v>
      </x:c>
      <x:c r="I429" s="217" t="n">
        <x:v>416</x:v>
      </x:c>
      <x:c r="J429" s="217" t="str">
        <x:f>IF(I429&lt;='排名定義'!$B$5,"是","")</x:f>
        <x:v>是</x:v>
      </x:c>
      <x:c r="K429" s="217" t="n">
        <x:v>554</x:v>
      </x:c>
      <x:c r="L429" s="217" t="str">
        <x:f>IF(K429&lt;='排名定義'!$B$5,"是","")</x:f>
        <x:v>是</x:v>
      </x:c>
      <x:c r="M429" s="217" t="n">
        <x:f>COUNTIF(H429:L429,"是")</x:f>
        <x:v>3</x:v>
      </x:c>
      <x:c r="N429" s="217" t="str">
        <x:v>三份皆未入選</x:v>
      </x:c>
      <x:c r="O429" s="220" t="n">
        <x:v>69.68333333333334</x:v>
      </x:c>
      <x:c r="P429" s="220" t="n">
        <x:v>64.78333333333333</x:v>
      </x:c>
      <x:c r="Q429" s="220" t="n">
        <x:v>4.9</x:v>
      </x:c>
      <x:c r="R429" s="220" t="n">
        <x:v>0.0703181057163358</x:v>
      </x:c>
      <x:c r="S429" s="220" t="n">
        <x:v>85.25806451612904</x:v>
      </x:c>
      <x:c r="T429" s="220" t="n">
        <x:v>81.19354838709677</x:v>
      </x:c>
      <x:c r="U429" s="220" t="n">
        <x:v>4.064516129032258</x:v>
      </x:c>
      <x:c r="V429" s="218" t="n">
        <x:v>0.06221198156682028</x:v>
      </x:c>
      <x:c r="W429" s="217" t="n">
        <x:v>48</x:v>
      </x:c>
      <x:c r="X429" s="222" t="n">
        <x:v>6270</x:v>
      </x:c>
      <x:c r="Y429" s="217" t="n">
        <x:v>30</x:v>
      </x:c>
    </x:row>
    <x:row r="430">
      <x:c r="A430" s="216" t="n">
        <x:v>1127</x:v>
      </x:c>
      <x:c r="B430" s="216" t="str">
        <x:v>永福國小</x:v>
      </x:c>
      <x:c r="C430" s="216" t="str">
        <x:v>三重區</x:v>
      </x:c>
      <x:c r="D430" s="216" t="n">
        <x:v>33</x:v>
      </x:c>
      <x:c r="E430" s="216" t="n">
        <x:v>120</x:v>
      </x:c>
      <x:c r="F430" s="219" t="n">
        <x:v>0.9994791666666667</x:v>
      </x:c>
      <x:c r="G430" s="216" t="n">
        <x:v>426</x:v>
      </x:c>
      <x:c r="H430" s="216" t="str">
        <x:f>IF(G430&lt;='排名定義'!$B$5,"是","")</x:f>
        <x:v>是</x:v>
      </x:c>
      <x:c r="I430" s="216" t="n">
        <x:v>435</x:v>
      </x:c>
      <x:c r="J430" s="216" t="str">
        <x:f>IF(I430&lt;='排名定義'!$B$5,"是","")</x:f>
        <x:v>是</x:v>
      </x:c>
      <x:c r="K430" s="216" t="n">
        <x:v>354</x:v>
      </x:c>
      <x:c r="L430" s="216" t="str">
        <x:f>IF(K430&lt;='排名定義'!$B$5,"是","")</x:f>
        <x:v>是</x:v>
      </x:c>
      <x:c r="M430" s="216" t="n">
        <x:f>COUNTIF(H430:L430,"是")</x:f>
        <x:v>3</x:v>
      </x:c>
      <x:c r="N430" s="216" t="str">
        <x:v>僅大幅變動</x:v>
      </x:c>
      <x:c r="O430" s="221" t="n">
        <x:v>69.66666666666667</x:v>
      </x:c>
      <x:c r="P430" s="221" t="n">
        <x:v>63.69166666666667</x:v>
      </x:c>
      <x:c r="Q430" s="221" t="n">
        <x:v>5.975</x:v>
      </x:c>
      <x:c r="R430" s="221" t="n">
        <x:v>0.08576555023923445</x:v>
      </x:c>
      <x:c r="S430" s="221" t="n">
        <x:v>83.70967741935483</x:v>
      </x:c>
      <x:c r="T430" s="221" t="n">
        <x:v>78.64516129032258</x:v>
      </x:c>
      <x:c r="U430" s="221" t="n">
        <x:v>5.064516129032258</x:v>
      </x:c>
      <x:c r="V430" s="219" t="n">
        <x:v>0.052995391705069124</x:v>
      </x:c>
      <x:c r="W430" s="216" t="n">
        <x:v>14</x:v>
      </x:c>
      <x:c r="X430" s="223" t="n">
        <x:v>2010</x:v>
      </x:c>
      <x:c r="Y430" s="216" t="n">
        <x:v>33</x:v>
      </x:c>
    </x:row>
    <x:row r="431">
      <x:c r="A431" s="217" t="n">
        <x:v>1327</x:v>
      </x:c>
      <x:c r="B431" s="217" t="str">
        <x:v>學成公園</x:v>
      </x:c>
      <x:c r="C431" s="217" t="str">
        <x:v>土城區</x:v>
      </x:c>
      <x:c r="D431" s="217" t="n">
        <x:v>42</x:v>
      </x:c>
      <x:c r="E431" s="217" t="n">
        <x:v>120</x:v>
      </x:c>
      <x:c r="F431" s="218" t="n">
        <x:v>0.9994791666666667</x:v>
      </x:c>
      <x:c r="G431" s="217" t="n">
        <x:v>427</x:v>
      </x:c>
      <x:c r="H431" s="217" t="str">
        <x:f>IF(G431&lt;='排名定義'!$B$5,"是","")</x:f>
        <x:v>是</x:v>
      </x:c>
      <x:c r="I431" s="217" t="n">
        <x:v>419</x:v>
      </x:c>
      <x:c r="J431" s="217" t="str">
        <x:f>IF(I431&lt;='排名定義'!$B$5,"是","")</x:f>
        <x:v>是</x:v>
      </x:c>
      <x:c r="K431" s="217" t="n">
        <x:v>531</x:v>
      </x:c>
      <x:c r="L431" s="217" t="str">
        <x:f>IF(K431&lt;='排名定義'!$B$5,"是","")</x:f>
        <x:v>是</x:v>
      </x:c>
      <x:c r="M431" s="217" t="n">
        <x:f>COUNTIF(H431:L431,"是")</x:f>
        <x:v>3</x:v>
      </x:c>
      <x:c r="N431" s="217" t="str">
        <x:v>三份皆未入選</x:v>
      </x:c>
      <x:c r="O431" s="220" t="n">
        <x:v>69.61666666666666</x:v>
      </x:c>
      <x:c r="P431" s="220" t="n">
        <x:v>64.59166666666667</x:v>
      </x:c>
      <x:c r="Q431" s="220" t="n">
        <x:v>5.025</x:v>
      </x:c>
      <x:c r="R431" s="220" t="n">
        <x:v>0.07218099114196792</x:v>
      </x:c>
      <x:c r="S431" s="220" t="n">
        <x:v>93.83870967741936</x:v>
      </x:c>
      <x:c r="T431" s="220" t="n">
        <x:v>89.96774193548387</x:v>
      </x:c>
      <x:c r="U431" s="220" t="n">
        <x:v>3.870967741935484</x:v>
      </x:c>
      <x:c r="V431" s="218" t="n">
        <x:v>0.11059907834101383</x:v>
      </x:c>
      <x:c r="W431" s="217" t="n">
        <x:v>27</x:v>
      </x:c>
      <x:c r="X431" s="222" t="n">
        <x:v>3570</x:v>
      </x:c>
      <x:c r="Y431" s="217" t="n">
        <x:v>42</x:v>
      </x:c>
    </x:row>
    <x:row r="432">
      <x:c r="A432" s="216" t="n">
        <x:v>562</x:v>
      </x:c>
      <x:c r="B432" s="216" t="str">
        <x:v>五工五五權路口</x:v>
      </x:c>
      <x:c r="C432" s="216" t="str">
        <x:v>五股區</x:v>
      </x:c>
      <x:c r="D432" s="216" t="n">
        <x:v>18</x:v>
      </x:c>
      <x:c r="E432" s="216" t="n">
        <x:v>120</x:v>
      </x:c>
      <x:c r="F432" s="219" t="n">
        <x:v>0.9994791666666667</x:v>
      </x:c>
      <x:c r="G432" s="216" t="n">
        <x:v>428</x:v>
      </x:c>
      <x:c r="H432" s="216" t="str">
        <x:f>IF(G432&lt;='排名定義'!$B$5,"是","")</x:f>
        <x:v>是</x:v>
      </x:c>
      <x:c r="I432" s="216" t="n">
        <x:v>443</x:v>
      </x:c>
      <x:c r="J432" s="216" t="str">
        <x:f>IF(I432&lt;='排名定義'!$B$5,"是","")</x:f>
        <x:v>是</x:v>
      </x:c>
      <x:c r="K432" s="216" t="n">
        <x:v>313</x:v>
      </x:c>
      <x:c r="L432" s="216" t="str">
        <x:f>IF(K432&lt;='排名定義'!$B$5,"是","")</x:f>
        <x:v>是</x:v>
      </x:c>
      <x:c r="M432" s="216" t="n">
        <x:f>COUNTIF(H432:L432,"是")</x:f>
        <x:v>3</x:v>
      </x:c>
      <x:c r="N432" s="216" t="str">
        <x:v>僅大幅變動</x:v>
      </x:c>
      <x:c r="O432" s="221" t="n">
        <x:v>69.55</x:v>
      </x:c>
      <x:c r="P432" s="221" t="n">
        <x:v>63.291666666666664</x:v>
      </x:c>
      <x:c r="Q432" s="221" t="n">
        <x:v>6.258333333333334</x:v>
      </x:c>
      <x:c r="R432" s="221" t="n">
        <x:v>0.08998322549724419</x:v>
      </x:c>
      <x:c r="S432" s="221" t="n">
        <x:v>84.12903225806451</x:v>
      </x:c>
      <x:c r="T432" s="221" t="n">
        <x:v>77.83870967741936</x:v>
      </x:c>
      <x:c r="U432" s="221" t="n">
        <x:v>6.290322580645161</x:v>
      </x:c>
      <x:c r="V432" s="219" t="n">
        <x:v>0.10599078341013825</x:v>
      </x:c>
      <x:c r="W432" s="216" t="n">
        <x:v>18</x:v>
      </x:c>
      <x:c r="X432" s="223" t="n">
        <x:v>3000</x:v>
      </x:c>
      <x:c r="Y432" s="216" t="n">
        <x:v>18</x:v>
      </x:c>
    </x:row>
    <x:row r="433">
      <x:c r="A433" s="217" t="n">
        <x:v>792</x:v>
      </x:c>
      <x:c r="B433" s="217" t="str">
        <x:v>五股工商立體停車場</x:v>
      </x:c>
      <x:c r="C433" s="217" t="str">
        <x:v>五股區</x:v>
      </x:c>
      <x:c r="D433" s="217" t="n">
        <x:v>22</x:v>
      </x:c>
      <x:c r="E433" s="217" t="n">
        <x:v>120</x:v>
      </x:c>
      <x:c r="F433" s="218" t="n">
        <x:v>0.9994791666666667</x:v>
      </x:c>
      <x:c r="G433" s="217" t="n">
        <x:v>429</x:v>
      </x:c>
      <x:c r="H433" s="217" t="str">
        <x:f>IF(G433&lt;='排名定義'!$B$5,"是","")</x:f>
        <x:v>是</x:v>
      </x:c>
      <x:c r="I433" s="217" t="n">
        <x:v>432</x:v>
      </x:c>
      <x:c r="J433" s="217" t="str">
        <x:f>IF(I433&lt;='排名定義'!$B$5,"是","")</x:f>
        <x:v>是</x:v>
      </x:c>
      <x:c r="K433" s="217" t="n">
        <x:v>386</x:v>
      </x:c>
      <x:c r="L433" s="217" t="str">
        <x:f>IF(K433&lt;='排名定義'!$B$5,"是","")</x:f>
        <x:v>是</x:v>
      </x:c>
      <x:c r="M433" s="217" t="n">
        <x:f>COUNTIF(H433:L433,"是")</x:f>
        <x:v>3</x:v>
      </x:c>
      <x:c r="N433" s="217" t="str">
        <x:v>三份皆未入選</x:v>
      </x:c>
      <x:c r="O433" s="220" t="n">
        <x:v>69.54166666666667</x:v>
      </x:c>
      <x:c r="P433" s="220" t="n">
        <x:v>63.75833333333333</x:v>
      </x:c>
      <x:c r="Q433" s="220" t="n">
        <x:v>5.783333333333333</x:v>
      </x:c>
      <x:c r="R433" s="220" t="n">
        <x:v>0.08316357100059917</x:v>
      </x:c>
      <x:c r="S433" s="220" t="n">
        <x:v>95.3225806451613</x:v>
      </x:c>
      <x:c r="T433" s="220" t="n">
        <x:v>87.61290322580645</x:v>
      </x:c>
      <x:c r="U433" s="220" t="n">
        <x:v>7.709677419354839</x:v>
      </x:c>
      <x:c r="V433" s="218" t="n">
        <x:v>0.059907834101382486</x:v>
      </x:c>
      <x:c r="W433" s="217" t="n">
        <x:v>15</x:v>
      </x:c>
      <x:c r="X433" s="222" t="n">
        <x:v>1950</x:v>
      </x:c>
      <x:c r="Y433" s="217" t="n">
        <x:v>22</x:v>
      </x:c>
    </x:row>
    <x:row r="434">
      <x:c r="A434" s="216" t="n">
        <x:v>1414</x:v>
      </x:c>
      <x:c r="B434" s="216" t="str">
        <x:v>中正仁愛街口</x:v>
      </x:c>
      <x:c r="C434" s="216" t="str">
        <x:v>新莊區</x:v>
      </x:c>
      <x:c r="D434" s="216" t="n">
        <x:v>48</x:v>
      </x:c>
      <x:c r="E434" s="216" t="n">
        <x:v>120</x:v>
      </x:c>
      <x:c r="F434" s="219" t="n">
        <x:v>0.9994791666666667</x:v>
      </x:c>
      <x:c r="G434" s="216" t="n">
        <x:v>430</x:v>
      </x:c>
      <x:c r="H434" s="216" t="str">
        <x:f>IF(G434&lt;='排名定義'!$B$5,"是","")</x:f>
        <x:v>是</x:v>
      </x:c>
      <x:c r="I434" s="216" t="n">
        <x:v>429</x:v>
      </x:c>
      <x:c r="J434" s="216" t="str">
        <x:f>IF(I434&lt;='排名定義'!$B$5,"是","")</x:f>
        <x:v>是</x:v>
      </x:c>
      <x:c r="K434" s="216" t="n">
        <x:v>500</x:v>
      </x:c>
      <x:c r="L434" s="216" t="str">
        <x:f>IF(K434&lt;='排名定義'!$B$5,"是","")</x:f>
        <x:v>是</x:v>
      </x:c>
      <x:c r="M434" s="216" t="n">
        <x:f>COUNTIF(H434:L434,"是")</x:f>
        <x:v>3</x:v>
      </x:c>
      <x:c r="N434" s="216" t="str">
        <x:v>三份皆未入選</x:v>
      </x:c>
      <x:c r="O434" s="221" t="n">
        <x:v>69.35</x:v>
      </x:c>
      <x:c r="P434" s="221" t="n">
        <x:v>64.20833333333333</x:v>
      </x:c>
      <x:c r="Q434" s="221" t="n">
        <x:v>5.141666666666667</x:v>
      </x:c>
      <x:c r="R434" s="221" t="n">
        <x:v>0.074140831530882</x:v>
      </x:c>
      <x:c r="S434" s="221" t="n">
        <x:v>96.74193548387096</x:v>
      </x:c>
      <x:c r="T434" s="221" t="n">
        <x:v>92.54838709677419</x:v>
      </x:c>
      <x:c r="U434" s="221" t="n">
        <x:v>4.193548387096774</x:v>
      </x:c>
      <x:c r="V434" s="219" t="n">
        <x:v>0.05069124423963134</x:v>
      </x:c>
      <x:c r="W434" s="216" t="n">
        <x:v>8</x:v>
      </x:c>
      <x:c r="X434" s="223" t="n">
        <x:v>1200</x:v>
      </x:c>
      <x:c r="Y434" s="216" t="n">
        <x:v>48</x:v>
      </x:c>
    </x:row>
    <x:row r="435">
      <x:c r="A435" s="217" t="n">
        <x:v>947</x:v>
      </x:c>
      <x:c r="B435" s="217" t="str">
        <x:v>三多第1市民活動中心</x:v>
      </x:c>
      <x:c r="C435" s="217" t="str">
        <x:v>樹林區</x:v>
      </x:c>
      <x:c r="D435" s="217" t="n">
        <x:v>27</x:v>
      </x:c>
      <x:c r="E435" s="217" t="n">
        <x:v>120</x:v>
      </x:c>
      <x:c r="F435" s="218" t="n">
        <x:v>0.9994791666666667</x:v>
      </x:c>
      <x:c r="G435" s="217" t="n">
        <x:v>431</x:v>
      </x:c>
      <x:c r="H435" s="217" t="str">
        <x:f>IF(G435&lt;='排名定義'!$B$5,"是","")</x:f>
        <x:v>是</x:v>
      </x:c>
      <x:c r="I435" s="217" t="n">
        <x:v>417</x:v>
      </x:c>
      <x:c r="J435" s="217" t="str">
        <x:f>IF(I435&lt;='排名定義'!$B$5,"是","")</x:f>
        <x:v>是</x:v>
      </x:c>
      <x:c r="K435" s="217" t="n">
        <x:v>628</x:v>
      </x:c>
      <x:c r="L435" s="217" t="str">
        <x:f>IF(K435&lt;='排名定義'!$B$5,"是","")</x:f>
        <x:v>是</x:v>
      </x:c>
      <x:c r="M435" s="217" t="n">
        <x:f>COUNTIF(H435:L435,"是")</x:f>
        <x:v>3</x:v>
      </x:c>
      <x:c r="N435" s="217" t="str">
        <x:v>三份皆未入選</x:v>
      </x:c>
      <x:c r="O435" s="220" t="n">
        <x:v>69.325</x:v>
      </x:c>
      <x:c r="P435" s="220" t="n">
        <x:v>64.75833333333334</x:v>
      </x:c>
      <x:c r="Q435" s="220" t="n">
        <x:v>4.566666666666666</x:v>
      </x:c>
      <x:c r="R435" s="220" t="n">
        <x:v>0.06587330207957687</x:v>
      </x:c>
      <x:c r="S435" s="220" t="n">
        <x:v>91.80645161290323</x:v>
      </x:c>
      <x:c r="T435" s="220" t="n">
        <x:v>87.12903225806451</x:v>
      </x:c>
      <x:c r="U435" s="220" t="n">
        <x:v>4.67741935483871</x:v>
      </x:c>
      <x:c r="V435" s="218" t="n">
        <x:v>0.09216589861751152</x:v>
      </x:c>
      <x:c r="W435" s="217" t="n">
        <x:v>16</x:v>
      </x:c>
      <x:c r="X435" s="222" t="n">
        <x:v>2100</x:v>
      </x:c>
      <x:c r="Y435" s="217" t="n">
        <x:v>27</x:v>
      </x:c>
    </x:row>
    <x:row r="436">
      <x:c r="A436" s="216" t="n">
        <x:v>1392</x:v>
      </x:c>
      <x:c r="B436" s="216" t="str">
        <x:v>新莊國民運動中心</x:v>
      </x:c>
      <x:c r="C436" s="216" t="str">
        <x:v>新莊區</x:v>
      </x:c>
      <x:c r="D436" s="216" t="n">
        <x:v>52</x:v>
      </x:c>
      <x:c r="E436" s="216" t="n">
        <x:v>120</x:v>
      </x:c>
      <x:c r="F436" s="219" t="n">
        <x:v>0.9994791666666667</x:v>
      </x:c>
      <x:c r="G436" s="216" t="n">
        <x:v>432</x:v>
      </x:c>
      <x:c r="H436" s="216" t="str">
        <x:f>IF(G436&lt;='排名定義'!$B$5,"是","")</x:f>
        <x:v>是</x:v>
      </x:c>
      <x:c r="I436" s="216" t="n">
        <x:v>442</x:v>
      </x:c>
      <x:c r="J436" s="216" t="str">
        <x:f>IF(I436&lt;='排名定義'!$B$5,"是","")</x:f>
        <x:v>是</x:v>
      </x:c>
      <x:c r="K436" s="216" t="n">
        <x:v>356</x:v>
      </x:c>
      <x:c r="L436" s="216" t="str">
        <x:f>IF(K436&lt;='排名定義'!$B$5,"是","")</x:f>
        <x:v>是</x:v>
      </x:c>
      <x:c r="M436" s="216" t="n">
        <x:f>COUNTIF(H436:L436,"是")</x:f>
        <x:v>3</x:v>
      </x:c>
      <x:c r="N436" s="216" t="str">
        <x:v>僅大幅變動</x:v>
      </x:c>
      <x:c r="O436" s="221" t="n">
        <x:v>69.325</x:v>
      </x:c>
      <x:c r="P436" s="221" t="n">
        <x:v>63.35</x:v>
      </x:c>
      <x:c r="Q436" s="221" t="n">
        <x:v>5.975</x:v>
      </x:c>
      <x:c r="R436" s="221" t="n">
        <x:v>0.0861882437793004</x:v>
      </x:c>
      <x:c r="S436" s="221" t="n">
        <x:v>122.80645161290323</x:v>
      </x:c>
      <x:c r="T436" s="221" t="n">
        <x:v>115.45161290322581</x:v>
      </x:c>
      <x:c r="U436" s="221" t="n">
        <x:v>7.354838709677419</x:v>
      </x:c>
      <x:c r="V436" s="219" t="n">
        <x:v>0.059907834101382486</x:v>
      </x:c>
      <x:c r="W436" s="216" t="n">
        <x:v>19</x:v>
      </x:c>
      <x:c r="X436" s="223" t="n">
        <x:v>2190</x:v>
      </x:c>
      <x:c r="Y436" s="216" t="n">
        <x:v>52</x:v>
      </x:c>
    </x:row>
    <x:row r="437">
      <x:c r="A437" s="217" t="n">
        <x:v>855</x:v>
      </x:c>
      <x:c r="B437" s="217" t="str">
        <x:v>格致中學</x:v>
      </x:c>
      <x:c r="C437" s="217" t="str">
        <x:v>三重區</x:v>
      </x:c>
      <x:c r="D437" s="217" t="n">
        <x:v>24</x:v>
      </x:c>
      <x:c r="E437" s="217" t="n">
        <x:v>120</x:v>
      </x:c>
      <x:c r="F437" s="218" t="n">
        <x:v>0.9994791666666667</x:v>
      </x:c>
      <x:c r="G437" s="217" t="n">
        <x:v>433</x:v>
      </x:c>
      <x:c r="H437" s="217" t="str">
        <x:f>IF(G437&lt;='排名定義'!$B$5,"是","")</x:f>
        <x:v>是</x:v>
      </x:c>
      <x:c r="I437" s="217" t="n">
        <x:v>440</x:v>
      </x:c>
      <x:c r="J437" s="217" t="str">
        <x:f>IF(I437&lt;='排名定義'!$B$5,"是","")</x:f>
        <x:v>是</x:v>
      </x:c>
      <x:c r="K437" s="217" t="n">
        <x:v>373</x:v>
      </x:c>
      <x:c r="L437" s="217" t="str">
        <x:f>IF(K437&lt;='排名定義'!$B$5,"是","")</x:f>
        <x:v>是</x:v>
      </x:c>
      <x:c r="M437" s="217" t="n">
        <x:f>COUNTIF(H437:L437,"是")</x:f>
        <x:v>3</x:v>
      </x:c>
      <x:c r="N437" s="217" t="str">
        <x:v>僅大幅變動</x:v>
      </x:c>
      <x:c r="O437" s="220" t="n">
        <x:v>69.28333333333333</x:v>
      </x:c>
      <x:c r="P437" s="220" t="n">
        <x:v>63.40833333333333</x:v>
      </x:c>
      <x:c r="Q437" s="220" t="n">
        <x:v>5.875</x:v>
      </x:c>
      <x:c r="R437" s="220" t="n">
        <x:v>0.084796728409911</x:v>
      </x:c>
      <x:c r="S437" s="220" t="n">
        <x:v>89.16129032258064</x:v>
      </x:c>
      <x:c r="T437" s="220" t="n">
        <x:v>83.25806451612904</x:v>
      </x:c>
      <x:c r="U437" s="220" t="n">
        <x:v>5.903225806451613</x:v>
      </x:c>
      <x:c r="V437" s="218" t="n">
        <x:v>0.08755760368663594</x:v>
      </x:c>
      <x:c r="W437" s="217" t="n">
        <x:v>12</x:v>
      </x:c>
      <x:c r="X437" s="222" t="n">
        <x:v>2040</x:v>
      </x:c>
      <x:c r="Y437" s="217" t="n">
        <x:v>24</x:v>
      </x:c>
    </x:row>
    <x:row r="438">
      <x:c r="A438" s="216" t="n">
        <x:v>356</x:v>
      </x:c>
      <x:c r="B438" s="216" t="str">
        <x:v>府中立體停車場</x:v>
      </x:c>
      <x:c r="C438" s="216" t="str">
        <x:v>板橋區</x:v>
      </x:c>
      <x:c r="D438" s="216" t="n">
        <x:v>15</x:v>
      </x:c>
      <x:c r="E438" s="216" t="n">
        <x:v>120</x:v>
      </x:c>
      <x:c r="F438" s="219" t="n">
        <x:v>0.9994791666666667</x:v>
      </x:c>
      <x:c r="G438" s="216" t="n">
        <x:v>434</x:v>
      </x:c>
      <x:c r="H438" s="216" t="str">
        <x:f>IF(G438&lt;='排名定義'!$B$5,"是","")</x:f>
        <x:v>是</x:v>
      </x:c>
      <x:c r="I438" s="216" t="n">
        <x:v>427</x:v>
      </x:c>
      <x:c r="J438" s="216" t="str">
        <x:f>IF(I438&lt;='排名定義'!$B$5,"是","")</x:f>
        <x:v>是</x:v>
      </x:c>
      <x:c r="K438" s="216" t="n">
        <x:v>537</x:v>
      </x:c>
      <x:c r="L438" s="216" t="str">
        <x:f>IF(K438&lt;='排名定義'!$B$5,"是","")</x:f>
        <x:v>是</x:v>
      </x:c>
      <x:c r="M438" s="216" t="n">
        <x:f>COUNTIF(H438:L438,"是")</x:f>
        <x:v>3</x:v>
      </x:c>
      <x:c r="N438" s="216" t="str">
        <x:v>三份皆未入選</x:v>
      </x:c>
      <x:c r="O438" s="221" t="n">
        <x:v>69.23333333333333</x:v>
      </x:c>
      <x:c r="P438" s="221" t="n">
        <x:v>64.26666666666667</x:v>
      </x:c>
      <x:c r="Q438" s="221" t="n">
        <x:v>4.966666666666667</x:v>
      </x:c>
      <x:c r="R438" s="221" t="n">
        <x:v>0.07173808377467501</x:v>
      </x:c>
      <x:c r="S438" s="221" t="n">
        <x:v>87.03225806451613</x:v>
      </x:c>
      <x:c r="T438" s="221" t="n">
        <x:v>83.41935483870968</x:v>
      </x:c>
      <x:c r="U438" s="221" t="n">
        <x:v>3.6129032258064515</x:v>
      </x:c>
      <x:c r="V438" s="219" t="n">
        <x:v>0.1313364055299539</x:v>
      </x:c>
      <x:c r="W438" s="216" t="n">
        <x:v>23</x:v>
      </x:c>
      <x:c r="X438" s="223" t="n">
        <x:v>3270</x:v>
      </x:c>
      <x:c r="Y438" s="216" t="n">
        <x:v>15</x:v>
      </x:c>
    </x:row>
    <x:row r="439">
      <x:c r="A439" s="217" t="n">
        <x:v>682</x:v>
      </x:c>
      <x:c r="B439" s="217" t="str">
        <x:v>義仁市民活動中心</x:v>
      </x:c>
      <x:c r="C439" s="217" t="str">
        <x:v>泰山區</x:v>
      </x:c>
      <x:c r="D439" s="217" t="n">
        <x:v>20</x:v>
      </x:c>
      <x:c r="E439" s="217" t="n">
        <x:v>120</x:v>
      </x:c>
      <x:c r="F439" s="218" t="n">
        <x:v>0.9994791666666667</x:v>
      </x:c>
      <x:c r="G439" s="217" t="n">
        <x:v>435</x:v>
      </x:c>
      <x:c r="H439" s="217" t="str">
        <x:f>IF(G439&lt;='排名定義'!$B$5,"是","")</x:f>
        <x:v>是</x:v>
      </x:c>
      <x:c r="I439" s="217" t="n">
        <x:v>426</x:v>
      </x:c>
      <x:c r="J439" s="217" t="str">
        <x:f>IF(I439&lt;='排名定義'!$B$5,"是","")</x:f>
        <x:v>是</x:v>
      </x:c>
      <x:c r="K439" s="217" t="n">
        <x:v>552</x:v>
      </x:c>
      <x:c r="L439" s="217" t="str">
        <x:f>IF(K439&lt;='排名定義'!$B$5,"是","")</x:f>
        <x:v>是</x:v>
      </x:c>
      <x:c r="M439" s="217" t="n">
        <x:f>COUNTIF(H439:L439,"是")</x:f>
        <x:v>3</x:v>
      </x:c>
      <x:c r="N439" s="217" t="str">
        <x:v>三份皆未入選</x:v>
      </x:c>
      <x:c r="O439" s="220" t="n">
        <x:v>69.19166666666666</x:v>
      </x:c>
      <x:c r="P439" s="220" t="n">
        <x:v>64.29166666666667</x:v>
      </x:c>
      <x:c r="Q439" s="220" t="n">
        <x:v>4.9</x:v>
      </x:c>
      <x:c r="R439" s="220" t="n">
        <x:v>0.07081777670721426</x:v>
      </x:c>
      <x:c r="S439" s="220" t="n">
        <x:v>92.93548387096774</x:v>
      </x:c>
      <x:c r="T439" s="220" t="n">
        <x:v>88.51612903225806</x:v>
      </x:c>
      <x:c r="U439" s="220" t="n">
        <x:v>4.419354838709677</x:v>
      </x:c>
      <x:c r="V439" s="218" t="n">
        <x:v>0.03917050691244239</x:v>
      </x:c>
      <x:c r="W439" s="217" t="n">
        <x:v>9</x:v>
      </x:c>
      <x:c r="X439" s="222" t="n">
        <x:v>1650</x:v>
      </x:c>
      <x:c r="Y439" s="217" t="n">
        <x:v>20</x:v>
      </x:c>
    </x:row>
    <x:row r="440">
      <x:c r="A440" s="216" t="n">
        <x:v>832</x:v>
      </x:c>
      <x:c r="B440" s="216" t="str">
        <x:v>捷運景平站(景平路278巷口)</x:v>
      </x:c>
      <x:c r="C440" s="216" t="str">
        <x:v>中和區</x:v>
      </x:c>
      <x:c r="D440" s="216" t="n">
        <x:v>23</x:v>
      </x:c>
      <x:c r="E440" s="216" t="n">
        <x:v>120</x:v>
      </x:c>
      <x:c r="F440" s="219" t="n">
        <x:v>0.9994791666666667</x:v>
      </x:c>
      <x:c r="G440" s="216" t="n">
        <x:v>436</x:v>
      </x:c>
      <x:c r="H440" s="216" t="str">
        <x:f>IF(G440&lt;='排名定義'!$B$5,"是","")</x:f>
        <x:v>是</x:v>
      </x:c>
      <x:c r="I440" s="216" t="n">
        <x:v>425</x:v>
      </x:c>
      <x:c r="J440" s="216" t="str">
        <x:f>IF(I440&lt;='排名定義'!$B$5,"是","")</x:f>
        <x:v>是</x:v>
      </x:c>
      <x:c r="K440" s="216" t="n">
        <x:v>567</x:v>
      </x:c>
      <x:c r="L440" s="216" t="str">
        <x:f>IF(K440&lt;='排名定義'!$B$5,"是","")</x:f>
        <x:v>是</x:v>
      </x:c>
      <x:c r="M440" s="216" t="n">
        <x:f>COUNTIF(H440:L440,"是")</x:f>
        <x:v>3</x:v>
      </x:c>
      <x:c r="N440" s="216" t="str">
        <x:v>三份皆未入選</x:v>
      </x:c>
      <x:c r="O440" s="221" t="n">
        <x:v>69.175</x:v>
      </x:c>
      <x:c r="P440" s="221" t="n">
        <x:v>64.34166666666667</x:v>
      </x:c>
      <x:c r="Q440" s="221" t="n">
        <x:v>4.833333333333333</x:v>
      </x:c>
      <x:c r="R440" s="221" t="n">
        <x:v>0.06987109986748584</x:v>
      </x:c>
      <x:c r="S440" s="221" t="n">
        <x:v>87.06451612903226</x:v>
      </x:c>
      <x:c r="T440" s="221" t="n">
        <x:v>81.48387096774194</x:v>
      </x:c>
      <x:c r="U440" s="221" t="n">
        <x:v>5.580645161290323</x:v>
      </x:c>
      <x:c r="V440" s="219" t="n">
        <x:v>0.07142857142857142</x:v>
      </x:c>
      <x:c r="W440" s="216" t="n">
        <x:v>15</x:v>
      </x:c>
      <x:c r="X440" s="223" t="n">
        <x:v>2490</x:v>
      </x:c>
      <x:c r="Y440" s="216" t="n">
        <x:v>23</x:v>
      </x:c>
    </x:row>
    <x:row r="441">
      <x:c r="A441" s="217" t="n">
        <x:v>1119</x:v>
      </x:c>
      <x:c r="B441" s="217" t="str">
        <x:v>力行大勇街口</x:v>
      </x:c>
      <x:c r="C441" s="217" t="str">
        <x:v>三重區</x:v>
      </x:c>
      <x:c r="D441" s="217" t="n">
        <x:v>33</x:v>
      </x:c>
      <x:c r="E441" s="217" t="n">
        <x:v>120</x:v>
      </x:c>
      <x:c r="F441" s="218" t="n">
        <x:v>0.9994791666666667</x:v>
      </x:c>
      <x:c r="G441" s="217" t="n">
        <x:v>437</x:v>
      </x:c>
      <x:c r="H441" s="217" t="str">
        <x:f>IF(G441&lt;='排名定義'!$B$5,"是","")</x:f>
        <x:v>是</x:v>
      </x:c>
      <x:c r="I441" s="217" t="n">
        <x:v>450</x:v>
      </x:c>
      <x:c r="J441" s="217" t="str">
        <x:f>IF(I441&lt;='排名定義'!$B$5,"是","")</x:f>
        <x:v>是</x:v>
      </x:c>
      <x:c r="K441" s="217" t="n">
        <x:v>330</x:v>
      </x:c>
      <x:c r="L441" s="217" t="str">
        <x:f>IF(K441&lt;='排名定義'!$B$5,"是","")</x:f>
        <x:v>是</x:v>
      </x:c>
      <x:c r="M441" s="217" t="n">
        <x:f>COUNTIF(H441:L441,"是")</x:f>
        <x:v>3</x:v>
      </x:c>
      <x:c r="N441" s="217" t="str">
        <x:v>僅大幅變動</x:v>
      </x:c>
      <x:c r="O441" s="220" t="n">
        <x:v>69.14166666666667</x:v>
      </x:c>
      <x:c r="P441" s="220" t="n">
        <x:v>63.025</x:v>
      </x:c>
      <x:c r="Q441" s="220" t="n">
        <x:v>6.116666666666666</x:v>
      </x:c>
      <x:c r="R441" s="220" t="n">
        <x:v>0.08846571049777027</x:v>
      </x:c>
      <x:c r="S441" s="220" t="n">
        <x:v>90.45161290322581</x:v>
      </x:c>
      <x:c r="T441" s="220" t="n">
        <x:v>85.90322580645162</x:v>
      </x:c>
      <x:c r="U441" s="220" t="n">
        <x:v>4.548387096774194</x:v>
      </x:c>
      <x:c r="V441" s="218" t="n">
        <x:v>0.04838709677419355</x:v>
      </x:c>
      <x:c r="W441" s="217" t="n">
        <x:v>20</x:v>
      </x:c>
      <x:c r="X441" s="222" t="n">
        <x:v>2310</x:v>
      </x:c>
      <x:c r="Y441" s="217" t="n">
        <x:v>33</x:v>
      </x:c>
    </x:row>
    <x:row r="442">
      <x:c r="A442" s="216" t="n">
        <x:v>1149</x:v>
      </x:c>
      <x:c r="B442" s="216" t="str">
        <x:v>石雕公園</x:v>
      </x:c>
      <x:c r="C442" s="216" t="str">
        <x:v>板橋區</x:v>
      </x:c>
      <x:c r="D442" s="216" t="n">
        <x:v>34</x:v>
      </x:c>
      <x:c r="E442" s="216" t="n">
        <x:v>120</x:v>
      </x:c>
      <x:c r="F442" s="219" t="n">
        <x:v>0.9994791666666667</x:v>
      </x:c>
      <x:c r="G442" s="216" t="n">
        <x:v>438</x:v>
      </x:c>
      <x:c r="H442" s="216" t="str">
        <x:f>IF(G442&lt;='排名定義'!$B$5,"是","")</x:f>
        <x:v>是</x:v>
      </x:c>
      <x:c r="I442" s="216" t="n">
        <x:v>449</x:v>
      </x:c>
      <x:c r="J442" s="216" t="str">
        <x:f>IF(I442&lt;='排名定義'!$B$5,"是","")</x:f>
        <x:v>是</x:v>
      </x:c>
      <x:c r="K442" s="216" t="n">
        <x:v>352</x:v>
      </x:c>
      <x:c r="L442" s="216" t="str">
        <x:f>IF(K442&lt;='排名定義'!$B$5,"是","")</x:f>
        <x:v>是</x:v>
      </x:c>
      <x:c r="M442" s="216" t="n">
        <x:f>COUNTIF(H442:L442,"是")</x:f>
        <x:v>3</x:v>
      </x:c>
      <x:c r="N442" s="216" t="str">
        <x:v>僅大幅變動</x:v>
      </x:c>
      <x:c r="O442" s="221" t="n">
        <x:v>69.09166666666667</x:v>
      </x:c>
      <x:c r="P442" s="221" t="n">
        <x:v>63.083333333333336</x:v>
      </x:c>
      <x:c r="Q442" s="221" t="n">
        <x:v>6.008333333333334</x:v>
      </x:c>
      <x:c r="R442" s="221" t="n">
        <x:v>0.08696176577011216</x:v>
      </x:c>
      <x:c r="S442" s="221" t="n">
        <x:v>93</x:v>
      </x:c>
      <x:c r="T442" s="221" t="n">
        <x:v>86.38709677419355</x:v>
      </x:c>
      <x:c r="U442" s="221" t="n">
        <x:v>6.612903225806452</x:v>
      </x:c>
      <x:c r="V442" s="219" t="n">
        <x:v>0.16129032258064516</x:v>
      </x:c>
      <x:c r="W442" s="216" t="n">
        <x:v>33</x:v>
      </x:c>
      <x:c r="X442" s="223" t="n">
        <x:v>4590</x:v>
      </x:c>
      <x:c r="Y442" s="216" t="n">
        <x:v>34</x:v>
      </x:c>
    </x:row>
    <x:row r="443">
      <x:c r="A443" s="217" t="n">
        <x:v>1335</x:v>
      </x:c>
      <x:c r="B443" s="217" t="str">
        <x:v>金龍公園</x:v>
      </x:c>
      <x:c r="C443" s="217" t="str">
        <x:v>汐止區</x:v>
      </x:c>
      <x:c r="D443" s="217" t="n">
        <x:v>42</x:v>
      </x:c>
      <x:c r="E443" s="217" t="n">
        <x:v>120</x:v>
      </x:c>
      <x:c r="F443" s="218" t="n">
        <x:v>0.9994791666666667</x:v>
      </x:c>
      <x:c r="G443" s="217" t="n">
        <x:v>439</x:v>
      </x:c>
      <x:c r="H443" s="217" t="str">
        <x:f>IF(G443&lt;='排名定義'!$B$5,"是","")</x:f>
        <x:v>是</x:v>
      </x:c>
      <x:c r="I443" s="217" t="n">
        <x:v>453</x:v>
      </x:c>
      <x:c r="J443" s="217" t="str">
        <x:f>IF(I443&lt;='排名定義'!$B$5,"是","")</x:f>
        <x:v>是</x:v>
      </x:c>
      <x:c r="K443" s="217" t="n">
        <x:v>360</x:v>
      </x:c>
      <x:c r="L443" s="217" t="str">
        <x:f>IF(K443&lt;='排名定義'!$B$5,"是","")</x:f>
        <x:v>是</x:v>
      </x:c>
      <x:c r="M443" s="217" t="n">
        <x:f>COUNTIF(H443:L443,"是")</x:f>
        <x:v>3</x:v>
      </x:c>
      <x:c r="N443" s="217" t="str">
        <x:v>僅大幅變動</x:v>
      </x:c>
      <x:c r="O443" s="220" t="n">
        <x:v>68.85</x:v>
      </x:c>
      <x:c r="P443" s="220" t="n">
        <x:v>62.891666666666666</x:v>
      </x:c>
      <x:c r="Q443" s="220" t="n">
        <x:v>5.958333333333333</x:v>
      </x:c>
      <x:c r="R443" s="220" t="n">
        <x:v>0.08654078915516825</x:v>
      </x:c>
      <x:c r="S443" s="220" t="n">
        <x:v>106.2258064516129</x:v>
      </x:c>
      <x:c r="T443" s="220" t="n">
        <x:v>100.19354838709677</x:v>
      </x:c>
      <x:c r="U443" s="220" t="n">
        <x:v>6.032258064516129</x:v>
      </x:c>
      <x:c r="V443" s="218" t="n">
        <x:v>0.004608294930875576</x:v>
      </x:c>
      <x:c r="W443" s="217" t="n">
        <x:v>1</x:v>
      </x:c>
      <x:c r="X443" s="222" t="n">
        <x:v>150</x:v>
      </x:c>
      <x:c r="Y443" s="217" t="n">
        <x:v>42</x:v>
      </x:c>
    </x:row>
    <x:row r="444">
      <x:c r="A444" s="216" t="n">
        <x:v>1107</x:v>
      </x:c>
      <x:c r="B444" s="216" t="str">
        <x:v>板橋第二運動場(皇翔建設)</x:v>
      </x:c>
      <x:c r="C444" s="216" t="str">
        <x:v>板橋區</x:v>
      </x:c>
      <x:c r="D444" s="216" t="n">
        <x:v>32</x:v>
      </x:c>
      <x:c r="E444" s="216" t="n">
        <x:v>120</x:v>
      </x:c>
      <x:c r="F444" s="219" t="n">
        <x:v>0.9994791666666667</x:v>
      </x:c>
      <x:c r="G444" s="216" t="n">
        <x:v>440</x:v>
      </x:c>
      <x:c r="H444" s="216" t="str">
        <x:f>IF(G444&lt;='排名定義'!$B$5,"是","")</x:f>
        <x:v>是</x:v>
      </x:c>
      <x:c r="I444" s="216" t="n">
        <x:v>436</x:v>
      </x:c>
      <x:c r="J444" s="216" t="str">
        <x:f>IF(I444&lt;='排名定義'!$B$5,"是","")</x:f>
        <x:v>是</x:v>
      </x:c>
      <x:c r="K444" s="216" t="n">
        <x:v>492</x:v>
      </x:c>
      <x:c r="L444" s="216" t="str">
        <x:f>IF(K444&lt;='排名定義'!$B$5,"是","")</x:f>
        <x:v>是</x:v>
      </x:c>
      <x:c r="M444" s="216" t="n">
        <x:f>COUNTIF(H444:L444,"是")</x:f>
        <x:v>3</x:v>
      </x:c>
      <x:c r="N444" s="216" t="str">
        <x:v>三份皆未入選</x:v>
      </x:c>
      <x:c r="O444" s="221" t="n">
        <x:v>68.81666666666666</x:v>
      </x:c>
      <x:c r="P444" s="221" t="n">
        <x:v>63.625</x:v>
      </x:c>
      <x:c r="Q444" s="221" t="n">
        <x:v>5.191666666666666</x:v>
      </x:c>
      <x:c r="R444" s="221" t="n">
        <x:v>0.07544199564059094</x:v>
      </x:c>
      <x:c r="S444" s="221" t="n">
        <x:v>98.64516129032258</x:v>
      </x:c>
      <x:c r="T444" s="221" t="n">
        <x:v>92.96774193548387</x:v>
      </x:c>
      <x:c r="U444" s="221" t="n">
        <x:v>5.67741935483871</x:v>
      </x:c>
      <x:c r="V444" s="219" t="n">
        <x:v>0.03225806451612903</x:v>
      </x:c>
      <x:c r="W444" s="216" t="n">
        <x:v>15</x:v>
      </x:c>
      <x:c r="X444" s="223" t="n">
        <x:v>2820</x:v>
      </x:c>
      <x:c r="Y444" s="216" t="n">
        <x:v>32</x:v>
      </x:c>
    </x:row>
    <x:row r="445">
      <x:c r="A445" s="217" t="n">
        <x:v>316</x:v>
      </x:c>
      <x:c r="B445" s="217" t="str">
        <x:v>三重派出所</x:v>
      </x:c>
      <x:c r="C445" s="217" t="str">
        <x:v>三重區</x:v>
      </x:c>
      <x:c r="D445" s="217" t="n">
        <x:v>15</x:v>
      </x:c>
      <x:c r="E445" s="217" t="n">
        <x:v>120</x:v>
      </x:c>
      <x:c r="F445" s="218" t="n">
        <x:v>0.9994791666666667</x:v>
      </x:c>
      <x:c r="G445" s="217" t="n">
        <x:v>441</x:v>
      </x:c>
      <x:c r="H445" s="217" t="str">
        <x:f>IF(G445&lt;='排名定義'!$B$5,"是","")</x:f>
        <x:v>是</x:v>
      </x:c>
      <x:c r="I445" s="217" t="n">
        <x:v>415</x:v>
      </x:c>
      <x:c r="J445" s="217" t="str">
        <x:f>IF(I445&lt;='排名定義'!$B$5,"是","")</x:f>
        <x:v>是</x:v>
      </x:c>
      <x:c r="K445" s="217" t="n">
        <x:v>836</x:v>
      </x:c>
      <x:c r="L445" s="217" t="str">
        <x:f>IF(K445&lt;='排名定義'!$B$5,"是","")</x:f>
        <x:v>是</x:v>
      </x:c>
      <x:c r="M445" s="217" t="n">
        <x:f>COUNTIF(H445:L445,"是")</x:f>
        <x:v>3</x:v>
      </x:c>
      <x:c r="N445" s="217" t="str">
        <x:v>三份皆未入選</x:v>
      </x:c>
      <x:c r="O445" s="220" t="n">
        <x:v>68.78333333333333</x:v>
      </x:c>
      <x:c r="P445" s="220" t="n">
        <x:v>64.88333333333334</x:v>
      </x:c>
      <x:c r="Q445" s="220" t="n">
        <x:v>3.9</x:v>
      </x:c>
      <x:c r="R445" s="220" t="n">
        <x:v>0.05669978192391568</x:v>
      </x:c>
      <x:c r="S445" s="220" t="n">
        <x:v>91.7741935483871</x:v>
      </x:c>
      <x:c r="T445" s="220" t="n">
        <x:v>88.48387096774194</x:v>
      </x:c>
      <x:c r="U445" s="220" t="n">
        <x:v>3.2903225806451615</x:v>
      </x:c>
      <x:c r="V445" s="218" t="n">
        <x:v>0.07834101382488479</x:v>
      </x:c>
      <x:c r="W445" s="217" t="n">
        <x:v>15</x:v>
      </x:c>
      <x:c r="X445" s="222" t="n">
        <x:v>2820</x:v>
      </x:c>
      <x:c r="Y445" s="217" t="n">
        <x:v>15</x:v>
      </x:c>
    </x:row>
    <x:row r="446">
      <x:c r="A446" s="216" t="n">
        <x:v>578</x:v>
      </x:c>
      <x:c r="B446" s="216" t="str">
        <x:v>新北高工(明德路)</x:v>
      </x:c>
      <x:c r="C446" s="216" t="str">
        <x:v>土城區</x:v>
      </x:c>
      <x:c r="D446" s="216" t="n">
        <x:v>18</x:v>
      </x:c>
      <x:c r="E446" s="216" t="n">
        <x:v>120</x:v>
      </x:c>
      <x:c r="F446" s="219" t="n">
        <x:v>0.9994791666666667</x:v>
      </x:c>
      <x:c r="G446" s="216" t="n">
        <x:v>442</x:v>
      </x:c>
      <x:c r="H446" s="216" t="str">
        <x:f>IF(G446&lt;='排名定義'!$B$5,"是","")</x:f>
        <x:v>是</x:v>
      </x:c>
      <x:c r="I446" s="216" t="n">
        <x:v>421</x:v>
      </x:c>
      <x:c r="J446" s="216" t="str">
        <x:f>IF(I446&lt;='排名定義'!$B$5,"是","")</x:f>
        <x:v>是</x:v>
      </x:c>
      <x:c r="K446" s="216" t="n">
        <x:v>716</x:v>
      </x:c>
      <x:c r="L446" s="216" t="str">
        <x:f>IF(K446&lt;='排名定義'!$B$5,"是","")</x:f>
        <x:v>是</x:v>
      </x:c>
      <x:c r="M446" s="216" t="n">
        <x:f>COUNTIF(H446:L446,"是")</x:f>
        <x:v>3</x:v>
      </x:c>
      <x:c r="N446" s="216" t="str">
        <x:v>三份皆未入選</x:v>
      </x:c>
      <x:c r="O446" s="221" t="n">
        <x:v>68.7</x:v>
      </x:c>
      <x:c r="P446" s="221" t="n">
        <x:v>64.44166666666666</x:v>
      </x:c>
      <x:c r="Q446" s="221" t="n">
        <x:v>4.258333333333334</x:v>
      </x:c>
      <x:c r="R446" s="221" t="n">
        <x:v>0.061984473556525956</x:v>
      </x:c>
      <x:c r="S446" s="221" t="n">
        <x:v>79.38709677419355</x:v>
      </x:c>
      <x:c r="T446" s="221" t="n">
        <x:v>75.64516129032258</x:v>
      </x:c>
      <x:c r="U446" s="221" t="n">
        <x:v>3.7419354838709675</x:v>
      </x:c>
      <x:c r="V446" s="219" t="n">
        <x:v>0.20046082949308755</x:v>
      </x:c>
      <x:c r="W446" s="216" t="n">
        <x:v>66</x:v>
      </x:c>
      <x:c r="X446" s="223" t="n">
        <x:v>8070</x:v>
      </x:c>
      <x:c r="Y446" s="216" t="n">
        <x:v>18</x:v>
      </x:c>
    </x:row>
    <x:row r="447">
      <x:c r="A447" s="217" t="n">
        <x:v>876</x:v>
      </x:c>
      <x:c r="B447" s="217" t="str">
        <x:v>林口郵局</x:v>
      </x:c>
      <x:c r="C447" s="217" t="str">
        <x:v>林口區</x:v>
      </x:c>
      <x:c r="D447" s="217" t="n">
        <x:v>25</x:v>
      </x:c>
      <x:c r="E447" s="217" t="n">
        <x:v>120</x:v>
      </x:c>
      <x:c r="F447" s="218" t="n">
        <x:v>0.9994791666666667</x:v>
      </x:c>
      <x:c r="G447" s="217" t="n">
        <x:v>443</x:v>
      </x:c>
      <x:c r="H447" s="217" t="str">
        <x:f>IF(G447&lt;='排名定義'!$B$5,"是","")</x:f>
        <x:v>是</x:v>
      </x:c>
      <x:c r="I447" s="217" t="n">
        <x:v>451</x:v>
      </x:c>
      <x:c r="J447" s="217" t="str">
        <x:f>IF(I447&lt;='排名定義'!$B$5,"是","")</x:f>
        <x:v>是</x:v>
      </x:c>
      <x:c r="K447" s="217" t="n">
        <x:v>405</x:v>
      </x:c>
      <x:c r="L447" s="217" t="str">
        <x:f>IF(K447&lt;='排名定義'!$B$5,"是","")</x:f>
        <x:v>是</x:v>
      </x:c>
      <x:c r="M447" s="217" t="n">
        <x:f>COUNTIF(H447:L447,"是")</x:f>
        <x:v>3</x:v>
      </x:c>
      <x:c r="N447" s="217" t="str">
        <x:v>三份皆未入選</x:v>
      </x:c>
      <x:c r="O447" s="220" t="n">
        <x:v>68.675</x:v>
      </x:c>
      <x:c r="P447" s="220" t="n">
        <x:v>62.99166666666667</x:v>
      </x:c>
      <x:c r="Q447" s="220" t="n">
        <x:v>5.683333333333334</x:v>
      </x:c>
      <x:c r="R447" s="220" t="n">
        <x:v>0.0827569469724548</x:v>
      </x:c>
      <x:c r="S447" s="220" t="n">
        <x:v>106.38709677419355</x:v>
      </x:c>
      <x:c r="T447" s="220" t="n">
        <x:v>101.70967741935483</x:v>
      </x:c>
      <x:c r="U447" s="220" t="n">
        <x:v>4.67741935483871</x:v>
      </x:c>
      <x:c r="V447" s="218" t="n">
        <x:v>0.07373271889400922</x:v>
      </x:c>
      <x:c r="W447" s="217" t="n">
        <x:v>15</x:v>
      </x:c>
      <x:c r="X447" s="222" t="n">
        <x:v>1980</x:v>
      </x:c>
      <x:c r="Y447" s="217" t="n">
        <x:v>25</x:v>
      </x:c>
    </x:row>
    <x:row r="448">
      <x:c r="A448" s="216" t="n">
        <x:v>1442</x:v>
      </x:c>
      <x:c r="B448" s="216" t="str">
        <x:v>土城國中</x:v>
      </x:c>
      <x:c r="C448" s="216" t="str">
        <x:v>土城區</x:v>
      </x:c>
      <x:c r="D448" s="216" t="n">
        <x:v>50</x:v>
      </x:c>
      <x:c r="E448" s="216" t="n">
        <x:v>120</x:v>
      </x:c>
      <x:c r="F448" s="219" t="n">
        <x:v>0.9994791666666667</x:v>
      </x:c>
      <x:c r="G448" s="216" t="n">
        <x:v>444</x:v>
      </x:c>
      <x:c r="H448" s="216" t="str">
        <x:f>IF(G448&lt;='排名定義'!$B$5,"是","")</x:f>
        <x:v>是</x:v>
      </x:c>
      <x:c r="I448" s="216" t="n">
        <x:v>500</x:v>
      </x:c>
      <x:c r="J448" s="216" t="str">
        <x:f>IF(I448&lt;='排名定義'!$B$5,"是","")</x:f>
        <x:v>是</x:v>
      </x:c>
      <x:c r="K448" s="216" t="n">
        <x:v>99</x:v>
      </x:c>
      <x:c r="L448" s="216" t="str">
        <x:f>IF(K448&lt;='排名定義'!$B$5,"是","")</x:f>
        <x:v>是</x:v>
      </x:c>
      <x:c r="M448" s="216" t="n">
        <x:f>COUNTIF(H448:L448,"是")</x:f>
        <x:v>3</x:v>
      </x:c>
      <x:c r="N448" s="216" t="str">
        <x:v>僅大幅變動</x:v>
      </x:c>
      <x:c r="O448" s="221" t="n">
        <x:v>68.66666666666667</x:v>
      </x:c>
      <x:c r="P448" s="221" t="n">
        <x:v>60.016666666666666</x:v>
      </x:c>
      <x:c r="Q448" s="221" t="n">
        <x:v>8.65</x:v>
      </x:c>
      <x:c r="R448" s="221" t="n">
        <x:v>0.12597087378640776</x:v>
      </x:c>
      <x:c r="S448" s="221" t="n">
        <x:v>92.48387096774194</x:v>
      </x:c>
      <x:c r="T448" s="221" t="n">
        <x:v>83.38709677419355</x:v>
      </x:c>
      <x:c r="U448" s="221" t="n">
        <x:v>9.096774193548388</x:v>
      </x:c>
      <x:c r="V448" s="219" t="n">
        <x:v>0.17511520737327188</x:v>
      </x:c>
      <x:c r="W448" s="216" t="n">
        <x:v>22</x:v>
      </x:c>
      <x:c r="X448" s="223" t="n">
        <x:v>2520</x:v>
      </x:c>
      <x:c r="Y448" s="216" t="n">
        <x:v>50</x:v>
      </x:c>
    </x:row>
    <x:row r="449">
      <x:c r="A449" s="217" t="n">
        <x:v>917</x:v>
      </x:c>
      <x:c r="B449" s="217" t="str">
        <x:v>長壽親子公園</x:v>
      </x:c>
      <x:c r="C449" s="217" t="str">
        <x:v>樹林區</x:v>
      </x:c>
      <x:c r="D449" s="217" t="n">
        <x:v>26</x:v>
      </x:c>
      <x:c r="E449" s="217" t="n">
        <x:v>120</x:v>
      </x:c>
      <x:c r="F449" s="218" t="n">
        <x:v>0.9994791666666667</x:v>
      </x:c>
      <x:c r="G449" s="217" t="n">
        <x:v>445</x:v>
      </x:c>
      <x:c r="H449" s="217" t="str">
        <x:f>IF(G449&lt;='排名定義'!$B$5,"是","")</x:f>
        <x:v>是</x:v>
      </x:c>
      <x:c r="I449" s="217" t="n">
        <x:v>452</x:v>
      </x:c>
      <x:c r="J449" s="217" t="str">
        <x:f>IF(I449&lt;='排名定義'!$B$5,"是","")</x:f>
        <x:v>是</x:v>
      </x:c>
      <x:c r="K449" s="217" t="n">
        <x:v>403</x:v>
      </x:c>
      <x:c r="L449" s="217" t="str">
        <x:f>IF(K449&lt;='排名定義'!$B$5,"是","")</x:f>
        <x:v>是</x:v>
      </x:c>
      <x:c r="M449" s="217" t="n">
        <x:f>COUNTIF(H449:L449,"是")</x:f>
        <x:v>3</x:v>
      </x:c>
      <x:c r="N449" s="217" t="str">
        <x:v>三份皆未入選</x:v>
      </x:c>
      <x:c r="O449" s="220" t="n">
        <x:v>68.59166666666667</x:v>
      </x:c>
      <x:c r="P449" s="220" t="n">
        <x:v>62.9</x:v>
      </x:c>
      <x:c r="Q449" s="220" t="n">
        <x:v>5.691666666666666</x:v>
      </x:c>
      <x:c r="R449" s="220" t="n">
        <x:v>0.08297898189770381</x:v>
      </x:c>
      <x:c r="S449" s="220" t="n">
        <x:v>97.7741935483871</x:v>
      </x:c>
      <x:c r="T449" s="220" t="n">
        <x:v>92.90322580645162</x:v>
      </x:c>
      <x:c r="U449" s="220" t="n">
        <x:v>4.870967741935484</x:v>
      </x:c>
      <x:c r="V449" s="218" t="n">
        <x:v>0.06682027649769585</x:v>
      </x:c>
      <x:c r="W449" s="217" t="n">
        <x:v>27</x:v>
      </x:c>
      <x:c r="X449" s="222" t="n">
        <x:v>3210</x:v>
      </x:c>
      <x:c r="Y449" s="217" t="n">
        <x:v>26</x:v>
      </x:c>
    </x:row>
    <x:row r="450">
      <x:c r="A450" s="216" t="n">
        <x:v>1129</x:v>
      </x:c>
      <x:c r="B450" s="216" t="str">
        <x:v>臺北醫院</x:v>
      </x:c>
      <x:c r="C450" s="216" t="str">
        <x:v>新莊區</x:v>
      </x:c>
      <x:c r="D450" s="216" t="n">
        <x:v>39</x:v>
      </x:c>
      <x:c r="E450" s="216" t="n">
        <x:v>120</x:v>
      </x:c>
      <x:c r="F450" s="219" t="n">
        <x:v>0.9994791666666667</x:v>
      </x:c>
      <x:c r="G450" s="216" t="n">
        <x:v>446</x:v>
      </x:c>
      <x:c r="H450" s="216" t="str">
        <x:f>IF(G450&lt;='排名定義'!$B$5,"是","")</x:f>
        <x:v>是</x:v>
      </x:c>
      <x:c r="I450" s="216" t="n">
        <x:v>444</x:v>
      </x:c>
      <x:c r="J450" s="216" t="str">
        <x:f>IF(I450&lt;='排名定義'!$B$5,"是","")</x:f>
        <x:v>是</x:v>
      </x:c>
      <x:c r="K450" s="216" t="n">
        <x:v>504</x:v>
      </x:c>
      <x:c r="L450" s="216" t="str">
        <x:f>IF(K450&lt;='排名定義'!$B$5,"是","")</x:f>
        <x:v>是</x:v>
      </x:c>
      <x:c r="M450" s="216" t="n">
        <x:f>COUNTIF(H450:L450,"是")</x:f>
        <x:v>3</x:v>
      </x:c>
      <x:c r="N450" s="216" t="str">
        <x:v>三份皆未入選</x:v>
      </x:c>
      <x:c r="O450" s="221" t="n">
        <x:v>68.36666666666666</x:v>
      </x:c>
      <x:c r="P450" s="221" t="n">
        <x:v>63.233333333333334</x:v>
      </x:c>
      <x:c r="Q450" s="221" t="n">
        <x:v>5.133333333333334</x:v>
      </x:c>
      <x:c r="R450" s="221" t="n">
        <x:v>0.07508532423208192</x:v>
      </x:c>
      <x:c r="S450" s="221" t="n">
        <x:v>85.38709677419355</x:v>
      </x:c>
      <x:c r="T450" s="221" t="n">
        <x:v>81.06451612903226</x:v>
      </x:c>
      <x:c r="U450" s="221" t="n">
        <x:v>4.32258064516129</x:v>
      </x:c>
      <x:c r="V450" s="219" t="n">
        <x:v>0.10368663594470046</x:v>
      </x:c>
      <x:c r="W450" s="216" t="n">
        <x:v>32</x:v>
      </x:c>
      <x:c r="X450" s="223" t="n">
        <x:v>4590</x:v>
      </x:c>
      <x:c r="Y450" s="216" t="n">
        <x:v>39</x:v>
      </x:c>
    </x:row>
    <x:row r="451">
      <x:c r="A451" s="217" t="n">
        <x:v>1139</x:v>
      </x:c>
      <x:c r="B451" s="217" t="str">
        <x:v>三抱竹</x:v>
      </x:c>
      <x:c r="C451" s="217" t="str">
        <x:v>板橋區</x:v>
      </x:c>
      <x:c r="D451" s="217" t="n">
        <x:v>34</x:v>
      </x:c>
      <x:c r="E451" s="217" t="n">
        <x:v>120</x:v>
      </x:c>
      <x:c r="F451" s="218" t="n">
        <x:v>0.9994791666666667</x:v>
      </x:c>
      <x:c r="G451" s="217" t="n">
        <x:v>447</x:v>
      </x:c>
      <x:c r="H451" s="217" t="str">
        <x:f>IF(G451&lt;='排名定義'!$B$5,"是","")</x:f>
        <x:v>是</x:v>
      </x:c>
      <x:c r="I451" s="217" t="n">
        <x:v>463</x:v>
      </x:c>
      <x:c r="J451" s="217" t="str">
        <x:f>IF(I451&lt;='排名定義'!$B$5,"是","")</x:f>
        <x:v>是</x:v>
      </x:c>
      <x:c r="K451" s="217" t="n">
        <x:v>336</x:v>
      </x:c>
      <x:c r="L451" s="217" t="str">
        <x:f>IF(K451&lt;='排名定義'!$B$5,"是","")</x:f>
        <x:v>是</x:v>
      </x:c>
      <x:c r="M451" s="217" t="n">
        <x:f>COUNTIF(H451:L451,"是")</x:f>
        <x:v>3</x:v>
      </x:c>
      <x:c r="N451" s="217" t="str">
        <x:v>僅大幅變動</x:v>
      </x:c>
      <x:c r="O451" s="220" t="n">
        <x:v>68.33333333333333</x:v>
      </x:c>
      <x:c r="P451" s="220" t="n">
        <x:v>62.233333333333334</x:v>
      </x:c>
      <x:c r="Q451" s="220" t="n">
        <x:v>6.1</x:v>
      </x:c>
      <x:c r="R451" s="220" t="n">
        <x:v>0.08926829268292683</x:v>
      </x:c>
      <x:c r="S451" s="220" t="n">
        <x:v>95.96774193548387</x:v>
      </x:c>
      <x:c r="T451" s="220" t="n">
        <x:v>91.09677419354838</x:v>
      </x:c>
      <x:c r="U451" s="220" t="n">
        <x:v>4.870967741935484</x:v>
      </x:c>
      <x:c r="V451" s="218" t="n">
        <x:v>0.0576036866359447</x:v>
      </x:c>
      <x:c r="W451" s="217" t="n">
        <x:v>18</x:v>
      </x:c>
      <x:c r="X451" s="222" t="n">
        <x:v>2160</x:v>
      </x:c>
      <x:c r="Y451" s="217" t="n">
        <x:v>34</x:v>
      </x:c>
    </x:row>
    <x:row r="452">
      <x:c r="A452" s="216" t="n">
        <x:v>982</x:v>
      </x:c>
      <x:c r="B452" s="216" t="str">
        <x:v>康福公園</x:v>
      </x:c>
      <x:c r="C452" s="216" t="str">
        <x:v>汐止區</x:v>
      </x:c>
      <x:c r="D452" s="216" t="n">
        <x:v>28</x:v>
      </x:c>
      <x:c r="E452" s="216" t="n">
        <x:v>120</x:v>
      </x:c>
      <x:c r="F452" s="219" t="n">
        <x:v>0.9994791666666667</x:v>
      </x:c>
      <x:c r="G452" s="216" t="n">
        <x:v>448</x:v>
      </x:c>
      <x:c r="H452" s="216" t="str">
        <x:f>IF(G452&lt;='排名定義'!$B$5,"是","")</x:f>
        <x:v>是</x:v>
      </x:c>
      <x:c r="I452" s="216" t="n">
        <x:v>448</x:v>
      </x:c>
      <x:c r="J452" s="216" t="str">
        <x:f>IF(I452&lt;='排名定義'!$B$5,"是","")</x:f>
        <x:v>是</x:v>
      </x:c>
      <x:c r="K452" s="216" t="n">
        <x:v>511</x:v>
      </x:c>
      <x:c r="L452" s="216" t="str">
        <x:f>IF(K452&lt;='排名定義'!$B$5,"是","")</x:f>
        <x:v>是</x:v>
      </x:c>
      <x:c r="M452" s="216" t="n">
        <x:f>COUNTIF(H452:L452,"是")</x:f>
        <x:v>3</x:v>
      </x:c>
      <x:c r="N452" s="216" t="str">
        <x:v>三份皆未入選</x:v>
      </x:c>
      <x:c r="O452" s="221" t="n">
        <x:v>68.20833333333333</x:v>
      </x:c>
      <x:c r="P452" s="221" t="n">
        <x:v>63.1</x:v>
      </x:c>
      <x:c r="Q452" s="221" t="n">
        <x:v>5.108333333333333</x:v>
      </x:c>
      <x:c r="R452" s="221" t="n">
        <x:v>0.07489309712889432</x:v>
      </x:c>
      <x:c r="S452" s="221" t="n">
        <x:v>102.54838709677419</x:v>
      </x:c>
      <x:c r="T452" s="221" t="n">
        <x:v>97.38709677419355</x:v>
      </x:c>
      <x:c r="U452" s="221" t="n">
        <x:v>5.161290322580645</x:v>
      </x:c>
      <x:c r="V452" s="219" t="n">
        <x:v>0.03917050691244239</x:v>
      </x:c>
      <x:c r="W452" s="216" t="n">
        <x:v>2</x:v>
      </x:c>
      <x:c r="X452" s="223" t="n">
        <x:v>810</x:v>
      </x:c>
      <x:c r="Y452" s="216" t="n">
        <x:v>28</x:v>
      </x:c>
    </x:row>
    <x:row r="453">
      <x:c r="A453" s="217" t="n">
        <x:v>1237</x:v>
      </x:c>
      <x:c r="B453" s="217" t="str">
        <x:v>後竹圍市民活動中心</x:v>
      </x:c>
      <x:c r="C453" s="217" t="str">
        <x:v>三重區</x:v>
      </x:c>
      <x:c r="D453" s="217" t="n">
        <x:v>45</x:v>
      </x:c>
      <x:c r="E453" s="217" t="n">
        <x:v>120</x:v>
      </x:c>
      <x:c r="F453" s="218" t="n">
        <x:v>0.9994791666666667</x:v>
      </x:c>
      <x:c r="G453" s="217" t="n">
        <x:v>449</x:v>
      </x:c>
      <x:c r="H453" s="217" t="str">
        <x:f>IF(G453&lt;='排名定義'!$B$5,"是","")</x:f>
        <x:v>是</x:v>
      </x:c>
      <x:c r="I453" s="217" t="n">
        <x:v>460</x:v>
      </x:c>
      <x:c r="J453" s="217" t="str">
        <x:f>IF(I453&lt;='排名定義'!$B$5,"是","")</x:f>
        <x:v>是</x:v>
      </x:c>
      <x:c r="K453" s="217" t="n">
        <x:v>383</x:v>
      </x:c>
      <x:c r="L453" s="217" t="str">
        <x:f>IF(K453&lt;='排名定義'!$B$5,"是","")</x:f>
        <x:v>是</x:v>
      </x:c>
      <x:c r="M453" s="217" t="n">
        <x:f>COUNTIF(H453:L453,"是")</x:f>
        <x:v>3</x:v>
      </x:c>
      <x:c r="N453" s="217" t="str">
        <x:v>三份皆未入選</x:v>
      </x:c>
      <x:c r="O453" s="220" t="n">
        <x:v>68.15833333333333</x:v>
      </x:c>
      <x:c r="P453" s="220" t="n">
        <x:v>62.34166666666667</x:v>
      </x:c>
      <x:c r="Q453" s="220" t="n">
        <x:v>5.816666666666666</x:v>
      </x:c>
      <x:c r="R453" s="220" t="n">
        <x:v>0.08534050617434895</x:v>
      </x:c>
      <x:c r="S453" s="220" t="n">
        <x:v>90.74193548387096</x:v>
      </x:c>
      <x:c r="T453" s="220" t="n">
        <x:v>86.12903225806451</x:v>
      </x:c>
      <x:c r="U453" s="220" t="n">
        <x:v>4.612903225806452</x:v>
      </x:c>
      <x:c r="V453" s="218" t="n">
        <x:v>0.04838709677419355</x:v>
      </x:c>
      <x:c r="W453" s="217" t="n">
        <x:v>18</x:v>
      </x:c>
      <x:c r="X453" s="222" t="n">
        <x:v>1860</x:v>
      </x:c>
      <x:c r="Y453" s="217" t="n">
        <x:v>45</x:v>
      </x:c>
    </x:row>
    <x:row r="454">
      <x:c r="A454" s="216" t="n">
        <x:v>854</x:v>
      </x:c>
      <x:c r="B454" s="216" t="str">
        <x:v>新泰國中</x:v>
      </x:c>
      <x:c r="C454" s="216" t="str">
        <x:v>新莊區</x:v>
      </x:c>
      <x:c r="D454" s="216" t="n">
        <x:v>24</x:v>
      </x:c>
      <x:c r="E454" s="216" t="n">
        <x:v>120</x:v>
      </x:c>
      <x:c r="F454" s="219" t="n">
        <x:v>0.9994791666666667</x:v>
      </x:c>
      <x:c r="G454" s="216" t="n">
        <x:v>450</x:v>
      </x:c>
      <x:c r="H454" s="216" t="str">
        <x:f>IF(G454&lt;='排名定義'!$B$5,"是","")</x:f>
        <x:v>是</x:v>
      </x:c>
      <x:c r="I454" s="216" t="n">
        <x:v>456</x:v>
      </x:c>
      <x:c r="J454" s="216" t="str">
        <x:f>IF(I454&lt;='排名定義'!$B$5,"是","")</x:f>
        <x:v>是</x:v>
      </x:c>
      <x:c r="K454" s="216" t="n">
        <x:v>444</x:v>
      </x:c>
      <x:c r="L454" s="216" t="str">
        <x:f>IF(K454&lt;='排名定義'!$B$5,"是","")</x:f>
        <x:v>是</x:v>
      </x:c>
      <x:c r="M454" s="216" t="n">
        <x:f>COUNTIF(H454:L454,"是")</x:f>
        <x:v>3</x:v>
      </x:c>
      <x:c r="N454" s="216" t="str">
        <x:v>三份皆未入選</x:v>
      </x:c>
      <x:c r="O454" s="221" t="n">
        <x:v>68.025</x:v>
      </x:c>
      <x:c r="P454" s="221" t="n">
        <x:v>62.6</x:v>
      </x:c>
      <x:c r="Q454" s="221" t="n">
        <x:v>5.425</x:v>
      </x:c>
      <x:c r="R454" s="221" t="n">
        <x:v>0.07975009187798604</x:v>
      </x:c>
      <x:c r="S454" s="221" t="n">
        <x:v>90.06451612903226</x:v>
      </x:c>
      <x:c r="T454" s="221" t="n">
        <x:v>85.90322580645162</x:v>
      </x:c>
      <x:c r="U454" s="221" t="n">
        <x:v>4.161290322580645</x:v>
      </x:c>
      <x:c r="V454" s="219" t="n">
        <x:v>0.07373271889400922</x:v>
      </x:c>
      <x:c r="W454" s="216" t="n">
        <x:v>10</x:v>
      </x:c>
      <x:c r="X454" s="223" t="n">
        <x:v>1740</x:v>
      </x:c>
      <x:c r="Y454" s="216" t="n">
        <x:v>24</x:v>
      </x:c>
    </x:row>
    <x:row r="455">
      <x:c r="A455" s="217" t="n">
        <x:v>68</x:v>
      </x:c>
      <x:c r="B455" s="217" t="str">
        <x:v>東方科學園區</x:v>
      </x:c>
      <x:c r="C455" s="217" t="str">
        <x:v>汐止區</x:v>
      </x:c>
      <x:c r="D455" s="217" t="n">
        <x:v>63</x:v>
      </x:c>
      <x:c r="E455" s="217" t="n">
        <x:v>120</x:v>
      </x:c>
      <x:c r="F455" s="218" t="n">
        <x:v>0.9994791666666667</x:v>
      </x:c>
      <x:c r="G455" s="217" t="n">
        <x:v>451</x:v>
      </x:c>
      <x:c r="H455" s="217" t="str">
        <x:f>IF(G455&lt;='排名定義'!$B$5,"是","")</x:f>
        <x:v>是</x:v>
      </x:c>
      <x:c r="I455" s="217" t="n">
        <x:v>494</x:v>
      </x:c>
      <x:c r="J455" s="217" t="str">
        <x:f>IF(I455&lt;='排名定義'!$B$5,"是","")</x:f>
        <x:v>是</x:v>
      </x:c>
      <x:c r="K455" s="217" t="n">
        <x:v>148</x:v>
      </x:c>
      <x:c r="L455" s="217" t="str">
        <x:f>IF(K455&lt;='排名定義'!$B$5,"是","")</x:f>
        <x:v>是</x:v>
      </x:c>
      <x:c r="M455" s="217" t="n">
        <x:f>COUNTIF(H455:L455,"是")</x:f>
        <x:v>3</x:v>
      </x:c>
      <x:c r="N455" s="217" t="str">
        <x:v>僅大幅變動</x:v>
      </x:c>
      <x:c r="O455" s="220" t="n">
        <x:v>67.99166666666666</x:v>
      </x:c>
      <x:c r="P455" s="220" t="n">
        <x:v>60.25</x:v>
      </x:c>
      <x:c r="Q455" s="220" t="n">
        <x:v>7.741666666666666</x:v>
      </x:c>
      <x:c r="R455" s="220" t="n">
        <x:v>0.1138619928912857</x:v>
      </x:c>
      <x:c r="S455" s="220" t="n">
        <x:v>112.7741935483871</x:v>
      </x:c>
      <x:c r="T455" s="220" t="n">
        <x:v>106.16129032258064</x:v>
      </x:c>
      <x:c r="U455" s="220" t="n">
        <x:v>6.612903225806452</x:v>
      </x:c>
      <x:c r="V455" s="218" t="n">
        <x:v>0.08294930875576037</x:v>
      </x:c>
      <x:c r="W455" s="217" t="n">
        <x:v>34</x:v>
      </x:c>
      <x:c r="X455" s="222" t="n">
        <x:v>4050</x:v>
      </x:c>
      <x:c r="Y455" s="217" t="n">
        <x:v>63</x:v>
      </x:c>
    </x:row>
    <x:row r="456">
      <x:c r="A456" s="216" t="n">
        <x:v>646</x:v>
      </x:c>
      <x:c r="B456" s="216" t="str">
        <x:v>和平公園</x:v>
      </x:c>
      <x:c r="C456" s="216" t="str">
        <x:v>三重區</x:v>
      </x:c>
      <x:c r="D456" s="216" t="n">
        <x:v>20</x:v>
      </x:c>
      <x:c r="E456" s="216" t="n">
        <x:v>120</x:v>
      </x:c>
      <x:c r="F456" s="219" t="n">
        <x:v>0.9994791666666667</x:v>
      </x:c>
      <x:c r="G456" s="216" t="n">
        <x:v>452</x:v>
      </x:c>
      <x:c r="H456" s="216" t="str">
        <x:f>IF(G456&lt;='排名定義'!$B$5,"是","")</x:f>
        <x:v>是</x:v>
      </x:c>
      <x:c r="I456" s="216" t="n">
        <x:v>434</x:v>
      </x:c>
      <x:c r="J456" s="216" t="str">
        <x:f>IF(I456&lt;='排名定義'!$B$5,"是","")</x:f>
        <x:v>是</x:v>
      </x:c>
      <x:c r="K456" s="216" t="n">
        <x:v>717</x:v>
      </x:c>
      <x:c r="L456" s="216" t="str">
        <x:f>IF(K456&lt;='排名定義'!$B$5,"是","")</x:f>
        <x:v>是</x:v>
      </x:c>
      <x:c r="M456" s="216" t="n">
        <x:f>COUNTIF(H456:L456,"是")</x:f>
        <x:v>3</x:v>
      </x:c>
      <x:c r="N456" s="216" t="str">
        <x:v>三份皆未入選</x:v>
      </x:c>
      <x:c r="O456" s="221" t="n">
        <x:v>67.95833333333333</x:v>
      </x:c>
      <x:c r="P456" s="221" t="n">
        <x:v>63.7</x:v>
      </x:c>
      <x:c r="Q456" s="221" t="n">
        <x:v>4.258333333333334</x:v>
      </x:c>
      <x:c r="R456" s="221" t="n">
        <x:v>0.06266094420600858</x:v>
      </x:c>
      <x:c r="S456" s="221" t="n">
        <x:v>89.6774193548387</x:v>
      </x:c>
      <x:c r="T456" s="221" t="n">
        <x:v>85.93548387096774</x:v>
      </x:c>
      <x:c r="U456" s="221" t="n">
        <x:v>3.7419354838709675</x:v>
      </x:c>
      <x:c r="V456" s="219" t="n">
        <x:v>0.08064516129032258</x:v>
      </x:c>
      <x:c r="W456" s="216" t="n">
        <x:v>13</x:v>
      </x:c>
      <x:c r="X456" s="223" t="n">
        <x:v>2160</x:v>
      </x:c>
      <x:c r="Y456" s="216" t="n">
        <x:v>20</x:v>
      </x:c>
    </x:row>
    <x:row r="457">
      <x:c r="A457" s="217" t="n">
        <x:v>293</x:v>
      </x:c>
      <x:c r="B457" s="217" t="str">
        <x:v>保平永和路一段口</x:v>
      </x:c>
      <x:c r="C457" s="217" t="str">
        <x:v>永和區</x:v>
      </x:c>
      <x:c r="D457" s="217" t="n">
        <x:v>14</x:v>
      </x:c>
      <x:c r="E457" s="217" t="n">
        <x:v>120</x:v>
      </x:c>
      <x:c r="F457" s="218" t="n">
        <x:v>0.9994791666666667</x:v>
      </x:c>
      <x:c r="G457" s="217" t="n">
        <x:v>453</x:v>
      </x:c>
      <x:c r="H457" s="217" t="str">
        <x:f>IF(G457&lt;='排名定義'!$B$5,"是","")</x:f>
        <x:v>是</x:v>
      </x:c>
      <x:c r="I457" s="217" t="n">
        <x:v>430</x:v>
      </x:c>
      <x:c r="J457" s="217" t="str">
        <x:f>IF(I457&lt;='排名定義'!$B$5,"是","")</x:f>
        <x:v>是</x:v>
      </x:c>
      <x:c r="K457" s="217" t="n">
        <x:v>803</x:v>
      </x:c>
      <x:c r="L457" s="217" t="str">
        <x:f>IF(K457&lt;='排名定義'!$B$5,"是","")</x:f>
        <x:v>是</x:v>
      </x:c>
      <x:c r="M457" s="217" t="n">
        <x:f>COUNTIF(H457:L457,"是")</x:f>
        <x:v>3</x:v>
      </x:c>
      <x:c r="N457" s="217" t="str">
        <x:v>三份皆未入選</x:v>
      </x:c>
      <x:c r="O457" s="220" t="n">
        <x:v>67.9</x:v>
      </x:c>
      <x:c r="P457" s="220" t="n">
        <x:v>63.925</x:v>
      </x:c>
      <x:c r="Q457" s="220" t="n">
        <x:v>3.975</x:v>
      </x:c>
      <x:c r="R457" s="220" t="n">
        <x:v>0.0585419734904271</x:v>
      </x:c>
      <x:c r="S457" s="220" t="n">
        <x:v>88.45161290322581</x:v>
      </x:c>
      <x:c r="T457" s="220" t="n">
        <x:v>85</x:v>
      </x:c>
      <x:c r="U457" s="220" t="n">
        <x:v>3.4516129032258065</x:v>
      </x:c>
      <x:c r="V457" s="218" t="n">
        <x:v>0.14516129032258066</x:v>
      </x:c>
      <x:c r="W457" s="217" t="n">
        <x:v>28</x:v>
      </x:c>
      <x:c r="X457" s="222" t="n">
        <x:v>4920</x:v>
      </x:c>
      <x:c r="Y457" s="217" t="n">
        <x:v>14</x:v>
      </x:c>
    </x:row>
    <x:row r="458">
      <x:c r="A458" s="216" t="n">
        <x:v>717</x:v>
      </x:c>
      <x:c r="B458" s="216" t="str">
        <x:v>林口自強公園</x:v>
      </x:c>
      <x:c r="C458" s="216" t="str">
        <x:v>林口區</x:v>
      </x:c>
      <x:c r="D458" s="216" t="n">
        <x:v>20</x:v>
      </x:c>
      <x:c r="E458" s="216" t="n">
        <x:v>120</x:v>
      </x:c>
      <x:c r="F458" s="219" t="n">
        <x:v>0.9994791666666667</x:v>
      </x:c>
      <x:c r="G458" s="216" t="n">
        <x:v>454</x:v>
      </x:c>
      <x:c r="H458" s="216" t="str">
        <x:f>IF(G458&lt;='排名定義'!$B$5,"是","")</x:f>
        <x:v>是</x:v>
      </x:c>
      <x:c r="I458" s="216" t="n">
        <x:v>438</x:v>
      </x:c>
      <x:c r="J458" s="216" t="str">
        <x:f>IF(I458&lt;='排名定義'!$B$5,"是","")</x:f>
        <x:v>是</x:v>
      </x:c>
      <x:c r="K458" s="216" t="n">
        <x:v>732</x:v>
      </x:c>
      <x:c r="L458" s="216" t="str">
        <x:f>IF(K458&lt;='排名定義'!$B$5,"是","")</x:f>
        <x:v>是</x:v>
      </x:c>
      <x:c r="M458" s="216" t="n">
        <x:f>COUNTIF(H458:L458,"是")</x:f>
        <x:v>3</x:v>
      </x:c>
      <x:c r="N458" s="216" t="str">
        <x:v>三份皆未入選</x:v>
      </x:c>
      <x:c r="O458" s="221" t="n">
        <x:v>67.8</x:v>
      </x:c>
      <x:c r="P458" s="221" t="n">
        <x:v>63.6</x:v>
      </x:c>
      <x:c r="Q458" s="221" t="n">
        <x:v>4.2</x:v>
      </x:c>
      <x:c r="R458" s="221" t="n">
        <x:v>0.061946902654867256</x:v>
      </x:c>
      <x:c r="S458" s="221" t="n">
        <x:v>101.96774193548387</x:v>
      </x:c>
      <x:c r="T458" s="221" t="n">
        <x:v>97.93548387096774</x:v>
      </x:c>
      <x:c r="U458" s="221" t="n">
        <x:v>4.032258064516129</x:v>
      </x:c>
      <x:c r="V458" s="219" t="n">
        <x:v>0.03917050691244239</x:v>
      </x:c>
      <x:c r="W458" s="216" t="n">
        <x:v>15</x:v>
      </x:c>
      <x:c r="X458" s="223" t="n">
        <x:v>2370</x:v>
      </x:c>
      <x:c r="Y458" s="216" t="n">
        <x:v>20</x:v>
      </x:c>
    </x:row>
    <x:row r="459">
      <x:c r="A459" s="217" t="n">
        <x:v>1172</x:v>
      </x:c>
      <x:c r="B459" s="217" t="str">
        <x:v>三德公園</x:v>
      </x:c>
      <x:c r="C459" s="217" t="str">
        <x:v>三重區</x:v>
      </x:c>
      <x:c r="D459" s="217" t="n">
        <x:v>36</x:v>
      </x:c>
      <x:c r="E459" s="217" t="n">
        <x:v>120</x:v>
      </x:c>
      <x:c r="F459" s="218" t="n">
        <x:v>0.9994791666666667</x:v>
      </x:c>
      <x:c r="G459" s="217" t="n">
        <x:v>455</x:v>
      </x:c>
      <x:c r="H459" s="217" t="str">
        <x:f>IF(G459&lt;='排名定義'!$B$5,"是","")</x:f>
        <x:v>是</x:v>
      </x:c>
      <x:c r="I459" s="217" t="n">
        <x:v>477</x:v>
      </x:c>
      <x:c r="J459" s="217" t="str">
        <x:f>IF(I459&lt;='排名定義'!$B$5,"是","")</x:f>
        <x:v>是</x:v>
      </x:c>
      <x:c r="K459" s="217" t="n">
        <x:v>343</x:v>
      </x:c>
      <x:c r="L459" s="217" t="str">
        <x:f>IF(K459&lt;='排名定義'!$B$5,"是","")</x:f>
        <x:v>是</x:v>
      </x:c>
      <x:c r="M459" s="217" t="n">
        <x:f>COUNTIF(H459:L459,"是")</x:f>
        <x:v>3</x:v>
      </x:c>
      <x:c r="N459" s="217" t="str">
        <x:v>僅大幅變動</x:v>
      </x:c>
      <x:c r="O459" s="220" t="n">
        <x:v>67.625</x:v>
      </x:c>
      <x:c r="P459" s="220" t="n">
        <x:v>61.55</x:v>
      </x:c>
      <x:c r="Q459" s="220" t="n">
        <x:v>6.075</x:v>
      </x:c>
      <x:c r="R459" s="220" t="n">
        <x:v>0.08983364140480592</x:v>
      </x:c>
      <x:c r="S459" s="220" t="n">
        <x:v>84.16129032258064</x:v>
      </x:c>
      <x:c r="T459" s="220" t="n">
        <x:v>79.80645161290323</x:v>
      </x:c>
      <x:c r="U459" s="220" t="n">
        <x:v>4.354838709677419</x:v>
      </x:c>
      <x:c r="V459" s="218" t="n">
        <x:v>0.08294930875576037</x:v>
      </x:c>
      <x:c r="W459" s="217" t="n">
        <x:v>29</x:v>
      </x:c>
      <x:c r="X459" s="222" t="n">
        <x:v>3210</x:v>
      </x:c>
      <x:c r="Y459" s="217" t="n">
        <x:v>36</x:v>
      </x:c>
    </x:row>
    <x:row r="460">
      <x:c r="A460" s="216" t="n">
        <x:v>623</x:v>
      </x:c>
      <x:c r="B460" s="216" t="str">
        <x:v>福和自強街28巷口</x:v>
      </x:c>
      <x:c r="C460" s="216" t="str">
        <x:v>永和區</x:v>
      </x:c>
      <x:c r="D460" s="216" t="n">
        <x:v>19</x:v>
      </x:c>
      <x:c r="E460" s="216" t="n">
        <x:v>120</x:v>
      </x:c>
      <x:c r="F460" s="219" t="n">
        <x:v>0.9994791666666667</x:v>
      </x:c>
      <x:c r="G460" s="216" t="n">
        <x:v>456</x:v>
      </x:c>
      <x:c r="H460" s="216" t="str">
        <x:f>IF(G460&lt;='排名定義'!$B$5,"是","")</x:f>
        <x:v>是</x:v>
      </x:c>
      <x:c r="I460" s="216" t="n">
        <x:v>447</x:v>
      </x:c>
      <x:c r="J460" s="216" t="str">
        <x:f>IF(I460&lt;='排名定義'!$B$5,"是","")</x:f>
        <x:v>是</x:v>
      </x:c>
      <x:c r="K460" s="216" t="n">
        <x:v>635</x:v>
      </x:c>
      <x:c r="L460" s="216" t="str">
        <x:f>IF(K460&lt;='排名定義'!$B$5,"是","")</x:f>
        <x:v>是</x:v>
      </x:c>
      <x:c r="M460" s="216" t="n">
        <x:f>COUNTIF(H460:L460,"是")</x:f>
        <x:v>3</x:v>
      </x:c>
      <x:c r="N460" s="216" t="str">
        <x:v>三份皆未入選</x:v>
      </x:c>
      <x:c r="O460" s="221" t="n">
        <x:v>67.61666666666666</x:v>
      </x:c>
      <x:c r="P460" s="221" t="n">
        <x:v>63.1</x:v>
      </x:c>
      <x:c r="Q460" s="221" t="n">
        <x:v>4.516666666666667</x:v>
      </x:c>
      <x:c r="R460" s="221" t="n">
        <x:v>0.06679812669460192</x:v>
      </x:c>
      <x:c r="S460" s="221" t="n">
        <x:v>101.03225806451613</x:v>
      </x:c>
      <x:c r="T460" s="221" t="n">
        <x:v>96.83870967741936</x:v>
      </x:c>
      <x:c r="U460" s="221" t="n">
        <x:v>4.193548387096774</x:v>
      </x:c>
      <x:c r="V460" s="219" t="n">
        <x:v>0.1152073732718894</x:v>
      </x:c>
      <x:c r="W460" s="216" t="n">
        <x:v>15</x:v>
      </x:c>
      <x:c r="X460" s="223" t="n">
        <x:v>3060</x:v>
      </x:c>
      <x:c r="Y460" s="216" t="n">
        <x:v>19</x:v>
      </x:c>
    </x:row>
    <x:row r="461">
      <x:c r="A461" s="217" t="n">
        <x:v>684</x:v>
      </x:c>
      <x:c r="B461" s="217" t="str">
        <x:v>臺北大學宿舍(學成路)</x:v>
      </x:c>
      <x:c r="C461" s="217" t="str">
        <x:v>三峽區</x:v>
      </x:c>
      <x:c r="D461" s="217" t="n">
        <x:v>20</x:v>
      </x:c>
      <x:c r="E461" s="217" t="n">
        <x:v>120</x:v>
      </x:c>
      <x:c r="F461" s="218" t="n">
        <x:v>0.9994791666666667</x:v>
      </x:c>
      <x:c r="G461" s="217" t="n">
        <x:v>457</x:v>
      </x:c>
      <x:c r="H461" s="217" t="str">
        <x:f>IF(G461&lt;='排名定義'!$B$5,"是","")</x:f>
        <x:v>是</x:v>
      </x:c>
      <x:c r="I461" s="217" t="n">
        <x:v>445</x:v>
      </x:c>
      <x:c r="J461" s="217" t="str">
        <x:f>IF(I461&lt;='排名定義'!$B$5,"是","")</x:f>
        <x:v>是</x:v>
      </x:c>
      <x:c r="K461" s="217" t="n">
        <x:v>662</x:v>
      </x:c>
      <x:c r="L461" s="217" t="str">
        <x:f>IF(K461&lt;='排名定義'!$B$5,"是","")</x:f>
        <x:v>是</x:v>
      </x:c>
      <x:c r="M461" s="217" t="n">
        <x:f>COUNTIF(H461:L461,"是")</x:f>
        <x:v>3</x:v>
      </x:c>
      <x:c r="N461" s="217" t="str">
        <x:v>三份皆未入選</x:v>
      </x:c>
      <x:c r="O461" s="220" t="n">
        <x:v>67.56666666666666</x:v>
      </x:c>
      <x:c r="P461" s="220" t="n">
        <x:v>63.141666666666666</x:v>
      </x:c>
      <x:c r="Q461" s="220" t="n">
        <x:v>4.425</x:v>
      </x:c>
      <x:c r="R461" s="220" t="n">
        <x:v>0.06549087321164282</x:v>
      </x:c>
      <x:c r="S461" s="220" t="n">
        <x:v>107.06451612903226</x:v>
      </x:c>
      <x:c r="T461" s="220" t="n">
        <x:v>103.3225806451613</x:v>
      </x:c>
      <x:c r="U461" s="220" t="n">
        <x:v>3.7419354838709675</x:v>
      </x:c>
      <x:c r="V461" s="218" t="n">
        <x:v>0.10138248847926268</x:v>
      </x:c>
      <x:c r="W461" s="217" t="n">
        <x:v>17</x:v>
      </x:c>
      <x:c r="X461" s="222" t="n">
        <x:v>2220</x:v>
      </x:c>
      <x:c r="Y461" s="217" t="n">
        <x:v>36</x:v>
      </x:c>
    </x:row>
    <x:row r="462">
      <x:c r="A462" s="216" t="n">
        <x:v>519</x:v>
      </x:c>
      <x:c r="B462" s="216" t="str">
        <x:v>仁愛街422巷口</x:v>
      </x:c>
      <x:c r="C462" s="216" t="str">
        <x:v>三重區</x:v>
      </x:c>
      <x:c r="D462" s="216" t="n">
        <x:v>17</x:v>
      </x:c>
      <x:c r="E462" s="216" t="n">
        <x:v>120</x:v>
      </x:c>
      <x:c r="F462" s="219" t="n">
        <x:v>0.9994791666666667</x:v>
      </x:c>
      <x:c r="G462" s="216" t="n">
        <x:v>458</x:v>
      </x:c>
      <x:c r="H462" s="216" t="str">
        <x:f>IF(G462&lt;='排名定義'!$B$5,"是","")</x:f>
        <x:v>是</x:v>
      </x:c>
      <x:c r="I462" s="216" t="n">
        <x:v>454</x:v>
      </x:c>
      <x:c r="J462" s="216" t="str">
        <x:f>IF(I462&lt;='排名定義'!$B$5,"是","")</x:f>
        <x:v>是</x:v>
      </x:c>
      <x:c r="K462" s="216" t="n">
        <x:v>564</x:v>
      </x:c>
      <x:c r="L462" s="216" t="str">
        <x:f>IF(K462&lt;='排名定義'!$B$5,"是","")</x:f>
        <x:v>是</x:v>
      </x:c>
      <x:c r="M462" s="216" t="n">
        <x:f>COUNTIF(H462:L462,"是")</x:f>
        <x:v>3</x:v>
      </x:c>
      <x:c r="N462" s="216" t="str">
        <x:v>三份皆未入選</x:v>
      </x:c>
      <x:c r="O462" s="221" t="n">
        <x:v>67.54166666666667</x:v>
      </x:c>
      <x:c r="P462" s="221" t="n">
        <x:v>62.7</x:v>
      </x:c>
      <x:c r="Q462" s="221" t="n">
        <x:v>4.841666666666667</x:v>
      </x:c>
      <x:c r="R462" s="221" t="n">
        <x:v>0.0716841455891425</x:v>
      </x:c>
      <x:c r="S462" s="221" t="n">
        <x:v>84.35483870967742</x:v>
      </x:c>
      <x:c r="T462" s="221" t="n">
        <x:v>81.06451612903226</x:v>
      </x:c>
      <x:c r="U462" s="221" t="n">
        <x:v>3.2903225806451615</x:v>
      </x:c>
      <x:c r="V462" s="219" t="n">
        <x:v>0.08986175115207373</x:v>
      </x:c>
      <x:c r="W462" s="216" t="n">
        <x:v>24</x:v>
      </x:c>
      <x:c r="X462" s="223" t="n">
        <x:v>3300</x:v>
      </x:c>
      <x:c r="Y462" s="216" t="n">
        <x:v>17</x:v>
      </x:c>
    </x:row>
    <x:row r="463">
      <x:c r="A463" s="217" t="n">
        <x:v>1321</x:v>
      </x:c>
      <x:c r="B463" s="217" t="str">
        <x:v>重陽公園</x:v>
      </x:c>
      <x:c r="C463" s="217" t="str">
        <x:v>蘆洲區</x:v>
      </x:c>
      <x:c r="D463" s="217" t="n">
        <x:v>41</x:v>
      </x:c>
      <x:c r="E463" s="217" t="n">
        <x:v>120</x:v>
      </x:c>
      <x:c r="F463" s="218" t="n">
        <x:v>0.9994791666666667</x:v>
      </x:c>
      <x:c r="G463" s="217" t="n">
        <x:v>459</x:v>
      </x:c>
      <x:c r="H463" s="217" t="str">
        <x:f>IF(G463&lt;='排名定義'!$B$5,"是","")</x:f>
        <x:v>是</x:v>
      </x:c>
      <x:c r="I463" s="217" t="n">
        <x:v>475</x:v>
      </x:c>
      <x:c r="J463" s="217" t="str">
        <x:f>IF(I463&lt;='排名定義'!$B$5,"是","")</x:f>
        <x:v>是</x:v>
      </x:c>
      <x:c r="K463" s="217" t="n">
        <x:v>388</x:v>
      </x:c>
      <x:c r="L463" s="217" t="str">
        <x:f>IF(K463&lt;='排名定義'!$B$5,"是","")</x:f>
        <x:v>是</x:v>
      </x:c>
      <x:c r="M463" s="217" t="n">
        <x:f>COUNTIF(H463:L463,"是")</x:f>
        <x:v>3</x:v>
      </x:c>
      <x:c r="N463" s="217" t="str">
        <x:v>三份皆未入選</x:v>
      </x:c>
      <x:c r="O463" s="220" t="n">
        <x:v>67.53333333333333</x:v>
      </x:c>
      <x:c r="P463" s="220" t="n">
        <x:v>61.766666666666666</x:v>
      </x:c>
      <x:c r="Q463" s="220" t="n">
        <x:v>5.766666666666667</x:v>
      </x:c>
      <x:c r="R463" s="220" t="n">
        <x:v>0.08538993089832182</x:v>
      </x:c>
      <x:c r="S463" s="220" t="n">
        <x:v>88.29032258064517</x:v>
      </x:c>
      <x:c r="T463" s="220" t="n">
        <x:v>83.93548387096774</x:v>
      </x:c>
      <x:c r="U463" s="220" t="n">
        <x:v>4.354838709677419</x:v>
      </x:c>
      <x:c r="V463" s="218" t="n">
        <x:v>0.03686635944700461</x:v>
      </x:c>
      <x:c r="W463" s="217" t="n">
        <x:v>14</x:v>
      </x:c>
      <x:c r="X463" s="222" t="n">
        <x:v>1770</x:v>
      </x:c>
      <x:c r="Y463" s="217" t="n">
        <x:v>41</x:v>
      </x:c>
    </x:row>
    <x:row r="464">
      <x:c r="A464" s="216" t="n">
        <x:v>918</x:v>
      </x:c>
      <x:c r="B464" s="216" t="str">
        <x:v>雙十萬板路口</x:v>
      </x:c>
      <x:c r="C464" s="216" t="str">
        <x:v>板橋區</x:v>
      </x:c>
      <x:c r="D464" s="216" t="n">
        <x:v>26</x:v>
      </x:c>
      <x:c r="E464" s="216" t="n">
        <x:v>120</x:v>
      </x:c>
      <x:c r="F464" s="219" t="n">
        <x:v>0.9994791666666667</x:v>
      </x:c>
      <x:c r="G464" s="216" t="n">
        <x:v>460</x:v>
      </x:c>
      <x:c r="H464" s="216" t="str">
        <x:f>IF(G464&lt;='排名定義'!$B$5,"是","")</x:f>
        <x:v>是</x:v>
      </x:c>
      <x:c r="I464" s="216" t="n">
        <x:v>467</x:v>
      </x:c>
      <x:c r="J464" s="216" t="str">
        <x:f>IF(I464&lt;='排名定義'!$B$5,"是","")</x:f>
        <x:v>是</x:v>
      </x:c>
      <x:c r="K464" s="216" t="n">
        <x:v>447</x:v>
      </x:c>
      <x:c r="L464" s="216" t="str">
        <x:f>IF(K464&lt;='排名定義'!$B$5,"是","")</x:f>
        <x:v>是</x:v>
      </x:c>
      <x:c r="M464" s="216" t="n">
        <x:f>COUNTIF(H464:L464,"是")</x:f>
        <x:v>3</x:v>
      </x:c>
      <x:c r="N464" s="216" t="str">
        <x:v>三份皆未入選</x:v>
      </x:c>
      <x:c r="O464" s="221" t="n">
        <x:v>67.475</x:v>
      </x:c>
      <x:c r="P464" s="221" t="n">
        <x:v>62.05</x:v>
      </x:c>
      <x:c r="Q464" s="221" t="n">
        <x:v>5.425</x:v>
      </x:c>
      <x:c r="R464" s="221" t="n">
        <x:v>0.08040014820303816</x:v>
      </x:c>
      <x:c r="S464" s="221" t="n">
        <x:v>88.25806451612904</x:v>
      </x:c>
      <x:c r="T464" s="221" t="n">
        <x:v>84.58064516129032</x:v>
      </x:c>
      <x:c r="U464" s="221" t="n">
        <x:v>3.6774193548387095</x:v>
      </x:c>
      <x:c r="V464" s="219" t="n">
        <x:v>0.17511520737327188</x:v>
      </x:c>
      <x:c r="W464" s="216" t="n">
        <x:v>47</x:v>
      </x:c>
      <x:c r="X464" s="223" t="n">
        <x:v>5760</x:v>
      </x:c>
      <x:c r="Y464" s="216" t="n">
        <x:v>26</x:v>
      </x:c>
    </x:row>
    <x:row r="465">
      <x:c r="A465" s="217" t="n">
        <x:v>1056</x:v>
      </x:c>
      <x:c r="B465" s="217" t="str">
        <x:v>天山公園(永安街)</x:v>
      </x:c>
      <x:c r="C465" s="217" t="str">
        <x:v>新店區</x:v>
      </x:c>
      <x:c r="D465" s="217" t="n">
        <x:v>30</x:v>
      </x:c>
      <x:c r="E465" s="217" t="n">
        <x:v>120</x:v>
      </x:c>
      <x:c r="F465" s="218" t="n">
        <x:v>0.9994791666666667</x:v>
      </x:c>
      <x:c r="G465" s="217" t="n">
        <x:v>461</x:v>
      </x:c>
      <x:c r="H465" s="217" t="str">
        <x:f>IF(G465&lt;='排名定義'!$B$5,"是","")</x:f>
        <x:v>是</x:v>
      </x:c>
      <x:c r="I465" s="217" t="n">
        <x:v>482</x:v>
      </x:c>
      <x:c r="J465" s="217" t="str">
        <x:f>IF(I465&lt;='排名定義'!$B$5,"是","")</x:f>
        <x:v>是</x:v>
      </x:c>
      <x:c r="K465" s="217" t="n">
        <x:v>334</x:v>
      </x:c>
      <x:c r="L465" s="217" t="str">
        <x:f>IF(K465&lt;='排名定義'!$B$5,"是","")</x:f>
        <x:v>是</x:v>
      </x:c>
      <x:c r="M465" s="217" t="n">
        <x:f>COUNTIF(H465:L465,"是")</x:f>
        <x:v>3</x:v>
      </x:c>
      <x:c r="N465" s="217" t="str">
        <x:v>僅大幅變動</x:v>
      </x:c>
      <x:c r="O465" s="220" t="n">
        <x:v>67.41666666666667</x:v>
      </x:c>
      <x:c r="P465" s="220" t="n">
        <x:v>61.30833333333333</x:v>
      </x:c>
      <x:c r="Q465" s="220" t="n">
        <x:v>6.108333333333333</x:v>
      </x:c>
      <x:c r="R465" s="220" t="n">
        <x:v>0.09060568603213845</x:v>
      </x:c>
      <x:c r="S465" s="220" t="n">
        <x:v>85.48387096774194</x:v>
      </x:c>
      <x:c r="T465" s="220" t="n">
        <x:v>81.2258064516129</x:v>
      </x:c>
      <x:c r="U465" s="220" t="n">
        <x:v>4.258064516129032</x:v>
      </x:c>
      <x:c r="V465" s="218" t="n">
        <x:v>0.027649769585253458</x:v>
      </x:c>
      <x:c r="W465" s="217" t="n">
        <x:v>9</x:v>
      </x:c>
      <x:c r="X465" s="222" t="n">
        <x:v>1230</x:v>
      </x:c>
      <x:c r="Y465" s="217" t="n">
        <x:v>30</x:v>
      </x:c>
    </x:row>
    <x:row r="466">
      <x:c r="A466" s="216" t="n">
        <x:v>779</x:v>
      </x:c>
      <x:c r="B466" s="216" t="str">
        <x:v>頂新公園</x:v>
      </x:c>
      <x:c r="C466" s="216" t="str">
        <x:v>土城區</x:v>
      </x:c>
      <x:c r="D466" s="216" t="n">
        <x:v>21</x:v>
      </x:c>
      <x:c r="E466" s="216" t="n">
        <x:v>120</x:v>
      </x:c>
      <x:c r="F466" s="219" t="n">
        <x:v>0.9994791666666667</x:v>
      </x:c>
      <x:c r="G466" s="216" t="n">
        <x:v>462</x:v>
      </x:c>
      <x:c r="H466" s="216" t="str">
        <x:f>IF(G466&lt;='排名定義'!$B$5,"是","")</x:f>
        <x:v>是</x:v>
      </x:c>
      <x:c r="I466" s="216" t="n">
        <x:v>468</x:v>
      </x:c>
      <x:c r="J466" s="216" t="str">
        <x:f>IF(I466&lt;='排名定義'!$B$5,"是","")</x:f>
        <x:v>是</x:v>
      </x:c>
      <x:c r="K466" s="216" t="n">
        <x:v>455</x:v>
      </x:c>
      <x:c r="L466" s="216" t="str">
        <x:f>IF(K466&lt;='排名定義'!$B$5,"是","")</x:f>
        <x:v>是</x:v>
      </x:c>
      <x:c r="M466" s="216" t="n">
        <x:f>COUNTIF(H466:L466,"是")</x:f>
        <x:v>3</x:v>
      </x:c>
      <x:c r="N466" s="216" t="str">
        <x:v>三份皆未入選</x:v>
      </x:c>
      <x:c r="O466" s="221" t="n">
        <x:v>67.36666666666666</x:v>
      </x:c>
      <x:c r="P466" s="221" t="n">
        <x:v>62.016666666666666</x:v>
      </x:c>
      <x:c r="Q466" s="221" t="n">
        <x:v>5.35</x:v>
      </x:c>
      <x:c r="R466" s="221" t="n">
        <x:v>0.07941613062840178</x:v>
      </x:c>
      <x:c r="S466" s="221" t="n">
        <x:v>95.93548387096774</x:v>
      </x:c>
      <x:c r="T466" s="221" t="n">
        <x:v>90.51612903225806</x:v>
      </x:c>
      <x:c r="U466" s="221" t="n">
        <x:v>5.419354838709677</x:v>
      </x:c>
      <x:c r="V466" s="219" t="n">
        <x:v>0.12442396313364056</x:v>
      </x:c>
      <x:c r="W466" s="216" t="n">
        <x:v>20</x:v>
      </x:c>
      <x:c r="X466" s="223" t="n">
        <x:v>2790</x:v>
      </x:c>
      <x:c r="Y466" s="216" t="n">
        <x:v>21</x:v>
      </x:c>
    </x:row>
    <x:row r="467">
      <x:c r="A467" s="217" t="n">
        <x:v>868</x:v>
      </x:c>
      <x:c r="B467" s="217" t="str">
        <x:v>三重棒球場</x:v>
      </x:c>
      <x:c r="C467" s="217" t="str">
        <x:v>三重區</x:v>
      </x:c>
      <x:c r="D467" s="217" t="n">
        <x:v>25</x:v>
      </x:c>
      <x:c r="E467" s="217" t="n">
        <x:v>120</x:v>
      </x:c>
      <x:c r="F467" s="218" t="n">
        <x:v>0.9994791666666667</x:v>
      </x:c>
      <x:c r="G467" s="217" t="n">
        <x:v>463</x:v>
      </x:c>
      <x:c r="H467" s="217" t="str">
        <x:f>IF(G467&lt;='排名定義'!$B$5,"是","")</x:f>
        <x:v>是</x:v>
      </x:c>
      <x:c r="I467" s="217" t="n">
        <x:v>459</x:v>
      </x:c>
      <x:c r="J467" s="217" t="str">
        <x:f>IF(I467&lt;='排名定義'!$B$5,"是","")</x:f>
        <x:v>是</x:v>
      </x:c>
      <x:c r="K467" s="217" t="n">
        <x:v>563</x:v>
      </x:c>
      <x:c r="L467" s="217" t="str">
        <x:f>IF(K467&lt;='排名定義'!$B$5,"是","")</x:f>
        <x:v>是</x:v>
      </x:c>
      <x:c r="M467" s="217" t="n">
        <x:f>COUNTIF(H467:L467,"是")</x:f>
        <x:v>3</x:v>
      </x:c>
      <x:c r="N467" s="217" t="str">
        <x:v>三份皆未入選</x:v>
      </x:c>
      <x:c r="O467" s="220" t="n">
        <x:v>67.23333333333333</x:v>
      </x:c>
      <x:c r="P467" s="220" t="n">
        <x:v>62.38333333333333</x:v>
      </x:c>
      <x:c r="Q467" s="220" t="n">
        <x:v>4.85</x:v>
      </x:c>
      <x:c r="R467" s="220" t="n">
        <x:v>0.07213683688646505</x:v>
      </x:c>
      <x:c r="S467" s="220" t="n">
        <x:v>120.80645161290323</x:v>
      </x:c>
      <x:c r="T467" s="220" t="n">
        <x:v>114.83870967741936</x:v>
      </x:c>
      <x:c r="U467" s="220" t="n">
        <x:v>5.967741935483871</x:v>
      </x:c>
      <x:c r="V467" s="218" t="n">
        <x:v>0.06912442396313365</x:v>
      </x:c>
      <x:c r="W467" s="217" t="n">
        <x:v>10</x:v>
      </x:c>
      <x:c r="X467" s="222" t="n">
        <x:v>1500</x:v>
      </x:c>
      <x:c r="Y467" s="217" t="n">
        <x:v>25</x:v>
      </x:c>
    </x:row>
    <x:row r="468">
      <x:c r="A468" s="216" t="n">
        <x:v>1415</x:v>
      </x:c>
      <x:c r="B468" s="216" t="str">
        <x:v>中正新雅巷口</x:v>
      </x:c>
      <x:c r="C468" s="216" t="str">
        <x:v>新莊區</x:v>
      </x:c>
      <x:c r="D468" s="216" t="n">
        <x:v>48</x:v>
      </x:c>
      <x:c r="E468" s="216" t="n">
        <x:v>120</x:v>
      </x:c>
      <x:c r="F468" s="219" t="n">
        <x:v>0.9994791666666667</x:v>
      </x:c>
      <x:c r="G468" s="216" t="n">
        <x:v>464</x:v>
      </x:c>
      <x:c r="H468" s="216" t="str">
        <x:f>IF(G468&lt;='排名定義'!$B$5,"是","")</x:f>
        <x:v>是</x:v>
      </x:c>
      <x:c r="I468" s="216" t="n">
        <x:v>472</x:v>
      </x:c>
      <x:c r="J468" s="216" t="str">
        <x:f>IF(I468&lt;='排名定義'!$B$5,"是","")</x:f>
        <x:v>是</x:v>
      </x:c>
      <x:c r="K468" s="216" t="n">
        <x:v>465</x:v>
      </x:c>
      <x:c r="L468" s="216" t="str">
        <x:f>IF(K468&lt;='排名定義'!$B$5,"是","")</x:f>
        <x:v>是</x:v>
      </x:c>
      <x:c r="M468" s="216" t="n">
        <x:f>COUNTIF(H468:L468,"是")</x:f>
        <x:v>3</x:v>
      </x:c>
      <x:c r="N468" s="216" t="str">
        <x:v>三份皆未入選</x:v>
      </x:c>
      <x:c r="O468" s="221" t="n">
        <x:v>67.2</x:v>
      </x:c>
      <x:c r="P468" s="221" t="n">
        <x:v>61.88333333333333</x:v>
      </x:c>
      <x:c r="Q468" s="221" t="n">
        <x:v>5.316666666666666</x:v>
      </x:c>
      <x:c r="R468" s="221" t="n">
        <x:v>0.07911706349206349</x:v>
      </x:c>
      <x:c r="S468" s="221" t="n">
        <x:v>87.12903225806451</x:v>
      </x:c>
      <x:c r="T468" s="221" t="n">
        <x:v>80.93548387096774</x:v>
      </x:c>
      <x:c r="U468" s="221" t="n">
        <x:v>6.193548387096774</x:v>
      </x:c>
      <x:c r="V468" s="219" t="n">
        <x:v>0.07142857142857142</x:v>
      </x:c>
      <x:c r="W468" s="216" t="n">
        <x:v>13</x:v>
      </x:c>
      <x:c r="X468" s="223" t="n">
        <x:v>1590</x:v>
      </x:c>
      <x:c r="Y468" s="216" t="n">
        <x:v>48</x:v>
      </x:c>
    </x:row>
    <x:row r="469">
      <x:c r="A469" s="217" t="n">
        <x:v>839</x:v>
      </x:c>
      <x:c r="B469" s="217" t="str">
        <x:v>遠東世紀廣場C棟</x:v>
      </x:c>
      <x:c r="C469" s="217" t="str">
        <x:v>中和區</x:v>
      </x:c>
      <x:c r="D469" s="217" t="n">
        <x:v>26</x:v>
      </x:c>
      <x:c r="E469" s="217" t="n">
        <x:v>120</x:v>
      </x:c>
      <x:c r="F469" s="218" t="n">
        <x:v>0.9994791666666667</x:v>
      </x:c>
      <x:c r="G469" s="217" t="n">
        <x:v>465</x:v>
      </x:c>
      <x:c r="H469" s="217" t="str">
        <x:f>IF(G469&lt;='排名定義'!$B$5,"是","")</x:f>
        <x:v>是</x:v>
      </x:c>
      <x:c r="I469" s="217" t="n">
        <x:v>474</x:v>
      </x:c>
      <x:c r="J469" s="217" t="str">
        <x:f>IF(I469&lt;='排名定義'!$B$5,"是","")</x:f>
        <x:v>是</x:v>
      </x:c>
      <x:c r="K469" s="217" t="n">
        <x:v>483</x:v>
      </x:c>
      <x:c r="L469" s="217" t="str">
        <x:f>IF(K469&lt;='排名定義'!$B$5,"是","")</x:f>
        <x:v>是</x:v>
      </x:c>
      <x:c r="M469" s="217" t="n">
        <x:f>COUNTIF(H469:L469,"是")</x:f>
        <x:v>3</x:v>
      </x:c>
      <x:c r="N469" s="217" t="str">
        <x:v>三份皆未入選</x:v>
      </x:c>
      <x:c r="O469" s="220" t="n">
        <x:v>67.06666666666666</x:v>
      </x:c>
      <x:c r="P469" s="220" t="n">
        <x:v>61.825</x:v>
      </x:c>
      <x:c r="Q469" s="220" t="n">
        <x:v>5.241666666666666</x:v>
      </x:c>
      <x:c r="R469" s="220" t="n">
        <x:v>0.07815606361829026</x:v>
      </x:c>
      <x:c r="S469" s="220" t="n">
        <x:v>86.87096774193549</x:v>
      </x:c>
      <x:c r="T469" s="220" t="n">
        <x:v>82.03225806451613</x:v>
      </x:c>
      <x:c r="U469" s="220" t="n">
        <x:v>4.838709677419355</x:v>
      </x:c>
      <x:c r="V469" s="218" t="n">
        <x:v>0.06682027649769585</x:v>
      </x:c>
      <x:c r="W469" s="217" t="n">
        <x:v>15</x:v>
      </x:c>
      <x:c r="X469" s="222" t="n">
        <x:v>1980</x:v>
      </x:c>
      <x:c r="Y469" s="217" t="n">
        <x:v>26</x:v>
      </x:c>
    </x:row>
    <x:row r="470">
      <x:c r="A470" s="216" t="n">
        <x:v>1502</x:v>
      </x:c>
      <x:c r="B470" s="216" t="str">
        <x:v>中和公園</x:v>
      </x:c>
      <x:c r="C470" s="216" t="str">
        <x:v>中和區</x:v>
      </x:c>
      <x:c r="D470" s="216" t="n">
        <x:v>57</x:v>
      </x:c>
      <x:c r="E470" s="216" t="n">
        <x:v>120</x:v>
      </x:c>
      <x:c r="F470" s="219" t="n">
        <x:v>0.9994791666666667</x:v>
      </x:c>
      <x:c r="G470" s="216" t="n">
        <x:v>466</x:v>
      </x:c>
      <x:c r="H470" s="216" t="str">
        <x:f>IF(G470&lt;='排名定義'!$B$5,"是","")</x:f>
        <x:v>是</x:v>
      </x:c>
      <x:c r="I470" s="216" t="n">
        <x:v>465</x:v>
      </x:c>
      <x:c r="J470" s="216" t="str">
        <x:f>IF(I470&lt;='排名定義'!$B$5,"是","")</x:f>
        <x:v>是</x:v>
      </x:c>
      <x:c r="K470" s="216" t="n">
        <x:v>555</x:v>
      </x:c>
      <x:c r="L470" s="216" t="str">
        <x:f>IF(K470&lt;='排名定義'!$B$5,"是","")</x:f>
        <x:v>是</x:v>
      </x:c>
      <x:c r="M470" s="216" t="n">
        <x:f>COUNTIF(H470:L470,"是")</x:f>
        <x:v>3</x:v>
      </x:c>
      <x:c r="N470" s="216" t="str">
        <x:v>三份皆未入選</x:v>
      </x:c>
      <x:c r="O470" s="221" t="n">
        <x:v>67.025</x:v>
      </x:c>
      <x:c r="P470" s="221" t="n">
        <x:v>62.125</x:v>
      </x:c>
      <x:c r="Q470" s="221" t="n">
        <x:v>4.9</x:v>
      </x:c>
      <x:c r="R470" s="221" t="n">
        <x:v>0.0731070496083551</x:v>
      </x:c>
      <x:c r="S470" s="221" t="n">
        <x:v>105.48387096774194</x:v>
      </x:c>
      <x:c r="T470" s="221" t="n">
        <x:v>100</x:v>
      </x:c>
      <x:c r="U470" s="221" t="n">
        <x:v>5.483870967741935</x:v>
      </x:c>
      <x:c r="V470" s="219" t="n">
        <x:v>0.009216589861751152</x:v>
      </x:c>
      <x:c r="W470" s="216" t="n">
        <x:v>4</x:v>
      </x:c>
      <x:c r="X470" s="223" t="n">
        <x:v>660</x:v>
      </x:c>
      <x:c r="Y470" s="216" t="n">
        <x:v>57</x:v>
      </x:c>
    </x:row>
    <x:row r="471">
      <x:c r="A471" s="217" t="n">
        <x:v>288</x:v>
      </x:c>
      <x:c r="B471" s="217" t="str">
        <x:v>龍濱公園</x:v>
      </x:c>
      <x:c r="C471" s="217" t="str">
        <x:v>三重區</x:v>
      </x:c>
      <x:c r="D471" s="217" t="n">
        <x:v>14</x:v>
      </x:c>
      <x:c r="E471" s="217" t="n">
        <x:v>120</x:v>
      </x:c>
      <x:c r="F471" s="218" t="n">
        <x:v>0.9994791666666667</x:v>
      </x:c>
      <x:c r="G471" s="217" t="n">
        <x:v>467</x:v>
      </x:c>
      <x:c r="H471" s="217" t="str">
        <x:f>IF(G471&lt;='排名定義'!$B$5,"是","")</x:f>
        <x:v>是</x:v>
      </x:c>
      <x:c r="I471" s="217" t="n">
        <x:v>439</x:v>
      </x:c>
      <x:c r="J471" s="217" t="str">
        <x:f>IF(I471&lt;='排名定義'!$B$5,"是","")</x:f>
        <x:v>是</x:v>
      </x:c>
      <x:c r="K471" s="217" t="n">
        <x:v>980</x:v>
      </x:c>
      <x:c r="L471" s="217" t="str">
        <x:f>IF(K471&lt;='排名定義'!$B$5,"是","")</x:f>
        <x:v>是</x:v>
      </x:c>
      <x:c r="M471" s="217" t="n">
        <x:f>COUNTIF(H471:L471,"是")</x:f>
        <x:v>3</x:v>
      </x:c>
      <x:c r="N471" s="217" t="str">
        <x:v>三份皆未入選</x:v>
      </x:c>
      <x:c r="O471" s="220" t="n">
        <x:v>67.01666666666667</x:v>
      </x:c>
      <x:c r="P471" s="220" t="n">
        <x:v>63.53333333333333</x:v>
      </x:c>
      <x:c r="Q471" s="220" t="n">
        <x:v>3.4833333333333334</x:v>
      </x:c>
      <x:c r="R471" s="220" t="n">
        <x:v>0.05197712011937329</x:v>
      </x:c>
      <x:c r="S471" s="220" t="n">
        <x:v>86.58064516129032</x:v>
      </x:c>
      <x:c r="T471" s="220" t="n">
        <x:v>81.80645161290323</x:v>
      </x:c>
      <x:c r="U471" s="220" t="n">
        <x:v>4.774193548387097</x:v>
      </x:c>
      <x:c r="V471" s="218" t="n">
        <x:v>0.15898617511520738</x:v>
      </x:c>
      <x:c r="W471" s="217" t="n">
        <x:v>35</x:v>
      </x:c>
      <x:c r="X471" s="222" t="n">
        <x:v>5190</x:v>
      </x:c>
      <x:c r="Y471" s="217" t="n">
        <x:v>14</x:v>
      </x:c>
    </x:row>
    <x:row r="472">
      <x:c r="A472" s="216" t="n">
        <x:v>514</x:v>
      </x:c>
      <x:c r="B472" s="216" t="str">
        <x:v>中信停車場(中興街)</x:v>
      </x:c>
      <x:c r="C472" s="216" t="str">
        <x:v>永和區</x:v>
      </x:c>
      <x:c r="D472" s="216" t="n">
        <x:v>17</x:v>
      </x:c>
      <x:c r="E472" s="216" t="n">
        <x:v>120</x:v>
      </x:c>
      <x:c r="F472" s="219" t="n">
        <x:v>0.9994791666666667</x:v>
      </x:c>
      <x:c r="G472" s="216" t="n">
        <x:v>468</x:v>
      </x:c>
      <x:c r="H472" s="216" t="str">
        <x:f>IF(G472&lt;='排名定義'!$B$5,"是","")</x:f>
        <x:v>是</x:v>
      </x:c>
      <x:c r="I472" s="216" t="n">
        <x:v>457</x:v>
      </x:c>
      <x:c r="J472" s="216" t="str">
        <x:f>IF(I472&lt;='排名定義'!$B$5,"是","")</x:f>
        <x:v>是</x:v>
      </x:c>
      <x:c r="K472" s="216" t="n">
        <x:v>664</x:v>
      </x:c>
      <x:c r="L472" s="216" t="str">
        <x:f>IF(K472&lt;='排名定義'!$B$5,"是","")</x:f>
        <x:v>是</x:v>
      </x:c>
      <x:c r="M472" s="216" t="n">
        <x:f>COUNTIF(H472:L472,"是")</x:f>
        <x:v>3</x:v>
      </x:c>
      <x:c r="N472" s="216" t="str">
        <x:v>三份皆未入選</x:v>
      </x:c>
      <x:c r="O472" s="221" t="n">
        <x:v>66.91666666666667</x:v>
      </x:c>
      <x:c r="P472" s="221" t="n">
        <x:v>62.5</x:v>
      </x:c>
      <x:c r="Q472" s="221" t="n">
        <x:v>4.416666666666667</x:v>
      </x:c>
      <x:c r="R472" s="221" t="n">
        <x:v>0.0660024906600249</x:v>
      </x:c>
      <x:c r="S472" s="221" t="n">
        <x:v>91.83870967741936</x:v>
      </x:c>
      <x:c r="T472" s="221" t="n">
        <x:v>87.96774193548387</x:v>
      </x:c>
      <x:c r="U472" s="221" t="n">
        <x:v>3.870967741935484</x:v>
      </x:c>
      <x:c r="V472" s="219" t="n">
        <x:v>0.14285714285714285</x:v>
      </x:c>
      <x:c r="W472" s="216" t="n">
        <x:v>34</x:v>
      </x:c>
      <x:c r="X472" s="223" t="n">
        <x:v>4680</x:v>
      </x:c>
      <x:c r="Y472" s="216" t="n">
        <x:v>17</x:v>
      </x:c>
    </x:row>
    <x:row r="473">
      <x:c r="A473" s="217" t="n">
        <x:v>241</x:v>
      </x:c>
      <x:c r="B473" s="217" t="str">
        <x:v>民族路225巷</x:v>
      </x:c>
      <x:c r="C473" s="217" t="str">
        <x:v>板橋區</x:v>
      </x:c>
      <x:c r="D473" s="217" t="n">
        <x:v>13</x:v>
      </x:c>
      <x:c r="E473" s="217" t="n">
        <x:v>120</x:v>
      </x:c>
      <x:c r="F473" s="218" t="n">
        <x:v>0.9994791666666667</x:v>
      </x:c>
      <x:c r="G473" s="217" t="n">
        <x:v>469</x:v>
      </x:c>
      <x:c r="H473" s="217" t="str">
        <x:f>IF(G473&lt;='排名定義'!$B$5,"是","")</x:f>
        <x:v>是</x:v>
      </x:c>
      <x:c r="I473" s="217" t="n">
        <x:v>458</x:v>
      </x:c>
      <x:c r="J473" s="217" t="str">
        <x:f>IF(I473&lt;='排名定義'!$B$5,"是","")</x:f>
        <x:v>是</x:v>
      </x:c>
      <x:c r="K473" s="217" t="n">
        <x:v>678</x:v>
      </x:c>
      <x:c r="L473" s="217" t="str">
        <x:f>IF(K473&lt;='排名定義'!$B$5,"是","")</x:f>
        <x:v>是</x:v>
      </x:c>
      <x:c r="M473" s="217" t="n">
        <x:f>COUNTIF(H473:L473,"是")</x:f>
        <x:v>3</x:v>
      </x:c>
      <x:c r="N473" s="217" t="str">
        <x:v>三份皆未入選</x:v>
      </x:c>
      <x:c r="O473" s="220" t="n">
        <x:v>66.83333333333333</x:v>
      </x:c>
      <x:c r="P473" s="220" t="n">
        <x:v>62.46666666666667</x:v>
      </x:c>
      <x:c r="Q473" s="220" t="n">
        <x:v>4.366666666666666</x:v>
      </x:c>
      <x:c r="R473" s="220" t="n">
        <x:v>0.06533665835411472</x:v>
      </x:c>
      <x:c r="S473" s="220" t="n">
        <x:v>86.29032258064517</x:v>
      </x:c>
      <x:c r="T473" s="220" t="n">
        <x:v>82.90322580645162</x:v>
      </x:c>
      <x:c r="U473" s="220" t="n">
        <x:v>3.3870967741935485</x:v>
      </x:c>
      <x:c r="V473" s="218" t="n">
        <x:v>0.1543778801843318</x:v>
      </x:c>
      <x:c r="W473" s="217" t="n">
        <x:v>35</x:v>
      </x:c>
      <x:c r="X473" s="222" t="n">
        <x:v>5340</x:v>
      </x:c>
      <x:c r="Y473" s="217" t="n">
        <x:v>13</x:v>
      </x:c>
    </x:row>
    <x:row r="474">
      <x:c r="A474" s="216" t="n">
        <x:v>1011</x:v>
      </x:c>
      <x:c r="B474" s="216" t="str">
        <x:v>森林公園</x:v>
      </x:c>
      <x:c r="C474" s="216" t="str">
        <x:v>樹林區</x:v>
      </x:c>
      <x:c r="D474" s="216" t="n">
        <x:v>30</x:v>
      </x:c>
      <x:c r="E474" s="216" t="n">
        <x:v>120</x:v>
      </x:c>
      <x:c r="F474" s="219" t="n">
        <x:v>0.9994791666666667</x:v>
      </x:c>
      <x:c r="G474" s="216" t="n">
        <x:v>470</x:v>
      </x:c>
      <x:c r="H474" s="216" t="str">
        <x:f>IF(G474&lt;='排名定義'!$B$5,"是","")</x:f>
        <x:v>是</x:v>
      </x:c>
      <x:c r="I474" s="216" t="n">
        <x:v>462</x:v>
      </x:c>
      <x:c r="J474" s="216" t="str">
        <x:f>IF(I474&lt;='排名定義'!$B$5,"是","")</x:f>
        <x:v>是</x:v>
      </x:c>
      <x:c r="K474" s="216" t="n">
        <x:v>631</x:v>
      </x:c>
      <x:c r="L474" s="216" t="str">
        <x:f>IF(K474&lt;='排名定義'!$B$5,"是","")</x:f>
        <x:v>是</x:v>
      </x:c>
      <x:c r="M474" s="216" t="n">
        <x:f>COUNTIF(H474:L474,"是")</x:f>
        <x:v>3</x:v>
      </x:c>
      <x:c r="N474" s="216" t="str">
        <x:v>三份皆未入選</x:v>
      </x:c>
      <x:c r="O474" s="221" t="n">
        <x:v>66.78333333333333</x:v>
      </x:c>
      <x:c r="P474" s="221" t="n">
        <x:v>62.25</x:v>
      </x:c>
      <x:c r="Q474" s="221" t="n">
        <x:v>4.533333333333333</x:v>
      </x:c>
      <x:c r="R474" s="221" t="n">
        <x:v>0.06788120788619915</x:v>
      </x:c>
      <x:c r="S474" s="221" t="n">
        <x:v>106.96774193548387</x:v>
      </x:c>
      <x:c r="T474" s="221" t="n">
        <x:v>102.03225806451613</x:v>
      </x:c>
      <x:c r="U474" s="221" t="n">
        <x:v>4.935483870967742</x:v>
      </x:c>
      <x:c r="V474" s="219" t="n">
        <x:v>0.009216589861751152</x:v>
      </x:c>
      <x:c r="W474" s="216" t="n">
        <x:v>0</x:v>
      </x:c>
      <x:c r="X474" s="223" t="n">
        <x:v>450</x:v>
      </x:c>
      <x:c r="Y474" s="216" t="n">
        <x:v>30</x:v>
      </x:c>
    </x:row>
    <x:row r="475">
      <x:c r="A475" s="217" t="n">
        <x:v>1208</x:v>
      </x:c>
      <x:c r="B475" s="217" t="str">
        <x:v>三重國民運動中心</x:v>
      </x:c>
      <x:c r="C475" s="217" t="str">
        <x:v>三重區</x:v>
      </x:c>
      <x:c r="D475" s="217" t="n">
        <x:v>38</x:v>
      </x:c>
      <x:c r="E475" s="217" t="n">
        <x:v>120</x:v>
      </x:c>
      <x:c r="F475" s="218" t="n">
        <x:v>0.9994791666666667</x:v>
      </x:c>
      <x:c r="G475" s="217" t="n">
        <x:v>471</x:v>
      </x:c>
      <x:c r="H475" s="217" t="str">
        <x:f>IF(G475&lt;='排名定義'!$B$5,"是","")</x:f>
        <x:v>是</x:v>
      </x:c>
      <x:c r="I475" s="217" t="n">
        <x:v>464</x:v>
      </x:c>
      <x:c r="J475" s="217" t="str">
        <x:f>IF(I475&lt;='排名定義'!$B$5,"是","")</x:f>
        <x:v>是</x:v>
      </x:c>
      <x:c r="K475" s="217" t="n">
        <x:v>643</x:v>
      </x:c>
      <x:c r="L475" s="217" t="str">
        <x:f>IF(K475&lt;='排名定義'!$B$5,"是","")</x:f>
        <x:v>是</x:v>
      </x:c>
      <x:c r="M475" s="217" t="n">
        <x:f>COUNTIF(H475:L475,"是")</x:f>
        <x:v>3</x:v>
      </x:c>
      <x:c r="N475" s="217" t="str">
        <x:v>三份皆未入選</x:v>
      </x:c>
      <x:c r="O475" s="220" t="n">
        <x:v>66.71666666666667</x:v>
      </x:c>
      <x:c r="P475" s="220" t="n">
        <x:v>62.225</x:v>
      </x:c>
      <x:c r="Q475" s="220" t="n">
        <x:v>4.491666666666666</x:v>
      </x:c>
      <x:c r="R475" s="220" t="n">
        <x:v>0.06732450662003497</x:v>
      </x:c>
      <x:c r="S475" s="220" t="n">
        <x:v>94.64516129032258</x:v>
      </x:c>
      <x:c r="T475" s="220" t="n">
        <x:v>89.6774193548387</x:v>
      </x:c>
      <x:c r="U475" s="220" t="n">
        <x:v>4.967741935483871</x:v>
      </x:c>
      <x:c r="V475" s="218" t="n">
        <x:v>0.07373271889400922</x:v>
      </x:c>
      <x:c r="W475" s="217" t="n">
        <x:v>11</x:v>
      </x:c>
      <x:c r="X475" s="222" t="n">
        <x:v>2010</x:v>
      </x:c>
      <x:c r="Y475" s="217" t="n">
        <x:v>38</x:v>
      </x:c>
    </x:row>
    <x:row r="476">
      <x:c r="A476" s="216" t="n">
        <x:v>1373</x:v>
      </x:c>
      <x:c r="B476" s="216" t="str">
        <x:v>馥華公園</x:v>
      </x:c>
      <x:c r="C476" s="216" t="str">
        <x:v>板橋區</x:v>
      </x:c>
      <x:c r="D476" s="216" t="n">
        <x:v>48.5</x:v>
      </x:c>
      <x:c r="E476" s="216" t="n">
        <x:v>120</x:v>
      </x:c>
      <x:c r="F476" s="219" t="n">
        <x:v>0.9994791666666667</x:v>
      </x:c>
      <x:c r="G476" s="216" t="n">
        <x:v>472</x:v>
      </x:c>
      <x:c r="H476" s="216" t="str">
        <x:f>IF(G476&lt;='排名定義'!$B$5,"是","")</x:f>
        <x:v>是</x:v>
      </x:c>
      <x:c r="I476" s="216" t="n">
        <x:v>486</x:v>
      </x:c>
      <x:c r="J476" s="216" t="str">
        <x:f>IF(I476&lt;='排名定義'!$B$5,"是","")</x:f>
        <x:v>是</x:v>
      </x:c>
      <x:c r="K476" s="216" t="n">
        <x:v>394</x:v>
      </x:c>
      <x:c r="L476" s="216" t="str">
        <x:f>IF(K476&lt;='排名定義'!$B$5,"是","")</x:f>
        <x:v>是</x:v>
      </x:c>
      <x:c r="M476" s="216" t="n">
        <x:f>COUNTIF(H476:L476,"是")</x:f>
        <x:v>3</x:v>
      </x:c>
      <x:c r="N476" s="216" t="str">
        <x:v>三份皆未入選</x:v>
      </x:c>
      <x:c r="O476" s="221" t="n">
        <x:v>66.68333333333334</x:v>
      </x:c>
      <x:c r="P476" s="221" t="n">
        <x:v>60.93333333333333</x:v>
      </x:c>
      <x:c r="Q476" s="221" t="n">
        <x:v>5.75</x:v>
      </x:c>
      <x:c r="R476" s="221" t="n">
        <x:v>0.08622844288927768</x:v>
      </x:c>
      <x:c r="S476" s="221" t="n">
        <x:v>94.7741935483871</x:v>
      </x:c>
      <x:c r="T476" s="221" t="n">
        <x:v>90.16129032258064</x:v>
      </x:c>
      <x:c r="U476" s="221" t="n">
        <x:v>4.612903225806452</x:v>
      </x:c>
      <x:c r="V476" s="219" t="n">
        <x:v>0.05069124423963134</x:v>
      </x:c>
      <x:c r="W476" s="216" t="n">
        <x:v>10</x:v>
      </x:c>
      <x:c r="X476" s="223" t="n">
        <x:v>1860</x:v>
      </x:c>
      <x:c r="Y476" s="216" t="n">
        <x:v>53</x:v>
      </x:c>
    </x:row>
    <x:row r="477">
      <x:c r="A477" s="217" t="n">
        <x:v>1428</x:v>
      </x:c>
      <x:c r="B477" s="217" t="str">
        <x:v>輕軌紅樹林站</x:v>
      </x:c>
      <x:c r="C477" s="217" t="str">
        <x:v>淡水區</x:v>
      </x:c>
      <x:c r="D477" s="217" t="n">
        <x:v>48</x:v>
      </x:c>
      <x:c r="E477" s="217" t="n">
        <x:v>120</x:v>
      </x:c>
      <x:c r="F477" s="218" t="n">
        <x:v>0.9994791666666667</x:v>
      </x:c>
      <x:c r="G477" s="217" t="n">
        <x:v>473</x:v>
      </x:c>
      <x:c r="H477" s="217" t="str">
        <x:f>IF(G477&lt;='排名定義'!$B$5,"是","")</x:f>
        <x:v>是</x:v>
      </x:c>
      <x:c r="I477" s="217" t="n">
        <x:v>499</x:v>
      </x:c>
      <x:c r="J477" s="217" t="str">
        <x:f>IF(I477&lt;='排名定義'!$B$5,"是","")</x:f>
        <x:v>是</x:v>
      </x:c>
      <x:c r="K477" s="217" t="n">
        <x:v>267</x:v>
      </x:c>
      <x:c r="L477" s="217" t="str">
        <x:f>IF(K477&lt;='排名定義'!$B$5,"是","")</x:f>
        <x:v>是</x:v>
      </x:c>
      <x:c r="M477" s="217" t="n">
        <x:f>COUNTIF(H477:L477,"是")</x:f>
        <x:v>3</x:v>
      </x:c>
      <x:c r="N477" s="217" t="str">
        <x:v>僅大幅變動</x:v>
      </x:c>
      <x:c r="O477" s="220" t="n">
        <x:v>66.68333333333334</x:v>
      </x:c>
      <x:c r="P477" s="220" t="n">
        <x:v>60.041666666666664</x:v>
      </x:c>
      <x:c r="Q477" s="220" t="n">
        <x:v>6.641666666666667</x:v>
      </x:c>
      <x:c r="R477" s="220" t="n">
        <x:v>0.09960009997500625</x:v>
      </x:c>
      <x:c r="S477" s="220" t="n">
        <x:v>109.2258064516129</x:v>
      </x:c>
      <x:c r="T477" s="220" t="n">
        <x:v>103.58064516129032</x:v>
      </x:c>
      <x:c r="U477" s="220" t="n">
        <x:v>5.645161290322581</x:v>
      </x:c>
      <x:c r="V477" s="218" t="n">
        <x:v>0.009216589861751152</x:v>
      </x:c>
      <x:c r="W477" s="217" t="n">
        <x:v>5</x:v>
      </x:c>
      <x:c r="X477" s="222" t="n">
        <x:v>1140</x:v>
      </x:c>
      <x:c r="Y477" s="217" t="n">
        <x:v>48</x:v>
      </x:c>
    </x:row>
    <x:row r="478">
      <x:c r="A478" s="216" t="n">
        <x:v>208</x:v>
      </x:c>
      <x:c r="B478" s="216" t="str">
        <x:v>建中街90巷口</x:v>
      </x:c>
      <x:c r="C478" s="216" t="str">
        <x:v>新莊區</x:v>
      </x:c>
      <x:c r="D478" s="216" t="n">
        <x:v>12</x:v>
      </x:c>
      <x:c r="E478" s="216" t="n">
        <x:v>120</x:v>
      </x:c>
      <x:c r="F478" s="219" t="n">
        <x:v>0.9994791666666667</x:v>
      </x:c>
      <x:c r="G478" s="216" t="n">
        <x:v>474</x:v>
      </x:c>
      <x:c r="H478" s="216" t="str">
        <x:f>IF(G478&lt;='排名定義'!$B$5,"是","")</x:f>
        <x:v>是</x:v>
      </x:c>
      <x:c r="I478" s="216" t="n">
        <x:v>446</x:v>
      </x:c>
      <x:c r="J478" s="216" t="str">
        <x:f>IF(I478&lt;='排名定義'!$B$5,"是","")</x:f>
        <x:v>是</x:v>
      </x:c>
      <x:c r="K478" s="216" t="n">
        <x:v>979</x:v>
      </x:c>
      <x:c r="L478" s="216" t="str">
        <x:f>IF(K478&lt;='排名定義'!$B$5,"是","")</x:f>
        <x:v>是</x:v>
      </x:c>
      <x:c r="M478" s="216" t="n">
        <x:f>COUNTIF(H478:L478,"是")</x:f>
        <x:v>3</x:v>
      </x:c>
      <x:c r="N478" s="216" t="str">
        <x:v>三份皆未入選</x:v>
      </x:c>
      <x:c r="O478" s="221" t="n">
        <x:v>66.61666666666666</x:v>
      </x:c>
      <x:c r="P478" s="221" t="n">
        <x:v>63.13333333333333</x:v>
      </x:c>
      <x:c r="Q478" s="221" t="n">
        <x:v>3.4833333333333334</x:v>
      </x:c>
      <x:c r="R478" s="221" t="n">
        <x:v>0.05228921691268451</x:v>
      </x:c>
      <x:c r="S478" s="221" t="n">
        <x:v>82.7741935483871</x:v>
      </x:c>
      <x:c r="T478" s="221" t="n">
        <x:v>79.41935483870968</x:v>
      </x:c>
      <x:c r="U478" s="221" t="n">
        <x:v>3.3548387096774195</x:v>
      </x:c>
      <x:c r="V478" s="219" t="n">
        <x:v>0.16129032258064516</x:v>
      </x:c>
      <x:c r="W478" s="216" t="n">
        <x:v>33</x:v>
      </x:c>
      <x:c r="X478" s="223" t="n">
        <x:v>4140</x:v>
      </x:c>
      <x:c r="Y478" s="216" t="n">
        <x:v>12</x:v>
      </x:c>
    </x:row>
    <x:row r="479">
      <x:c r="A479" s="217" t="n">
        <x:v>914</x:v>
      </x:c>
      <x:c r="B479" s="217" t="str">
        <x:v>竹圍公園</x:v>
      </x:c>
      <x:c r="C479" s="217" t="str">
        <x:v>淡水區</x:v>
      </x:c>
      <x:c r="D479" s="217" t="n">
        <x:v>26</x:v>
      </x:c>
      <x:c r="E479" s="217" t="n">
        <x:v>120</x:v>
      </x:c>
      <x:c r="F479" s="218" t="n">
        <x:v>0.9994791666666667</x:v>
      </x:c>
      <x:c r="G479" s="217" t="n">
        <x:v>475</x:v>
      </x:c>
      <x:c r="H479" s="217" t="str">
        <x:f>IF(G479&lt;='排名定義'!$B$5,"是","")</x:f>
        <x:v>是</x:v>
      </x:c>
      <x:c r="I479" s="217" t="n">
        <x:v>489</x:v>
      </x:c>
      <x:c r="J479" s="217" t="str">
        <x:f>IF(I479&lt;='排名定義'!$B$5,"是","")</x:f>
        <x:v>是</x:v>
      </x:c>
      <x:c r="K479" s="217" t="n">
        <x:v>378</x:v>
      </x:c>
      <x:c r="L479" s="217" t="str">
        <x:f>IF(K479&lt;='排名定義'!$B$5,"是","")</x:f>
        <x:v>是</x:v>
      </x:c>
      <x:c r="M479" s="217" t="n">
        <x:f>COUNTIF(H479:L479,"是")</x:f>
        <x:v>3</x:v>
      </x:c>
      <x:c r="N479" s="217" t="str">
        <x:v>三份皆未入選</x:v>
      </x:c>
      <x:c r="O479" s="220" t="n">
        <x:v>66.61666666666666</x:v>
      </x:c>
      <x:c r="P479" s="220" t="n">
        <x:v>60.78333333333333</x:v>
      </x:c>
      <x:c r="Q479" s="220" t="n">
        <x:v>5.833333333333333</x:v>
      </x:c>
      <x:c r="R479" s="220" t="n">
        <x:v>0.08756567425569177</x:v>
      </x:c>
      <x:c r="S479" s="220" t="n">
        <x:v>92.29032258064517</x:v>
      </x:c>
      <x:c r="T479" s="220" t="n">
        <x:v>85.7741935483871</x:v>
      </x:c>
      <x:c r="U479" s="220" t="n">
        <x:v>6.516129032258065</x:v>
      </x:c>
      <x:c r="V479" s="218" t="n">
        <x:v>0.05069124423963134</x:v>
      </x:c>
      <x:c r="W479" s="217" t="n">
        <x:v>28</x:v>
      </x:c>
      <x:c r="X479" s="222" t="n">
        <x:v>4950</x:v>
      </x:c>
      <x:c r="Y479" s="217" t="n">
        <x:v>26</x:v>
      </x:c>
    </x:row>
    <x:row r="480">
      <x:c r="A480" s="216" t="n">
        <x:v>4</x:v>
      </x:c>
      <x:c r="B480" s="216" t="str">
        <x:v>中和國民運動中心</x:v>
      </x:c>
      <x:c r="C480" s="216" t="str">
        <x:v>中和區</x:v>
      </x:c>
      <x:c r="D480" s="216" t="n">
        <x:v>64</x:v>
      </x:c>
      <x:c r="E480" s="216" t="n">
        <x:v>120</x:v>
      </x:c>
      <x:c r="F480" s="219" t="n">
        <x:v>0.9994791666666667</x:v>
      </x:c>
      <x:c r="G480" s="216" t="n">
        <x:v>476</x:v>
      </x:c>
      <x:c r="H480" s="216" t="str">
        <x:f>IF(G480&lt;='排名定義'!$B$5,"是","")</x:f>
        <x:v>是</x:v>
      </x:c>
      <x:c r="I480" s="216" t="n">
        <x:v>485</x:v>
      </x:c>
      <x:c r="J480" s="216" t="str">
        <x:f>IF(I480&lt;='排名定義'!$B$5,"是","")</x:f>
        <x:v>是</x:v>
      </x:c>
      <x:c r="K480" s="216" t="n">
        <x:v>425</x:v>
      </x:c>
      <x:c r="L480" s="216" t="str">
        <x:f>IF(K480&lt;='排名定義'!$B$5,"是","")</x:f>
        <x:v>是</x:v>
      </x:c>
      <x:c r="M480" s="216" t="n">
        <x:f>COUNTIF(H480:L480,"是")</x:f>
        <x:v>3</x:v>
      </x:c>
      <x:c r="N480" s="216" t="str">
        <x:v>三份皆未入選</x:v>
      </x:c>
      <x:c r="O480" s="221" t="n">
        <x:v>66.51666666666667</x:v>
      </x:c>
      <x:c r="P480" s="221" t="n">
        <x:v>60.975</x:v>
      </x:c>
      <x:c r="Q480" s="221" t="n">
        <x:v>5.541666666666667</x:v>
      </x:c>
      <x:c r="R480" s="221" t="n">
        <x:v>0.08331245301929341</x:v>
      </x:c>
      <x:c r="S480" s="221" t="n">
        <x:v>98.58064516129032</x:v>
      </x:c>
      <x:c r="T480" s="221" t="n">
        <x:v>91.03225806451613</x:v>
      </x:c>
      <x:c r="U480" s="221" t="n">
        <x:v>7.548387096774194</x:v>
      </x:c>
      <x:c r="V480" s="219" t="n">
        <x:v>0.03456221198156682</x:v>
      </x:c>
      <x:c r="W480" s="216" t="n">
        <x:v>14</x:v>
      </x:c>
      <x:c r="X480" s="223" t="n">
        <x:v>1890</x:v>
      </x:c>
      <x:c r="Y480" s="216" t="n">
        <x:v>64</x:v>
      </x:c>
    </x:row>
    <x:row r="481">
      <x:c r="A481" s="217" t="n">
        <x:v>1012</x:v>
      </x:c>
      <x:c r="B481" s="217" t="str">
        <x:v>碧華公園</x:v>
      </x:c>
      <x:c r="C481" s="217" t="str">
        <x:v>三重區</x:v>
      </x:c>
      <x:c r="D481" s="217" t="n">
        <x:v>36</x:v>
      </x:c>
      <x:c r="E481" s="217" t="n">
        <x:v>120</x:v>
      </x:c>
      <x:c r="F481" s="218" t="n">
        <x:v>0.9994791666666667</x:v>
      </x:c>
      <x:c r="G481" s="217" t="n">
        <x:v>477</x:v>
      </x:c>
      <x:c r="H481" s="217" t="str">
        <x:f>IF(G481&lt;='排名定義'!$B$5,"是","")</x:f>
        <x:v>是</x:v>
      </x:c>
      <x:c r="I481" s="217" t="n">
        <x:v>493</x:v>
      </x:c>
      <x:c r="J481" s="217" t="str">
        <x:f>IF(I481&lt;='排名定義'!$B$5,"是","")</x:f>
        <x:v>是</x:v>
      </x:c>
      <x:c r="K481" s="217" t="n">
        <x:v>342</x:v>
      </x:c>
      <x:c r="L481" s="217" t="str">
        <x:f>IF(K481&lt;='排名定義'!$B$5,"是","")</x:f>
        <x:v>是</x:v>
      </x:c>
      <x:c r="M481" s="217" t="n">
        <x:f>COUNTIF(H481:L481,"是")</x:f>
        <x:v>3</x:v>
      </x:c>
      <x:c r="N481" s="217" t="str">
        <x:v>僅大幅變動</x:v>
      </x:c>
      <x:c r="O481" s="220" t="n">
        <x:v>66.4</x:v>
      </x:c>
      <x:c r="P481" s="220" t="n">
        <x:v>60.325</x:v>
      </x:c>
      <x:c r="Q481" s="220" t="n">
        <x:v>6.075</x:v>
      </x:c>
      <x:c r="R481" s="220" t="n">
        <x:v>0.09149096385542169</x:v>
      </x:c>
      <x:c r="S481" s="220" t="n">
        <x:v>86.54838709677419</x:v>
      </x:c>
      <x:c r="T481" s="220" t="n">
        <x:v>79.96774193548387</x:v>
      </x:c>
      <x:c r="U481" s="220" t="n">
        <x:v>6.580645161290323</x:v>
      </x:c>
      <x:c r="V481" s="218" t="n">
        <x:v>0.059907834101382486</x:v>
      </x:c>
      <x:c r="W481" s="217" t="n">
        <x:v>13</x:v>
      </x:c>
      <x:c r="X481" s="222" t="n">
        <x:v>1680</x:v>
      </x:c>
      <x:c r="Y481" s="217" t="n">
        <x:v>36</x:v>
      </x:c>
    </x:row>
    <x:row r="482">
      <x:c r="A482" s="216" t="n">
        <x:v>221</x:v>
      </x:c>
      <x:c r="B482" s="216" t="str">
        <x:v>中正路242巷口</x:v>
      </x:c>
      <x:c r="C482" s="216" t="str">
        <x:v>永和區</x:v>
      </x:c>
      <x:c r="D482" s="216" t="n">
        <x:v>13</x:v>
      </x:c>
      <x:c r="E482" s="216" t="n">
        <x:v>120</x:v>
      </x:c>
      <x:c r="F482" s="219" t="n">
        <x:v>0.9994791666666667</x:v>
      </x:c>
      <x:c r="G482" s="216" t="n">
        <x:v>478</x:v>
      </x:c>
      <x:c r="H482" s="216" t="str">
        <x:f>IF(G482&lt;='排名定義'!$B$5,"是","")</x:f>
        <x:v>是</x:v>
      </x:c>
      <x:c r="I482" s="216" t="n">
        <x:v>476</x:v>
      </x:c>
      <x:c r="J482" s="216" t="str">
        <x:f>IF(I482&lt;='排名定義'!$B$5,"是","")</x:f>
        <x:v>是</x:v>
      </x:c>
      <x:c r="K482" s="216" t="n">
        <x:v>589</x:v>
      </x:c>
      <x:c r="L482" s="216" t="str">
        <x:f>IF(K482&lt;='排名定義'!$B$5,"是","")</x:f>
        <x:v>是</x:v>
      </x:c>
      <x:c r="M482" s="216" t="n">
        <x:f>COUNTIF(H482:L482,"是")</x:f>
        <x:v>3</x:v>
      </x:c>
      <x:c r="N482" s="216" t="str">
        <x:v>三份皆未入選</x:v>
      </x:c>
      <x:c r="O482" s="221" t="n">
        <x:v>66.39166666666667</x:v>
      </x:c>
      <x:c r="P482" s="221" t="n">
        <x:v>61.641666666666666</x:v>
      </x:c>
      <x:c r="Q482" s="221" t="n">
        <x:v>4.75</x:v>
      </x:c>
      <x:c r="R482" s="221" t="n">
        <x:v>0.07154512363499435</x:v>
      </x:c>
      <x:c r="S482" s="221" t="n">
        <x:v>97.74193548387096</x:v>
      </x:c>
      <x:c r="T482" s="221" t="n">
        <x:v>93.58064516129032</x:v>
      </x:c>
      <x:c r="U482" s="221" t="n">
        <x:v>4.161290322580645</x:v>
      </x:c>
      <x:c r="V482" s="219" t="n">
        <x:v>0.10368663594470046</x:v>
      </x:c>
      <x:c r="W482" s="216" t="n">
        <x:v>21</x:v>
      </x:c>
      <x:c r="X482" s="223" t="n">
        <x:v>3990</x:v>
      </x:c>
      <x:c r="Y482" s="216" t="n">
        <x:v>13</x:v>
      </x:c>
    </x:row>
    <x:row r="483">
      <x:c r="A483" s="217" t="n">
        <x:v>790</x:v>
      </x:c>
      <x:c r="B483" s="217" t="str">
        <x:v>中央慶利街口(風華綠中央社區)</x:v>
      </x:c>
      <x:c r="C483" s="217" t="str">
        <x:v>土城區</x:v>
      </x:c>
      <x:c r="D483" s="217" t="n">
        <x:v>22</x:v>
      </x:c>
      <x:c r="E483" s="217" t="n">
        <x:v>120</x:v>
      </x:c>
      <x:c r="F483" s="218" t="n">
        <x:v>0.9994791666666667</x:v>
      </x:c>
      <x:c r="G483" s="217" t="n">
        <x:v>479</x:v>
      </x:c>
      <x:c r="H483" s="217" t="str">
        <x:f>IF(G483&lt;='排名定義'!$B$5,"是","")</x:f>
        <x:v>是</x:v>
      </x:c>
      <x:c r="I483" s="217" t="n">
        <x:v>478</x:v>
      </x:c>
      <x:c r="J483" s="217" t="str">
        <x:f>IF(I483&lt;='排名定義'!$B$5,"是","")</x:f>
        <x:v>是</x:v>
      </x:c>
      <x:c r="K483" s="217" t="n">
        <x:v>544</x:v>
      </x:c>
      <x:c r="L483" s="217" t="str">
        <x:f>IF(K483&lt;='排名定義'!$B$5,"是","")</x:f>
        <x:v>是</x:v>
      </x:c>
      <x:c r="M483" s="217" t="n">
        <x:f>COUNTIF(H483:L483,"是")</x:f>
        <x:v>3</x:v>
      </x:c>
      <x:c r="N483" s="217" t="str">
        <x:v>三份皆未入選</x:v>
      </x:c>
      <x:c r="O483" s="220" t="n">
        <x:v>66.34166666666667</x:v>
      </x:c>
      <x:c r="P483" s="220" t="n">
        <x:v>61.4</x:v>
      </x:c>
      <x:c r="Q483" s="220" t="n">
        <x:v>4.941666666666666</x:v>
      </x:c>
      <x:c r="R483" s="220" t="n">
        <x:v>0.07448812963195578</x:v>
      </x:c>
      <x:c r="S483" s="220" t="n">
        <x:v>93.03225806451613</x:v>
      </x:c>
      <x:c r="T483" s="220" t="n">
        <x:v>88.25806451612904</x:v>
      </x:c>
      <x:c r="U483" s="220" t="n">
        <x:v>4.774193548387097</x:v>
      </x:c>
      <x:c r="V483" s="218" t="n">
        <x:v>0.0967741935483871</x:v>
      </x:c>
      <x:c r="W483" s="217" t="n">
        <x:v>23</x:v>
      </x:c>
      <x:c r="X483" s="222" t="n">
        <x:v>2940</x:v>
      </x:c>
      <x:c r="Y483" s="217" t="n">
        <x:v>22</x:v>
      </x:c>
    </x:row>
    <x:row r="484">
      <x:c r="A484" s="216" t="n">
        <x:v>1050</x:v>
      </x:c>
      <x:c r="B484" s="216" t="str">
        <x:v>光興國小</x:v>
      </x:c>
      <x:c r="C484" s="216" t="str">
        <x:v>三重區</x:v>
      </x:c>
      <x:c r="D484" s="216" t="n">
        <x:v>30</x:v>
      </x:c>
      <x:c r="E484" s="216" t="n">
        <x:v>120</x:v>
      </x:c>
      <x:c r="F484" s="219" t="n">
        <x:v>0.9994791666666667</x:v>
      </x:c>
      <x:c r="G484" s="216" t="n">
        <x:v>480</x:v>
      </x:c>
      <x:c r="H484" s="216" t="str">
        <x:f>IF(G484&lt;='排名定義'!$B$5,"是","")</x:f>
        <x:v>是</x:v>
      </x:c>
      <x:c r="I484" s="216" t="n">
        <x:v>473</x:v>
      </x:c>
      <x:c r="J484" s="216" t="str">
        <x:f>IF(I484&lt;='排名定義'!$B$5,"是","")</x:f>
        <x:v>是</x:v>
      </x:c>
      <x:c r="K484" s="216" t="n">
        <x:v>667</x:v>
      </x:c>
      <x:c r="L484" s="216" t="str">
        <x:f>IF(K484&lt;='排名定義'!$B$5,"是","")</x:f>
        <x:v>是</x:v>
      </x:c>
      <x:c r="M484" s="216" t="n">
        <x:f>COUNTIF(H484:L484,"是")</x:f>
        <x:v>3</x:v>
      </x:c>
      <x:c r="N484" s="216" t="str">
        <x:v>三份皆未入選</x:v>
      </x:c>
      <x:c r="O484" s="221" t="n">
        <x:v>66.25</x:v>
      </x:c>
      <x:c r="P484" s="221" t="n">
        <x:v>61.833333333333336</x:v>
      </x:c>
      <x:c r="Q484" s="221" t="n">
        <x:v>4.416666666666667</x:v>
      </x:c>
      <x:c r="R484" s="221" t="n">
        <x:v>0.06666666666666667</x:v>
      </x:c>
      <x:c r="S484" s="221" t="n">
        <x:v>93.09677419354838</x:v>
      </x:c>
      <x:c r="T484" s="221" t="n">
        <x:v>87.70967741935483</x:v>
      </x:c>
      <x:c r="U484" s="221" t="n">
        <x:v>5.387096774193548</x:v>
      </x:c>
      <x:c r="V484" s="219" t="n">
        <x:v>0.02534562211981567</x:v>
      </x:c>
      <x:c r="W484" s="216" t="n">
        <x:v>2</x:v>
      </x:c>
      <x:c r="X484" s="223" t="n">
        <x:v>720</x:v>
      </x:c>
      <x:c r="Y484" s="216" t="n">
        <x:v>30</x:v>
      </x:c>
    </x:row>
    <x:row r="485">
      <x:c r="A485" s="217" t="n">
        <x:v>1136</x:v>
      </x:c>
      <x:c r="B485" s="217" t="str">
        <x:v>學成大義路口</x:v>
      </x:c>
      <x:c r="C485" s="217" t="str">
        <x:v>樹林區</x:v>
      </x:c>
      <x:c r="D485" s="217" t="n">
        <x:v>33</x:v>
      </x:c>
      <x:c r="E485" s="217" t="n">
        <x:v>120</x:v>
      </x:c>
      <x:c r="F485" s="218" t="n">
        <x:v>0.9994791666666667</x:v>
      </x:c>
      <x:c r="G485" s="217" t="n">
        <x:v>481</x:v>
      </x:c>
      <x:c r="H485" s="217" t="str">
        <x:f>IF(G485&lt;='排名定義'!$B$5,"是","")</x:f>
        <x:v>是</x:v>
      </x:c>
      <x:c r="I485" s="217" t="n">
        <x:v>487</x:v>
      </x:c>
      <x:c r="J485" s="217" t="str">
        <x:f>IF(I485&lt;='排名定義'!$B$5,"是","")</x:f>
        <x:v>是</x:v>
      </x:c>
      <x:c r="K485" s="217" t="n">
        <x:v>468</x:v>
      </x:c>
      <x:c r="L485" s="217" t="str">
        <x:f>IF(K485&lt;='排名定義'!$B$5,"是","")</x:f>
        <x:v>是</x:v>
      </x:c>
      <x:c r="M485" s="217" t="n">
        <x:f>COUNTIF(H485:L485,"是")</x:f>
        <x:v>3</x:v>
      </x:c>
      <x:c r="N485" s="217" t="str">
        <x:v>三份皆未入選</x:v>
      </x:c>
      <x:c r="O485" s="220" t="n">
        <x:v>66.21666666666667</x:v>
      </x:c>
      <x:c r="P485" s="220" t="n">
        <x:v>60.90833333333333</x:v>
      </x:c>
      <x:c r="Q485" s="220" t="n">
        <x:v>5.308333333333334</x:v>
      </x:c>
      <x:c r="R485" s="220" t="n">
        <x:v>0.08016612131890259</x:v>
      </x:c>
      <x:c r="S485" s="220" t="n">
        <x:v>105.80645161290323</x:v>
      </x:c>
      <x:c r="T485" s="220" t="n">
        <x:v>100.45161290322581</x:v>
      </x:c>
      <x:c r="U485" s="220" t="n">
        <x:v>5.354838709677419</x:v>
      </x:c>
      <x:c r="V485" s="218" t="n">
        <x:v>0.03225806451612903</x:v>
      </x:c>
      <x:c r="W485" s="217" t="n">
        <x:v>7</x:v>
      </x:c>
      <x:c r="X485" s="222" t="n">
        <x:v>930</x:v>
      </x:c>
      <x:c r="Y485" s="217" t="n">
        <x:v>33</x:v>
      </x:c>
    </x:row>
    <x:row r="486">
      <x:c r="A486" s="216" t="n">
        <x:v>60</x:v>
      </x:c>
      <x:c r="B486" s="216" t="str">
        <x:v>斬龍山遺址文化公園</x:v>
      </x:c>
      <x:c r="C486" s="216" t="str">
        <x:v>土城區</x:v>
      </x:c>
      <x:c r="D486" s="216" t="n">
        <x:v>64</x:v>
      </x:c>
      <x:c r="E486" s="216" t="n">
        <x:v>120</x:v>
      </x:c>
      <x:c r="F486" s="219" t="n">
        <x:v>0.9994791666666667</x:v>
      </x:c>
      <x:c r="G486" s="216" t="n">
        <x:v>482</x:v>
      </x:c>
      <x:c r="H486" s="216" t="str">
        <x:f>IF(G486&lt;='排名定義'!$B$5,"是","")</x:f>
        <x:v>是</x:v>
      </x:c>
      <x:c r="I486" s="216" t="n">
        <x:v>490</x:v>
      </x:c>
      <x:c r="J486" s="216" t="str">
        <x:f>IF(I486&lt;='排名定義'!$B$5,"是","")</x:f>
        <x:v>是</x:v>
      </x:c>
      <x:c r="K486" s="216" t="n">
        <x:v>422</x:v>
      </x:c>
      <x:c r="L486" s="216" t="str">
        <x:f>IF(K486&lt;='排名定義'!$B$5,"是","")</x:f>
        <x:v>是</x:v>
      </x:c>
      <x:c r="M486" s="216" t="n">
        <x:f>COUNTIF(H486:L486,"是")</x:f>
        <x:v>3</x:v>
      </x:c>
      <x:c r="N486" s="216" t="str">
        <x:v>三份皆未入選</x:v>
      </x:c>
      <x:c r="O486" s="221" t="n">
        <x:v>66.19166666666666</x:v>
      </x:c>
      <x:c r="P486" s="221" t="n">
        <x:v>60.63333333333333</x:v>
      </x:c>
      <x:c r="Q486" s="221" t="n">
        <x:v>5.558333333333334</x:v>
      </x:c>
      <x:c r="R486" s="221" t="n">
        <x:v>0.08397330983255696</x:v>
      </x:c>
      <x:c r="S486" s="221" t="n">
        <x:v>104.58064516129032</x:v>
      </x:c>
      <x:c r="T486" s="221" t="n">
        <x:v>100.29032258064517</x:v>
      </x:c>
      <x:c r="U486" s="221" t="n">
        <x:v>4.290322580645161</x:v>
      </x:c>
      <x:c r="V486" s="219" t="n">
        <x:v>0.016129032258064516</x:v>
      </x:c>
      <x:c r="W486" s="216" t="n">
        <x:v>3</x:v>
      </x:c>
      <x:c r="X486" s="223" t="n">
        <x:v>750</x:v>
      </x:c>
      <x:c r="Y486" s="216" t="n">
        <x:v>64</x:v>
      </x:c>
    </x:row>
    <x:row r="487">
      <x:c r="A487" s="217" t="n">
        <x:v>558</x:v>
      </x:c>
      <x:c r="B487" s="217" t="str">
        <x:v>中山一和平路口</x:v>
      </x:c>
      <x:c r="C487" s="217" t="str">
        <x:v>蘆洲區</x:v>
      </x:c>
      <x:c r="D487" s="217" t="n">
        <x:v>18</x:v>
      </x:c>
      <x:c r="E487" s="217" t="n">
        <x:v>120</x:v>
      </x:c>
      <x:c r="F487" s="218" t="n">
        <x:v>0.9994791666666667</x:v>
      </x:c>
      <x:c r="G487" s="217" t="n">
        <x:v>483</x:v>
      </x:c>
      <x:c r="H487" s="217" t="str">
        <x:f>IF(G487&lt;='排名定義'!$B$5,"是","")</x:f>
        <x:v>是</x:v>
      </x:c>
      <x:c r="I487" s="217" t="n">
        <x:v>470</x:v>
      </x:c>
      <x:c r="J487" s="217" t="str">
        <x:f>IF(I487&lt;='排名定義'!$B$5,"是","")</x:f>
        <x:v>是</x:v>
      </x:c>
      <x:c r="K487" s="217" t="n">
        <x:v>761</x:v>
      </x:c>
      <x:c r="L487" s="217" t="str">
        <x:f>IF(K487&lt;='排名定義'!$B$5,"是","")</x:f>
        <x:v>是</x:v>
      </x:c>
      <x:c r="M487" s="217" t="n">
        <x:f>COUNTIF(H487:L487,"是")</x:f>
        <x:v>3</x:v>
      </x:c>
      <x:c r="N487" s="217" t="str">
        <x:v>三份皆未入選</x:v>
      </x:c>
      <x:c r="O487" s="220" t="n">
        <x:v>66.05</x:v>
      </x:c>
      <x:c r="P487" s="220" t="n">
        <x:v>61.95</x:v>
      </x:c>
      <x:c r="Q487" s="220" t="n">
        <x:v>4.1</x:v>
      </x:c>
      <x:c r="R487" s="220" t="n">
        <x:v>0.06207418622255867</x:v>
      </x:c>
      <x:c r="S487" s="220" t="n">
        <x:v>84.6774193548387</x:v>
      </x:c>
      <x:c r="T487" s="220" t="n">
        <x:v>80.2258064516129</x:v>
      </x:c>
      <x:c r="U487" s="220" t="n">
        <x:v>4.451612903225806</x:v>
      </x:c>
      <x:c r="V487" s="218" t="n">
        <x:v>0.06451612903225806</x:v>
      </x:c>
      <x:c r="W487" s="217" t="n">
        <x:v>16</x:v>
      </x:c>
      <x:c r="X487" s="222" t="n">
        <x:v>3030</x:v>
      </x:c>
      <x:c r="Y487" s="217" t="n">
        <x:v>18</x:v>
      </x:c>
    </x:row>
    <x:row r="488">
      <x:c r="A488" s="216" t="n">
        <x:v>1534</x:v>
      </x:c>
      <x:c r="B488" s="216" t="str">
        <x:v>瓦?溝(福真里)</x:v>
      </x:c>
      <x:c r="C488" s="216" t="str">
        <x:v>中和區</x:v>
      </x:c>
      <x:c r="D488" s="216" t="n">
        <x:v>41</x:v>
      </x:c>
      <x:c r="E488" s="216" t="n">
        <x:v>61</x:v>
      </x:c>
      <x:c r="F488" s="219" t="n">
        <x:v>0.9996584699453552</x:v>
      </x:c>
      <x:c r="G488" s="216" t="n">
        <x:v>484</x:v>
      </x:c>
      <x:c r="H488" s="216" t="str">
        <x:f>IF(G488&lt;='排名定義'!$B$5,"是","")</x:f>
        <x:v>是</x:v>
      </x:c>
      <x:c r="I488" s="216" t="n">
        <x:v>461</x:v>
      </x:c>
      <x:c r="J488" s="216" t="str">
        <x:f>IF(I488&lt;='排名定義'!$B$5,"是","")</x:f>
        <x:v>是</x:v>
      </x:c>
      <x:c r="K488" s="216" t="n">
        <x:v>898</x:v>
      </x:c>
      <x:c r="L488" s="216" t="str">
        <x:f>IF(K488&lt;='排名定義'!$B$5,"是","")</x:f>
        <x:v>是</x:v>
      </x:c>
      <x:c r="M488" s="216" t="n">
        <x:f>COUNTIF(H488:L488,"是")</x:f>
        <x:v>3</x:v>
      </x:c>
      <x:c r="N488" s="216" t="str">
        <x:v>三份皆未入選</x:v>
      </x:c>
      <x:c r="O488" s="221" t="n">
        <x:v>66.0327868852459</x:v>
      </x:c>
      <x:c r="P488" s="221" t="n">
        <x:v>62.31147540983606</x:v>
      </x:c>
      <x:c r="Q488" s="221" t="n">
        <x:v>3.721311475409836</x:v>
      </x:c>
      <x:c r="R488" s="221" t="n">
        <x:v>0.05635551142005958</x:v>
      </x:c>
      <x:c r="S488" s="221" t="n">
        <x:v>68.87096774193549</x:v>
      </x:c>
      <x:c r="T488" s="221" t="n">
        <x:v>65.35483870967742</x:v>
      </x:c>
      <x:c r="U488" s="221" t="n">
        <x:v>3.5161290322580645</x:v>
      </x:c>
      <x:c r="V488" s="219" t="n">
        <x:v>0.004608294930875576</x:v>
      </x:c>
      <x:c r="W488" s="216" t="n">
        <x:v>0</x:v>
      </x:c>
      <x:c r="X488" s="223" t="n">
        <x:v>60</x:v>
      </x:c>
      <x:c r="Y488" s="216" t="n">
        <x:v>41</x:v>
      </x:c>
    </x:row>
    <x:row r="489">
      <x:c r="A489" s="217" t="n">
        <x:v>1214</x:v>
      </x:c>
      <x:c r="B489" s="217" t="str">
        <x:v>同安公園</x:v>
      </x:c>
      <x:c r="C489" s="217" t="str">
        <x:v>三重區</x:v>
      </x:c>
      <x:c r="D489" s="217" t="n">
        <x:v>38</x:v>
      </x:c>
      <x:c r="E489" s="217" t="n">
        <x:v>120</x:v>
      </x:c>
      <x:c r="F489" s="218" t="n">
        <x:v>0.9994791666666667</x:v>
      </x:c>
      <x:c r="G489" s="217" t="n">
        <x:v>485</x:v>
      </x:c>
      <x:c r="H489" s="217" t="str">
        <x:f>IF(G489&lt;='排名定義'!$B$5,"是","")</x:f>
        <x:v>是</x:v>
      </x:c>
      <x:c r="I489" s="217" t="n">
        <x:v>483</x:v>
      </x:c>
      <x:c r="J489" s="217" t="str">
        <x:f>IF(I489&lt;='排名定義'!$B$5,"是","")</x:f>
        <x:v>是</x:v>
      </x:c>
      <x:c r="K489" s="217" t="n">
        <x:v>576</x:v>
      </x:c>
      <x:c r="L489" s="217" t="str">
        <x:f>IF(K489&lt;='排名定義'!$B$5,"是","")</x:f>
        <x:v>是</x:v>
      </x:c>
      <x:c r="M489" s="217" t="n">
        <x:f>COUNTIF(H489:L489,"是")</x:f>
        <x:v>3</x:v>
      </x:c>
      <x:c r="N489" s="217" t="str">
        <x:v>三份皆未入選</x:v>
      </x:c>
      <x:c r="O489" s="220" t="n">
        <x:v>66.025</x:v>
      </x:c>
      <x:c r="P489" s="220" t="n">
        <x:v>61.208333333333336</x:v>
      </x:c>
      <x:c r="Q489" s="220" t="n">
        <x:v>4.816666666666666</x:v>
      </x:c>
      <x:c r="R489" s="220" t="n">
        <x:v>0.07295216458412218</x:v>
      </x:c>
      <x:c r="S489" s="220" t="n">
        <x:v>88.74193548387096</x:v>
      </x:c>
      <x:c r="T489" s="220" t="n">
        <x:v>85.48387096774194</x:v>
      </x:c>
      <x:c r="U489" s="220" t="n">
        <x:v>3.2580645161290325</x:v>
      </x:c>
      <x:c r="V489" s="218" t="n">
        <x:v>0.016129032258064516</x:v>
      </x:c>
      <x:c r="W489" s="217" t="n">
        <x:v>3</x:v>
      </x:c>
      <x:c r="X489" s="222" t="n">
        <x:v>660</x:v>
      </x:c>
      <x:c r="Y489" s="217" t="n">
        <x:v>38</x:v>
      </x:c>
    </x:row>
    <x:row r="490">
      <x:c r="A490" s="216" t="n">
        <x:v>154</x:v>
      </x:c>
      <x:c r="B490" s="216" t="str">
        <x:v>福祥永和路口</x:v>
      </x:c>
      <x:c r="C490" s="216" t="str">
        <x:v>中和區</x:v>
      </x:c>
      <x:c r="D490" s="216" t="n">
        <x:v>11</x:v>
      </x:c>
      <x:c r="E490" s="216" t="n">
        <x:v>120</x:v>
      </x:c>
      <x:c r="F490" s="219" t="n">
        <x:v>0.9994791666666667</x:v>
      </x:c>
      <x:c r="G490" s="216" t="n">
        <x:v>486</x:v>
      </x:c>
      <x:c r="H490" s="216" t="str">
        <x:f>IF(G490&lt;='排名定義'!$B$5,"是","")</x:f>
        <x:v>是</x:v>
      </x:c>
      <x:c r="I490" s="216" t="n">
        <x:v>455</x:v>
      </x:c>
      <x:c r="J490" s="216" t="str">
        <x:f>IF(I490&lt;='排名定義'!$B$5,"是","")</x:f>
        <x:v>是</x:v>
      </x:c>
      <x:c r="K490" s="216" t="n">
        <x:v>1045</x:v>
      </x:c>
      <x:c r="L490" s="216" t="str">
        <x:f>IF(K490&lt;='排名定義'!$B$5,"是","")</x:f>
        <x:v>是</x:v>
      </x:c>
      <x:c r="M490" s="216" t="n">
        <x:f>COUNTIF(H490:L490,"是")</x:f>
        <x:v>3</x:v>
      </x:c>
      <x:c r="N490" s="216" t="str">
        <x:v>三份皆未入選</x:v>
      </x:c>
      <x:c r="O490" s="221" t="n">
        <x:v>65.95</x:v>
      </x:c>
      <x:c r="P490" s="221" t="n">
        <x:v>62.608333333333334</x:v>
      </x:c>
      <x:c r="Q490" s="221" t="n">
        <x:v>3.341666666666667</x:v>
      </x:c>
      <x:c r="R490" s="221" t="n">
        <x:v>0.05066969926712156</x:v>
      </x:c>
      <x:c r="S490" s="221" t="n">
        <x:v>86.16129032258064</x:v>
      </x:c>
      <x:c r="T490" s="221" t="n">
        <x:v>82.70967741935483</x:v>
      </x:c>
      <x:c r="U490" s="221" t="n">
        <x:v>3.4516129032258065</x:v>
      </x:c>
      <x:c r="V490" s="219" t="n">
        <x:v>0.11981566820276497</x:v>
      </x:c>
      <x:c r="W490" s="216" t="n">
        <x:v>24</x:v>
      </x:c>
      <x:c r="X490" s="223" t="n">
        <x:v>4710</x:v>
      </x:c>
      <x:c r="Y490" s="216" t="n">
        <x:v>11</x:v>
      </x:c>
    </x:row>
    <x:row r="491">
      <x:c r="A491" s="217" t="n">
        <x:v>150</x:v>
      </x:c>
      <x:c r="B491" s="217" t="str">
        <x:v>捷運迴龍站(2號出口)</x:v>
      </x:c>
      <x:c r="C491" s="217" t="str">
        <x:v>新莊區</x:v>
      </x:c>
      <x:c r="D491" s="217" t="n">
        <x:v>11</x:v>
      </x:c>
      <x:c r="E491" s="217" t="n">
        <x:v>120</x:v>
      </x:c>
      <x:c r="F491" s="218" t="n">
        <x:v>0.9994791666666667</x:v>
      </x:c>
      <x:c r="G491" s="217" t="n">
        <x:v>487</x:v>
      </x:c>
      <x:c r="H491" s="217" t="str">
        <x:f>IF(G491&lt;='排名定義'!$B$5,"是","")</x:f>
        <x:v>是</x:v>
      </x:c>
      <x:c r="I491" s="217" t="n">
        <x:v>469</x:v>
      </x:c>
      <x:c r="J491" s="217" t="str">
        <x:f>IF(I491&lt;='排名定義'!$B$5,"是","")</x:f>
        <x:v>是</x:v>
      </x:c>
      <x:c r="K491" s="217" t="n">
        <x:v>812</x:v>
      </x:c>
      <x:c r="L491" s="217" t="str">
        <x:f>IF(K491&lt;='排名定義'!$B$5,"是","")</x:f>
        <x:v>是</x:v>
      </x:c>
      <x:c r="M491" s="217" t="n">
        <x:f>COUNTIF(H491:L491,"是")</x:f>
        <x:v>3</x:v>
      </x:c>
      <x:c r="N491" s="217" t="str">
        <x:v>三份皆未入選</x:v>
      </x:c>
      <x:c r="O491" s="220" t="n">
        <x:v>65.9</x:v>
      </x:c>
      <x:c r="P491" s="220" t="n">
        <x:v>61.95</x:v>
      </x:c>
      <x:c r="Q491" s="220" t="n">
        <x:v>3.95</x:v>
      </x:c>
      <x:c r="R491" s="220" t="n">
        <x:v>0.05993930197268589</x:v>
      </x:c>
      <x:c r="S491" s="220" t="n">
        <x:v>80.2258064516129</x:v>
      </x:c>
      <x:c r="T491" s="220" t="n">
        <x:v>77.48387096774194</x:v>
      </x:c>
      <x:c r="U491" s="220" t="n">
        <x:v>2.7419354838709675</x:v>
      </x:c>
      <x:c r="V491" s="218" t="n">
        <x:v>0.12672811059907835</x:v>
      </x:c>
      <x:c r="W491" s="217" t="n">
        <x:v>40</x:v>
      </x:c>
      <x:c r="X491" s="222" t="n">
        <x:v>4950</x:v>
      </x:c>
      <x:c r="Y491" s="217" t="n">
        <x:v>11</x:v>
      </x:c>
    </x:row>
    <x:row r="492">
      <x:c r="A492" s="216" t="n">
        <x:v>791</x:v>
      </x:c>
      <x:c r="B492" s="216" t="str">
        <x:v>中正路399巷口</x:v>
      </x:c>
      <x:c r="C492" s="216" t="str">
        <x:v>新店區</x:v>
      </x:c>
      <x:c r="D492" s="216" t="n">
        <x:v>22</x:v>
      </x:c>
      <x:c r="E492" s="216" t="n">
        <x:v>120</x:v>
      </x:c>
      <x:c r="F492" s="219" t="n">
        <x:v>0.9994791666666667</x:v>
      </x:c>
      <x:c r="G492" s="216" t="n">
        <x:v>488</x:v>
      </x:c>
      <x:c r="H492" s="216" t="str">
        <x:f>IF(G492&lt;='排名定義'!$B$5,"是","")</x:f>
        <x:v>是</x:v>
      </x:c>
      <x:c r="I492" s="216" t="n">
        <x:v>479</x:v>
      </x:c>
      <x:c r="J492" s="216" t="str">
        <x:f>IF(I492&lt;='排名定義'!$B$5,"是","")</x:f>
        <x:v>是</x:v>
      </x:c>
      <x:c r="K492" s="216" t="n">
        <x:v>647</x:v>
      </x:c>
      <x:c r="L492" s="216" t="str">
        <x:f>IF(K492&lt;='排名定義'!$B$5,"是","")</x:f>
        <x:v>是</x:v>
      </x:c>
      <x:c r="M492" s="216" t="n">
        <x:f>COUNTIF(H492:L492,"是")</x:f>
        <x:v>3</x:v>
      </x:c>
      <x:c r="N492" s="216" t="str">
        <x:v>三份皆未入選</x:v>
      </x:c>
      <x:c r="O492" s="221" t="n">
        <x:v>65.825</x:v>
      </x:c>
      <x:c r="P492" s="221" t="n">
        <x:v>61.35</x:v>
      </x:c>
      <x:c r="Q492" s="221" t="n">
        <x:v>4.475</x:v>
      </x:c>
      <x:c r="R492" s="221" t="n">
        <x:v>0.06798328902392708</x:v>
      </x:c>
      <x:c r="S492" s="221" t="n">
        <x:v>84.45161290322581</x:v>
      </x:c>
      <x:c r="T492" s="221" t="n">
        <x:v>80.2258064516129</x:v>
      </x:c>
      <x:c r="U492" s="221" t="n">
        <x:v>4.225806451612903</x:v>
      </x:c>
      <x:c r="V492" s="219" t="n">
        <x:v>0.0576036866359447</x:v>
      </x:c>
      <x:c r="W492" s="216" t="n">
        <x:v>13</x:v>
      </x:c>
      <x:c r="X492" s="223" t="n">
        <x:v>1860</x:v>
      </x:c>
      <x:c r="Y492" s="216" t="n">
        <x:v>22</x:v>
      </x:c>
    </x:row>
    <x:row r="493">
      <x:c r="A493" s="217" t="n">
        <x:v>536</x:v>
      </x:c>
      <x:c r="B493" s="217" t="str">
        <x:v>秀朗路三段10巷12弄</x:v>
      </x:c>
      <x:c r="C493" s="217" t="str">
        <x:v>中和區</x:v>
      </x:c>
      <x:c r="D493" s="217" t="n">
        <x:v>17</x:v>
      </x:c>
      <x:c r="E493" s="217" t="n">
        <x:v>120</x:v>
      </x:c>
      <x:c r="F493" s="218" t="n">
        <x:v>0.9994791666666667</x:v>
      </x:c>
      <x:c r="G493" s="217" t="n">
        <x:v>489</x:v>
      </x:c>
      <x:c r="H493" s="217" t="str">
        <x:f>IF(G493&lt;='排名定義'!$B$5,"是","")</x:f>
        <x:v>是</x:v>
      </x:c>
      <x:c r="I493" s="217" t="n">
        <x:v>488</x:v>
      </x:c>
      <x:c r="J493" s="217" t="str">
        <x:f>IF(I493&lt;='排名定義'!$B$5,"是","")</x:f>
        <x:v>是</x:v>
      </x:c>
      <x:c r="K493" s="217" t="n">
        <x:v>569</x:v>
      </x:c>
      <x:c r="L493" s="217" t="str">
        <x:f>IF(K493&lt;='排名定義'!$B$5,"是","")</x:f>
        <x:v>是</x:v>
      </x:c>
      <x:c r="M493" s="217" t="n">
        <x:f>COUNTIF(H493:L493,"是")</x:f>
        <x:v>3</x:v>
      </x:c>
      <x:c r="N493" s="217" t="str">
        <x:v>三份皆未入選</x:v>
      </x:c>
      <x:c r="O493" s="220" t="n">
        <x:v>65.675</x:v>
      </x:c>
      <x:c r="P493" s="220" t="n">
        <x:v>60.85</x:v>
      </x:c>
      <x:c r="Q493" s="220" t="n">
        <x:v>4.825</x:v>
      </x:c>
      <x:c r="R493" s="220" t="n">
        <x:v>0.07346783403121432</x:v>
      </x:c>
      <x:c r="S493" s="220" t="n">
        <x:v>97.41935483870968</x:v>
      </x:c>
      <x:c r="T493" s="220" t="n">
        <x:v>93.35483870967742</x:v>
      </x:c>
      <x:c r="U493" s="220" t="n">
        <x:v>4.064516129032258</x:v>
      </x:c>
      <x:c r="V493" s="218" t="n">
        <x:v>0.059907834101382486</x:v>
      </x:c>
      <x:c r="W493" s="217" t="n">
        <x:v>18</x:v>
      </x:c>
      <x:c r="X493" s="222" t="n">
        <x:v>2520</x:v>
      </x:c>
      <x:c r="Y493" s="217" t="n">
        <x:v>17</x:v>
      </x:c>
    </x:row>
    <x:row r="494">
      <x:c r="A494" s="216" t="n">
        <x:v>1531</x:v>
      </x:c>
      <x:c r="B494" s="216" t="str">
        <x:v>新春街125巷(樂活?社區)</x:v>
      </x:c>
      <x:c r="C494" s="216" t="str">
        <x:v>淡水區</x:v>
      </x:c>
      <x:c r="D494" s="216" t="n">
        <x:v>29</x:v>
      </x:c>
      <x:c r="E494" s="216" t="n">
        <x:v>61</x:v>
      </x:c>
      <x:c r="F494" s="219" t="n">
        <x:v>0.9996584699453552</x:v>
      </x:c>
      <x:c r="G494" s="216" t="n">
        <x:v>490</x:v>
      </x:c>
      <x:c r="H494" s="216" t="str">
        <x:f>IF(G494&lt;='排名定義'!$B$5,"是","")</x:f>
        <x:v>是</x:v>
      </x:c>
      <x:c r="I494" s="216" t="n">
        <x:v>492</x:v>
      </x:c>
      <x:c r="J494" s="216" t="str">
        <x:f>IF(I494&lt;='排名定義'!$B$5,"是","")</x:f>
        <x:v>是</x:v>
      </x:c>
      <x:c r="K494" s="216" t="n">
        <x:v>482</x:v>
      </x:c>
      <x:c r="L494" s="216" t="str">
        <x:f>IF(K494&lt;='排名定義'!$B$5,"是","")</x:f>
        <x:v>是</x:v>
      </x:c>
      <x:c r="M494" s="216" t="n">
        <x:f>COUNTIF(H494:L494,"是")</x:f>
        <x:v>3</x:v>
      </x:c>
      <x:c r="N494" s="216" t="str">
        <x:v>三份皆未入選</x:v>
      </x:c>
      <x:c r="O494" s="221" t="n">
        <x:v>65.62295081967213</x:v>
      </x:c>
      <x:c r="P494" s="221" t="n">
        <x:v>60.377049180327866</x:v>
      </x:c>
      <x:c r="Q494" s="221" t="n">
        <x:v>5.245901639344262</x:v>
      </x:c>
      <x:c r="R494" s="221" t="n">
        <x:v>0.0799400449662753</x:v>
      </x:c>
      <x:c r="S494" s="221" t="n">
        <x:v>70.06451612903226</x:v>
      </x:c>
      <x:c r="T494" s="221" t="n">
        <x:v>65.51612903225806</x:v>
      </x:c>
      <x:c r="U494" s="221" t="n">
        <x:v>4.548387096774194</x:v>
      </x:c>
      <x:c r="V494" s="219" t="n">
        <x:v>0.07142857142857142</x:v>
      </x:c>
      <x:c r="W494" s="216" t="n">
        <x:v>11</x:v>
      </x:c>
      <x:c r="X494" s="223" t="n">
        <x:v>1440</x:v>
      </x:c>
      <x:c r="Y494" s="216" t="n">
        <x:v>29</x:v>
      </x:c>
    </x:row>
    <x:row r="495">
      <x:c r="A495" s="217" t="n">
        <x:v>266</x:v>
      </x:c>
      <x:c r="B495" s="217" t="str">
        <x:v>八德立體停車場</x:v>
      </x:c>
      <x:c r="C495" s="217" t="str">
        <x:v>新莊區</x:v>
      </x:c>
      <x:c r="D495" s="217" t="n">
        <x:v>14</x:v>
      </x:c>
      <x:c r="E495" s="217" t="n">
        <x:v>120</x:v>
      </x:c>
      <x:c r="F495" s="218" t="n">
        <x:v>0.9994791666666667</x:v>
      </x:c>
      <x:c r="G495" s="217" t="n">
        <x:v>491</x:v>
      </x:c>
      <x:c r="H495" s="217" t="str">
        <x:f>IF(G495&lt;='排名定義'!$B$5,"是","")</x:f>
        <x:v>是</x:v>
      </x:c>
      <x:c r="I495" s="217" t="n">
        <x:v>466</x:v>
      </x:c>
      <x:c r="J495" s="217" t="str">
        <x:f>IF(I495&lt;='排名定義'!$B$5,"是","")</x:f>
        <x:v>是</x:v>
      </x:c>
      <x:c r="K495" s="217" t="n">
        <x:v>957</x:v>
      </x:c>
      <x:c r="L495" s="217" t="str">
        <x:f>IF(K495&lt;='排名定義'!$B$5,"是","")</x:f>
        <x:v>是</x:v>
      </x:c>
      <x:c r="M495" s="217" t="n">
        <x:f>COUNTIF(H495:L495,"是")</x:f>
        <x:v>3</x:v>
      </x:c>
      <x:c r="N495" s="217" t="str">
        <x:v>三份皆未入選</x:v>
      </x:c>
      <x:c r="O495" s="220" t="n">
        <x:v>65.60833333333333</x:v>
      </x:c>
      <x:c r="P495" s="220" t="n">
        <x:v>62.06666666666667</x:v>
      </x:c>
      <x:c r="Q495" s="220" t="n">
        <x:v>3.5416666666666665</x:v>
      </x:c>
      <x:c r="R495" s="220" t="n">
        <x:v>0.05398196367331386</x:v>
      </x:c>
      <x:c r="S495" s="220" t="n">
        <x:v>86.16129032258064</x:v>
      </x:c>
      <x:c r="T495" s="220" t="n">
        <x:v>82.80645161290323</x:v>
      </x:c>
      <x:c r="U495" s="220" t="n">
        <x:v>3.3548387096774195</x:v>
      </x:c>
      <x:c r="V495" s="218" t="n">
        <x:v>0.16359447004608296</x:v>
      </x:c>
      <x:c r="W495" s="217" t="n">
        <x:v>31</x:v>
      </x:c>
      <x:c r="X495" s="222" t="n">
        <x:v>4410</x:v>
      </x:c>
      <x:c r="Y495" s="217" t="n">
        <x:v>14</x:v>
      </x:c>
    </x:row>
    <x:row r="496">
      <x:c r="A496" s="216" t="n">
        <x:v>129</x:v>
      </x:c>
      <x:c r="B496" s="216" t="str">
        <x:v>湳雅夜市停車場</x:v>
      </x:c>
      <x:c r="C496" s="216" t="str">
        <x:v>板橋區</x:v>
      </x:c>
      <x:c r="D496" s="216" t="n">
        <x:v>10</x:v>
      </x:c>
      <x:c r="E496" s="216" t="n">
        <x:v>120</x:v>
      </x:c>
      <x:c r="F496" s="219" t="n">
        <x:v>0.9994791666666667</x:v>
      </x:c>
      <x:c r="G496" s="216" t="n">
        <x:v>492</x:v>
      </x:c>
      <x:c r="H496" s="216" t="str">
        <x:f>IF(G496&lt;='排名定義'!$B$5,"是","")</x:f>
        <x:v>是</x:v>
      </x:c>
      <x:c r="I496" s="216" t="n">
        <x:v>481</x:v>
      </x:c>
      <x:c r="J496" s="216" t="str">
        <x:f>IF(I496&lt;='排名定義'!$B$5,"是","")</x:f>
        <x:v>是</x:v>
      </x:c>
      <x:c r="K496" s="216" t="n">
        <x:v>728</x:v>
      </x:c>
      <x:c r="L496" s="216" t="str">
        <x:f>IF(K496&lt;='排名定義'!$B$5,"是","")</x:f>
        <x:v>是</x:v>
      </x:c>
      <x:c r="M496" s="216" t="n">
        <x:f>COUNTIF(H496:L496,"是")</x:f>
        <x:v>3</x:v>
      </x:c>
      <x:c r="N496" s="216" t="str">
        <x:v>三份皆未入選</x:v>
      </x:c>
      <x:c r="O496" s="221" t="n">
        <x:v>65.54166666666667</x:v>
      </x:c>
      <x:c r="P496" s="221" t="n">
        <x:v>61.325</x:v>
      </x:c>
      <x:c r="Q496" s="221" t="n">
        <x:v>4.216666666666667</x:v>
      </x:c>
      <x:c r="R496" s="221" t="n">
        <x:v>0.06433566433566433</x:v>
      </x:c>
      <x:c r="S496" s="221" t="n">
        <x:v>85.12903225806451</x:v>
      </x:c>
      <x:c r="T496" s="221" t="n">
        <x:v>81.58064516129032</x:v>
      </x:c>
      <x:c r="U496" s="221" t="n">
        <x:v>3.5483870967741935</x:v>
      </x:c>
      <x:c r="V496" s="219" t="n">
        <x:v>0.1313364055299539</x:v>
      </x:c>
      <x:c r="W496" s="216" t="n">
        <x:v>32</x:v>
      </x:c>
      <x:c r="X496" s="223" t="n">
        <x:v>5580</x:v>
      </x:c>
      <x:c r="Y496" s="216" t="n">
        <x:v>10</x:v>
      </x:c>
    </x:row>
    <x:row r="497">
      <x:c r="A497" s="217" t="n">
        <x:v>803</x:v>
      </x:c>
      <x:c r="B497" s="217" t="str">
        <x:v>永福國小(永福街72巷)</x:v>
      </x:c>
      <x:c r="C497" s="217" t="str">
        <x:v>三重區</x:v>
      </x:c>
      <x:c r="D497" s="217" t="n">
        <x:v>31</x:v>
      </x:c>
      <x:c r="E497" s="217" t="n">
        <x:v>120</x:v>
      </x:c>
      <x:c r="F497" s="218" t="n">
        <x:v>0.9994791666666667</x:v>
      </x:c>
      <x:c r="G497" s="217" t="n">
        <x:v>493</x:v>
      </x:c>
      <x:c r="H497" s="217" t="str">
        <x:f>IF(G497&lt;='排名定義'!$B$5,"是","")</x:f>
        <x:v>是</x:v>
      </x:c>
      <x:c r="I497" s="217" t="n">
        <x:v>491</x:v>
      </x:c>
      <x:c r="J497" s="217" t="str">
        <x:f>IF(I497&lt;='排名定義'!$B$5,"是","")</x:f>
        <x:v>是</x:v>
      </x:c>
      <x:c r="K497" s="217" t="n">
        <x:v>506</x:v>
      </x:c>
      <x:c r="L497" s="217" t="str">
        <x:f>IF(K497&lt;='排名定義'!$B$5,"是","")</x:f>
        <x:v>是</x:v>
      </x:c>
      <x:c r="M497" s="217" t="n">
        <x:f>COUNTIF(H497:L497,"是")</x:f>
        <x:v>3</x:v>
      </x:c>
      <x:c r="N497" s="217" t="str">
        <x:v>三份皆未入選</x:v>
      </x:c>
      <x:c r="O497" s="220" t="n">
        <x:v>65.525</x:v>
      </x:c>
      <x:c r="P497" s="220" t="n">
        <x:v>60.40833333333333</x:v>
      </x:c>
      <x:c r="Q497" s="220" t="n">
        <x:v>5.116666666666666</x:v>
      </x:c>
      <x:c r="R497" s="220" t="n">
        <x:v>0.07808724405443215</x:v>
      </x:c>
      <x:c r="S497" s="220" t="n">
        <x:v>99.51612903225806</x:v>
      </x:c>
      <x:c r="T497" s="220" t="n">
        <x:v>93.93548387096774</x:v>
      </x:c>
      <x:c r="U497" s="220" t="n">
        <x:v>5.580645161290323</x:v>
      </x:c>
      <x:c r="V497" s="218" t="n">
        <x:v>0.06451612903225806</x:v>
      </x:c>
      <x:c r="W497" s="217" t="n">
        <x:v>15</x:v>
      </x:c>
      <x:c r="X497" s="222" t="n">
        <x:v>1980</x:v>
      </x:c>
      <x:c r="Y497" s="217" t="n">
        <x:v>31</x:v>
      </x:c>
    </x:row>
    <x:row r="498">
      <x:c r="A498" s="216" t="n">
        <x:v>1146</x:v>
      </x:c>
      <x:c r="B498" s="216" t="str">
        <x:v>修德國小</x:v>
      </x:c>
      <x:c r="C498" s="216" t="str">
        <x:v>三重區</x:v>
      </x:c>
      <x:c r="D498" s="216" t="n">
        <x:v>34</x:v>
      </x:c>
      <x:c r="E498" s="216" t="n">
        <x:v>120</x:v>
      </x:c>
      <x:c r="F498" s="219" t="n">
        <x:v>0.9994791666666667</x:v>
      </x:c>
      <x:c r="G498" s="216" t="n">
        <x:v>494</x:v>
      </x:c>
      <x:c r="H498" s="216" t="str">
        <x:f>IF(G498&lt;='排名定義'!$B$5,"是","")</x:f>
        <x:v>是</x:v>
      </x:c>
      <x:c r="I498" s="216" t="n">
        <x:v>502</x:v>
      </x:c>
      <x:c r="J498" s="216" t="str">
        <x:f>IF(I498&lt;='排名定義'!$B$5,"是","")</x:f>
        <x:v>是</x:v>
      </x:c>
      <x:c r="K498" s="216" t="n">
        <x:v>411</x:v>
      </x:c>
      <x:c r="L498" s="216" t="str">
        <x:f>IF(K498&lt;='排名定義'!$B$5,"是","")</x:f>
        <x:v>是</x:v>
      </x:c>
      <x:c r="M498" s="216" t="n">
        <x:f>COUNTIF(H498:L498,"是")</x:f>
        <x:v>3</x:v>
      </x:c>
      <x:c r="N498" s="216" t="str">
        <x:v>三份皆未入選</x:v>
      </x:c>
      <x:c r="O498" s="221" t="n">
        <x:v>65.475</x:v>
      </x:c>
      <x:c r="P498" s="221" t="n">
        <x:v>59.85</x:v>
      </x:c>
      <x:c r="Q498" s="221" t="n">
        <x:v>5.625</x:v>
      </x:c>
      <x:c r="R498" s="221" t="n">
        <x:v>0.0859106529209622</x:v>
      </x:c>
      <x:c r="S498" s="221" t="n">
        <x:v>85.06451612903226</x:v>
      </x:c>
      <x:c r="T498" s="221" t="n">
        <x:v>80.25806451612904</x:v>
      </x:c>
      <x:c r="U498" s="221" t="n">
        <x:v>4.806451612903226</x:v>
      </x:c>
      <x:c r="V498" s="219" t="n">
        <x:v>0.07834101382488479</x:v>
      </x:c>
      <x:c r="W498" s="216" t="n">
        <x:v>15</x:v>
      </x:c>
      <x:c r="X498" s="223" t="n">
        <x:v>2220</x:v>
      </x:c>
      <x:c r="Y498" s="216" t="n">
        <x:v>34</x:v>
      </x:c>
    </x:row>
    <x:row r="499">
      <x:c r="A499" s="217" t="n">
        <x:v>416</x:v>
      </x:c>
      <x:c r="B499" s="217" t="str">
        <x:v>大德學勤路口</x:v>
      </x:c>
      <x:c r="C499" s="217" t="str">
        <x:v>三峽區</x:v>
      </x:c>
      <x:c r="D499" s="217" t="n">
        <x:v>15</x:v>
      </x:c>
      <x:c r="E499" s="217" t="n">
        <x:v>120</x:v>
      </x:c>
      <x:c r="F499" s="218" t="n">
        <x:v>0.9994791666666667</x:v>
      </x:c>
      <x:c r="G499" s="217" t="n">
        <x:v>495</x:v>
      </x:c>
      <x:c r="H499" s="217" t="str">
        <x:f>IF(G499&lt;='排名定義'!$B$5,"是","")</x:f>
        <x:v>是</x:v>
      </x:c>
      <x:c r="I499" s="217" t="n">
        <x:v>471</x:v>
      </x:c>
      <x:c r="J499" s="217" t="str">
        <x:f>IF(I499&lt;='排名定義'!$B$5,"是","")</x:f>
        <x:v>是</x:v>
      </x:c>
      <x:c r="K499" s="217" t="n">
        <x:v>954</x:v>
      </x:c>
      <x:c r="L499" s="217" t="str">
        <x:f>IF(K499&lt;='排名定義'!$B$5,"是","")</x:f>
        <x:v>是</x:v>
      </x:c>
      <x:c r="M499" s="217" t="n">
        <x:f>COUNTIF(H499:L499,"是")</x:f>
        <x:v>3</x:v>
      </x:c>
      <x:c r="N499" s="217" t="str">
        <x:v>三份皆未入選</x:v>
      </x:c>
      <x:c r="O499" s="220" t="n">
        <x:v>65.44166666666666</x:v>
      </x:c>
      <x:c r="P499" s="220" t="n">
        <x:v>61.88333333333333</x:v>
      </x:c>
      <x:c r="Q499" s="220" t="n">
        <x:v>3.558333333333333</x:v>
      </x:c>
      <x:c r="R499" s="220" t="n">
        <x:v>0.05437412453839297</x:v>
      </x:c>
      <x:c r="S499" s="220" t="n">
        <x:v>102.96774193548387</x:v>
      </x:c>
      <x:c r="T499" s="220" t="n">
        <x:v>99.25806451612904</x:v>
      </x:c>
      <x:c r="U499" s="220" t="n">
        <x:v>3.7096774193548385</x:v>
      </x:c>
      <x:c r="V499" s="218" t="n">
        <x:v>0.06221198156682028</x:v>
      </x:c>
      <x:c r="W499" s="217" t="n">
        <x:v>15</x:v>
      </x:c>
      <x:c r="X499" s="222" t="n">
        <x:v>2550</x:v>
      </x:c>
      <x:c r="Y499" s="217" t="n">
        <x:v>15</x:v>
      </x:c>
    </x:row>
    <x:row r="500">
      <x:c r="A500" s="216" t="n">
        <x:v>263</x:v>
      </x:c>
      <x:c r="B500" s="216" t="str">
        <x:v>保安保福路二段口</x:v>
      </x:c>
      <x:c r="C500" s="216" t="str">
        <x:v>永和區</x:v>
      </x:c>
      <x:c r="D500" s="216" t="n">
        <x:v>14</x:v>
      </x:c>
      <x:c r="E500" s="216" t="n">
        <x:v>120</x:v>
      </x:c>
      <x:c r="F500" s="219" t="n">
        <x:v>0.9994791666666667</x:v>
      </x:c>
      <x:c r="G500" s="216" t="n">
        <x:v>496</x:v>
      </x:c>
      <x:c r="H500" s="216" t="str">
        <x:f>IF(G500&lt;='排名定義'!$B$5,"是","")</x:f>
        <x:v>是</x:v>
      </x:c>
      <x:c r="I500" s="216" t="n">
        <x:v>484</x:v>
      </x:c>
      <x:c r="J500" s="216" t="str">
        <x:f>IF(I500&lt;='排名定義'!$B$5,"是","")</x:f>
        <x:v>是</x:v>
      </x:c>
      <x:c r="K500" s="216" t="n">
        <x:v>720</x:v>
      </x:c>
      <x:c r="L500" s="216" t="str">
        <x:f>IF(K500&lt;='排名定義'!$B$5,"是","")</x:f>
        <x:v>是</x:v>
      </x:c>
      <x:c r="M500" s="216" t="n">
        <x:f>COUNTIF(H500:L500,"是")</x:f>
        <x:v>3</x:v>
      </x:c>
      <x:c r="N500" s="216" t="str">
        <x:v>三份皆未入選</x:v>
      </x:c>
      <x:c r="O500" s="221" t="n">
        <x:v>65.36666666666666</x:v>
      </x:c>
      <x:c r="P500" s="221" t="n">
        <x:v>61.11666666666667</x:v>
      </x:c>
      <x:c r="Q500" s="221" t="n">
        <x:v>4.25</x:v>
      </x:c>
      <x:c r="R500" s="221" t="n">
        <x:v>0.06501784803671597</x:v>
      </x:c>
      <x:c r="S500" s="221" t="n">
        <x:v>82.41935483870968</x:v>
      </x:c>
      <x:c r="T500" s="221" t="n">
        <x:v>78.48387096774194</x:v>
      </x:c>
      <x:c r="U500" s="221" t="n">
        <x:v>3.935483870967742</x:v>
      </x:c>
      <x:c r="V500" s="219" t="n">
        <x:v>0.1774193548387097</x:v>
      </x:c>
      <x:c r="W500" s="216" t="n">
        <x:v>41</x:v>
      </x:c>
      <x:c r="X500" s="223" t="n">
        <x:v>5760</x:v>
      </x:c>
      <x:c r="Y500" s="216" t="n">
        <x:v>14</x:v>
      </x:c>
    </x:row>
    <x:row r="501">
      <x:c r="A501" s="217" t="n">
        <x:v>1209</x:v>
      </x:c>
      <x:c r="B501" s="217" t="str">
        <x:v>三重行政中心</x:v>
      </x:c>
      <x:c r="C501" s="217" t="str">
        <x:v>三重區</x:v>
      </x:c>
      <x:c r="D501" s="217" t="n">
        <x:v>59</x:v>
      </x:c>
      <x:c r="E501" s="217" t="n">
        <x:v>120</x:v>
      </x:c>
      <x:c r="F501" s="218" t="n">
        <x:v>0.9994791666666667</x:v>
      </x:c>
      <x:c r="G501" s="217" t="n">
        <x:v>497</x:v>
      </x:c>
      <x:c r="H501" s="217" t="str">
        <x:f>IF(G501&lt;='排名定義'!$B$5,"是","")</x:f>
        <x:v>是</x:v>
      </x:c>
      <x:c r="I501" s="217" t="n">
        <x:v>501</x:v>
      </x:c>
      <x:c r="J501" s="217" t="str">
        <x:f>IF(I501&lt;='排名定義'!$B$5,"是","")</x:f>
        <x:v>是</x:v>
      </x:c>
      <x:c r="K501" s="217" t="n">
        <x:v>481</x:v>
      </x:c>
      <x:c r="L501" s="217" t="str">
        <x:f>IF(K501&lt;='排名定義'!$B$5,"是","")</x:f>
        <x:v>是</x:v>
      </x:c>
      <x:c r="M501" s="217" t="n">
        <x:f>COUNTIF(H501:L501,"是")</x:f>
        <x:v>3</x:v>
      </x:c>
      <x:c r="N501" s="217" t="str">
        <x:v>三份皆未入選</x:v>
      </x:c>
      <x:c r="O501" s="220" t="n">
        <x:v>65.10833333333333</x:v>
      </x:c>
      <x:c r="P501" s="220" t="n">
        <x:v>59.858333333333334</x:v>
      </x:c>
      <x:c r="Q501" s="220" t="n">
        <x:v>5.25</x:v>
      </x:c>
      <x:c r="R501" s="220" t="n">
        <x:v>0.0806348393702803</x:v>
      </x:c>
      <x:c r="S501" s="220" t="n">
        <x:v>96</x:v>
      </x:c>
      <x:c r="T501" s="220" t="n">
        <x:v>92.61290322580645</x:v>
      </x:c>
      <x:c r="U501" s="220" t="n">
        <x:v>3.3870967741935485</x:v>
      </x:c>
      <x:c r="V501" s="218" t="n">
        <x:v>0.0069124423963133645</x:v>
      </x:c>
      <x:c r="W501" s="217" t="n">
        <x:v>3</x:v>
      </x:c>
      <x:c r="X501" s="222" t="n">
        <x:v>420</x:v>
      </x:c>
      <x:c r="Y501" s="217" t="n">
        <x:v>59</x:v>
      </x:c>
    </x:row>
    <x:row r="502">
      <x:c r="A502" s="216" t="n">
        <x:v>1441</x:v>
      </x:c>
      <x:c r="B502" s="216" t="str">
        <x:v>員林社區公園</x:v>
      </x:c>
      <x:c r="C502" s="216" t="str">
        <x:v>土城區</x:v>
      </x:c>
      <x:c r="D502" s="216" t="n">
        <x:v>50</x:v>
      </x:c>
      <x:c r="E502" s="216" t="n">
        <x:v>120</x:v>
      </x:c>
      <x:c r="F502" s="219" t="n">
        <x:v>0.9994791666666667</x:v>
      </x:c>
      <x:c r="G502" s="216" t="n">
        <x:v>498</x:v>
      </x:c>
      <x:c r="H502" s="216" t="str">
        <x:f>IF(G502&lt;='排名定義'!$B$5,"是","")</x:f>
        <x:v>是</x:v>
      </x:c>
      <x:c r="I502" s="216" t="n">
        <x:v>529</x:v>
      </x:c>
      <x:c r="J502" s="216" t="str">
        <x:f>IF(I502&lt;='排名定義'!$B$5,"是","")</x:f>
        <x:v>是</x:v>
      </x:c>
      <x:c r="K502" s="216" t="n">
        <x:v>253</x:v>
      </x:c>
      <x:c r="L502" s="216" t="str">
        <x:f>IF(K502&lt;='排名定義'!$B$5,"是","")</x:f>
        <x:v>是</x:v>
      </x:c>
      <x:c r="M502" s="216" t="n">
        <x:f>COUNTIF(H502:L502,"是")</x:f>
        <x:v>3</x:v>
      </x:c>
      <x:c r="N502" s="216" t="str">
        <x:v>僅大幅變動</x:v>
      </x:c>
      <x:c r="O502" s="221" t="n">
        <x:v>64.85833333333333</x:v>
      </x:c>
      <x:c r="P502" s="221" t="n">
        <x:v>58.1</x:v>
      </x:c>
      <x:c r="Q502" s="221" t="n">
        <x:v>6.758333333333334</x:v>
      </x:c>
      <x:c r="R502" s="221" t="n">
        <x:v>0.10420146473082359</x:v>
      </x:c>
      <x:c r="S502" s="221" t="n">
        <x:v>86.03225806451613</x:v>
      </x:c>
      <x:c r="T502" s="221" t="n">
        <x:v>81.19354838709677</x:v>
      </x:c>
      <x:c r="U502" s="221" t="n">
        <x:v>4.838709677419355</x:v>
      </x:c>
      <x:c r="V502" s="219" t="n">
        <x:v>0.018433179723502304</x:v>
      </x:c>
      <x:c r="W502" s="216" t="n">
        <x:v>7</x:v>
      </x:c>
      <x:c r="X502" s="223" t="n">
        <x:v>810</x:v>
      </x:c>
      <x:c r="Y502" s="216" t="n">
        <x:v>50</x:v>
      </x:c>
    </x:row>
    <x:row r="503">
      <x:c r="A503" s="217" t="n">
        <x:v>642</x:v>
      </x:c>
      <x:c r="B503" s="217" t="str">
        <x:v>南樹林火車站</x:v>
      </x:c>
      <x:c r="C503" s="217" t="str">
        <x:v>樹林區</x:v>
      </x:c>
      <x:c r="D503" s="217" t="n">
        <x:v>20</x:v>
      </x:c>
      <x:c r="E503" s="217" t="n">
        <x:v>120</x:v>
      </x:c>
      <x:c r="F503" s="218" t="n">
        <x:v>0.9994791666666667</x:v>
      </x:c>
      <x:c r="G503" s="217" t="n">
        <x:v>499</x:v>
      </x:c>
      <x:c r="H503" s="217" t="str">
        <x:f>IF(G503&lt;='排名定義'!$B$5,"是","")</x:f>
        <x:v>是</x:v>
      </x:c>
      <x:c r="I503" s="217" t="n">
        <x:v>498</x:v>
      </x:c>
      <x:c r="J503" s="217" t="str">
        <x:f>IF(I503&lt;='排名定義'!$B$5,"是","")</x:f>
        <x:v>是</x:v>
      </x:c>
      <x:c r="K503" s="217" t="n">
        <x:v>598</x:v>
      </x:c>
      <x:c r="L503" s="217" t="str">
        <x:f>IF(K503&lt;='排名定義'!$B$5,"是","")</x:f>
        <x:v>是</x:v>
      </x:c>
      <x:c r="M503" s="217" t="n">
        <x:f>COUNTIF(H503:L503,"是")</x:f>
        <x:v>3</x:v>
      </x:c>
      <x:c r="N503" s="217" t="str">
        <x:v>三份皆未入選</x:v>
      </x:c>
      <x:c r="O503" s="220" t="n">
        <x:v>64.81666666666666</x:v>
      </x:c>
      <x:c r="P503" s="220" t="n">
        <x:v>60.108333333333334</x:v>
      </x:c>
      <x:c r="Q503" s="220" t="n">
        <x:v>4.708333333333333</x:v>
      </x:c>
      <x:c r="R503" s="220" t="n">
        <x:v>0.07264078169195166</x:v>
      </x:c>
      <x:c r="S503" s="220" t="n">
        <x:v>99.06451612903226</x:v>
      </x:c>
      <x:c r="T503" s="220" t="n">
        <x:v>94.12903225806451</x:v>
      </x:c>
      <x:c r="U503" s="220" t="n">
        <x:v>4.935483870967742</x:v>
      </x:c>
      <x:c r="V503" s="218" t="n">
        <x:v>0.09907834101382489</x:v>
      </x:c>
      <x:c r="W503" s="217" t="n">
        <x:v>29</x:v>
      </x:c>
      <x:c r="X503" s="222" t="n">
        <x:v>4290</x:v>
      </x:c>
      <x:c r="Y503" s="217" t="n">
        <x:v>20</x:v>
      </x:c>
    </x:row>
    <x:row r="504">
      <x:c r="A504" s="216" t="n">
        <x:v>971</x:v>
      </x:c>
      <x:c r="B504" s="216" t="str">
        <x:v>錦和高中</x:v>
      </x:c>
      <x:c r="C504" s="216" t="str">
        <x:v>中和區</x:v>
      </x:c>
      <x:c r="D504" s="216" t="n">
        <x:v>28</x:v>
      </x:c>
      <x:c r="E504" s="216" t="n">
        <x:v>120</x:v>
      </x:c>
      <x:c r="F504" s="219" t="n">
        <x:v>0.9994791666666667</x:v>
      </x:c>
      <x:c r="G504" s="216" t="n">
        <x:v>500</x:v>
      </x:c>
      <x:c r="H504" s="216" t="str">
        <x:f>IF(G504&lt;='排名定義'!$B$5,"是","")</x:f>
        <x:v>是</x:v>
      </x:c>
      <x:c r="I504" s="216" t="n">
        <x:v>519</x:v>
      </x:c>
      <x:c r="J504" s="216" t="str">
        <x:f>IF(I504&lt;='排名定義'!$B$5,"是","")</x:f>
        <x:v>是</x:v>
      </x:c>
      <x:c r="K504" s="216" t="n">
        <x:v>316</x:v>
      </x:c>
      <x:c r="L504" s="216" t="str">
        <x:f>IF(K504&lt;='排名定義'!$B$5,"是","")</x:f>
        <x:v>是</x:v>
      </x:c>
      <x:c r="M504" s="216" t="n">
        <x:f>COUNTIF(H504:L504,"是")</x:f>
        <x:v>3</x:v>
      </x:c>
      <x:c r="N504" s="216" t="str">
        <x:v>僅大幅變動</x:v>
      </x:c>
      <x:c r="O504" s="221" t="n">
        <x:v>64.775</x:v>
      </x:c>
      <x:c r="P504" s="221" t="n">
        <x:v>58.55</x:v>
      </x:c>
      <x:c r="Q504" s="221" t="n">
        <x:v>6.225</x:v>
      </x:c>
      <x:c r="R504" s="221" t="n">
        <x:v>0.09610189116171362</x:v>
      </x:c>
      <x:c r="S504" s="221" t="n">
        <x:v>84.35483870967742</x:v>
      </x:c>
      <x:c r="T504" s="221" t="n">
        <x:v>78.58064516129032</x:v>
      </x:c>
      <x:c r="U504" s="221" t="n">
        <x:v>5.774193548387097</x:v>
      </x:c>
      <x:c r="V504" s="219" t="n">
        <x:v>0.0967741935483871</x:v>
      </x:c>
      <x:c r="W504" s="216" t="n">
        <x:v>26</x:v>
      </x:c>
      <x:c r="X504" s="223" t="n">
        <x:v>3690</x:v>
      </x:c>
      <x:c r="Y504" s="216" t="n">
        <x:v>28</x:v>
      </x:c>
    </x:row>
    <x:row r="505">
      <x:c r="A505" s="217" t="n">
        <x:v>184</x:v>
      </x:c>
      <x:c r="B505" s="217" t="str">
        <x:v>新莊國民運動中心(和興街)</x:v>
      </x:c>
      <x:c r="C505" s="217" t="str">
        <x:v>新莊區</x:v>
      </x:c>
      <x:c r="D505" s="217" t="n">
        <x:v>12</x:v>
      </x:c>
      <x:c r="E505" s="217" t="n">
        <x:v>120</x:v>
      </x:c>
      <x:c r="F505" s="218" t="n">
        <x:v>0.9994791666666667</x:v>
      </x:c>
      <x:c r="G505" s="217" t="n">
        <x:v>501</x:v>
      </x:c>
      <x:c r="H505" s="217" t="str">
        <x:f>IF(G505&lt;='排名定義'!$B$5,"是","")</x:f>
        <x:v>是</x:v>
      </x:c>
      <x:c r="I505" s="217" t="n">
        <x:v>480</x:v>
      </x:c>
      <x:c r="J505" s="217" t="str">
        <x:f>IF(I505&lt;='排名定義'!$B$5,"是","")</x:f>
        <x:v>是</x:v>
      </x:c>
      <x:c r="K505" s="217" t="n">
        <x:v>1056</x:v>
      </x:c>
      <x:c r="L505" s="217" t="str">
        <x:f>IF(K505&lt;='排名定義'!$B$5,"是","")</x:f>
        <x:v>是</x:v>
      </x:c>
      <x:c r="M505" s="217" t="n">
        <x:f>COUNTIF(H505:L505,"是")</x:f>
        <x:v>3</x:v>
      </x:c>
      <x:c r="N505" s="217" t="str">
        <x:v>三份皆未入選</x:v>
      </x:c>
      <x:c r="O505" s="220" t="n">
        <x:v>64.65833333333333</x:v>
      </x:c>
      <x:c r="P505" s="220" t="n">
        <x:v>61.333333333333336</x:v>
      </x:c>
      <x:c r="Q505" s="220" t="n">
        <x:v>3.325</x:v>
      </x:c>
      <x:c r="R505" s="220" t="n">
        <x:v>0.05142415259698415</x:v>
      </x:c>
      <x:c r="S505" s="220" t="n">
        <x:v>86.03225806451613</x:v>
      </x:c>
      <x:c r="T505" s="220" t="n">
        <x:v>82</x:v>
      </x:c>
      <x:c r="U505" s="220" t="n">
        <x:v>4.032258064516129</x:v>
      </x:c>
      <x:c r="V505" s="218" t="n">
        <x:v>0.25806451612903225</x:v>
      </x:c>
      <x:c r="W505" s="217" t="n">
        <x:v>59</x:v>
      </x:c>
      <x:c r="X505" s="222" t="n">
        <x:v>7470</x:v>
      </x:c>
      <x:c r="Y505" s="217" t="n">
        <x:v>12</x:v>
      </x:c>
    </x:row>
    <x:row r="506">
      <x:c r="A506" s="216" t="n">
        <x:v>478</x:v>
      </x:c>
      <x:c r="B506" s="216" t="str">
        <x:v>國光街圓環小公園</x:v>
      </x:c>
      <x:c r="C506" s="216" t="str">
        <x:v>中和區</x:v>
      </x:c>
      <x:c r="D506" s="216" t="n">
        <x:v>16</x:v>
      </x:c>
      <x:c r="E506" s="216" t="n">
        <x:v>120</x:v>
      </x:c>
      <x:c r="F506" s="219" t="n">
        <x:v>0.9994791666666667</x:v>
      </x:c>
      <x:c r="G506" s="216" t="n">
        <x:v>502</x:v>
      </x:c>
      <x:c r="H506" s="216" t="str">
        <x:f>IF(G506&lt;='排名定義'!$B$5,"是","")</x:f>
        <x:v>是</x:v>
      </x:c>
      <x:c r="I506" s="216" t="n">
        <x:v>497</x:v>
      </x:c>
      <x:c r="J506" s="216" t="str">
        <x:f>IF(I506&lt;='排名定義'!$B$5,"是","")</x:f>
        <x:v>是</x:v>
      </x:c>
      <x:c r="K506" s="216" t="n">
        <x:v>646</x:v>
      </x:c>
      <x:c r="L506" s="216" t="str">
        <x:f>IF(K506&lt;='排名定義'!$B$5,"是","")</x:f>
        <x:v>是</x:v>
      </x:c>
      <x:c r="M506" s="216" t="n">
        <x:f>COUNTIF(H506:L506,"是")</x:f>
        <x:v>3</x:v>
      </x:c>
      <x:c r="N506" s="216" t="str">
        <x:v>三份皆未入選</x:v>
      </x:c>
      <x:c r="O506" s="221" t="n">
        <x:v>64.60833333333333</x:v>
      </x:c>
      <x:c r="P506" s="221" t="n">
        <x:v>60.13333333333333</x:v>
      </x:c>
      <x:c r="Q506" s="221" t="n">
        <x:v>4.475</x:v>
      </x:c>
      <x:c r="R506" s="221" t="n">
        <x:v>0.06926351089900684</x:v>
      </x:c>
      <x:c r="S506" s="221" t="n">
        <x:v>86.38709677419355</x:v>
      </x:c>
      <x:c r="T506" s="221" t="n">
        <x:v>82.51612903225806</x:v>
      </x:c>
      <x:c r="U506" s="221" t="n">
        <x:v>3.870967741935484</x:v>
      </x:c>
      <x:c r="V506" s="219" t="n">
        <x:v>0.10599078341013825</x:v>
      </x:c>
      <x:c r="W506" s="216" t="n">
        <x:v>30</x:v>
      </x:c>
      <x:c r="X506" s="223" t="n">
        <x:v>3630</x:v>
      </x:c>
      <x:c r="Y506" s="216" t="n">
        <x:v>16</x:v>
      </x:c>
    </x:row>
    <x:row r="507">
      <x:c r="A507" s="217" t="n">
        <x:v>1211</x:v>
      </x:c>
      <x:c r="B507" s="217" t="str">
        <x:v>中華中央路一段242巷口</x:v>
      </x:c>
      <x:c r="C507" s="217" t="str">
        <x:v>土城區</x:v>
      </x:c>
      <x:c r="D507" s="217" t="n">
        <x:v>38</x:v>
      </x:c>
      <x:c r="E507" s="217" t="n">
        <x:v>120</x:v>
      </x:c>
      <x:c r="F507" s="218" t="n">
        <x:v>0.9994791666666667</x:v>
      </x:c>
      <x:c r="G507" s="217" t="n">
        <x:v>503</x:v>
      </x:c>
      <x:c r="H507" s="217" t="str">
        <x:f>IF(G507&lt;='排名定義'!$B$5,"是","")</x:f>
        <x:v>是</x:v>
      </x:c>
      <x:c r="I507" s="217" t="n">
        <x:v>521</x:v>
      </x:c>
      <x:c r="J507" s="217" t="str">
        <x:f>IF(I507&lt;='排名定義'!$B$5,"是","")</x:f>
        <x:v>是</x:v>
      </x:c>
      <x:c r="K507" s="217" t="n">
        <x:v>327</x:v>
      </x:c>
      <x:c r="L507" s="217" t="str">
        <x:f>IF(K507&lt;='排名定義'!$B$5,"是","")</x:f>
        <x:v>是</x:v>
      </x:c>
      <x:c r="M507" s="217" t="n">
        <x:f>COUNTIF(H507:L507,"是")</x:f>
        <x:v>3</x:v>
      </x:c>
      <x:c r="N507" s="217" t="str">
        <x:v>僅大幅變動</x:v>
      </x:c>
      <x:c r="O507" s="220" t="n">
        <x:v>64.6</x:v>
      </x:c>
      <x:c r="P507" s="220" t="n">
        <x:v>58.45</x:v>
      </x:c>
      <x:c r="Q507" s="220" t="n">
        <x:v>6.15</x:v>
      </x:c>
      <x:c r="R507" s="220" t="n">
        <x:v>0.09520123839009288</x:v>
      </x:c>
      <x:c r="S507" s="220" t="n">
        <x:v>90.54838709677419</x:v>
      </x:c>
      <x:c r="T507" s="220" t="n">
        <x:v>84.70967741935483</x:v>
      </x:c>
      <x:c r="U507" s="220" t="n">
        <x:v>5.838709677419355</x:v>
      </x:c>
      <x:c r="V507" s="218" t="n">
        <x:v>0.04838709677419355</x:v>
      </x:c>
      <x:c r="W507" s="217" t="n">
        <x:v>14</x:v>
      </x:c>
      <x:c r="X507" s="222" t="n">
        <x:v>1890</x:v>
      </x:c>
      <x:c r="Y507" s="217" t="n">
        <x:v>38</x:v>
      </x:c>
    </x:row>
    <x:row r="508">
      <x:c r="A508" s="216" t="n">
        <x:v>1098</x:v>
      </x:c>
      <x:c r="B508" s="216" t="str">
        <x:v>新北市立中和高級中學</x:v>
      </x:c>
      <x:c r="C508" s="216" t="str">
        <x:v>中和區</x:v>
      </x:c>
      <x:c r="D508" s="216" t="n">
        <x:v>32</x:v>
      </x:c>
      <x:c r="E508" s="216" t="n">
        <x:v>120</x:v>
      </x:c>
      <x:c r="F508" s="219" t="n">
        <x:v>0.9994791666666667</x:v>
      </x:c>
      <x:c r="G508" s="216" t="n">
        <x:v>504</x:v>
      </x:c>
      <x:c r="H508" s="216" t="str">
        <x:f>IF(G508&lt;='排名定義'!$B$5,"是","")</x:f>
        <x:v>是</x:v>
      </x:c>
      <x:c r="I508" s="216" t="n">
        <x:v>549</x:v>
      </x:c>
      <x:c r="J508" s="216" t="str">
        <x:f>IF(I508&lt;='排名定義'!$B$5,"是","")</x:f>
        <x:v>是</x:v>
      </x:c>
      <x:c r="K508" s="216" t="n">
        <x:v>175</x:v>
      </x:c>
      <x:c r="L508" s="216" t="str">
        <x:f>IF(K508&lt;='排名定義'!$B$5,"是","")</x:f>
        <x:v>是</x:v>
      </x:c>
      <x:c r="M508" s="216" t="n">
        <x:f>COUNTIF(H508:L508,"是")</x:f>
        <x:v>3</x:v>
      </x:c>
      <x:c r="N508" s="216" t="str">
        <x:v>僅大幅變動</x:v>
      </x:c>
      <x:c r="O508" s="221" t="n">
        <x:v>64.575</x:v>
      </x:c>
      <x:c r="P508" s="221" t="n">
        <x:v>57.13333333333333</x:v>
      </x:c>
      <x:c r="Q508" s="221" t="n">
        <x:v>7.441666666666666</x:v>
      </x:c>
      <x:c r="R508" s="221" t="n">
        <x:v>0.11524067621628598</x:v>
      </x:c>
      <x:c r="S508" s="221" t="n">
        <x:v>103.3225806451613</x:v>
      </x:c>
      <x:c r="T508" s="221" t="n">
        <x:v>93.96774193548387</x:v>
      </x:c>
      <x:c r="U508" s="221" t="n">
        <x:v>9.35483870967742</x:v>
      </x:c>
      <x:c r="V508" s="219" t="n">
        <x:v>0.07373271889400922</x:v>
      </x:c>
      <x:c r="W508" s="216" t="n">
        <x:v>5</x:v>
      </x:c>
      <x:c r="X508" s="223" t="n">
        <x:v>1050</x:v>
      </x:c>
      <x:c r="Y508" s="216" t="n">
        <x:v>42</x:v>
      </x:c>
    </x:row>
    <x:row r="509">
      <x:c r="A509" s="217" t="n">
        <x:v>890</x:v>
      </x:c>
      <x:c r="B509" s="217" t="str">
        <x:v>南勢市民活動中心</x:v>
      </x:c>
      <x:c r="C509" s="217" t="str">
        <x:v>林口區</x:v>
      </x:c>
      <x:c r="D509" s="217" t="n">
        <x:v>25</x:v>
      </x:c>
      <x:c r="E509" s="217" t="n">
        <x:v>120</x:v>
      </x:c>
      <x:c r="F509" s="218" t="n">
        <x:v>0.9994791666666667</x:v>
      </x:c>
      <x:c r="G509" s="217" t="n">
        <x:v>505</x:v>
      </x:c>
      <x:c r="H509" s="217" t="str">
        <x:f>IF(G509&lt;='排名定義'!$B$5,"是","")</x:f>
        <x:v>是</x:v>
      </x:c>
      <x:c r="I509" s="217" t="n">
        <x:v>512</x:v>
      </x:c>
      <x:c r="J509" s="217" t="str">
        <x:f>IF(I509&lt;='排名定義'!$B$5,"是","")</x:f>
        <x:v>是</x:v>
      </x:c>
      <x:c r="K509" s="217" t="n">
        <x:v>446</x:v>
      </x:c>
      <x:c r="L509" s="217" t="str">
        <x:f>IF(K509&lt;='排名定義'!$B$5,"是","")</x:f>
        <x:v>是</x:v>
      </x:c>
      <x:c r="M509" s="217" t="n">
        <x:f>COUNTIF(H509:L509,"是")</x:f>
        <x:v>3</x:v>
      </x:c>
      <x:c r="N509" s="217" t="str">
        <x:v>三份皆未入選</x:v>
      </x:c>
      <x:c r="O509" s="220" t="n">
        <x:v>64.53333333333333</x:v>
      </x:c>
      <x:c r="P509" s="220" t="n">
        <x:v>59.108333333333334</x:v>
      </x:c>
      <x:c r="Q509" s="220" t="n">
        <x:v>5.425</x:v>
      </x:c>
      <x:c r="R509" s="220" t="n">
        <x:v>0.0840650826446281</x:v>
      </x:c>
      <x:c r="S509" s="220" t="n">
        <x:v>88.6774193548387</x:v>
      </x:c>
      <x:c r="T509" s="220" t="n">
        <x:v>84.45161290322581</x:v>
      </x:c>
      <x:c r="U509" s="220" t="n">
        <x:v>4.225806451612903</x:v>
      </x:c>
      <x:c r="V509" s="218" t="n">
        <x:v>0.016129032258064516</x:v>
      </x:c>
      <x:c r="W509" s="217" t="n">
        <x:v>4</x:v>
      </x:c>
      <x:c r="X509" s="222" t="n">
        <x:v>690</x:v>
      </x:c>
      <x:c r="Y509" s="217" t="n">
        <x:v>25</x:v>
      </x:c>
    </x:row>
    <x:row r="510">
      <x:c r="A510" s="216" t="n">
        <x:v>1447</x:v>
      </x:c>
      <x:c r="B510" s="216" t="str">
        <x:v>湳雅觀光夜市(津渡橋)</x:v>
      </x:c>
      <x:c r="C510" s="216" t="str">
        <x:v>板橋區</x:v>
      </x:c>
      <x:c r="D510" s="216" t="n">
        <x:v>50</x:v>
      </x:c>
      <x:c r="E510" s="216" t="n">
        <x:v>120</x:v>
      </x:c>
      <x:c r="F510" s="219" t="n">
        <x:v>0.9994791666666667</x:v>
      </x:c>
      <x:c r="G510" s="216" t="n">
        <x:v>506</x:v>
      </x:c>
      <x:c r="H510" s="216" t="str">
        <x:f>IF(G510&lt;='排名定義'!$B$5,"是","")</x:f>
        <x:v>是</x:v>
      </x:c>
      <x:c r="I510" s="216" t="n">
        <x:v>515</x:v>
      </x:c>
      <x:c r="J510" s="216" t="str">
        <x:f>IF(I510&lt;='排名定義'!$B$5,"是","")</x:f>
        <x:v>是</x:v>
      </x:c>
      <x:c r="K510" s="216" t="n">
        <x:v>434</x:v>
      </x:c>
      <x:c r="L510" s="216" t="str">
        <x:f>IF(K510&lt;='排名定義'!$B$5,"是","")</x:f>
        <x:v>是</x:v>
      </x:c>
      <x:c r="M510" s="216" t="n">
        <x:f>COUNTIF(H510:L510,"是")</x:f>
        <x:v>3</x:v>
      </x:c>
      <x:c r="N510" s="216" t="str">
        <x:v>三份皆未入選</x:v>
      </x:c>
      <x:c r="O510" s="221" t="n">
        <x:v>64.45</x:v>
      </x:c>
      <x:c r="P510" s="221" t="n">
        <x:v>58.93333333333333</x:v>
      </x:c>
      <x:c r="Q510" s="221" t="n">
        <x:v>5.516666666666667</x:v>
      </x:c>
      <x:c r="R510" s="221" t="n">
        <x:v>0.08559606930437032</x:v>
      </x:c>
      <x:c r="S510" s="221" t="n">
        <x:v>97.25806451612904</x:v>
      </x:c>
      <x:c r="T510" s="221" t="n">
        <x:v>92.16129032258064</x:v>
      </x:c>
      <x:c r="U510" s="221" t="n">
        <x:v>5.096774193548387</x:v>
      </x:c>
      <x:c r="V510" s="219" t="n">
        <x:v>0.05069124423963134</x:v>
      </x:c>
      <x:c r="W510" s="216" t="n">
        <x:v>12</x:v>
      </x:c>
      <x:c r="X510" s="223" t="n">
        <x:v>1860</x:v>
      </x:c>
      <x:c r="Y510" s="216" t="n">
        <x:v>56</x:v>
      </x:c>
    </x:row>
    <x:row r="511">
      <x:c r="A511" s="217" t="n">
        <x:v>575</x:v>
      </x:c>
      <x:c r="B511" s="217" t="str">
        <x:v>思賢公園(北側)</x:v>
      </x:c>
      <x:c r="C511" s="217" t="str">
        <x:v>新莊區</x:v>
      </x:c>
      <x:c r="D511" s="217" t="n">
        <x:v>18</x:v>
      </x:c>
      <x:c r="E511" s="217" t="n">
        <x:v>120</x:v>
      </x:c>
      <x:c r="F511" s="218" t="n">
        <x:v>0.9994791666666667</x:v>
      </x:c>
      <x:c r="G511" s="217" t="n">
        <x:v>507</x:v>
      </x:c>
      <x:c r="H511" s="217" t="str">
        <x:f>IF(G511&lt;='排名定義'!$B$5,"是","")</x:f>
        <x:v>是</x:v>
      </x:c>
      <x:c r="I511" s="217" t="n">
        <x:v>495</x:v>
      </x:c>
      <x:c r="J511" s="217" t="str">
        <x:f>IF(I511&lt;='排名定義'!$B$5,"是","")</x:f>
        <x:v>是</x:v>
      </x:c>
      <x:c r="K511" s="217" t="n">
        <x:v>739</x:v>
      </x:c>
      <x:c r="L511" s="217" t="str">
        <x:f>IF(K511&lt;='排名定義'!$B$5,"是","")</x:f>
        <x:v>是</x:v>
      </x:c>
      <x:c r="M511" s="217" t="n">
        <x:f>COUNTIF(H511:L511,"是")</x:f>
        <x:v>3</x:v>
      </x:c>
      <x:c r="N511" s="217" t="str">
        <x:v>三份皆未入選</x:v>
      </x:c>
      <x:c r="O511" s="220" t="n">
        <x:v>64.39166666666667</x:v>
      </x:c>
      <x:c r="P511" s="220" t="n">
        <x:v>60.2</x:v>
      </x:c>
      <x:c r="Q511" s="220" t="n">
        <x:v>4.191666666666666</x:v>
      </x:c>
      <x:c r="R511" s="220" t="n">
        <x:v>0.06509641516759415</x:v>
      </x:c>
      <x:c r="S511" s="220" t="n">
        <x:v>96.64516129032258</x:v>
      </x:c>
      <x:c r="T511" s="220" t="n">
        <x:v>93.06451612903226</x:v>
      </x:c>
      <x:c r="U511" s="220" t="n">
        <x:v>3.5806451612903225</x:v>
      </x:c>
      <x:c r="V511" s="218" t="n">
        <x:v>0.08525345622119816</x:v>
      </x:c>
      <x:c r="W511" s="217" t="n">
        <x:v>13</x:v>
      </x:c>
      <x:c r="X511" s="222" t="n">
        <x:v>2490</x:v>
      </x:c>
      <x:c r="Y511" s="217" t="n">
        <x:v>18</x:v>
      </x:c>
    </x:row>
    <x:row r="512">
      <x:c r="A512" s="216" t="n">
        <x:v>1202</x:v>
      </x:c>
      <x:c r="B512" s="216" t="str">
        <x:v>莒光國小</x:v>
      </x:c>
      <x:c r="C512" s="216" t="str">
        <x:v>板橋區</x:v>
      </x:c>
      <x:c r="D512" s="216" t="n">
        <x:v>37</x:v>
      </x:c>
      <x:c r="E512" s="216" t="n">
        <x:v>120</x:v>
      </x:c>
      <x:c r="F512" s="219" t="n">
        <x:v>0.9994791666666667</x:v>
      </x:c>
      <x:c r="G512" s="216" t="n">
        <x:v>508</x:v>
      </x:c>
      <x:c r="H512" s="216" t="str">
        <x:f>IF(G512&lt;='排名定義'!$B$5,"是","")</x:f>
        <x:v>是</x:v>
      </x:c>
      <x:c r="I512" s="216" t="n">
        <x:v>505</x:v>
      </x:c>
      <x:c r="J512" s="216" t="str">
        <x:f>IF(I512&lt;='排名定義'!$B$5,"是","")</x:f>
        <x:v>是</x:v>
      </x:c>
      <x:c r="K512" s="216" t="n">
        <x:v>607</x:v>
      </x:c>
      <x:c r="L512" s="216" t="str">
        <x:f>IF(K512&lt;='排名定義'!$B$5,"是","")</x:f>
        <x:v>是</x:v>
      </x:c>
      <x:c r="M512" s="216" t="n">
        <x:f>COUNTIF(H512:L512,"是")</x:f>
        <x:v>3</x:v>
      </x:c>
      <x:c r="N512" s="216" t="str">
        <x:v>三份皆未入選</x:v>
      </x:c>
      <x:c r="O512" s="221" t="n">
        <x:v>64.34166666666667</x:v>
      </x:c>
      <x:c r="P512" s="221" t="n">
        <x:v>59.675</x:v>
      </x:c>
      <x:c r="Q512" s="221" t="n">
        <x:v>4.666666666666667</x:v>
      </x:c>
      <x:c r="R512" s="221" t="n">
        <x:v>0.07252946509519492</x:v>
      </x:c>
      <x:c r="S512" s="221" t="n">
        <x:v>79.80645161290323</x:v>
      </x:c>
      <x:c r="T512" s="221" t="n">
        <x:v>75.09677419354838</x:v>
      </x:c>
      <x:c r="U512" s="221" t="n">
        <x:v>4.709677419354839</x:v>
      </x:c>
      <x:c r="V512" s="219" t="n">
        <x:v>0.11981566820276497</x:v>
      </x:c>
      <x:c r="W512" s="216" t="n">
        <x:v>27</x:v>
      </x:c>
      <x:c r="X512" s="223" t="n">
        <x:v>3390</x:v>
      </x:c>
      <x:c r="Y512" s="216" t="n">
        <x:v>37</x:v>
      </x:c>
    </x:row>
    <x:row r="513">
      <x:c r="A513" s="217" t="n">
        <x:v>1184</x:v>
      </x:c>
      <x:c r="B513" s="217" t="str">
        <x:v>惠國市場</x:v>
      </x:c>
      <x:c r="C513" s="217" t="str">
        <x:v>新店區</x:v>
      </x:c>
      <x:c r="D513" s="217" t="n">
        <x:v>36</x:v>
      </x:c>
      <x:c r="E513" s="217" t="n">
        <x:v>120</x:v>
      </x:c>
      <x:c r="F513" s="218" t="n">
        <x:v>0.9994791666666667</x:v>
      </x:c>
      <x:c r="G513" s="217" t="n">
        <x:v>509</x:v>
      </x:c>
      <x:c r="H513" s="217" t="str">
        <x:f>IF(G513&lt;='排名定義'!$B$5,"是","")</x:f>
        <x:v>是</x:v>
      </x:c>
      <x:c r="I513" s="217" t="n">
        <x:v>508</x:v>
      </x:c>
      <x:c r="J513" s="217" t="str">
        <x:f>IF(I513&lt;='排名定義'!$B$5,"是","")</x:f>
        <x:v>是</x:v>
      </x:c>
      <x:c r="K513" s="217" t="n">
        <x:v>586</x:v>
      </x:c>
      <x:c r="L513" s="217" t="str">
        <x:f>IF(K513&lt;='排名定義'!$B$5,"是","")</x:f>
        <x:v>是</x:v>
      </x:c>
      <x:c r="M513" s="217" t="n">
        <x:f>COUNTIF(H513:L513,"是")</x:f>
        <x:v>3</x:v>
      </x:c>
      <x:c r="N513" s="217" t="str">
        <x:v>三份皆未入選</x:v>
      </x:c>
      <x:c r="O513" s="220" t="n">
        <x:v>64.28333333333333</x:v>
      </x:c>
      <x:c r="P513" s="220" t="n">
        <x:v>59.516666666666666</x:v>
      </x:c>
      <x:c r="Q513" s="220" t="n">
        <x:v>4.766666666666667</x:v>
      </x:c>
      <x:c r="R513" s="220" t="n">
        <x:v>0.07415089447757324</x:v>
      </x:c>
      <x:c r="S513" s="220" t="n">
        <x:v>92.7741935483871</x:v>
      </x:c>
      <x:c r="T513" s="220" t="n">
        <x:v>88.58064516129032</x:v>
      </x:c>
      <x:c r="U513" s="220" t="n">
        <x:v>4.193548387096774</x:v>
      </x:c>
      <x:c r="V513" s="218" t="n">
        <x:v>0.03456221198156682</x:v>
      </x:c>
      <x:c r="W513" s="217" t="n">
        <x:v>8</x:v>
      </x:c>
      <x:c r="X513" s="222" t="n">
        <x:v>1260</x:v>
      </x:c>
      <x:c r="Y513" s="217" t="n">
        <x:v>36</x:v>
      </x:c>
    </x:row>
    <x:row r="514">
      <x:c r="A514" s="216" t="n">
        <x:v>1369</x:v>
      </x:c>
      <x:c r="B514" s="216" t="str">
        <x:v>永翠藝文街口(大禾社區)</x:v>
      </x:c>
      <x:c r="C514" s="216" t="str">
        <x:v>板橋區</x:v>
      </x:c>
      <x:c r="D514" s="216" t="n">
        <x:v>44</x:v>
      </x:c>
      <x:c r="E514" s="216" t="n">
        <x:v>120</x:v>
      </x:c>
      <x:c r="F514" s="219" t="n">
        <x:v>0.9994791666666667</x:v>
      </x:c>
      <x:c r="G514" s="216" t="n">
        <x:v>510</x:v>
      </x:c>
      <x:c r="H514" s="216" t="str">
        <x:f>IF(G514&lt;='排名定義'!$B$5,"是","")</x:f>
        <x:v>是</x:v>
      </x:c>
      <x:c r="I514" s="216" t="n">
        <x:v>536</x:v>
      </x:c>
      <x:c r="J514" s="216" t="str">
        <x:f>IF(I514&lt;='排名定義'!$B$5,"是","")</x:f>
        <x:v>是</x:v>
      </x:c>
      <x:c r="K514" s="216" t="n">
        <x:v>309</x:v>
      </x:c>
      <x:c r="L514" s="216" t="str">
        <x:f>IF(K514&lt;='排名定義'!$B$5,"是","")</x:f>
        <x:v>是</x:v>
      </x:c>
      <x:c r="M514" s="216" t="n">
        <x:f>COUNTIF(H514:L514,"是")</x:f>
        <x:v>3</x:v>
      </x:c>
      <x:c r="N514" s="216" t="str">
        <x:v>僅大幅變動</x:v>
      </x:c>
      <x:c r="O514" s="221" t="n">
        <x:v>64.225</x:v>
      </x:c>
      <x:c r="P514" s="221" t="n">
        <x:v>57.916666666666664</x:v>
      </x:c>
      <x:c r="Q514" s="221" t="n">
        <x:v>6.308333333333334</x:v>
      </x:c>
      <x:c r="R514" s="221" t="n">
        <x:v>0.09822239522512002</x:v>
      </x:c>
      <x:c r="S514" s="221" t="n">
        <x:v>90.35483870967742</x:v>
      </x:c>
      <x:c r="T514" s="221" t="n">
        <x:v>84.61290322580645</x:v>
      </x:c>
      <x:c r="U514" s="221" t="n">
        <x:v>5.741935483870968</x:v>
      </x:c>
      <x:c r="V514" s="219" t="n">
        <x:v>0.04377880184331797</x:v>
      </x:c>
      <x:c r="W514" s="216" t="n">
        <x:v>11</x:v>
      </x:c>
      <x:c r="X514" s="223" t="n">
        <x:v>1350</x:v>
      </x:c>
      <x:c r="Y514" s="216" t="n">
        <x:v>44</x:v>
      </x:c>
    </x:row>
    <x:row r="515">
      <x:c r="A515" s="217" t="n">
        <x:v>1526</x:v>
      </x:c>
      <x:c r="B515" s="217" t="str">
        <x:v>長榮龍濱路口</x:v>
      </x:c>
      <x:c r="C515" s="217" t="str">
        <x:v>三重區</x:v>
      </x:c>
      <x:c r="D515" s="217" t="n">
        <x:v>19</x:v>
      </x:c>
      <x:c r="E515" s="217" t="n">
        <x:v>84</x:v>
      </x:c>
      <x:c r="F515" s="218" t="n">
        <x:v>0.9995039682539683</x:v>
      </x:c>
      <x:c r="G515" s="217" t="n">
        <x:v>511</x:v>
      </x:c>
      <x:c r="H515" s="217" t="str">
        <x:f>IF(G515&lt;='排名定義'!$B$5,"是","")</x:f>
        <x:v>是</x:v>
      </x:c>
      <x:c r="I515" s="217" t="n">
        <x:v>496</x:v>
      </x:c>
      <x:c r="J515" s="217" t="str">
        <x:f>IF(I515&lt;='排名定義'!$B$5,"是","")</x:f>
        <x:v>是</x:v>
      </x:c>
      <x:c r="K515" s="217" t="n">
        <x:v>787</x:v>
      </x:c>
      <x:c r="L515" s="217" t="str">
        <x:f>IF(K515&lt;='排名定義'!$B$5,"是","")</x:f>
        <x:v>是</x:v>
      </x:c>
      <x:c r="M515" s="217" t="n">
        <x:f>COUNTIF(H515:L515,"是")</x:f>
        <x:v>3</x:v>
      </x:c>
      <x:c r="N515" s="217" t="str">
        <x:v>三份皆未入選</x:v>
      </x:c>
      <x:c r="O515" s="220" t="n">
        <x:v>64.16666666666667</x:v>
      </x:c>
      <x:c r="P515" s="220" t="n">
        <x:v>60.142857142857146</x:v>
      </x:c>
      <x:c r="Q515" s="220" t="n">
        <x:v>4.023809523809524</x:v>
      </x:c>
      <x:c r="R515" s="220" t="n">
        <x:v>0.062708719851577</x:v>
      </x:c>
      <x:c r="S515" s="220" t="n">
        <x:v>78.3225806451613</x:v>
      </x:c>
      <x:c r="T515" s="220" t="n">
        <x:v>75.2258064516129</x:v>
      </x:c>
      <x:c r="U515" s="220" t="n">
        <x:v>3.096774193548387</x:v>
      </x:c>
      <x:c r="V515" s="218" t="n">
        <x:v>0.14516129032258066</x:v>
      </x:c>
      <x:c r="W515" s="217" t="n">
        <x:v>40</x:v>
      </x:c>
      <x:c r="X515" s="222" t="n">
        <x:v>5010</x:v>
      </x:c>
      <x:c r="Y515" s="217" t="n">
        <x:v>19</x:v>
      </x:c>
    </x:row>
    <x:row r="516">
      <x:c r="A516" s="216" t="n">
        <x:v>1287</x:v>
      </x:c>
      <x:c r="B516" s="216" t="str">
        <x:v>金城裕民路口(金城舞社區)</x:v>
      </x:c>
      <x:c r="C516" s="216" t="str">
        <x:v>土城區</x:v>
      </x:c>
      <x:c r="D516" s="216" t="n">
        <x:v>40</x:v>
      </x:c>
      <x:c r="E516" s="216" t="n">
        <x:v>120</x:v>
      </x:c>
      <x:c r="F516" s="219" t="n">
        <x:v>0.9994791666666667</x:v>
      </x:c>
      <x:c r="G516" s="216" t="n">
        <x:v>512</x:v>
      </x:c>
      <x:c r="H516" s="216" t="str">
        <x:f>IF(G516&lt;='排名定義'!$B$5,"是","")</x:f>
        <x:v>是</x:v>
      </x:c>
      <x:c r="I516" s="216" t="n">
        <x:v>522</x:v>
      </x:c>
      <x:c r="J516" s="216" t="str">
        <x:f>IF(I516&lt;='排名定義'!$B$5,"是","")</x:f>
        <x:v>是</x:v>
      </x:c>
      <x:c r="K516" s="216" t="n">
        <x:v>399</x:v>
      </x:c>
      <x:c r="L516" s="216" t="str">
        <x:f>IF(K516&lt;='排名定義'!$B$5,"是","")</x:f>
        <x:v>是</x:v>
      </x:c>
      <x:c r="M516" s="216" t="n">
        <x:f>COUNTIF(H516:L516,"是")</x:f>
        <x:v>3</x:v>
      </x:c>
      <x:c r="N516" s="216" t="str">
        <x:v>三份皆未入選</x:v>
      </x:c>
      <x:c r="O516" s="221" t="n">
        <x:v>64.15</x:v>
      </x:c>
      <x:c r="P516" s="221" t="n">
        <x:v>58.416666666666664</x:v>
      </x:c>
      <x:c r="Q516" s="221" t="n">
        <x:v>5.733333333333333</x:v>
      </x:c>
      <x:c r="R516" s="221" t="n">
        <x:v>0.08937386334112757</x:v>
      </x:c>
      <x:c r="S516" s="221" t="n">
        <x:v>79.80645161290323</x:v>
      </x:c>
      <x:c r="T516" s="221" t="n">
        <x:v>75.64516129032258</x:v>
      </x:c>
      <x:c r="U516" s="221" t="n">
        <x:v>4.161290322580645</x:v>
      </x:c>
      <x:c r="V516" s="219" t="n">
        <x:v>0.1382488479262673</x:v>
      </x:c>
      <x:c r="W516" s="216" t="n">
        <x:v>36</x:v>
      </x:c>
      <x:c r="X516" s="223" t="n">
        <x:v>4050</x:v>
      </x:c>
      <x:c r="Y516" s="216" t="n">
        <x:v>40</x:v>
      </x:c>
    </x:row>
    <x:row r="517">
      <x:c r="A517" s="217" t="n">
        <x:v>1201</x:v>
      </x:c>
      <x:c r="B517" s="217" t="str">
        <x:v>林建生紀念圖書館</x:v>
      </x:c>
      <x:c r="C517" s="217" t="str">
        <x:v>蘆洲區</x:v>
      </x:c>
      <x:c r="D517" s="217" t="n">
        <x:v>37</x:v>
      </x:c>
      <x:c r="E517" s="217" t="n">
        <x:v>120</x:v>
      </x:c>
      <x:c r="F517" s="218" t="n">
        <x:v>0.9994791666666667</x:v>
      </x:c>
      <x:c r="G517" s="217" t="n">
        <x:v>513</x:v>
      </x:c>
      <x:c r="H517" s="217" t="str">
        <x:f>IF(G517&lt;='排名定義'!$B$5,"是","")</x:f>
        <x:v>是</x:v>
      </x:c>
      <x:c r="I517" s="217" t="n">
        <x:v>520</x:v>
      </x:c>
      <x:c r="J517" s="217" t="str">
        <x:f>IF(I517&lt;='排名定義'!$B$5,"是","")</x:f>
        <x:v>是</x:v>
      </x:c>
      <x:c r="K517" s="217" t="n">
        <x:v>427</x:v>
      </x:c>
      <x:c r="L517" s="217" t="str">
        <x:f>IF(K517&lt;='排名定義'!$B$5,"是","")</x:f>
        <x:v>是</x:v>
      </x:c>
      <x:c r="M517" s="217" t="n">
        <x:f>COUNTIF(H517:L517,"是")</x:f>
        <x:v>3</x:v>
      </x:c>
      <x:c r="N517" s="217" t="str">
        <x:v>三份皆未入選</x:v>
      </x:c>
      <x:c r="O517" s="220" t="n">
        <x:v>64.04166666666667</x:v>
      </x:c>
      <x:c r="P517" s="220" t="n">
        <x:v>58.50833333333333</x:v>
      </x:c>
      <x:c r="Q517" s="220" t="n">
        <x:v>5.533333333333333</x:v>
      </x:c>
      <x:c r="R517" s="220" t="n">
        <x:v>0.08640208197787899</x:v>
      </x:c>
      <x:c r="S517" s="220" t="n">
        <x:v>93.96774193548387</x:v>
      </x:c>
      <x:c r="T517" s="220" t="n">
        <x:v>89.61290322580645</x:v>
      </x:c>
      <x:c r="U517" s="220" t="n">
        <x:v>4.354838709677419</x:v>
      </x:c>
      <x:c r="V517" s="218" t="n">
        <x:v>0.0576036866359447</x:v>
      </x:c>
      <x:c r="W517" s="217" t="n">
        <x:v>11</x:v>
      </x:c>
      <x:c r="X517" s="222" t="n">
        <x:v>1710</x:v>
      </x:c>
      <x:c r="Y517" s="217" t="n">
        <x:v>37</x:v>
      </x:c>
    </x:row>
    <x:row r="518">
      <x:c r="A518" s="216" t="n">
        <x:v>389</x:v>
      </x:c>
      <x:c r="B518" s="216" t="str">
        <x:v>莒光路136巷口</x:v>
      </x:c>
      <x:c r="C518" s="216" t="str">
        <x:v>中和區</x:v>
      </x:c>
      <x:c r="D518" s="216" t="n">
        <x:v>15</x:v>
      </x:c>
      <x:c r="E518" s="216" t="n">
        <x:v>120</x:v>
      </x:c>
      <x:c r="F518" s="219" t="n">
        <x:v>0.9994791666666667</x:v>
      </x:c>
      <x:c r="G518" s="216" t="n">
        <x:v>514</x:v>
      </x:c>
      <x:c r="H518" s="216" t="str">
        <x:f>IF(G518&lt;='排名定義'!$B$5,"是","")</x:f>
        <x:v>是</x:v>
      </x:c>
      <x:c r="I518" s="216" t="n">
        <x:v>504</x:v>
      </x:c>
      <x:c r="J518" s="216" t="str">
        <x:f>IF(I518&lt;='排名定義'!$B$5,"是","")</x:f>
        <x:v>是</x:v>
      </x:c>
      <x:c r="K518" s="216" t="n">
        <x:v>693</x:v>
      </x:c>
      <x:c r="L518" s="216" t="str">
        <x:f>IF(K518&lt;='排名定義'!$B$5,"是","")</x:f>
        <x:v>是</x:v>
      </x:c>
      <x:c r="M518" s="216" t="n">
        <x:f>COUNTIF(H518:L518,"是")</x:f>
        <x:v>3</x:v>
      </x:c>
      <x:c r="N518" s="216" t="str">
        <x:v>三份皆未入選</x:v>
      </x:c>
      <x:c r="O518" s="221" t="n">
        <x:v>64</x:v>
      </x:c>
      <x:c r="P518" s="221" t="n">
        <x:v>59.675</x:v>
      </x:c>
      <x:c r="Q518" s="221" t="n">
        <x:v>4.325</x:v>
      </x:c>
      <x:c r="R518" s="221" t="n">
        <x:v>0.067578125</x:v>
      </x:c>
      <x:c r="S518" s="221" t="n">
        <x:v>88.48387096774194</x:v>
      </x:c>
      <x:c r="T518" s="221" t="n">
        <x:v>85.09677419354838</x:v>
      </x:c>
      <x:c r="U518" s="221" t="n">
        <x:v>3.3870967741935485</x:v>
      </x:c>
      <x:c r="V518" s="219" t="n">
        <x:v>0.16129032258064516</x:v>
      </x:c>
      <x:c r="W518" s="216" t="n">
        <x:v>31</x:v>
      </x:c>
      <x:c r="X518" s="223" t="n">
        <x:v>4470</x:v>
      </x:c>
      <x:c r="Y518" s="216" t="n">
        <x:v>15</x:v>
      </x:c>
    </x:row>
    <x:row r="519">
      <x:c r="A519" s="217" t="n">
        <x:v>718</x:v>
      </x:c>
      <x:c r="B519" s="217" t="str">
        <x:v>民樂停車場</x:v>
      </x:c>
      <x:c r="C519" s="217" t="str">
        <x:v>中和區</x:v>
      </x:c>
      <x:c r="D519" s="217" t="n">
        <x:v>20</x:v>
      </x:c>
      <x:c r="E519" s="217" t="n">
        <x:v>120</x:v>
      </x:c>
      <x:c r="F519" s="218" t="n">
        <x:v>0.9994791666666667</x:v>
      </x:c>
      <x:c r="G519" s="217" t="n">
        <x:v>515</x:v>
      </x:c>
      <x:c r="H519" s="217" t="str">
        <x:f>IF(G519&lt;='排名定義'!$B$5,"是","")</x:f>
        <x:v>是</x:v>
      </x:c>
      <x:c r="I519" s="217" t="n">
        <x:v>506</x:v>
      </x:c>
      <x:c r="J519" s="217" t="str">
        <x:f>IF(I519&lt;='排名定義'!$B$5,"是","")</x:f>
        <x:v>是</x:v>
      </x:c>
      <x:c r="K519" s="217" t="n">
        <x:v>673</x:v>
      </x:c>
      <x:c r="L519" s="217" t="str">
        <x:f>IF(K519&lt;='排名定義'!$B$5,"是","")</x:f>
        <x:v>是</x:v>
      </x:c>
      <x:c r="M519" s="217" t="n">
        <x:f>COUNTIF(H519:L519,"是")</x:f>
        <x:v>3</x:v>
      </x:c>
      <x:c r="N519" s="217" t="str">
        <x:v>三份皆未入選</x:v>
      </x:c>
      <x:c r="O519" s="220" t="n">
        <x:v>63.983333333333334</x:v>
      </x:c>
      <x:c r="P519" s="220" t="n">
        <x:v>59.59166666666667</x:v>
      </x:c>
      <x:c r="Q519" s="220" t="n">
        <x:v>4.391666666666667</x:v>
      </x:c>
      <x:c r="R519" s="220" t="n">
        <x:v>0.06863766605886949</x:v>
      </x:c>
      <x:c r="S519" s="220" t="n">
        <x:v>91.12903225806451</x:v>
      </x:c>
      <x:c r="T519" s="220" t="n">
        <x:v>86.3225806451613</x:v>
      </x:c>
      <x:c r="U519" s="220" t="n">
        <x:v>4.806451612903226</x:v>
      </x:c>
      <x:c r="V519" s="218" t="n">
        <x:v>0.03456221198156682</x:v>
      </x:c>
      <x:c r="W519" s="217" t="n">
        <x:v>2</x:v>
      </x:c>
      <x:c r="X519" s="222" t="n">
        <x:v>840</x:v>
      </x:c>
      <x:c r="Y519" s="217" t="n">
        <x:v>20</x:v>
      </x:c>
    </x:row>
    <x:row r="520">
      <x:c r="A520" s="216" t="n">
        <x:v>1308</x:v>
      </x:c>
      <x:c r="B520" s="216" t="str">
        <x:v>明志國小</x:v>
      </x:c>
      <x:c r="C520" s="216" t="str">
        <x:v>泰山區</x:v>
      </x:c>
      <x:c r="D520" s="216" t="n">
        <x:v>40</x:v>
      </x:c>
      <x:c r="E520" s="216" t="n">
        <x:v>120</x:v>
      </x:c>
      <x:c r="F520" s="219" t="n">
        <x:v>0.9994791666666667</x:v>
      </x:c>
      <x:c r="G520" s="216" t="n">
        <x:v>516</x:v>
      </x:c>
      <x:c r="H520" s="216" t="str">
        <x:f>IF(G520&lt;='排名定義'!$B$5,"是","")</x:f>
        <x:v>是</x:v>
      </x:c>
      <x:c r="I520" s="216" t="n">
        <x:v>525</x:v>
      </x:c>
      <x:c r="J520" s="216" t="str">
        <x:f>IF(I520&lt;='排名定義'!$B$5,"是","")</x:f>
        <x:v>是</x:v>
      </x:c>
      <x:c r="K520" s="216" t="n">
        <x:v>433</x:v>
      </x:c>
      <x:c r="L520" s="216" t="str">
        <x:f>IF(K520&lt;='排名定義'!$B$5,"是","")</x:f>
        <x:v>是</x:v>
      </x:c>
      <x:c r="M520" s="216" t="n">
        <x:f>COUNTIF(H520:L520,"是")</x:f>
        <x:v>3</x:v>
      </x:c>
      <x:c r="N520" s="216" t="str">
        <x:v>三份皆未入選</x:v>
      </x:c>
      <x:c r="O520" s="221" t="n">
        <x:v>63.858333333333334</x:v>
      </x:c>
      <x:c r="P520" s="221" t="n">
        <x:v>58.34166666666667</x:v>
      </x:c>
      <x:c r="Q520" s="221" t="n">
        <x:v>5.516666666666667</x:v>
      </x:c>
      <x:c r="R520" s="221" t="n">
        <x:v>0.08638914263343338</x:v>
      </x:c>
      <x:c r="S520" s="221" t="n">
        <x:v>100.45161290322581</x:v>
      </x:c>
      <x:c r="T520" s="221" t="n">
        <x:v>93.96774193548387</x:v>
      </x:c>
      <x:c r="U520" s="221" t="n">
        <x:v>6.483870967741935</x:v>
      </x:c>
      <x:c r="V520" s="219" t="n">
        <x:v>0.016129032258064516</x:v>
      </x:c>
      <x:c r="W520" s="216" t="n">
        <x:v>3</x:v>
      </x:c>
      <x:c r="X520" s="223" t="n">
        <x:v>630</x:v>
      </x:c>
      <x:c r="Y520" s="216" t="n">
        <x:v>40</x:v>
      </x:c>
    </x:row>
    <x:row r="521">
      <x:c r="A521" s="217" t="n">
        <x:v>199</x:v>
      </x:c>
      <x:c r="B521" s="217" t="str">
        <x:v>縣民觀光街口</x:v>
      </x:c>
      <x:c r="C521" s="217" t="str">
        <x:v>板橋區</x:v>
      </x:c>
      <x:c r="D521" s="217" t="n">
        <x:v>12</x:v>
      </x:c>
      <x:c r="E521" s="217" t="n">
        <x:v>120</x:v>
      </x:c>
      <x:c r="F521" s="218" t="n">
        <x:v>0.9994791666666667</x:v>
      </x:c>
      <x:c r="G521" s="217" t="n">
        <x:v>517</x:v>
      </x:c>
      <x:c r="H521" s="217" t="str">
        <x:f>IF(G521&lt;='排名定義'!$B$5,"是","")</x:f>
        <x:v>是</x:v>
      </x:c>
      <x:c r="I521" s="217" t="n">
        <x:v>517</x:v>
      </x:c>
      <x:c r="J521" s="217" t="str">
        <x:f>IF(I521&lt;='排名定義'!$B$5,"是","")</x:f>
        <x:v>是</x:v>
      </x:c>
      <x:c r="K521" s="217" t="n">
        <x:v>515</x:v>
      </x:c>
      <x:c r="L521" s="217" t="str">
        <x:f>IF(K521&lt;='排名定義'!$B$5,"是","")</x:f>
        <x:v>是</x:v>
      </x:c>
      <x:c r="M521" s="217" t="n">
        <x:f>COUNTIF(H521:L521,"是")</x:f>
        <x:v>3</x:v>
      </x:c>
      <x:c r="N521" s="217" t="str">
        <x:v>三份皆未入選</x:v>
      </x:c>
      <x:c r="O521" s="220" t="n">
        <x:v>63.8</x:v>
      </x:c>
      <x:c r="P521" s="220" t="n">
        <x:v>58.71666666666667</x:v>
      </x:c>
      <x:c r="Q521" s="220" t="n">
        <x:v>5.083333333333333</x:v>
      </x:c>
      <x:c r="R521" s="220" t="n">
        <x:v>0.0796760710553814</x:v>
      </x:c>
      <x:c r="S521" s="220" t="n">
        <x:v>83.51612903225806</x:v>
      </x:c>
      <x:c r="T521" s="220" t="n">
        <x:v>80.74193548387096</x:v>
      </x:c>
      <x:c r="U521" s="220" t="n">
        <x:v>2.774193548387097</x:v>
      </x:c>
      <x:c r="V521" s="218" t="n">
        <x:v>0.14746543778801843</x:v>
      </x:c>
      <x:c r="W521" s="217" t="n">
        <x:v>33</x:v>
      </x:c>
      <x:c r="X521" s="222" t="n">
        <x:v>4710</x:v>
      </x:c>
      <x:c r="Y521" s="217" t="n">
        <x:v>24</x:v>
      </x:c>
    </x:row>
    <x:row r="522">
      <x:c r="A522" s="216" t="n">
        <x:v>881</x:v>
      </x:c>
      <x:c r="B522" s="216" t="str">
        <x:v>海山高中(漢生東路)</x:v>
      </x:c>
      <x:c r="C522" s="216" t="str">
        <x:v>板橋區</x:v>
      </x:c>
      <x:c r="D522" s="216" t="n">
        <x:v>40</x:v>
      </x:c>
      <x:c r="E522" s="216" t="n">
        <x:v>120</x:v>
      </x:c>
      <x:c r="F522" s="219" t="n">
        <x:v>0.9994791666666667</x:v>
      </x:c>
      <x:c r="G522" s="216" t="n">
        <x:v>518</x:v>
      </x:c>
      <x:c r="H522" s="216" t="str">
        <x:f>IF(G522&lt;='排名定義'!$B$5,"是","")</x:f>
        <x:v>是</x:v>
      </x:c>
      <x:c r="I522" s="216" t="n">
        <x:v>567</x:v>
      </x:c>
      <x:c r="J522" s="216" t="str">
        <x:f>IF(I522&lt;='排名定義'!$B$5,"是","")</x:f>
        <x:v>是</x:v>
      </x:c>
      <x:c r="K522" s="216" t="n">
        <x:v>143</x:v>
      </x:c>
      <x:c r="L522" s="216" t="str">
        <x:f>IF(K522&lt;='排名定義'!$B$5,"是","")</x:f>
        <x:v>是</x:v>
      </x:c>
      <x:c r="M522" s="216" t="n">
        <x:f>COUNTIF(H522:L522,"是")</x:f>
        <x:v>3</x:v>
      </x:c>
      <x:c r="N522" s="216" t="str">
        <x:v>僅大幅變動</x:v>
      </x:c>
      <x:c r="O522" s="221" t="n">
        <x:v>63.55</x:v>
      </x:c>
      <x:c r="P522" s="221" t="n">
        <x:v>55.74166666666667</x:v>
      </x:c>
      <x:c r="Q522" s="221" t="n">
        <x:v>7.808333333333334</x:v>
      </x:c>
      <x:c r="R522" s="221" t="n">
        <x:v>0.12286913191712562</x:v>
      </x:c>
      <x:c r="S522" s="221" t="n">
        <x:v>87.45161290322581</x:v>
      </x:c>
      <x:c r="T522" s="221" t="n">
        <x:v>79.61290322580645</x:v>
      </x:c>
      <x:c r="U522" s="221" t="n">
        <x:v>7.838709677419355</x:v>
      </x:c>
      <x:c r="V522" s="219" t="n">
        <x:v>0.1912442396313364</x:v>
      </x:c>
      <x:c r="W522" s="216" t="n">
        <x:v>46</x:v>
      </x:c>
      <x:c r="X522" s="223" t="n">
        <x:v>5160</x:v>
      </x:c>
      <x:c r="Y522" s="216" t="n">
        <x:v>40</x:v>
      </x:c>
    </x:row>
    <x:row r="523">
      <x:c r="A523" s="217" t="n">
        <x:v>181</x:v>
      </x:c>
      <x:c r="B523" s="217" t="str">
        <x:v>後埔國小</x:v>
      </x:c>
      <x:c r="C523" s="217" t="str">
        <x:v>板橋區</x:v>
      </x:c>
      <x:c r="D523" s="217" t="n">
        <x:v>12</x:v>
      </x:c>
      <x:c r="E523" s="217" t="n">
        <x:v>120</x:v>
      </x:c>
      <x:c r="F523" s="218" t="n">
        <x:v>0.9994791666666667</x:v>
      </x:c>
      <x:c r="G523" s="217" t="n">
        <x:v>519</x:v>
      </x:c>
      <x:c r="H523" s="217" t="str">
        <x:f>IF(G523&lt;='排名定義'!$B$5,"是","")</x:f>
        <x:v>是</x:v>
      </x:c>
      <x:c r="I523" s="217" t="n">
        <x:v>513</x:v>
      </x:c>
      <x:c r="J523" s="217" t="str">
        <x:f>IF(I523&lt;='排名定義'!$B$5,"是","")</x:f>
        <x:v>是</x:v>
      </x:c>
      <x:c r="K523" s="217" t="n">
        <x:v>641</x:v>
      </x:c>
      <x:c r="L523" s="217" t="str">
        <x:f>IF(K523&lt;='排名定義'!$B$5,"是","")</x:f>
        <x:v>是</x:v>
      </x:c>
      <x:c r="M523" s="217" t="n">
        <x:f>COUNTIF(H523:L523,"是")</x:f>
        <x:v>3</x:v>
      </x:c>
      <x:c r="N523" s="217" t="str">
        <x:v>三份皆未入選</x:v>
      </x:c>
      <x:c r="O523" s="220" t="n">
        <x:v>63.541666666666664</x:v>
      </x:c>
      <x:c r="P523" s="220" t="n">
        <x:v>59.041666666666664</x:v>
      </x:c>
      <x:c r="Q523" s="220" t="n">
        <x:v>4.5</x:v>
      </x:c>
      <x:c r="R523" s="220" t="n">
        <x:v>0.07081967213114754</x:v>
      </x:c>
      <x:c r="S523" s="220" t="n">
        <x:v>79.45161290322581</x:v>
      </x:c>
      <x:c r="T523" s="220" t="n">
        <x:v>76.16129032258064</x:v>
      </x:c>
      <x:c r="U523" s="220" t="n">
        <x:v>3.2903225806451615</x:v>
      </x:c>
      <x:c r="V523" s="218" t="n">
        <x:v>0.1889400921658986</x:v>
      </x:c>
      <x:c r="W523" s="217" t="n">
        <x:v>43</x:v>
      </x:c>
      <x:c r="X523" s="222" t="n">
        <x:v>5550</x:v>
      </x:c>
      <x:c r="Y523" s="217" t="n">
        <x:v>12</x:v>
      </x:c>
    </x:row>
    <x:row r="524">
      <x:c r="A524" s="216" t="n">
        <x:v>997</x:v>
      </x:c>
      <x:c r="B524" s="216" t="str">
        <x:v>頂埔市場</x:v>
      </x:c>
      <x:c r="C524" s="216" t="str">
        <x:v>土城區</x:v>
      </x:c>
      <x:c r="D524" s="216" t="n">
        <x:v>29</x:v>
      </x:c>
      <x:c r="E524" s="216" t="n">
        <x:v>120</x:v>
      </x:c>
      <x:c r="F524" s="219" t="n">
        <x:v>0.9994791666666667</x:v>
      </x:c>
      <x:c r="G524" s="216" t="n">
        <x:v>520</x:v>
      </x:c>
      <x:c r="H524" s="216" t="str">
        <x:f>IF(G524&lt;='排名定義'!$B$5,"是","")</x:f>
        <x:v>是</x:v>
      </x:c>
      <x:c r="I524" s="216" t="n">
        <x:v>527</x:v>
      </x:c>
      <x:c r="J524" s="216" t="str">
        <x:f>IF(I524&lt;='排名定義'!$B$5,"是","")</x:f>
        <x:v>是</x:v>
      </x:c>
      <x:c r="K524" s="216" t="n">
        <x:v>461</x:v>
      </x:c>
      <x:c r="L524" s="216" t="str">
        <x:f>IF(K524&lt;='排名定義'!$B$5,"是","")</x:f>
        <x:v>是</x:v>
      </x:c>
      <x:c r="M524" s="216" t="n">
        <x:f>COUNTIF(H524:L524,"是")</x:f>
        <x:v>3</x:v>
      </x:c>
      <x:c r="N524" s="216" t="str">
        <x:v>三份皆未入選</x:v>
      </x:c>
      <x:c r="O524" s="221" t="n">
        <x:v>63.525</x:v>
      </x:c>
      <x:c r="P524" s="221" t="n">
        <x:v>58.208333333333336</x:v>
      </x:c>
      <x:c r="Q524" s="221" t="n">
        <x:v>5.316666666666666</x:v>
      </x:c>
      <x:c r="R524" s="221" t="n">
        <x:v>0.0836940836940837</x:v>
      </x:c>
      <x:c r="S524" s="221" t="n">
        <x:v>85.45161290322581</x:v>
      </x:c>
      <x:c r="T524" s="221" t="n">
        <x:v>80.83870967741936</x:v>
      </x:c>
      <x:c r="U524" s="221" t="n">
        <x:v>4.612903225806452</x:v>
      </x:c>
      <x:c r="V524" s="219" t="n">
        <x:v>0.07373271889400922</x:v>
      </x:c>
      <x:c r="W524" s="216" t="n">
        <x:v>23</x:v>
      </x:c>
      <x:c r="X524" s="223" t="n">
        <x:v>2730</x:v>
      </x:c>
      <x:c r="Y524" s="216" t="n">
        <x:v>29</x:v>
      </x:c>
    </x:row>
    <x:row r="525">
      <x:c r="A525" s="217" t="n">
        <x:v>612</x:v>
      </x:c>
      <x:c r="B525" s="217" t="str">
        <x:v>延和廣場</x:v>
      </x:c>
      <x:c r="C525" s="217" t="str">
        <x:v>土城區</x:v>
      </x:c>
      <x:c r="D525" s="217" t="n">
        <x:v>19</x:v>
      </x:c>
      <x:c r="E525" s="217" t="n">
        <x:v>120</x:v>
      </x:c>
      <x:c r="F525" s="218" t="n">
        <x:v>0.9994791666666667</x:v>
      </x:c>
      <x:c r="G525" s="217" t="n">
        <x:v>521</x:v>
      </x:c>
      <x:c r="H525" s="217" t="str">
        <x:f>IF(G525&lt;='排名定義'!$B$5,"是","")</x:f>
        <x:v>是</x:v>
      </x:c>
      <x:c r="I525" s="217" t="n">
        <x:v>503</x:v>
      </x:c>
      <x:c r="J525" s="217" t="str">
        <x:f>IF(I525&lt;='排名定義'!$B$5,"是","")</x:f>
        <x:v>是</x:v>
      </x:c>
      <x:c r="K525" s="217" t="n">
        <x:v>881</x:v>
      </x:c>
      <x:c r="L525" s="217" t="str">
        <x:f>IF(K525&lt;='排名定義'!$B$5,"是","")</x:f>
        <x:v>是</x:v>
      </x:c>
      <x:c r="M525" s="217" t="n">
        <x:f>COUNTIF(H525:L525,"是")</x:f>
        <x:v>3</x:v>
      </x:c>
      <x:c r="N525" s="217" t="str">
        <x:v>三份皆未入選</x:v>
      </x:c>
      <x:c r="O525" s="220" t="n">
        <x:v>63.49166666666667</x:v>
      </x:c>
      <x:c r="P525" s="220" t="n">
        <x:v>59.708333333333336</x:v>
      </x:c>
      <x:c r="Q525" s="220" t="n">
        <x:v>3.783333333333333</x:v>
      </x:c>
      <x:c r="R525" s="220" t="n">
        <x:v>0.05958787242420265</x:v>
      </x:c>
      <x:c r="S525" s="220" t="n">
        <x:v>85.12903225806451</x:v>
      </x:c>
      <x:c r="T525" s="220" t="n">
        <x:v>80.96774193548387</x:v>
      </x:c>
      <x:c r="U525" s="220" t="n">
        <x:v>4.161290322580645</x:v>
      </x:c>
      <x:c r="V525" s="218" t="n">
        <x:v>0.12903225806451613</x:v>
      </x:c>
      <x:c r="W525" s="217" t="n">
        <x:v>27</x:v>
      </x:c>
      <x:c r="X525" s="222" t="n">
        <x:v>3630</x:v>
      </x:c>
      <x:c r="Y525" s="217" t="n">
        <x:v>19</x:v>
      </x:c>
    </x:row>
    <x:row r="526">
      <x:c r="A526" s="216" t="n">
        <x:v>237</x:v>
      </x:c>
      <x:c r="B526" s="216" t="str">
        <x:v>新北市立圖書館新莊中港分館</x:v>
      </x:c>
      <x:c r="C526" s="216" t="str">
        <x:v>新莊區</x:v>
      </x:c>
      <x:c r="D526" s="216" t="n">
        <x:v>13</x:v>
      </x:c>
      <x:c r="E526" s="216" t="n">
        <x:v>120</x:v>
      </x:c>
      <x:c r="F526" s="219" t="n">
        <x:v>0.9994791666666667</x:v>
      </x:c>
      <x:c r="G526" s="216" t="n">
        <x:v>522</x:v>
      </x:c>
      <x:c r="H526" s="216" t="str">
        <x:f>IF(G526&lt;='排名定義'!$B$5,"是","")</x:f>
        <x:v>是</x:v>
      </x:c>
      <x:c r="I526" s="216" t="n">
        <x:v>518</x:v>
      </x:c>
      <x:c r="J526" s="216" t="str">
        <x:f>IF(I526&lt;='排名定義'!$B$5,"是","")</x:f>
        <x:v>是</x:v>
      </x:c>
      <x:c r="K526" s="216" t="n">
        <x:v>559</x:v>
      </x:c>
      <x:c r="L526" s="216" t="str">
        <x:f>IF(K526&lt;='排名定義'!$B$5,"是","")</x:f>
        <x:v>是</x:v>
      </x:c>
      <x:c r="M526" s="216" t="n">
        <x:f>COUNTIF(H526:L526,"是")</x:f>
        <x:v>3</x:v>
      </x:c>
      <x:c r="N526" s="216" t="str">
        <x:v>三份皆未入選</x:v>
      </x:c>
      <x:c r="O526" s="221" t="n">
        <x:v>63.483333333333334</x:v>
      </x:c>
      <x:c r="P526" s="221" t="n">
        <x:v>58.608333333333334</x:v>
      </x:c>
      <x:c r="Q526" s="221" t="n">
        <x:v>4.875</x:v>
      </x:c>
      <x:c r="R526" s="221" t="n">
        <x:v>0.07679180887372014</x:v>
      </x:c>
      <x:c r="S526" s="221" t="n">
        <x:v>81.38709677419355</x:v>
      </x:c>
      <x:c r="T526" s="221" t="n">
        <x:v>78.06451612903226</x:v>
      </x:c>
      <x:c r="U526" s="221" t="n">
        <x:v>3.3225806451612905</x:v>
      </x:c>
      <x:c r="V526" s="219" t="n">
        <x:v>0.07142857142857142</x:v>
      </x:c>
      <x:c r="W526" s="216" t="n">
        <x:v>8</x:v>
      </x:c>
      <x:c r="X526" s="223" t="n">
        <x:v>1860</x:v>
      </x:c>
      <x:c r="Y526" s="216" t="n">
        <x:v>13</x:v>
      </x:c>
    </x:row>
    <x:row r="527">
      <x:c r="A527" s="217" t="n">
        <x:v>663</x:v>
      </x:c>
      <x:c r="B527" s="217" t="str">
        <x:v>新北市勞工活動中心</x:v>
      </x:c>
      <x:c r="C527" s="217" t="str">
        <x:v>五股區</x:v>
      </x:c>
      <x:c r="D527" s="217" t="n">
        <x:v>20</x:v>
      </x:c>
      <x:c r="E527" s="217" t="n">
        <x:v>120</x:v>
      </x:c>
      <x:c r="F527" s="218" t="n">
        <x:v>0.9994791666666667</x:v>
      </x:c>
      <x:c r="G527" s="217" t="n">
        <x:v>523</x:v>
      </x:c>
      <x:c r="H527" s="217" t="str">
        <x:f>IF(G527&lt;='排名定義'!$B$5,"是","")</x:f>
        <x:v>是</x:v>
      </x:c>
      <x:c r="I527" s="217" t="n">
        <x:v>540</x:v>
      </x:c>
      <x:c r="J527" s="217" t="str">
        <x:f>IF(I527&lt;='排名定義'!$B$5,"是","")</x:f>
        <x:v>是</x:v>
      </x:c>
      <x:c r="K527" s="217" t="n">
        <x:v>397</x:v>
      </x:c>
      <x:c r="L527" s="217" t="str">
        <x:f>IF(K527&lt;='排名定義'!$B$5,"是","")</x:f>
        <x:v>是</x:v>
      </x:c>
      <x:c r="M527" s="217" t="n">
        <x:f>COUNTIF(H527:L527,"是")</x:f>
        <x:v>3</x:v>
      </x:c>
      <x:c r="N527" s="217" t="str">
        <x:v>三份皆未入選</x:v>
      </x:c>
      <x:c r="O527" s="220" t="n">
        <x:v>63.483333333333334</x:v>
      </x:c>
      <x:c r="P527" s="220" t="n">
        <x:v>57.75</x:v>
      </x:c>
      <x:c r="Q527" s="220" t="n">
        <x:v>5.733333333333333</x:v>
      </x:c>
      <x:c r="R527" s="220" t="n">
        <x:v>0.09031241795746915</x:v>
      </x:c>
      <x:c r="S527" s="220" t="n">
        <x:v>87.90322580645162</x:v>
      </x:c>
      <x:c r="T527" s="220" t="n">
        <x:v>82.19354838709677</x:v>
      </x:c>
      <x:c r="U527" s="220" t="n">
        <x:v>5.709677419354839</x:v>
      </x:c>
      <x:c r="V527" s="218" t="n">
        <x:v>0.07834101382488479</x:v>
      </x:c>
      <x:c r="W527" s="217" t="n">
        <x:v>31</x:v>
      </x:c>
      <x:c r="X527" s="222" t="n">
        <x:v>4800</x:v>
      </x:c>
      <x:c r="Y527" s="217" t="n">
        <x:v>35</x:v>
      </x:c>
    </x:row>
    <x:row r="528">
      <x:c r="A528" s="216" t="n">
        <x:v>1507</x:v>
      </x:c>
      <x:c r="B528" s="216" t="str">
        <x:v>浮洲合宜住宅(合宜一路)</x:v>
      </x:c>
      <x:c r="C528" s="216" t="str">
        <x:v>板橋區</x:v>
      </x:c>
      <x:c r="D528" s="216" t="n">
        <x:v>57</x:v>
      </x:c>
      <x:c r="E528" s="216" t="n">
        <x:v>120</x:v>
      </x:c>
      <x:c r="F528" s="219" t="n">
        <x:v>0.9994791666666667</x:v>
      </x:c>
      <x:c r="G528" s="216" t="n">
        <x:v>524</x:v>
      </x:c>
      <x:c r="H528" s="216" t="str">
        <x:f>IF(G528&lt;='排名定義'!$B$5,"是","")</x:f>
        <x:v>是</x:v>
      </x:c>
      <x:c r="I528" s="216" t="n">
        <x:v>560</x:v>
      </x:c>
      <x:c r="J528" s="216" t="str">
        <x:f>IF(I528&lt;='排名定義'!$B$5,"是","")</x:f>
        <x:v>是</x:v>
      </x:c>
      <x:c r="K528" s="216" t="n">
        <x:v>187</x:v>
      </x:c>
      <x:c r="L528" s="216" t="str">
        <x:f>IF(K528&lt;='排名定義'!$B$5,"是","")</x:f>
        <x:v>是</x:v>
      </x:c>
      <x:c r="M528" s="216" t="n">
        <x:f>COUNTIF(H528:L528,"是")</x:f>
        <x:v>3</x:v>
      </x:c>
      <x:c r="N528" s="216" t="str">
        <x:v>僅大幅變動</x:v>
      </x:c>
      <x:c r="O528" s="221" t="n">
        <x:v>63.44166666666667</x:v>
      </x:c>
      <x:c r="P528" s="221" t="n">
        <x:v>56.11666666666667</x:v>
      </x:c>
      <x:c r="Q528" s="221" t="n">
        <x:v>7.325</x:v>
      </x:c>
      <x:c r="R528" s="221" t="n">
        <x:v>0.11546039668987258</x:v>
      </x:c>
      <x:c r="S528" s="221" t="n">
        <x:v>82.87096774193549</x:v>
      </x:c>
      <x:c r="T528" s="221" t="n">
        <x:v>78.09677419354838</x:v>
      </x:c>
      <x:c r="U528" s="221" t="n">
        <x:v>4.774193548387097</x:v>
      </x:c>
      <x:c r="V528" s="219" t="n">
        <x:v>0</x:v>
      </x:c>
      <x:c r="W528" s="216" t="n">
        <x:v>2</x:v>
      </x:c>
      <x:c r="X528" s="223" t="n">
        <x:v>210</x:v>
      </x:c>
      <x:c r="Y528" s="216" t="n">
        <x:v>57</x:v>
      </x:c>
    </x:row>
    <x:row r="529">
      <x:c r="A529" s="217" t="n">
        <x:v>1230</x:v>
      </x:c>
      <x:c r="B529" s="217" t="str">
        <x:v>中和自強公園</x:v>
      </x:c>
      <x:c r="C529" s="217" t="str">
        <x:v>中和區</x:v>
      </x:c>
      <x:c r="D529" s="217" t="n">
        <x:v>39</x:v>
      </x:c>
      <x:c r="E529" s="217" t="n">
        <x:v>120</x:v>
      </x:c>
      <x:c r="F529" s="218" t="n">
        <x:v>0.9994791666666667</x:v>
      </x:c>
      <x:c r="G529" s="217" t="n">
        <x:v>525</x:v>
      </x:c>
      <x:c r="H529" s="217" t="str">
        <x:f>IF(G529&lt;='排名定義'!$B$5,"是","")</x:f>
        <x:v>是</x:v>
      </x:c>
      <x:c r="I529" s="217" t="n">
        <x:v>535</x:v>
      </x:c>
      <x:c r="J529" s="217" t="str">
        <x:f>IF(I529&lt;='排名定義'!$B$5,"是","")</x:f>
        <x:v>是</x:v>
      </x:c>
      <x:c r="K529" s="217" t="n">
        <x:v>443</x:v>
      </x:c>
      <x:c r="L529" s="217" t="str">
        <x:f>IF(K529&lt;='排名定義'!$B$5,"是","")</x:f>
        <x:v>是</x:v>
      </x:c>
      <x:c r="M529" s="217" t="n">
        <x:f>COUNTIF(H529:L529,"是")</x:f>
        <x:v>3</x:v>
      </x:c>
      <x:c r="N529" s="217" t="str">
        <x:v>三份皆未入選</x:v>
      </x:c>
      <x:c r="O529" s="220" t="n">
        <x:v>63.4</x:v>
      </x:c>
      <x:c r="P529" s="220" t="n">
        <x:v>57.958333333333336</x:v>
      </x:c>
      <x:c r="Q529" s="220" t="n">
        <x:v>5.441666666666666</x:v>
      </x:c>
      <x:c r="R529" s="220" t="n">
        <x:v>0.08583070452155625</x:v>
      </x:c>
      <x:c r="S529" s="220" t="n">
        <x:v>89.90322580645162</x:v>
      </x:c>
      <x:c r="T529" s="220" t="n">
        <x:v>82.87096774193549</x:v>
      </x:c>
      <x:c r="U529" s="220" t="n">
        <x:v>7.032258064516129</x:v>
      </x:c>
      <x:c r="V529" s="218" t="n">
        <x:v>0.09216589861751152</x:v>
      </x:c>
      <x:c r="W529" s="217" t="n">
        <x:v>11</x:v>
      </x:c>
      <x:c r="X529" s="222" t="n">
        <x:v>1470</x:v>
      </x:c>
      <x:c r="Y529" s="217" t="n">
        <x:v>39</x:v>
      </x:c>
    </x:row>
    <x:row r="530">
      <x:c r="A530" s="216" t="n">
        <x:v>605</x:v>
      </x:c>
      <x:c r="B530" s="216" t="str">
        <x:v>豐年陸橋</x:v>
      </x:c>
      <x:c r="C530" s="216" t="str">
        <x:v>新莊區</x:v>
      </x:c>
      <x:c r="D530" s="216" t="n">
        <x:v>18</x:v>
      </x:c>
      <x:c r="E530" s="216" t="n">
        <x:v>120</x:v>
      </x:c>
      <x:c r="F530" s="219" t="n">
        <x:v>0.9994791666666667</x:v>
      </x:c>
      <x:c r="G530" s="216" t="n">
        <x:v>526</x:v>
      </x:c>
      <x:c r="H530" s="216" t="str">
        <x:f>IF(G530&lt;='排名定義'!$B$5,"是","")</x:f>
        <x:v>是</x:v>
      </x:c>
      <x:c r="I530" s="216" t="n">
        <x:v>507</x:v>
      </x:c>
      <x:c r="J530" s="216" t="str">
        <x:f>IF(I530&lt;='排名定義'!$B$5,"是","")</x:f>
        <x:v>是</x:v>
      </x:c>
      <x:c r="K530" s="216" t="n">
        <x:v>873</x:v>
      </x:c>
      <x:c r="L530" s="216" t="str">
        <x:f>IF(K530&lt;='排名定義'!$B$5,"是","")</x:f>
        <x:v>是</x:v>
      </x:c>
      <x:c r="M530" s="216" t="n">
        <x:f>COUNTIF(H530:L530,"是")</x:f>
        <x:v>3</x:v>
      </x:c>
      <x:c r="N530" s="216" t="str">
        <x:v>三份皆未入選</x:v>
      </x:c>
      <x:c r="O530" s="221" t="n">
        <x:v>63.358333333333334</x:v>
      </x:c>
      <x:c r="P530" s="221" t="n">
        <x:v>59.55833333333333</x:v>
      </x:c>
      <x:c r="Q530" s="221" t="n">
        <x:v>3.8</x:v>
      </x:c>
      <x:c r="R530" s="221" t="n">
        <x:v>0.059976325134815205</x:v>
      </x:c>
      <x:c r="S530" s="221" t="n">
        <x:v>83.41935483870968</x:v>
      </x:c>
      <x:c r="T530" s="221" t="n">
        <x:v>78.96774193548387</x:v>
      </x:c>
      <x:c r="U530" s="221" t="n">
        <x:v>4.451612903225806</x:v>
      </x:c>
      <x:c r="V530" s="219" t="n">
        <x:v>0.10599078341013825</x:v>
      </x:c>
      <x:c r="W530" s="216" t="n">
        <x:v>21</x:v>
      </x:c>
      <x:c r="X530" s="223" t="n">
        <x:v>2580</x:v>
      </x:c>
      <x:c r="Y530" s="216" t="n">
        <x:v>18</x:v>
      </x:c>
    </x:row>
    <x:row r="531">
      <x:c r="A531" s="217" t="n">
        <x:v>873</x:v>
      </x:c>
      <x:c r="B531" s="217" t="str">
        <x:v>土城紫藤廊道(學海街)</x:v>
      </x:c>
      <x:c r="C531" s="217" t="str">
        <x:v>土城區</x:v>
      </x:c>
      <x:c r="D531" s="217" t="n">
        <x:v>25</x:v>
      </x:c>
      <x:c r="E531" s="217" t="n">
        <x:v>120</x:v>
      </x:c>
      <x:c r="F531" s="218" t="n">
        <x:v>0.9994791666666667</x:v>
      </x:c>
      <x:c r="G531" s="217" t="n">
        <x:v>527</x:v>
      </x:c>
      <x:c r="H531" s="217" t="str">
        <x:f>IF(G531&lt;='排名定義'!$B$5,"是","")</x:f>
        <x:v>是</x:v>
      </x:c>
      <x:c r="I531" s="217" t="n">
        <x:v>541</x:v>
      </x:c>
      <x:c r="J531" s="217" t="str">
        <x:f>IF(I531&lt;='排名定義'!$B$5,"是","")</x:f>
        <x:v>是</x:v>
      </x:c>
      <x:c r="K531" s="217" t="n">
        <x:v>426</x:v>
      </x:c>
      <x:c r="L531" s="217" t="str">
        <x:f>IF(K531&lt;='排名定義'!$B$5,"是","")</x:f>
        <x:v>是</x:v>
      </x:c>
      <x:c r="M531" s="217" t="n">
        <x:f>COUNTIF(H531:L531,"是")</x:f>
        <x:v>3</x:v>
      </x:c>
      <x:c r="N531" s="217" t="str">
        <x:v>三份皆未入選</x:v>
      </x:c>
      <x:c r="O531" s="220" t="n">
        <x:v>63.266666666666666</x:v>
      </x:c>
      <x:c r="P531" s="220" t="n">
        <x:v>57.725</x:v>
      </x:c>
      <x:c r="Q531" s="220" t="n">
        <x:v>5.541666666666667</x:v>
      </x:c>
      <x:c r="R531" s="220" t="n">
        <x:v>0.08759220231822971</x:v>
      </x:c>
      <x:c r="S531" s="220" t="n">
        <x:v>80.6774193548387</x:v>
      </x:c>
      <x:c r="T531" s="220" t="n">
        <x:v>76.35483870967742</x:v>
      </x:c>
      <x:c r="U531" s="220" t="n">
        <x:v>4.32258064516129</x:v>
      </x:c>
      <x:c r="V531" s="218" t="n">
        <x:v>0.06912442396313365</x:v>
      </x:c>
      <x:c r="W531" s="217" t="n">
        <x:v>16</x:v>
      </x:c>
      <x:c r="X531" s="222" t="n">
        <x:v>1710</x:v>
      </x:c>
      <x:c r="Y531" s="217" t="n">
        <x:v>25</x:v>
      </x:c>
    </x:row>
    <x:row r="532">
      <x:c r="A532" s="216" t="n">
        <x:v>1421</x:v>
      </x:c>
      <x:c r="B532" s="216" t="str">
        <x:v>民有公園</x:v>
      </x:c>
      <x:c r="C532" s="216" t="str">
        <x:v>中和區</x:v>
      </x:c>
      <x:c r="D532" s="216" t="n">
        <x:v>48</x:v>
      </x:c>
      <x:c r="E532" s="216" t="n">
        <x:v>120</x:v>
      </x:c>
      <x:c r="F532" s="219" t="n">
        <x:v>0.9994791666666667</x:v>
      </x:c>
      <x:c r="G532" s="216" t="n">
        <x:v>528</x:v>
      </x:c>
      <x:c r="H532" s="216" t="str">
        <x:f>IF(G532&lt;='排名定義'!$B$5,"是","")</x:f>
        <x:v>是</x:v>
      </x:c>
      <x:c r="I532" s="216" t="n">
        <x:v>538</x:v>
      </x:c>
      <x:c r="J532" s="216" t="str">
        <x:f>IF(I532&lt;='排名定義'!$B$5,"是","")</x:f>
        <x:v>是</x:v>
      </x:c>
      <x:c r="K532" s="216" t="n">
        <x:v>466</x:v>
      </x:c>
      <x:c r="L532" s="216" t="str">
        <x:f>IF(K532&lt;='排名定義'!$B$5,"是","")</x:f>
        <x:v>是</x:v>
      </x:c>
      <x:c r="M532" s="216" t="n">
        <x:f>COUNTIF(H532:L532,"是")</x:f>
        <x:v>3</x:v>
      </x:c>
      <x:c r="N532" s="216" t="str">
        <x:v>三份皆未入選</x:v>
      </x:c>
      <x:c r="O532" s="221" t="n">
        <x:v>63.208333333333336</x:v>
      </x:c>
      <x:c r="P532" s="221" t="n">
        <x:v>57.891666666666666</x:v>
      </x:c>
      <x:c r="Q532" s="221" t="n">
        <x:v>5.316666666666666</x:v>
      </x:c>
      <x:c r="R532" s="221" t="n">
        <x:v>0.08411338167435728</x:v>
      </x:c>
      <x:c r="S532" s="221" t="n">
        <x:v>90.09677419354838</x:v>
      </x:c>
      <x:c r="T532" s="221" t="n">
        <x:v>85.2258064516129</x:v>
      </x:c>
      <x:c r="U532" s="221" t="n">
        <x:v>4.870967741935484</x:v>
      </x:c>
      <x:c r="V532" s="219" t="n">
        <x:v>0.03917050691244239</x:v>
      </x:c>
      <x:c r="W532" s="216" t="n">
        <x:v>5</x:v>
      </x:c>
      <x:c r="X532" s="223" t="n">
        <x:v>720</x:v>
      </x:c>
      <x:c r="Y532" s="216" t="n">
        <x:v>48</x:v>
      </x:c>
    </x:row>
    <x:row r="533">
      <x:c r="A533" s="217" t="n">
        <x:v>1036</x:v>
      </x:c>
      <x:c r="B533" s="217" t="str">
        <x:v>臺北大學田徑場(體風路)</x:v>
      </x:c>
      <x:c r="C533" s="217" t="str">
        <x:v>三峽區</x:v>
      </x:c>
      <x:c r="D533" s="217" t="n">
        <x:v>30</x:v>
      </x:c>
      <x:c r="E533" s="217" t="n">
        <x:v>120</x:v>
      </x:c>
      <x:c r="F533" s="218" t="n">
        <x:v>0.9994791666666667</x:v>
      </x:c>
      <x:c r="G533" s="217" t="n">
        <x:v>529</x:v>
      </x:c>
      <x:c r="H533" s="217" t="str">
        <x:f>IF(G533&lt;='排名定義'!$B$5,"是","")</x:f>
        <x:v>是</x:v>
      </x:c>
      <x:c r="I533" s="217" t="n">
        <x:v>544</x:v>
      </x:c>
      <x:c r="J533" s="217" t="str">
        <x:f>IF(I533&lt;='排名定義'!$B$5,"是","")</x:f>
        <x:v>是</x:v>
      </x:c>
      <x:c r="K533" s="217" t="n">
        <x:v>380</x:v>
      </x:c>
      <x:c r="L533" s="217" t="str">
        <x:f>IF(K533&lt;='排名定義'!$B$5,"是","")</x:f>
        <x:v>是</x:v>
      </x:c>
      <x:c r="M533" s="217" t="n">
        <x:f>COUNTIF(H533:L533,"是")</x:f>
        <x:v>3</x:v>
      </x:c>
      <x:c r="N533" s="217" t="str">
        <x:v>三份皆未入選</x:v>
      </x:c>
      <x:c r="O533" s="220" t="n">
        <x:v>63.19166666666667</x:v>
      </x:c>
      <x:c r="P533" s="220" t="n">
        <x:v>57.358333333333334</x:v>
      </x:c>
      <x:c r="Q533" s="220" t="n">
        <x:v>5.833333333333333</x:v>
      </x:c>
      <x:c r="R533" s="220" t="n">
        <x:v>0.09231174996703152</x:v>
      </x:c>
      <x:c r="S533" s="220" t="n">
        <x:v>117.45161290322581</x:v>
      </x:c>
      <x:c r="T533" s="220" t="n">
        <x:v>109.12903225806451</x:v>
      </x:c>
      <x:c r="U533" s="220" t="n">
        <x:v>8.32258064516129</x:v>
      </x:c>
      <x:c r="V533" s="218" t="n">
        <x:v>0.013824884792626729</x:v>
      </x:c>
      <x:c r="W533" s="217" t="n">
        <x:v>3</x:v>
      </x:c>
      <x:c r="X533" s="222" t="n">
        <x:v>480</x:v>
      </x:c>
      <x:c r="Y533" s="217" t="n">
        <x:v>52</x:v>
      </x:c>
    </x:row>
    <x:row r="534">
      <x:c r="A534" s="216" t="n">
        <x:v>368</x:v>
      </x:c>
      <x:c r="B534" s="216" t="str">
        <x:v>景本里集會所</x:v>
      </x:c>
      <x:c r="C534" s="216" t="str">
        <x:v>中和區</x:v>
      </x:c>
      <x:c r="D534" s="216" t="n">
        <x:v>15</x:v>
      </x:c>
      <x:c r="E534" s="216" t="n">
        <x:v>120</x:v>
      </x:c>
      <x:c r="F534" s="219" t="n">
        <x:v>0.9994791666666667</x:v>
      </x:c>
      <x:c r="G534" s="216" t="n">
        <x:v>530</x:v>
      </x:c>
      <x:c r="H534" s="216" t="str">
        <x:f>IF(G534&lt;='排名定義'!$B$5,"是","")</x:f>
        <x:v>是</x:v>
      </x:c>
      <x:c r="I534" s="216" t="n">
        <x:v>510</x:v>
      </x:c>
      <x:c r="J534" s="216" t="str">
        <x:f>IF(I534&lt;='排名定義'!$B$5,"是","")</x:f>
        <x:v>是</x:v>
      </x:c>
      <x:c r="K534" s="216" t="n">
        <x:v>867</x:v>
      </x:c>
      <x:c r="L534" s="216" t="str">
        <x:f>IF(K534&lt;='排名定義'!$B$5,"是","")</x:f>
        <x:v>是</x:v>
      </x:c>
      <x:c r="M534" s="216" t="n">
        <x:f>COUNTIF(H534:L534,"是")</x:f>
        <x:v>3</x:v>
      </x:c>
      <x:c r="N534" s="216" t="str">
        <x:v>三份皆未入選</x:v>
      </x:c>
      <x:c r="O534" s="221" t="n">
        <x:v>63.18333333333333</x:v>
      </x:c>
      <x:c r="P534" s="221" t="n">
        <x:v>59.36666666666667</x:v>
      </x:c>
      <x:c r="Q534" s="221" t="n">
        <x:v>3.816666666666667</x:v>
      </x:c>
      <x:c r="R534" s="221" t="n">
        <x:v>0.06040622527037721</x:v>
      </x:c>
      <x:c r="S534" s="221" t="n">
        <x:v>79.54838709677419</x:v>
      </x:c>
      <x:c r="T534" s="221" t="n">
        <x:v>74.61290322580645</x:v>
      </x:c>
      <x:c r="U534" s="221" t="n">
        <x:v>4.935483870967742</x:v>
      </x:c>
      <x:c r="V534" s="219" t="n">
        <x:v>0.15207373271889402</x:v>
      </x:c>
      <x:c r="W534" s="216" t="n">
        <x:v>35</x:v>
      </x:c>
      <x:c r="X534" s="223" t="n">
        <x:v>4920</x:v>
      </x:c>
      <x:c r="Y534" s="216" t="n">
        <x:v>15</x:v>
      </x:c>
    </x:row>
    <x:row r="535">
      <x:c r="A535" s="217" t="n">
        <x:v>916</x:v>
      </x:c>
      <x:c r="B535" s="217" t="str">
        <x:v>醒吾科技大學(粉寮路)</x:v>
      </x:c>
      <x:c r="C535" s="217" t="str">
        <x:v>林口區</x:v>
      </x:c>
      <x:c r="D535" s="217" t="n">
        <x:v>26</x:v>
      </x:c>
      <x:c r="E535" s="217" t="n">
        <x:v>120</x:v>
      </x:c>
      <x:c r="F535" s="218" t="n">
        <x:v>0.9994791666666667</x:v>
      </x:c>
      <x:c r="G535" s="217" t="n">
        <x:v>531</x:v>
      </x:c>
      <x:c r="H535" s="217" t="str">
        <x:f>IF(G535&lt;='排名定義'!$B$5,"是","")</x:f>
        <x:v>是</x:v>
      </x:c>
      <x:c r="I535" s="217" t="n">
        <x:v>526</x:v>
      </x:c>
      <x:c r="J535" s="217" t="str">
        <x:f>IF(I535&lt;='排名定義'!$B$5,"是","")</x:f>
        <x:v>是</x:v>
      </x:c>
      <x:c r="K535" s="217" t="n">
        <x:v>558</x:v>
      </x:c>
      <x:c r="L535" s="217" t="str">
        <x:f>IF(K535&lt;='排名定義'!$B$5,"是","")</x:f>
        <x:v>是</x:v>
      </x:c>
      <x:c r="M535" s="217" t="n">
        <x:f>COUNTIF(H535:L535,"是")</x:f>
        <x:v>3</x:v>
      </x:c>
      <x:c r="N535" s="217" t="str">
        <x:v>三份皆未入選</x:v>
      </x:c>
      <x:c r="O535" s="220" t="n">
        <x:v>63.15</x:v>
      </x:c>
      <x:c r="P535" s="220" t="n">
        <x:v>58.266666666666666</x:v>
      </x:c>
      <x:c r="Q535" s="220" t="n">
        <x:v>4.883333333333334</x:v>
      </x:c>
      <x:c r="R535" s="220" t="n">
        <x:v>0.07732911058326736</x:v>
      </x:c>
      <x:c r="S535" s="220" t="n">
        <x:v>97.58064516129032</x:v>
      </x:c>
      <x:c r="T535" s="220" t="n">
        <x:v>93.90322580645162</x:v>
      </x:c>
      <x:c r="U535" s="220" t="n">
        <x:v>3.6774193548387095</x:v>
      </x:c>
      <x:c r="V535" s="218" t="n">
        <x:v>0.06682027649769585</x:v>
      </x:c>
      <x:c r="W535" s="217" t="n">
        <x:v>10</x:v>
      </x:c>
      <x:c r="X535" s="222" t="n">
        <x:v>1320</x:v>
      </x:c>
      <x:c r="Y535" s="217" t="n">
        <x:v>26</x:v>
      </x:c>
    </x:row>
    <x:row r="536">
      <x:c r="A536" s="216" t="n">
        <x:v>1370</x:v>
      </x:c>
      <x:c r="B536" s="216" t="str">
        <x:v>環河公園</x:v>
      </x:c>
      <x:c r="C536" s="216" t="str">
        <x:v>板橋區</x:v>
      </x:c>
      <x:c r="D536" s="216" t="n">
        <x:v>44</x:v>
      </x:c>
      <x:c r="E536" s="216" t="n">
        <x:v>120</x:v>
      </x:c>
      <x:c r="F536" s="219" t="n">
        <x:v>0.9994791666666667</x:v>
      </x:c>
      <x:c r="G536" s="216" t="n">
        <x:v>532</x:v>
      </x:c>
      <x:c r="H536" s="216" t="str">
        <x:f>IF(G536&lt;='排名定義'!$B$5,"是","")</x:f>
        <x:v>是</x:v>
      </x:c>
      <x:c r="I536" s="216" t="n">
        <x:v>556</x:v>
      </x:c>
      <x:c r="J536" s="216" t="str">
        <x:f>IF(I536&lt;='排名定義'!$B$5,"是","")</x:f>
        <x:v>是</x:v>
      </x:c>
      <x:c r="K536" s="216" t="n">
        <x:v>254</x:v>
      </x:c>
      <x:c r="L536" s="216" t="str">
        <x:f>IF(K536&lt;='排名定義'!$B$5,"是","")</x:f>
        <x:v>是</x:v>
      </x:c>
      <x:c r="M536" s="216" t="n">
        <x:f>COUNTIF(H536:L536,"是")</x:f>
        <x:v>3</x:v>
      </x:c>
      <x:c r="N536" s="216" t="str">
        <x:v>僅大幅變動</x:v>
      </x:c>
      <x:c r="O536" s="221" t="n">
        <x:v>63.125</x:v>
      </x:c>
      <x:c r="P536" s="221" t="n">
        <x:v>56.38333333333333</x:v>
      </x:c>
      <x:c r="Q536" s="221" t="n">
        <x:v>6.741666666666666</x:v>
      </x:c>
      <x:c r="R536" s="221" t="n">
        <x:v>0.1067986798679868</x:v>
      </x:c>
      <x:c r="S536" s="221" t="n">
        <x:v>88.41935483870968</x:v>
      </x:c>
      <x:c r="T536" s="221" t="n">
        <x:v>83</x:v>
      </x:c>
      <x:c r="U536" s="221" t="n">
        <x:v>5.419354838709677</x:v>
      </x:c>
      <x:c r="V536" s="219" t="n">
        <x:v>0.0069124423963133645</x:v>
      </x:c>
      <x:c r="W536" s="216" t="n">
        <x:v>1</x:v>
      </x:c>
      <x:c r="X536" s="223" t="n">
        <x:v>120</x:v>
      </x:c>
      <x:c r="Y536" s="216" t="n">
        <x:v>44</x:v>
      </x:c>
    </x:row>
    <x:row r="537">
      <x:c r="A537" s="217" t="n">
        <x:v>1103</x:v>
      </x:c>
      <x:c r="B537" s="217" t="str">
        <x:v>三鶯國民運動中心停車場</x:v>
      </x:c>
      <x:c r="C537" s="217" t="str">
        <x:v>三峽區</x:v>
      </x:c>
      <x:c r="D537" s="217" t="n">
        <x:v>32</x:v>
      </x:c>
      <x:c r="E537" s="217" t="n">
        <x:v>120</x:v>
      </x:c>
      <x:c r="F537" s="218" t="n">
        <x:v>0.9994791666666667</x:v>
      </x:c>
      <x:c r="G537" s="217" t="n">
        <x:v>533</x:v>
      </x:c>
      <x:c r="H537" s="217" t="str">
        <x:f>IF(G537&lt;='排名定義'!$B$5,"是","")</x:f>
        <x:v>是</x:v>
      </x:c>
      <x:c r="I537" s="217" t="n">
        <x:v>543</x:v>
      </x:c>
      <x:c r="J537" s="217" t="str">
        <x:f>IF(I537&lt;='排名定義'!$B$5,"是","")</x:f>
        <x:v>是</x:v>
      </x:c>
      <x:c r="K537" s="217" t="n">
        <x:v>419</x:v>
      </x:c>
      <x:c r="L537" s="217" t="str">
        <x:f>IF(K537&lt;='排名定義'!$B$5,"是","")</x:f>
        <x:v>是</x:v>
      </x:c>
      <x:c r="M537" s="217" t="n">
        <x:f>COUNTIF(H537:L537,"是")</x:f>
        <x:v>3</x:v>
      </x:c>
      <x:c r="N537" s="217" t="str">
        <x:v>三份皆未入選</x:v>
      </x:c>
      <x:c r="O537" s="220" t="n">
        <x:v>63.025</x:v>
      </x:c>
      <x:c r="P537" s="220" t="n">
        <x:v>57.44166666666667</x:v>
      </x:c>
      <x:c r="Q537" s="220" t="n">
        <x:v>5.583333333333333</x:v>
      </x:c>
      <x:c r="R537" s="220" t="n">
        <x:v>0.08858918418616951</x:v>
      </x:c>
      <x:c r="S537" s="220" t="n">
        <x:v>97.6774193548387</x:v>
      </x:c>
      <x:c r="T537" s="220" t="n">
        <x:v>93.74193548387096</x:v>
      </x:c>
      <x:c r="U537" s="220" t="n">
        <x:v>3.935483870967742</x:v>
      </x:c>
      <x:c r="V537" s="218" t="n">
        <x:v>0.013824884792626729</x:v>
      </x:c>
      <x:c r="W537" s="217" t="n">
        <x:v>12</x:v>
      </x:c>
      <x:c r="X537" s="222" t="n">
        <x:v>1320</x:v>
      </x:c>
      <x:c r="Y537" s="217" t="n">
        <x:v>32</x:v>
      </x:c>
    </x:row>
    <x:row r="538">
      <x:c r="A538" s="216" t="n">
        <x:v>116</x:v>
      </x:c>
      <x:c r="B538" s="216" t="str">
        <x:v>審計人員訓練大樓</x:v>
      </x:c>
      <x:c r="C538" s="216" t="str">
        <x:v>中和區</x:v>
      </x:c>
      <x:c r="D538" s="216" t="n">
        <x:v>10</x:v>
      </x:c>
      <x:c r="E538" s="216" t="n">
        <x:v>120</x:v>
      </x:c>
      <x:c r="F538" s="219" t="n">
        <x:v>0.9994791666666667</x:v>
      </x:c>
      <x:c r="G538" s="216" t="n">
        <x:v>534</x:v>
      </x:c>
      <x:c r="H538" s="216" t="str">
        <x:f>IF(G538&lt;='排名定義'!$B$5,"是","")</x:f>
        <x:v>是</x:v>
      </x:c>
      <x:c r="I538" s="216" t="n">
        <x:v>511</x:v>
      </x:c>
      <x:c r="J538" s="216" t="str">
        <x:f>IF(I538&lt;='排名定義'!$B$5,"是","")</x:f>
        <x:v>是</x:v>
      </x:c>
      <x:c r="K538" s="216" t="n">
        <x:v>915</x:v>
      </x:c>
      <x:c r="L538" s="216" t="str">
        <x:f>IF(K538&lt;='排名定義'!$B$5,"是","")</x:f>
        <x:v>是</x:v>
      </x:c>
      <x:c r="M538" s="216" t="n">
        <x:f>COUNTIF(H538:L538,"是")</x:f>
        <x:v>3</x:v>
      </x:c>
      <x:c r="N538" s="216" t="str">
        <x:v>三份皆未入選</x:v>
      </x:c>
      <x:c r="O538" s="221" t="n">
        <x:v>62.916666666666664</x:v>
      </x:c>
      <x:c r="P538" s="221" t="n">
        <x:v>59.25</x:v>
      </x:c>
      <x:c r="Q538" s="221" t="n">
        <x:v>3.6666666666666665</x:v>
      </x:c>
      <x:c r="R538" s="221" t="n">
        <x:v>0.05827814569536424</x:v>
      </x:c>
      <x:c r="S538" s="221" t="n">
        <x:v>71.7741935483871</x:v>
      </x:c>
      <x:c r="T538" s="221" t="n">
        <x:v>68.83870967741936</x:v>
      </x:c>
      <x:c r="U538" s="221" t="n">
        <x:v>2.935483870967742</x:v>
      </x:c>
      <x:c r="V538" s="219" t="n">
        <x:v>0.2672811059907834</x:v>
      </x:c>
      <x:c r="W538" s="216" t="n">
        <x:v>83</x:v>
      </x:c>
      <x:c r="X538" s="223" t="n">
        <x:v>9900</x:v>
      </x:c>
      <x:c r="Y538" s="216" t="n">
        <x:v>10</x:v>
      </x:c>
    </x:row>
    <x:row r="539">
      <x:c r="A539" s="217" t="n">
        <x:v>1263</x:v>
      </x:c>
      <x:c r="B539" s="217" t="str">
        <x:v>忠誠里(北新路2段97巷)</x:v>
      </x:c>
      <x:c r="C539" s="217" t="str">
        <x:v>新店區</x:v>
      </x:c>
      <x:c r="D539" s="217" t="n">
        <x:v>40</x:v>
      </x:c>
      <x:c r="E539" s="217" t="n">
        <x:v>120</x:v>
      </x:c>
      <x:c r="F539" s="218" t="n">
        <x:v>0.9994791666666667</x:v>
      </x:c>
      <x:c r="G539" s="217" t="n">
        <x:v>535</x:v>
      </x:c>
      <x:c r="H539" s="217" t="str">
        <x:f>IF(G539&lt;='排名定義'!$B$5,"是","")</x:f>
        <x:v>是</x:v>
      </x:c>
      <x:c r="I539" s="217" t="n">
        <x:v>537</x:v>
      </x:c>
      <x:c r="J539" s="217" t="str">
        <x:f>IF(I539&lt;='排名定義'!$B$5,"是","")</x:f>
        <x:v>是</x:v>
      </x:c>
      <x:c r="K539" s="217" t="n">
        <x:v>534</x:v>
      </x:c>
      <x:c r="L539" s="217" t="str">
        <x:f>IF(K539&lt;='排名定義'!$B$5,"是","")</x:f>
        <x:v>是</x:v>
      </x:c>
      <x:c r="M539" s="217" t="n">
        <x:f>COUNTIF(H539:L539,"是")</x:f>
        <x:v>3</x:v>
      </x:c>
      <x:c r="N539" s="217" t="str">
        <x:v>三份皆未入選</x:v>
      </x:c>
      <x:c r="O539" s="220" t="n">
        <x:v>62.891666666666666</x:v>
      </x:c>
      <x:c r="P539" s="220" t="n">
        <x:v>57.9</x:v>
      </x:c>
      <x:c r="Q539" s="220" t="n">
        <x:v>4.991666666666666</x:v>
      </x:c>
      <x:c r="R539" s="220" t="n">
        <x:v>0.0793692858089307</x:v>
      </x:c>
      <x:c r="S539" s="220" t="n">
        <x:v>91.41935483870968</x:v>
      </x:c>
      <x:c r="T539" s="220" t="n">
        <x:v>83.19354838709677</x:v>
      </x:c>
      <x:c r="U539" s="220" t="n">
        <x:v>8.225806451612904</x:v>
      </x:c>
      <x:c r="V539" s="218" t="n">
        <x:v>0.07142857142857142</x:v>
      </x:c>
      <x:c r="W539" s="217" t="n">
        <x:v>38</x:v>
      </x:c>
      <x:c r="X539" s="222" t="n">
        <x:v>4680</x:v>
      </x:c>
      <x:c r="Y539" s="217" t="n">
        <x:v>40</x:v>
      </x:c>
    </x:row>
    <x:row r="540">
      <x:c r="A540" s="216" t="n">
        <x:v>277</x:v>
      </x:c>
      <x:c r="B540" s="216" t="str">
        <x:v>民族路314巷口</x:v>
      </x:c>
      <x:c r="C540" s="216" t="str">
        <x:v>蘆洲區</x:v>
      </x:c>
      <x:c r="D540" s="216" t="n">
        <x:v>14</x:v>
      </x:c>
      <x:c r="E540" s="216" t="n">
        <x:v>120</x:v>
      </x:c>
      <x:c r="F540" s="219" t="n">
        <x:v>0.9994791666666667</x:v>
      </x:c>
      <x:c r="G540" s="216" t="n">
        <x:v>536</x:v>
      </x:c>
      <x:c r="H540" s="216" t="str">
        <x:f>IF(G540&lt;='排名定義'!$B$5,"是","")</x:f>
        <x:v>是</x:v>
      </x:c>
      <x:c r="I540" s="216" t="n">
        <x:v>509</x:v>
      </x:c>
      <x:c r="J540" s="216" t="str">
        <x:f>IF(I540&lt;='排名定義'!$B$5,"是","")</x:f>
        <x:v>是</x:v>
      </x:c>
      <x:c r="K540" s="216" t="n">
        <x:v>1052</x:v>
      </x:c>
      <x:c r="L540" s="216" t="str">
        <x:f>IF(K540&lt;='排名定義'!$B$5,"是","")</x:f>
        <x:v>是</x:v>
      </x:c>
      <x:c r="M540" s="216" t="n">
        <x:f>COUNTIF(H540:L540,"是")</x:f>
        <x:v>3</x:v>
      </x:c>
      <x:c r="N540" s="216" t="str">
        <x:v>三份皆未入選</x:v>
      </x:c>
      <x:c r="O540" s="221" t="n">
        <x:v>62.84166666666667</x:v>
      </x:c>
      <x:c r="P540" s="221" t="n">
        <x:v>59.50833333333333</x:v>
      </x:c>
      <x:c r="Q540" s="221" t="n">
        <x:v>3.3333333333333335</x:v>
      </x:c>
      <x:c r="R540" s="221" t="n">
        <x:v>0.05304336294921098</x:v>
      </x:c>
      <x:c r="S540" s="221" t="n">
        <x:v>83.29032258064517</x:v>
      </x:c>
      <x:c r="T540" s="221" t="n">
        <x:v>79.83870967741936</x:v>
      </x:c>
      <x:c r="U540" s="221" t="n">
        <x:v>3.4516129032258065</x:v>
      </x:c>
      <x:c r="V540" s="219" t="n">
        <x:v>0.09216589861751152</x:v>
      </x:c>
      <x:c r="W540" s="216" t="n">
        <x:v>19</x:v>
      </x:c>
      <x:c r="X540" s="223" t="n">
        <x:v>2940</x:v>
      </x:c>
      <x:c r="Y540" s="216" t="n">
        <x:v>14</x:v>
      </x:c>
    </x:row>
    <x:row r="541">
      <x:c r="A541" s="217" t="n">
        <x:v>978</x:v>
      </x:c>
      <x:c r="B541" s="217" t="str">
        <x:v>蘆洲重陽大樓</x:v>
      </x:c>
      <x:c r="C541" s="217" t="str">
        <x:v>蘆洲區</x:v>
      </x:c>
      <x:c r="D541" s="217" t="n">
        <x:v>28</x:v>
      </x:c>
      <x:c r="E541" s="217" t="n">
        <x:v>120</x:v>
      </x:c>
      <x:c r="F541" s="218" t="n">
        <x:v>0.9994791666666667</x:v>
      </x:c>
      <x:c r="G541" s="217" t="n">
        <x:v>537</x:v>
      </x:c>
      <x:c r="H541" s="217" t="str">
        <x:f>IF(G541&lt;='排名定義'!$B$5,"是","")</x:f>
        <x:v>是</x:v>
      </x:c>
      <x:c r="I541" s="217" t="n">
        <x:v>534</x:v>
      </x:c>
      <x:c r="J541" s="217" t="str">
        <x:f>IF(I541&lt;='排名定義'!$B$5,"是","")</x:f>
        <x:v>是</x:v>
      </x:c>
      <x:c r="K541" s="217" t="n">
        <x:v>579</x:v>
      </x:c>
      <x:c r="L541" s="217" t="str">
        <x:f>IF(K541&lt;='排名定義'!$B$5,"是","")</x:f>
        <x:v>是</x:v>
      </x:c>
      <x:c r="M541" s="217" t="n">
        <x:f>COUNTIF(H541:L541,"是")</x:f>
        <x:v>3</x:v>
      </x:c>
      <x:c r="N541" s="217" t="str">
        <x:v>三份皆未入選</x:v>
      </x:c>
      <x:c r="O541" s="220" t="n">
        <x:v>62.75</x:v>
      </x:c>
      <x:c r="P541" s="220" t="n">
        <x:v>57.958333333333336</x:v>
      </x:c>
      <x:c r="Q541" s="220" t="n">
        <x:v>4.791666666666667</x:v>
      </x:c>
      <x:c r="R541" s="220" t="n">
        <x:v>0.07636122177954847</x:v>
      </x:c>
      <x:c r="S541" s="220" t="n">
        <x:v>88.87096774193549</x:v>
      </x:c>
      <x:c r="T541" s="220" t="n">
        <x:v>84.51612903225806</x:v>
      </x:c>
      <x:c r="U541" s="220" t="n">
        <x:v>4.354838709677419</x:v>
      </x:c>
      <x:c r="V541" s="218" t="n">
        <x:v>0.04377880184331797</x:v>
      </x:c>
      <x:c r="W541" s="217" t="n">
        <x:v>7</x:v>
      </x:c>
      <x:c r="X541" s="222" t="n">
        <x:v>1320</x:v>
      </x:c>
      <x:c r="Y541" s="217" t="n">
        <x:v>28</x:v>
      </x:c>
    </x:row>
    <x:row r="542">
      <x:c r="A542" s="216" t="n">
        <x:v>375</x:v>
      </x:c>
      <x:c r="B542" s="216" t="str">
        <x:v>永和國中(國中路)</x:v>
      </x:c>
      <x:c r="C542" s="216" t="str">
        <x:v>永和區</x:v>
      </x:c>
      <x:c r="D542" s="216" t="n">
        <x:v>15</x:v>
      </x:c>
      <x:c r="E542" s="216" t="n">
        <x:v>120</x:v>
      </x:c>
      <x:c r="F542" s="219" t="n">
        <x:v>0.9994791666666667</x:v>
      </x:c>
      <x:c r="G542" s="216" t="n">
        <x:v>538</x:v>
      </x:c>
      <x:c r="H542" s="216" t="str">
        <x:f>IF(G542&lt;='排名定義'!$B$5,"是","")</x:f>
        <x:v>是</x:v>
      </x:c>
      <x:c r="I542" s="216" t="n">
        <x:v>530</x:v>
      </x:c>
      <x:c r="J542" s="216" t="str">
        <x:f>IF(I542&lt;='排名定義'!$B$5,"是","")</x:f>
        <x:v>是</x:v>
      </x:c>
      <x:c r="K542" s="216" t="n">
        <x:v>621</x:v>
      </x:c>
      <x:c r="L542" s="216" t="str">
        <x:f>IF(K542&lt;='排名定義'!$B$5,"是","")</x:f>
        <x:v>是</x:v>
      </x:c>
      <x:c r="M542" s="216" t="n">
        <x:f>COUNTIF(H542:L542,"是")</x:f>
        <x:v>3</x:v>
      </x:c>
      <x:c r="N542" s="216" t="str">
        <x:v>三份皆未入選</x:v>
      </x:c>
      <x:c r="O542" s="221" t="n">
        <x:v>62.641666666666666</x:v>
      </x:c>
      <x:c r="P542" s="221" t="n">
        <x:v>58.06666666666667</x:v>
      </x:c>
      <x:c r="Q542" s="221" t="n">
        <x:v>4.575</x:v>
      </x:c>
      <x:c r="R542" s="221" t="n">
        <x:v>0.07303445523480112</x:v>
      </x:c>
      <x:c r="S542" s="221" t="n">
        <x:v>90.03225806451613</x:v>
      </x:c>
      <x:c r="T542" s="221" t="n">
        <x:v>86.2258064516129</x:v>
      </x:c>
      <x:c r="U542" s="221" t="n">
        <x:v>3.806451612903226</x:v>
      </x:c>
      <x:c r="V542" s="219" t="n">
        <x:v>0.08064516129032258</x:v>
      </x:c>
      <x:c r="W542" s="216" t="n">
        <x:v>25</x:v>
      </x:c>
      <x:c r="X542" s="223" t="n">
        <x:v>3150</x:v>
      </x:c>
      <x:c r="Y542" s="216" t="n">
        <x:v>15</x:v>
      </x:c>
    </x:row>
    <x:row r="543">
      <x:c r="A543" s="217" t="n">
        <x:v>273</x:v>
      </x:c>
      <x:c r="B543" s="217" t="str">
        <x:v>新莊運動公園地下停車場</x:v>
      </x:c>
      <x:c r="C543" s="217" t="str">
        <x:v>新莊區</x:v>
      </x:c>
      <x:c r="D543" s="217" t="n">
        <x:v>14</x:v>
      </x:c>
      <x:c r="E543" s="217" t="n">
        <x:v>120</x:v>
      </x:c>
      <x:c r="F543" s="218" t="n">
        <x:v>0.9994791666666667</x:v>
      </x:c>
      <x:c r="G543" s="217" t="n">
        <x:v>539</x:v>
      </x:c>
      <x:c r="H543" s="217" t="str">
        <x:f>IF(G543&lt;='排名定義'!$B$5,"是","")</x:f>
        <x:v>是</x:v>
      </x:c>
      <x:c r="I543" s="217" t="n">
        <x:v>524</x:v>
      </x:c>
      <x:c r="J543" s="217" t="str">
        <x:f>IF(I543&lt;='排名定義'!$B$5,"是","")</x:f>
        <x:v>是</x:v>
      </x:c>
      <x:c r="K543" s="217" t="n">
        <x:v>706</x:v>
      </x:c>
      <x:c r="L543" s="217" t="str">
        <x:f>IF(K543&lt;='排名定義'!$B$5,"是","")</x:f>
        <x:v>是</x:v>
      </x:c>
      <x:c r="M543" s="217" t="n">
        <x:f>COUNTIF(H543:L543,"是")</x:f>
        <x:v>3</x:v>
      </x:c>
      <x:c r="N543" s="217" t="str">
        <x:v>三份皆未入選</x:v>
      </x:c>
      <x:c r="O543" s="220" t="n">
        <x:v>62.625</x:v>
      </x:c>
      <x:c r="P543" s="220" t="n">
        <x:v>58.34166666666667</x:v>
      </x:c>
      <x:c r="Q543" s="220" t="n">
        <x:v>4.283333333333333</x:v>
      </x:c>
      <x:c r="R543" s="220" t="n">
        <x:v>0.06839654025282768</x:v>
      </x:c>
      <x:c r="S543" s="220" t="n">
        <x:v>85.58064516129032</x:v>
      </x:c>
      <x:c r="T543" s="220" t="n">
        <x:v>82.54838709677419</x:v>
      </x:c>
      <x:c r="U543" s="220" t="n">
        <x:v>3.032258064516129</x:v>
      </x:c>
      <x:c r="V543" s="218" t="n">
        <x:v>0.15207373271889402</x:v>
      </x:c>
      <x:c r="W543" s="217" t="n">
        <x:v>26</x:v>
      </x:c>
      <x:c r="X543" s="222" t="n">
        <x:v>3690</x:v>
      </x:c>
      <x:c r="Y543" s="217" t="n">
        <x:v>14</x:v>
      </x:c>
    </x:row>
    <x:row r="544">
      <x:c r="A544" s="216" t="n">
        <x:v>1364</x:v>
      </x:c>
      <x:c r="B544" s="216" t="str">
        <x:v>工建樟樹一路口</x:v>
      </x:c>
      <x:c r="C544" s="216" t="str">
        <x:v>汐止區</x:v>
      </x:c>
      <x:c r="D544" s="216" t="n">
        <x:v>44</x:v>
      </x:c>
      <x:c r="E544" s="216" t="n">
        <x:v>120</x:v>
      </x:c>
      <x:c r="F544" s="219" t="n">
        <x:v>0.9994791666666667</x:v>
      </x:c>
      <x:c r="G544" s="216" t="n">
        <x:v>540</x:v>
      </x:c>
      <x:c r="H544" s="216" t="str">
        <x:f>IF(G544&lt;='排名定義'!$B$5,"是","")</x:f>
        <x:v>是</x:v>
      </x:c>
      <x:c r="I544" s="216" t="n">
        <x:v>551</x:v>
      </x:c>
      <x:c r="J544" s="216" t="str">
        <x:f>IF(I544&lt;='排名定義'!$B$5,"是","")</x:f>
        <x:v>是</x:v>
      </x:c>
      <x:c r="K544" s="216" t="n">
        <x:v>450</x:v>
      </x:c>
      <x:c r="L544" s="216" t="str">
        <x:f>IF(K544&lt;='排名定義'!$B$5,"是","")</x:f>
        <x:v>是</x:v>
      </x:c>
      <x:c r="M544" s="216" t="n">
        <x:f>COUNTIF(H544:L544,"是")</x:f>
        <x:v>3</x:v>
      </x:c>
      <x:c r="N544" s="216" t="str">
        <x:v>三份皆未入選</x:v>
      </x:c>
      <x:c r="O544" s="221" t="n">
        <x:v>62.46666666666667</x:v>
      </x:c>
      <x:c r="P544" s="221" t="n">
        <x:v>57.05</x:v>
      </x:c>
      <x:c r="Q544" s="221" t="n">
        <x:v>5.416666666666667</x:v>
      </x:c>
      <x:c r="R544" s="221" t="n">
        <x:v>0.0867129135538954</x:v>
      </x:c>
      <x:c r="S544" s="221" t="n">
        <x:v>101.83870967741936</x:v>
      </x:c>
      <x:c r="T544" s="221" t="n">
        <x:v>97</x:v>
      </x:c>
      <x:c r="U544" s="221" t="n">
        <x:v>4.838709677419355</x:v>
      </x:c>
      <x:c r="V544" s="219" t="n">
        <x:v>0.020737327188940093</x:v>
      </x:c>
      <x:c r="W544" s="216" t="n">
        <x:v>10</x:v>
      </x:c>
      <x:c r="X544" s="223" t="n">
        <x:v>1320</x:v>
      </x:c>
      <x:c r="Y544" s="216" t="n">
        <x:v>44</x:v>
      </x:c>
    </x:row>
    <x:row r="545">
      <x:c r="A545" s="217" t="n">
        <x:v>146</x:v>
      </x:c>
      <x:c r="B545" s="217" t="str">
        <x:v>台灣科技總部</x:v>
      </x:c>
      <x:c r="C545" s="217" t="str">
        <x:v>新店區</x:v>
      </x:c>
      <x:c r="D545" s="217" t="n">
        <x:v>11</x:v>
      </x:c>
      <x:c r="E545" s="217" t="n">
        <x:v>120</x:v>
      </x:c>
      <x:c r="F545" s="218" t="n">
        <x:v>0.9994791666666667</x:v>
      </x:c>
      <x:c r="G545" s="217" t="n">
        <x:v>541</x:v>
      </x:c>
      <x:c r="H545" s="217" t="str">
        <x:f>IF(G545&lt;='排名定義'!$B$5,"是","")</x:f>
        <x:v>是</x:v>
      </x:c>
      <x:c r="I545" s="217" t="n">
        <x:v>514</x:v>
      </x:c>
      <x:c r="J545" s="217" t="str">
        <x:f>IF(I545&lt;='排名定義'!$B$5,"是","")</x:f>
        <x:v>是</x:v>
      </x:c>
      <x:c r="K545" s="217" t="n">
        <x:v>988</x:v>
      </x:c>
      <x:c r="L545" s="217" t="str">
        <x:f>IF(K545&lt;='排名定義'!$B$5,"是","")</x:f>
        <x:v>是</x:v>
      </x:c>
      <x:c r="M545" s="217" t="n">
        <x:f>COUNTIF(H545:L545,"是")</x:f>
        <x:v>3</x:v>
      </x:c>
      <x:c r="N545" s="217" t="str">
        <x:v>三份皆未入選</x:v>
      </x:c>
      <x:c r="O545" s="220" t="n">
        <x:v>62.4</x:v>
      </x:c>
      <x:c r="P545" s="220" t="n">
        <x:v>58.93333333333333</x:v>
      </x:c>
      <x:c r="Q545" s="220" t="n">
        <x:v>3.466666666666667</x:v>
      </x:c>
      <x:c r="R545" s="220" t="n">
        <x:v>0.05555555555555555</x:v>
      </x:c>
      <x:c r="S545" s="220" t="n">
        <x:v>73.3225806451613</x:v>
      </x:c>
      <x:c r="T545" s="220" t="n">
        <x:v>70.54838709677419</x:v>
      </x:c>
      <x:c r="U545" s="220" t="n">
        <x:v>2.774193548387097</x:v>
      </x:c>
      <x:c r="V545" s="218" t="n">
        <x:v>0.1359447004608295</x:v>
      </x:c>
      <x:c r="W545" s="217" t="n">
        <x:v>48</x:v>
      </x:c>
      <x:c r="X545" s="222" t="n">
        <x:v>6480</x:v>
      </x:c>
      <x:c r="Y545" s="217" t="n">
        <x:v>11</x:v>
      </x:c>
    </x:row>
    <x:row r="546">
      <x:c r="A546" s="216" t="n">
        <x:v>1278</x:v>
      </x:c>
      <x:c r="B546" s="216" t="str">
        <x:v>簡仔舍街(河家歡社區)</x:v>
      </x:c>
      <x:c r="C546" s="216" t="str">
        <x:v>三重區</x:v>
      </x:c>
      <x:c r="D546" s="216" t="n">
        <x:v>40</x:v>
      </x:c>
      <x:c r="E546" s="216" t="n">
        <x:v>120</x:v>
      </x:c>
      <x:c r="F546" s="219" t="n">
        <x:v>0.9994791666666667</x:v>
      </x:c>
      <x:c r="G546" s="216" t="n">
        <x:v>542</x:v>
      </x:c>
      <x:c r="H546" s="216" t="str">
        <x:f>IF(G546&lt;='排名定義'!$B$5,"是","")</x:f>
        <x:v>是</x:v>
      </x:c>
      <x:c r="I546" s="216" t="n">
        <x:v>553</x:v>
      </x:c>
      <x:c r="J546" s="216" t="str">
        <x:f>IF(I546&lt;='排名定義'!$B$5,"是","")</x:f>
        <x:v>是</x:v>
      </x:c>
      <x:c r="K546" s="216" t="n">
        <x:v>464</x:v>
      </x:c>
      <x:c r="L546" s="216" t="str">
        <x:f>IF(K546&lt;='排名定義'!$B$5,"是","")</x:f>
        <x:v>是</x:v>
      </x:c>
      <x:c r="M546" s="216" t="n">
        <x:f>COUNTIF(H546:L546,"是")</x:f>
        <x:v>3</x:v>
      </x:c>
      <x:c r="N546" s="216" t="str">
        <x:v>三份皆未入選</x:v>
      </x:c>
      <x:c r="O546" s="221" t="n">
        <x:v>62.266666666666666</x:v>
      </x:c>
      <x:c r="P546" s="221" t="n">
        <x:v>56.95</x:v>
      </x:c>
      <x:c r="Q546" s="221" t="n">
        <x:v>5.316666666666666</x:v>
      </x:c>
      <x:c r="R546" s="221" t="n">
        <x:v>0.08538543897216275</x:v>
      </x:c>
      <x:c r="S546" s="221" t="n">
        <x:v>80.70967741935483</x:v>
      </x:c>
      <x:c r="T546" s="221" t="n">
        <x:v>76.70967741935483</x:v>
      </x:c>
      <x:c r="U546" s="221" t="n">
        <x:v>4</x:v>
      </x:c>
      <x:c r="V546" s="219" t="n">
        <x:v>0.07142857142857142</x:v>
      </x:c>
      <x:c r="W546" s="216" t="n">
        <x:v>11</x:v>
      </x:c>
      <x:c r="X546" s="223" t="n">
        <x:v>1500</x:v>
      </x:c>
      <x:c r="Y546" s="216" t="n">
        <x:v>40</x:v>
      </x:c>
    </x:row>
    <x:row r="547">
      <x:c r="A547" s="217" t="n">
        <x:v>539</x:v>
      </x:c>
      <x:c r="B547" s="217" t="str">
        <x:v>長榮路211巷口</x:v>
      </x:c>
      <x:c r="C547" s="217" t="str">
        <x:v>蘆洲區</x:v>
      </x:c>
      <x:c r="D547" s="217" t="n">
        <x:v>17</x:v>
      </x:c>
      <x:c r="E547" s="217" t="n">
        <x:v>120</x:v>
      </x:c>
      <x:c r="F547" s="218" t="n">
        <x:v>0.9994791666666667</x:v>
      </x:c>
      <x:c r="G547" s="217" t="n">
        <x:v>543</x:v>
      </x:c>
      <x:c r="H547" s="217" t="str">
        <x:f>IF(G547&lt;='排名定義'!$B$5,"是","")</x:f>
        <x:v>是</x:v>
      </x:c>
      <x:c r="I547" s="217" t="n">
        <x:v>523</x:v>
      </x:c>
      <x:c r="J547" s="217" t="str">
        <x:f>IF(I547&lt;='排名定義'!$B$5,"是","")</x:f>
        <x:v>是</x:v>
      </x:c>
      <x:c r="K547" s="217" t="n">
        <x:v>891</x:v>
      </x:c>
      <x:c r="L547" s="217" t="str">
        <x:f>IF(K547&lt;='排名定義'!$B$5,"是","")</x:f>
        <x:v>是</x:v>
      </x:c>
      <x:c r="M547" s="217" t="n">
        <x:f>COUNTIF(H547:L547,"是")</x:f>
        <x:v>3</x:v>
      </x:c>
      <x:c r="N547" s="217" t="str">
        <x:v>三份皆未入選</x:v>
      </x:c>
      <x:c r="O547" s="220" t="n">
        <x:v>62.108333333333334</x:v>
      </x:c>
      <x:c r="P547" s="220" t="n">
        <x:v>58.35</x:v>
      </x:c>
      <x:c r="Q547" s="220" t="n">
        <x:v>3.7583333333333333</x:v>
      </x:c>
      <x:c r="R547" s="220" t="n">
        <x:v>0.06051254528377834</x:v>
      </x:c>
      <x:c r="S547" s="220" t="n">
        <x:v>80.64516129032258</x:v>
      </x:c>
      <x:c r="T547" s="220" t="n">
        <x:v>77.25806451612904</x:v>
      </x:c>
      <x:c r="U547" s="220" t="n">
        <x:v>3.3870967741935485</x:v>
      </x:c>
      <x:c r="V547" s="218" t="n">
        <x:v>0.06682027649769585</x:v>
      </x:c>
      <x:c r="W547" s="217" t="n">
        <x:v>16</x:v>
      </x:c>
      <x:c r="X547" s="222" t="n">
        <x:v>2070</x:v>
      </x:c>
      <x:c r="Y547" s="217" t="n">
        <x:v>17</x:v>
      </x:c>
    </x:row>
    <x:row r="548">
      <x:c r="A548" s="216" t="n">
        <x:v>283</x:v>
      </x:c>
      <x:c r="B548" s="216" t="str">
        <x:v>秀山公園(北側)</x:v>
      </x:c>
      <x:c r="C548" s="216" t="str">
        <x:v>中和區</x:v>
      </x:c>
      <x:c r="D548" s="216" t="n">
        <x:v>14</x:v>
      </x:c>
      <x:c r="E548" s="216" t="n">
        <x:v>120</x:v>
      </x:c>
      <x:c r="F548" s="219" t="n">
        <x:v>0.9994791666666667</x:v>
      </x:c>
      <x:c r="G548" s="216" t="n">
        <x:v>544</x:v>
      </x:c>
      <x:c r="H548" s="216" t="str">
        <x:f>IF(G548&lt;='排名定義'!$B$5,"是","")</x:f>
        <x:v>是</x:v>
      </x:c>
      <x:c r="I548" s="216" t="n">
        <x:v>528</x:v>
      </x:c>
      <x:c r="J548" s="216" t="str">
        <x:f>IF(I548&lt;='排名定義'!$B$5,"是","")</x:f>
        <x:v>是</x:v>
      </x:c>
      <x:c r="K548" s="216" t="n">
        <x:v>863</x:v>
      </x:c>
      <x:c r="L548" s="216" t="str">
        <x:f>IF(K548&lt;='排名定義'!$B$5,"是","")</x:f>
        <x:v>是</x:v>
      </x:c>
      <x:c r="M548" s="216" t="n">
        <x:f>COUNTIF(H548:L548,"是")</x:f>
        <x:v>3</x:v>
      </x:c>
      <x:c r="N548" s="216" t="str">
        <x:v>三份皆未入選</x:v>
      </x:c>
      <x:c r="O548" s="221" t="n">
        <x:v>62.025</x:v>
      </x:c>
      <x:c r="P548" s="221" t="n">
        <x:v>58.2</x:v>
      </x:c>
      <x:c r="Q548" s="221" t="n">
        <x:v>3.825</x:v>
      </x:c>
      <x:c r="R548" s="221" t="n">
        <x:v>0.06166868198307134</x:v>
      </x:c>
      <x:c r="S548" s="221" t="n">
        <x:v>90.6774193548387</x:v>
      </x:c>
      <x:c r="T548" s="221" t="n">
        <x:v>87.25806451612904</x:v>
      </x:c>
      <x:c r="U548" s="221" t="n">
        <x:v>3.4193548387096775</x:v>
      </x:c>
      <x:c r="V548" s="219" t="n">
        <x:v>0.07603686635944701</x:v>
      </x:c>
      <x:c r="W548" s="216" t="n">
        <x:v>24</x:v>
      </x:c>
      <x:c r="X548" s="223" t="n">
        <x:v>3390</x:v>
      </x:c>
      <x:c r="Y548" s="216" t="n">
        <x:v>14</x:v>
      </x:c>
    </x:row>
    <x:row r="549">
      <x:c r="A549" s="217" t="n">
        <x:v>222</x:v>
      </x:c>
      <x:c r="B549" s="217" t="str">
        <x:v>中正路347巷口</x:v>
      </x:c>
      <x:c r="C549" s="217" t="str">
        <x:v>新莊區</x:v>
      </x:c>
      <x:c r="D549" s="217" t="n">
        <x:v>13</x:v>
      </x:c>
      <x:c r="E549" s="217" t="n">
        <x:v>120</x:v>
      </x:c>
      <x:c r="F549" s="218" t="n">
        <x:v>0.9994791666666667</x:v>
      </x:c>
      <x:c r="G549" s="217" t="n">
        <x:v>545</x:v>
      </x:c>
      <x:c r="H549" s="217" t="str">
        <x:f>IF(G549&lt;='排名定義'!$B$5,"是","")</x:f>
        <x:v>是</x:v>
      </x:c>
      <x:c r="I549" s="217" t="n">
        <x:v>546</x:v>
      </x:c>
      <x:c r="J549" s="217" t="str">
        <x:f>IF(I549&lt;='排名定義'!$B$5,"是","")</x:f>
        <x:v>是</x:v>
      </x:c>
      <x:c r="K549" s="217" t="n">
        <x:v>604</x:v>
      </x:c>
      <x:c r="L549" s="217" t="str">
        <x:f>IF(K549&lt;='排名定義'!$B$5,"是","")</x:f>
        <x:v>是</x:v>
      </x:c>
      <x:c r="M549" s="217" t="n">
        <x:f>COUNTIF(H549:L549,"是")</x:f>
        <x:v>3</x:v>
      </x:c>
      <x:c r="N549" s="217" t="str">
        <x:v>三份皆未入選</x:v>
      </x:c>
      <x:c r="O549" s="220" t="n">
        <x:v>61.93333333333333</x:v>
      </x:c>
      <x:c r="P549" s="220" t="n">
        <x:v>57.266666666666666</x:v>
      </x:c>
      <x:c r="Q549" s="220" t="n">
        <x:v>4.666666666666667</x:v>
      </x:c>
      <x:c r="R549" s="220" t="n">
        <x:v>0.07534983853606028</x:v>
      </x:c>
      <x:c r="S549" s="220" t="n">
        <x:v>81.25806451612904</x:v>
      </x:c>
      <x:c r="T549" s="220" t="n">
        <x:v>76.83870967741936</x:v>
      </x:c>
      <x:c r="U549" s="220" t="n">
        <x:v>4.419354838709677</x:v>
      </x:c>
      <x:c r="V549" s="218" t="n">
        <x:v>0.1728110599078341</x:v>
      </x:c>
      <x:c r="W549" s="217" t="n">
        <x:v>32</x:v>
      </x:c>
      <x:c r="X549" s="222" t="n">
        <x:v>4080</x:v>
      </x:c>
      <x:c r="Y549" s="217" t="n">
        <x:v>13</x:v>
      </x:c>
    </x:row>
    <x:row r="550">
      <x:c r="A550" s="216" t="n">
        <x:v>312</x:v>
      </x:c>
      <x:c r="B550" s="216" t="str">
        <x:v>三俊街65巷口</x:v>
      </x:c>
      <x:c r="C550" s="216" t="str">
        <x:v>樹林區</x:v>
      </x:c>
      <x:c r="D550" s="216" t="n">
        <x:v>15</x:v>
      </x:c>
      <x:c r="E550" s="216" t="n">
        <x:v>120</x:v>
      </x:c>
      <x:c r="F550" s="219" t="n">
        <x:v>0.9994791666666667</x:v>
      </x:c>
      <x:c r="G550" s="216" t="n">
        <x:v>546</x:v>
      </x:c>
      <x:c r="H550" s="216" t="str">
        <x:f>IF(G550&lt;='排名定義'!$B$5,"是","")</x:f>
        <x:v>是</x:v>
      </x:c>
      <x:c r="I550" s="216" t="n">
        <x:v>516</x:v>
      </x:c>
      <x:c r="J550" s="216" t="str">
        <x:f>IF(I550&lt;='排名定義'!$B$5,"是","")</x:f>
        <x:v>是</x:v>
      </x:c>
      <x:c r="K550" s="216" t="n">
        <x:v>1130</x:v>
      </x:c>
      <x:c r="L550" s="216" t="str">
        <x:f>IF(K550&lt;='排名定義'!$B$5,"是","")</x:f>
        <x:v>是</x:v>
      </x:c>
      <x:c r="M550" s="216" t="n">
        <x:f>COUNTIF(H550:L550,"是")</x:f>
        <x:v>3</x:v>
      </x:c>
      <x:c r="N550" s="216" t="str">
        <x:v>三份皆未入選</x:v>
      </x:c>
      <x:c r="O550" s="221" t="n">
        <x:v>61.925</x:v>
      </x:c>
      <x:c r="P550" s="221" t="n">
        <x:v>58.81666666666667</x:v>
      </x:c>
      <x:c r="Q550" s="221" t="n">
        <x:v>3.1083333333333334</x:v>
      </x:c>
      <x:c r="R550" s="221" t="n">
        <x:v>0.05019512851567757</x:v>
      </x:c>
      <x:c r="S550" s="221" t="n">
        <x:v>85.70967741935483</x:v>
      </x:c>
      <x:c r="T550" s="221" t="n">
        <x:v>81.90322580645162</x:v>
      </x:c>
      <x:c r="U550" s="221" t="n">
        <x:v>3.806451612903226</x:v>
      </x:c>
      <x:c r="V550" s="219" t="n">
        <x:v>0.09907834101382489</x:v>
      </x:c>
      <x:c r="W550" s="216" t="n">
        <x:v>10</x:v>
      </x:c>
      <x:c r="X550" s="223" t="n">
        <x:v>1950</x:v>
      </x:c>
      <x:c r="Y550" s="216" t="n">
        <x:v>15</x:v>
      </x:c>
    </x:row>
    <x:row r="551">
      <x:c r="A551" s="217" t="n">
        <x:v>531</x:v>
      </x:c>
      <x:c r="B551" s="217" t="str">
        <x:v>林口老街</x:v>
      </x:c>
      <x:c r="C551" s="217" t="str">
        <x:v>林口區</x:v>
      </x:c>
      <x:c r="D551" s="217" t="n">
        <x:v>17</x:v>
      </x:c>
      <x:c r="E551" s="217" t="n">
        <x:v>120</x:v>
      </x:c>
      <x:c r="F551" s="218" t="n">
        <x:v>0.9994791666666667</x:v>
      </x:c>
      <x:c r="G551" s="217" t="n">
        <x:v>547</x:v>
      </x:c>
      <x:c r="H551" s="217" t="str">
        <x:f>IF(G551&lt;='排名定義'!$B$5,"是","")</x:f>
        <x:v>是</x:v>
      </x:c>
      <x:c r="I551" s="217" t="n">
        <x:v>532</x:v>
      </x:c>
      <x:c r="J551" s="217" t="str">
        <x:f>IF(I551&lt;='排名定義'!$B$5,"是","")</x:f>
        <x:v>是</x:v>
      </x:c>
      <x:c r="K551" s="217" t="n">
        <x:v>839</x:v>
      </x:c>
      <x:c r="L551" s="217" t="str">
        <x:f>IF(K551&lt;='排名定義'!$B$5,"是","")</x:f>
        <x:v>是</x:v>
      </x:c>
      <x:c r="M551" s="217" t="n">
        <x:f>COUNTIF(H551:L551,"是")</x:f>
        <x:v>3</x:v>
      </x:c>
      <x:c r="N551" s="217" t="str">
        <x:v>三份皆未入選</x:v>
      </x:c>
      <x:c r="O551" s="220" t="n">
        <x:v>61.925</x:v>
      </x:c>
      <x:c r="P551" s="220" t="n">
        <x:v>58.041666666666664</x:v>
      </x:c>
      <x:c r="Q551" s="220" t="n">
        <x:v>3.8833333333333333</x:v>
      </x:c>
      <x:c r="R551" s="220" t="n">
        <x:v>0.06271026779706634</x:v>
      </x:c>
      <x:c r="S551" s="220" t="n">
        <x:v>91.06451612903226</x:v>
      </x:c>
      <x:c r="T551" s="220" t="n">
        <x:v>86.54838709677419</x:v>
      </x:c>
      <x:c r="U551" s="220" t="n">
        <x:v>4.516129032258065</x:v>
      </x:c>
      <x:c r="V551" s="218" t="n">
        <x:v>0.04838709677419355</x:v>
      </x:c>
      <x:c r="W551" s="217" t="n">
        <x:v>5</x:v>
      </x:c>
      <x:c r="X551" s="222" t="n">
        <x:v>1590</x:v>
      </x:c>
      <x:c r="Y551" s="217" t="n">
        <x:v>17</x:v>
      </x:c>
    </x:row>
    <x:row r="552">
      <x:c r="A552" s="216" t="n">
        <x:v>882</x:v>
      </x:c>
      <x:c r="B552" s="216" t="str">
        <x:v>海洋公園</x:v>
      </x:c>
      <x:c r="C552" s="216" t="str">
        <x:v>三峽區</x:v>
      </x:c>
      <x:c r="D552" s="216" t="n">
        <x:v>25</x:v>
      </x:c>
      <x:c r="E552" s="216" t="n">
        <x:v>120</x:v>
      </x:c>
      <x:c r="F552" s="219" t="n">
        <x:v>0.9994791666666667</x:v>
      </x:c>
      <x:c r="G552" s="216" t="n">
        <x:v>548</x:v>
      </x:c>
      <x:c r="H552" s="216" t="str">
        <x:f>IF(G552&lt;='排名定義'!$B$5,"是","")</x:f>
        <x:v>是</x:v>
      </x:c>
      <x:c r="I552" s="216" t="n">
        <x:v>547</x:v>
      </x:c>
      <x:c r="J552" s="216" t="str">
        <x:f>IF(I552&lt;='排名定義'!$B$5,"是","")</x:f>
        <x:v>是</x:v>
      </x:c>
      <x:c r="K552" s="216" t="n">
        <x:v>606</x:v>
      </x:c>
      <x:c r="L552" s="216" t="str">
        <x:f>IF(K552&lt;='排名定義'!$B$5,"是","")</x:f>
        <x:v>是</x:v>
      </x:c>
      <x:c r="M552" s="216" t="n">
        <x:f>COUNTIF(H552:L552,"是")</x:f>
        <x:v>3</x:v>
      </x:c>
      <x:c r="N552" s="216" t="str">
        <x:v>三份皆未入選</x:v>
      </x:c>
      <x:c r="O552" s="221" t="n">
        <x:v>61.925</x:v>
      </x:c>
      <x:c r="P552" s="221" t="n">
        <x:v>57.25833333333333</x:v>
      </x:c>
      <x:c r="Q552" s="221" t="n">
        <x:v>4.666666666666667</x:v>
      </x:c>
      <x:c r="R552" s="221" t="n">
        <x:v>0.07535997846857757</x:v>
      </x:c>
      <x:c r="S552" s="221" t="n">
        <x:v>96.16129032258064</x:v>
      </x:c>
      <x:c r="T552" s="221" t="n">
        <x:v>92.12903225806451</x:v>
      </x:c>
      <x:c r="U552" s="221" t="n">
        <x:v>4.032258064516129</x:v>
      </x:c>
      <x:c r="V552" s="219" t="n">
        <x:v>0.03917050691244239</x:v>
      </x:c>
      <x:c r="W552" s="216" t="n">
        <x:v>4</x:v>
      </x:c>
      <x:c r="X552" s="223" t="n">
        <x:v>930</x:v>
      </x:c>
      <x:c r="Y552" s="216" t="n">
        <x:v>25</x:v>
      </x:c>
    </x:row>
    <x:row r="553">
      <x:c r="A553" s="217" t="n">
        <x:v>321</x:v>
      </x:c>
      <x:c r="B553" s="217" t="str">
        <x:v>中央路二段180巷</x:v>
      </x:c>
      <x:c r="C553" s="217" t="str">
        <x:v>土城區</x:v>
      </x:c>
      <x:c r="D553" s="217" t="n">
        <x:v>15</x:v>
      </x:c>
      <x:c r="E553" s="217" t="n">
        <x:v>120</x:v>
      </x:c>
      <x:c r="F553" s="218" t="n">
        <x:v>0.9994791666666667</x:v>
      </x:c>
      <x:c r="G553" s="217" t="n">
        <x:v>549</x:v>
      </x:c>
      <x:c r="H553" s="217" t="str">
        <x:f>IF(G553&lt;='排名定義'!$B$5,"是","")</x:f>
        <x:v>是</x:v>
      </x:c>
      <x:c r="I553" s="217" t="n">
        <x:v>533</x:v>
      </x:c>
      <x:c r="J553" s="217" t="str">
        <x:f>IF(I553&lt;='排名定義'!$B$5,"是","")</x:f>
        <x:v>是</x:v>
      </x:c>
      <x:c r="K553" s="217" t="n">
        <x:v>842</x:v>
      </x:c>
      <x:c r="L553" s="217" t="str">
        <x:f>IF(K553&lt;='排名定義'!$B$5,"是","")</x:f>
        <x:v>是</x:v>
      </x:c>
      <x:c r="M553" s="217" t="n">
        <x:f>COUNTIF(H553:L553,"是")</x:f>
        <x:v>3</x:v>
      </x:c>
      <x:c r="N553" s="217" t="str">
        <x:v>三份皆未入選</x:v>
      </x:c>
      <x:c r="O553" s="220" t="n">
        <x:v>61.84166666666667</x:v>
      </x:c>
      <x:c r="P553" s="220" t="n">
        <x:v>57.96666666666667</x:v>
      </x:c>
      <x:c r="Q553" s="220" t="n">
        <x:v>3.875</x:v>
      </x:c>
      <x:c r="R553" s="220" t="n">
        <x:v>0.06266001886538203</x:v>
      </x:c>
      <x:c r="S553" s="220" t="n">
        <x:v>78.90322580645162</x:v>
      </x:c>
      <x:c r="T553" s="220" t="n">
        <x:v>74.61290322580645</x:v>
      </x:c>
      <x:c r="U553" s="220" t="n">
        <x:v>4.290322580645161</x:v>
      </x:c>
      <x:c r="V553" s="218" t="n">
        <x:v>0.12442396313364056</x:v>
      </x:c>
      <x:c r="W553" s="217" t="n">
        <x:v>21</x:v>
      </x:c>
      <x:c r="X553" s="222" t="n">
        <x:v>3270</x:v>
      </x:c>
      <x:c r="Y553" s="217" t="n">
        <x:v>15</x:v>
      </x:c>
    </x:row>
    <x:row r="554">
      <x:c r="A554" s="216" t="n">
        <x:v>1067</x:v>
      </x:c>
      <x:c r="B554" s="216" t="str">
        <x:v>藍天大樓</x:v>
      </x:c>
      <x:c r="C554" s="216" t="str">
        <x:v>三重區</x:v>
      </x:c>
      <x:c r="D554" s="216" t="n">
        <x:v>30</x:v>
      </x:c>
      <x:c r="E554" s="216" t="n">
        <x:v>120</x:v>
      </x:c>
      <x:c r="F554" s="219" t="n">
        <x:v>0.9994791666666667</x:v>
      </x:c>
      <x:c r="G554" s="216" t="n">
        <x:v>550</x:v>
      </x:c>
      <x:c r="H554" s="216" t="str">
        <x:f>IF(G554&lt;='排名定義'!$B$5,"是","")</x:f>
        <x:v>是</x:v>
      </x:c>
      <x:c r="I554" s="216" t="n">
        <x:v>572</x:v>
      </x:c>
      <x:c r="J554" s="216" t="str">
        <x:f>IF(I554&lt;='排名定義'!$B$5,"是","")</x:f>
        <x:v>是</x:v>
      </x:c>
      <x:c r="K554" s="216" t="n">
        <x:v>311</x:v>
      </x:c>
      <x:c r="L554" s="216" t="str">
        <x:f>IF(K554&lt;='排名定義'!$B$5,"是","")</x:f>
        <x:v>是</x:v>
      </x:c>
      <x:c r="M554" s="216" t="n">
        <x:f>COUNTIF(H554:L554,"是")</x:f>
        <x:v>3</x:v>
      </x:c>
      <x:c r="N554" s="216" t="str">
        <x:v>僅大幅變動</x:v>
      </x:c>
      <x:c r="O554" s="221" t="n">
        <x:v>61.708333333333336</x:v>
      </x:c>
      <x:c r="P554" s="221" t="n">
        <x:v>55.44166666666667</x:v>
      </x:c>
      <x:c r="Q554" s="221" t="n">
        <x:v>6.266666666666667</x:v>
      </x:c>
      <x:c r="R554" s="221" t="n">
        <x:v>0.10155300472653613</x:v>
      </x:c>
      <x:c r="S554" s="221" t="n">
        <x:v>76.96774193548387</x:v>
      </x:c>
      <x:c r="T554" s="221" t="n">
        <x:v>70.12903225806451</x:v>
      </x:c>
      <x:c r="U554" s="221" t="n">
        <x:v>6.838709677419355</x:v>
      </x:c>
      <x:c r="V554" s="219" t="n">
        <x:v>0.013824884792626729</x:v>
      </x:c>
      <x:c r="W554" s="216" t="n">
        <x:v>7</x:v>
      </x:c>
      <x:c r="X554" s="223" t="n">
        <x:v>1110</x:v>
      </x:c>
      <x:c r="Y554" s="216" t="n">
        <x:v>30</x:v>
      </x:c>
    </x:row>
    <x:row r="555">
      <x:c r="A555" s="217" t="n">
        <x:v>110</x:v>
      </x:c>
      <x:c r="B555" s="217" t="str">
        <x:v>中誠立體停車場</x:v>
      </x:c>
      <x:c r="C555" s="217" t="str">
        <x:v>新莊區</x:v>
      </x:c>
      <x:c r="D555" s="217" t="n">
        <x:v>10</x:v>
      </x:c>
      <x:c r="E555" s="217" t="n">
        <x:v>120</x:v>
      </x:c>
      <x:c r="F555" s="218" t="n">
        <x:v>0.9994791666666667</x:v>
      </x:c>
      <x:c r="G555" s="217" t="n">
        <x:v>551</x:v>
      </x:c>
      <x:c r="H555" s="217" t="str">
        <x:f>IF(G555&lt;='排名定義'!$B$5,"是","")</x:f>
        <x:v>是</x:v>
      </x:c>
      <x:c r="I555" s="217" t="n">
        <x:v>539</x:v>
      </x:c>
      <x:c r="J555" s="217" t="str">
        <x:f>IF(I555&lt;='排名定義'!$B$5,"是","")</x:f>
        <x:v>是</x:v>
      </x:c>
      <x:c r="K555" s="217" t="n">
        <x:v>845</x:v>
      </x:c>
      <x:c r="L555" s="217" t="str">
        <x:f>IF(K555&lt;='排名定義'!$B$5,"是","")</x:f>
        <x:v>是</x:v>
      </x:c>
      <x:c r="M555" s="217" t="n">
        <x:f>COUNTIF(H555:L555,"是")</x:f>
        <x:v>3</x:v>
      </x:c>
      <x:c r="N555" s="217" t="str">
        <x:v>三份皆未入選</x:v>
      </x:c>
      <x:c r="O555" s="220" t="n">
        <x:v>61.675</x:v>
      </x:c>
      <x:c r="P555" s="220" t="n">
        <x:v>57.80833333333333</x:v>
      </x:c>
      <x:c r="Q555" s="220" t="n">
        <x:v>3.8666666666666667</x:v>
      </x:c>
      <x:c r="R555" s="220" t="n">
        <x:v>0.06269423050939062</x:v>
      </x:c>
      <x:c r="S555" s="220" t="n">
        <x:v>77.03225806451613</x:v>
      </x:c>
      <x:c r="T555" s="220" t="n">
        <x:v>73.25806451612904</x:v>
      </x:c>
      <x:c r="U555" s="220" t="n">
        <x:v>3.774193548387097</x:v>
      </x:c>
      <x:c r="V555" s="218" t="n">
        <x:v>0.2119815668202765</x:v>
      </x:c>
      <x:c r="W555" s="217" t="n">
        <x:v>38</x:v>
      </x:c>
      <x:c r="X555" s="222" t="n">
        <x:v>5070</x:v>
      </x:c>
      <x:c r="Y555" s="217" t="n">
        <x:v>10</x:v>
      </x:c>
    </x:row>
    <x:row r="556">
      <x:c r="A556" s="216" t="n">
        <x:v>784</x:v>
      </x:c>
      <x:c r="B556" s="216" t="str">
        <x:v>新市一路一段256巷口</x:v>
      </x:c>
      <x:c r="C556" s="216" t="str">
        <x:v>淡水區</x:v>
      </x:c>
      <x:c r="D556" s="216" t="n">
        <x:v>21</x:v>
      </x:c>
      <x:c r="E556" s="216" t="n">
        <x:v>120</x:v>
      </x:c>
      <x:c r="F556" s="219" t="n">
        <x:v>0.9994791666666667</x:v>
      </x:c>
      <x:c r="G556" s="216" t="n">
        <x:v>552</x:v>
      </x:c>
      <x:c r="H556" s="216" t="str">
        <x:f>IF(G556&lt;='排名定義'!$B$5,"是","")</x:f>
        <x:v>是</x:v>
      </x:c>
      <x:c r="I556" s="216" t="n">
        <x:v>552</x:v>
      </x:c>
      <x:c r="J556" s="216" t="str">
        <x:f>IF(I556&lt;='排名定義'!$B$5,"是","")</x:f>
        <x:v>是</x:v>
      </x:c>
      <x:c r="K556" s="216" t="n">
        <x:v>613</x:v>
      </x:c>
      <x:c r="L556" s="216" t="str">
        <x:f>IF(K556&lt;='排名定義'!$B$5,"是","")</x:f>
        <x:v>是</x:v>
      </x:c>
      <x:c r="M556" s="216" t="n">
        <x:f>COUNTIF(H556:L556,"是")</x:f>
        <x:v>3</x:v>
      </x:c>
      <x:c r="N556" s="216" t="str">
        <x:v>三份皆未入選</x:v>
      </x:c>
      <x:c r="O556" s="221" t="n">
        <x:v>61.608333333333334</x:v>
      </x:c>
      <x:c r="P556" s="221" t="n">
        <x:v>56.99166666666667</x:v>
      </x:c>
      <x:c r="Q556" s="221" t="n">
        <x:v>4.616666666666666</x:v>
      </x:c>
      <x:c r="R556" s="221" t="n">
        <x:v>0.07493575003381577</x:v>
      </x:c>
      <x:c r="S556" s="221" t="n">
        <x:v>83.29032258064517</x:v>
      </x:c>
      <x:c r="T556" s="221" t="n">
        <x:v>79.12903225806451</x:v>
      </x:c>
      <x:c r="U556" s="221" t="n">
        <x:v>4.161290322580645</x:v>
      </x:c>
      <x:c r="V556" s="219" t="n">
        <x:v>0.0576036866359447</x:v>
      </x:c>
      <x:c r="W556" s="216" t="n">
        <x:v>14</x:v>
      </x:c>
      <x:c r="X556" s="223" t="n">
        <x:v>2130</x:v>
      </x:c>
      <x:c r="Y556" s="216" t="n">
        <x:v>21</x:v>
      </x:c>
    </x:row>
    <x:row r="557">
      <x:c r="A557" s="217" t="n">
        <x:v>330</x:v>
      </x:c>
      <x:c r="B557" s="217" t="str">
        <x:v>仁愛公園(仁愛路)</x:v>
      </x:c>
      <x:c r="C557" s="217" t="str">
        <x:v>永和區</x:v>
      </x:c>
      <x:c r="D557" s="217" t="n">
        <x:v>15</x:v>
      </x:c>
      <x:c r="E557" s="217" t="n">
        <x:v>120</x:v>
      </x:c>
      <x:c r="F557" s="218" t="n">
        <x:v>0.9994791666666667</x:v>
      </x:c>
      <x:c r="G557" s="217" t="n">
        <x:v>553</x:v>
      </x:c>
      <x:c r="H557" s="217" t="str">
        <x:f>IF(G557&lt;='排名定義'!$B$5,"是","")</x:f>
        <x:v>是</x:v>
      </x:c>
      <x:c r="I557" s="217" t="n">
        <x:v>548</x:v>
      </x:c>
      <x:c r="J557" s="217" t="str">
        <x:f>IF(I557&lt;='排名定義'!$B$5,"是","")</x:f>
        <x:v>是</x:v>
      </x:c>
      <x:c r="K557" s="217" t="n">
        <x:v>696</x:v>
      </x:c>
      <x:c r="L557" s="217" t="str">
        <x:f>IF(K557&lt;='排名定義'!$B$5,"是","")</x:f>
        <x:v>是</x:v>
      </x:c>
      <x:c r="M557" s="217" t="n">
        <x:f>COUNTIF(H557:L557,"是")</x:f>
        <x:v>3</x:v>
      </x:c>
      <x:c r="N557" s="217" t="str">
        <x:v>三份皆未入選</x:v>
      </x:c>
      <x:c r="O557" s="220" t="n">
        <x:v>61.50833333333333</x:v>
      </x:c>
      <x:c r="P557" s="220" t="n">
        <x:v>57.208333333333336</x:v>
      </x:c>
      <x:c r="Q557" s="220" t="n">
        <x:v>4.3</x:v>
      </x:c>
      <x:c r="R557" s="220" t="n">
        <x:v>0.0699092263920878</x:v>
      </x:c>
      <x:c r="S557" s="220" t="n">
        <x:v>85.3225806451613</x:v>
      </x:c>
      <x:c r="T557" s="220" t="n">
        <x:v>82.16129032258064</x:v>
      </x:c>
      <x:c r="U557" s="220" t="n">
        <x:v>3.161290322580645</x:v>
      </x:c>
      <x:c r="V557" s="218" t="n">
        <x:v>0.1728110599078341</x:v>
      </x:c>
      <x:c r="W557" s="217" t="n">
        <x:v>34</x:v>
      </x:c>
      <x:c r="X557" s="222" t="n">
        <x:v>4830</x:v>
      </x:c>
      <x:c r="Y557" s="217" t="n">
        <x:v>15</x:v>
      </x:c>
    </x:row>
    <x:row r="558">
      <x:c r="A558" s="216" t="n">
        <x:v>1248</x:v>
      </x:c>
      <x:c r="B558" s="216" t="str">
        <x:v>雙和橋</x:v>
      </x:c>
      <x:c r="C558" s="216" t="str">
        <x:v>永和區</x:v>
      </x:c>
      <x:c r="D558" s="216" t="n">
        <x:v>39</x:v>
      </x:c>
      <x:c r="E558" s="216" t="n">
        <x:v>120</x:v>
      </x:c>
      <x:c r="F558" s="219" t="n">
        <x:v>0.9994791666666667</x:v>
      </x:c>
      <x:c r="G558" s="216" t="n">
        <x:v>554</x:v>
      </x:c>
      <x:c r="H558" s="216" t="str">
        <x:f>IF(G558&lt;='排名定義'!$B$5,"是","")</x:f>
        <x:v>是</x:v>
      </x:c>
      <x:c r="I558" s="216" t="n">
        <x:v>555</x:v>
      </x:c>
      <x:c r="J558" s="216" t="str">
        <x:f>IF(I558&lt;='排名定義'!$B$5,"是","")</x:f>
        <x:v>是</x:v>
      </x:c>
      <x:c r="K558" s="216" t="n">
        <x:v>562</x:v>
      </x:c>
      <x:c r="L558" s="216" t="str">
        <x:f>IF(K558&lt;='排名定義'!$B$5,"是","")</x:f>
        <x:v>是</x:v>
      </x:c>
      <x:c r="M558" s="216" t="n">
        <x:f>COUNTIF(H558:L558,"是")</x:f>
        <x:v>3</x:v>
      </x:c>
      <x:c r="N558" s="216" t="str">
        <x:v>三份皆未入選</x:v>
      </x:c>
      <x:c r="O558" s="221" t="n">
        <x:v>61.44166666666667</x:v>
      </x:c>
      <x:c r="P558" s="221" t="n">
        <x:v>56.583333333333336</x:v>
      </x:c>
      <x:c r="Q558" s="221" t="n">
        <x:v>4.858333333333333</x:v>
      </x:c>
      <x:c r="R558" s="221" t="n">
        <x:v>0.07907229079072291</x:v>
      </x:c>
      <x:c r="S558" s="221" t="n">
        <x:v>87.96774193548387</x:v>
      </x:c>
      <x:c r="T558" s="221" t="n">
        <x:v>83.25806451612904</x:v>
      </x:c>
      <x:c r="U558" s="221" t="n">
        <x:v>4.709677419354839</x:v>
      </x:c>
      <x:c r="V558" s="219" t="n">
        <x:v>0.03917050691244239</x:v>
      </x:c>
      <x:c r="W558" s="216" t="n">
        <x:v>4</x:v>
      </x:c>
      <x:c r="X558" s="223" t="n">
        <x:v>1020</x:v>
      </x:c>
      <x:c r="Y558" s="216" t="n">
        <x:v>39</x:v>
      </x:c>
    </x:row>
    <x:row r="559">
      <x:c r="A559" s="217" t="n">
        <x:v>390</x:v>
      </x:c>
      <x:c r="B559" s="217" t="str">
        <x:v>華新街143巷</x:v>
      </x:c>
      <x:c r="C559" s="217" t="str">
        <x:v>中和區</x:v>
      </x:c>
      <x:c r="D559" s="217" t="n">
        <x:v>15</x:v>
      </x:c>
      <x:c r="E559" s="217" t="n">
        <x:v>120</x:v>
      </x:c>
      <x:c r="F559" s="218" t="n">
        <x:v>0.9994791666666667</x:v>
      </x:c>
      <x:c r="G559" s="217" t="n">
        <x:v>555</x:v>
      </x:c>
      <x:c r="H559" s="217" t="str">
        <x:f>IF(G559&lt;='排名定義'!$B$5,"是","")</x:f>
        <x:v>是</x:v>
      </x:c>
      <x:c r="I559" s="217" t="n">
        <x:v>542</x:v>
      </x:c>
      <x:c r="J559" s="217" t="str">
        <x:f>IF(I559&lt;='排名定義'!$B$5,"是","")</x:f>
        <x:v>是</x:v>
      </x:c>
      <x:c r="K559" s="217" t="n">
        <x:v>819</x:v>
      </x:c>
      <x:c r="L559" s="217" t="str">
        <x:f>IF(K559&lt;='排名定義'!$B$5,"是","")</x:f>
        <x:v>是</x:v>
      </x:c>
      <x:c r="M559" s="217" t="n">
        <x:f>COUNTIF(H559:L559,"是")</x:f>
        <x:v>3</x:v>
      </x:c>
      <x:c r="N559" s="217" t="str">
        <x:v>三份皆未入選</x:v>
      </x:c>
      <x:c r="O559" s="220" t="n">
        <x:v>61.43333333333333</x:v>
      </x:c>
      <x:c r="P559" s="220" t="n">
        <x:v>57.49166666666667</x:v>
      </x:c>
      <x:c r="Q559" s="220" t="n">
        <x:v>3.941666666666667</x:v>
      </x:c>
      <x:c r="R559" s="220" t="n">
        <x:v>0.06416169289202388</x:v>
      </x:c>
      <x:c r="S559" s="220" t="n">
        <x:v>76.35483870967742</x:v>
      </x:c>
      <x:c r="T559" s="220" t="n">
        <x:v>71.74193548387096</x:v>
      </x:c>
      <x:c r="U559" s="220" t="n">
        <x:v>4.612903225806452</x:v>
      </x:c>
      <x:c r="V559" s="218" t="n">
        <x:v>0.08064516129032258</x:v>
      </x:c>
      <x:c r="W559" s="217" t="n">
        <x:v>33</x:v>
      </x:c>
      <x:c r="X559" s="222" t="n">
        <x:v>3870</x:v>
      </x:c>
      <x:c r="Y559" s="217" t="n">
        <x:v>15</x:v>
      </x:c>
    </x:row>
    <x:row r="560">
      <x:c r="A560" s="216" t="n">
        <x:v>264</x:v>
      </x:c>
      <x:c r="B560" s="216" t="str">
        <x:v>保福保福路二段133巷口</x:v>
      </x:c>
      <x:c r="C560" s="216" t="str">
        <x:v>永和區</x:v>
      </x:c>
      <x:c r="D560" s="216" t="n">
        <x:v>14</x:v>
      </x:c>
      <x:c r="E560" s="216" t="n">
        <x:v>120</x:v>
      </x:c>
      <x:c r="F560" s="219" t="n">
        <x:v>0.9994791666666667</x:v>
      </x:c>
      <x:c r="G560" s="216" t="n">
        <x:v>556</x:v>
      </x:c>
      <x:c r="H560" s="216" t="str">
        <x:f>IF(G560&lt;='排名定義'!$B$5,"是","")</x:f>
        <x:v>是</x:v>
      </x:c>
      <x:c r="I560" s="216" t="n">
        <x:v>545</x:v>
      </x:c>
      <x:c r="J560" s="216" t="str">
        <x:f>IF(I560&lt;='排名定義'!$B$5,"是","")</x:f>
        <x:v>是</x:v>
      </x:c>
      <x:c r="K560" s="216" t="n">
        <x:v>765</x:v>
      </x:c>
      <x:c r="L560" s="216" t="str">
        <x:f>IF(K560&lt;='排名定義'!$B$5,"是","")</x:f>
        <x:v>是</x:v>
      </x:c>
      <x:c r="M560" s="216" t="n">
        <x:f>COUNTIF(H560:L560,"是")</x:f>
        <x:v>3</x:v>
      </x:c>
      <x:c r="N560" s="216" t="str">
        <x:v>三份皆未入選</x:v>
      </x:c>
      <x:c r="O560" s="221" t="n">
        <x:v>61.416666666666664</x:v>
      </x:c>
      <x:c r="P560" s="221" t="n">
        <x:v>57.325</x:v>
      </x:c>
      <x:c r="Q560" s="221" t="n">
        <x:v>4.091666666666667</x:v>
      </x:c>
      <x:c r="R560" s="221" t="n">
        <x:v>0.0666214382632293</x:v>
      </x:c>
      <x:c r="S560" s="221" t="n">
        <x:v>79.61290322580645</x:v>
      </x:c>
      <x:c r="T560" s="221" t="n">
        <x:v>76.48387096774194</x:v>
      </x:c>
      <x:c r="U560" s="221" t="n">
        <x:v>3.129032258064516</x:v>
      </x:c>
      <x:c r="V560" s="219" t="n">
        <x:v>0.14055299539170507</x:v>
      </x:c>
      <x:c r="W560" s="216" t="n">
        <x:v>38</x:v>
      </x:c>
      <x:c r="X560" s="223" t="n">
        <x:v>5130</x:v>
      </x:c>
      <x:c r="Y560" s="216" t="n">
        <x:v>14</x:v>
      </x:c>
    </x:row>
    <x:row r="561">
      <x:c r="A561" s="217" t="n">
        <x:v>74</x:v>
      </x:c>
      <x:c r="B561" s="217" t="str">
        <x:v>樹林大安站</x:v>
      </x:c>
      <x:c r="C561" s="217" t="str">
        <x:v>樹林區</x:v>
      </x:c>
      <x:c r="D561" s="217" t="n">
        <x:v>66</x:v>
      </x:c>
      <x:c r="E561" s="217" t="n">
        <x:v>120</x:v>
      </x:c>
      <x:c r="F561" s="218" t="n">
        <x:v>0.9994791666666667</x:v>
      </x:c>
      <x:c r="G561" s="217" t="n">
        <x:v>557</x:v>
      </x:c>
      <x:c r="H561" s="217" t="str">
        <x:f>IF(G561&lt;='排名定義'!$B$5,"是","")</x:f>
        <x:v>是</x:v>
      </x:c>
      <x:c r="I561" s="217" t="n">
        <x:v>598</x:v>
      </x:c>
      <x:c r="J561" s="217" t="str">
        <x:f>IF(I561&lt;='排名定義'!$B$5,"是","")</x:f>
        <x:v>是</x:v>
      </x:c>
      <x:c r="K561" s="217" t="n">
        <x:v>216</x:v>
      </x:c>
      <x:c r="L561" s="217" t="str">
        <x:f>IF(K561&lt;='排名定義'!$B$5,"是","")</x:f>
        <x:v>是</x:v>
      </x:c>
      <x:c r="M561" s="217" t="n">
        <x:f>COUNTIF(H561:L561,"是")</x:f>
        <x:v>3</x:v>
      </x:c>
      <x:c r="N561" s="217" t="str">
        <x:v>僅大幅變動</x:v>
      </x:c>
      <x:c r="O561" s="220" t="n">
        <x:v>61.083333333333336</x:v>
      </x:c>
      <x:c r="P561" s="220" t="n">
        <x:v>54.016666666666666</x:v>
      </x:c>
      <x:c r="Q561" s="220" t="n">
        <x:v>7.066666666666666</x:v>
      </x:c>
      <x:c r="R561" s="220" t="n">
        <x:v>0.11568894952251023</x:v>
      </x:c>
      <x:c r="S561" s="220" t="n">
        <x:v>96.64516129032258</x:v>
      </x:c>
      <x:c r="T561" s="220" t="n">
        <x:v>91.2258064516129</x:v>
      </x:c>
      <x:c r="U561" s="220" t="n">
        <x:v>5.419354838709677</x:v>
      </x:c>
      <x:c r="V561" s="218" t="n">
        <x:v>0.02534562211981567</x:v>
      </x:c>
      <x:c r="W561" s="217" t="n">
        <x:v>7</x:v>
      </x:c>
      <x:c r="X561" s="222" t="n">
        <x:v>870</x:v>
      </x:c>
      <x:c r="Y561" s="217" t="n">
        <x:v>66</x:v>
      </x:c>
    </x:row>
    <x:row r="562">
      <x:c r="A562" s="216" t="n">
        <x:v>680</x:v>
      </x:c>
      <x:c r="B562" s="216" t="str">
        <x:v>福慧新知八路口</x:v>
      </x:c>
      <x:c r="C562" s="216" t="str">
        <x:v>新莊區</x:v>
      </x:c>
      <x:c r="D562" s="216" t="n">
        <x:v>20</x:v>
      </x:c>
      <x:c r="E562" s="216" t="n">
        <x:v>120</x:v>
      </x:c>
      <x:c r="F562" s="219" t="n">
        <x:v>0.9994791666666667</x:v>
      </x:c>
      <x:c r="G562" s="216" t="n">
        <x:v>558</x:v>
      </x:c>
      <x:c r="H562" s="216" t="str">
        <x:f>IF(G562&lt;='排名定義'!$B$5,"是","")</x:f>
        <x:v>是</x:v>
      </x:c>
      <x:c r="I562" s="216" t="n">
        <x:v>581</x:v>
      </x:c>
      <x:c r="J562" s="216" t="str">
        <x:f>IF(I562&lt;='排名定義'!$B$5,"是","")</x:f>
        <x:v>是</x:v>
      </x:c>
      <x:c r="K562" s="216" t="n">
        <x:v>328</x:v>
      </x:c>
      <x:c r="L562" s="216" t="str">
        <x:f>IF(K562&lt;='排名定義'!$B$5,"是","")</x:f>
        <x:v>是</x:v>
      </x:c>
      <x:c r="M562" s="216" t="n">
        <x:f>COUNTIF(H562:L562,"是")</x:f>
        <x:v>3</x:v>
      </x:c>
      <x:c r="N562" s="216" t="str">
        <x:v>僅大幅變動</x:v>
      </x:c>
      <x:c r="O562" s="221" t="n">
        <x:v>61.05833333333333</x:v>
      </x:c>
      <x:c r="P562" s="221" t="n">
        <x:v>54.925</x:v>
      </x:c>
      <x:c r="Q562" s="221" t="n">
        <x:v>6.133333333333334</x:v>
      </x:c>
      <x:c r="R562" s="221" t="n">
        <x:v>0.10045038897229426</x:v>
      </x:c>
      <x:c r="S562" s="221" t="n">
        <x:v>73.70967741935483</x:v>
      </x:c>
      <x:c r="T562" s="221" t="n">
        <x:v>68.54838709677419</x:v>
      </x:c>
      <x:c r="U562" s="221" t="n">
        <x:v>5.161290322580645</x:v>
      </x:c>
      <x:c r="V562" s="219" t="n">
        <x:v>0.0967741935483871</x:v>
      </x:c>
      <x:c r="W562" s="216" t="n">
        <x:v>34</x:v>
      </x:c>
      <x:c r="X562" s="223" t="n">
        <x:v>3900</x:v>
      </x:c>
      <x:c r="Y562" s="216" t="n">
        <x:v>20</x:v>
      </x:c>
    </x:row>
    <x:row r="563">
      <x:c r="A563" s="217" t="n">
        <x:v>950</x:v>
      </x:c>
      <x:c r="B563" s="217" t="str">
        <x:v>光明街</x:v>
      </x:c>
      <x:c r="C563" s="217" t="str">
        <x:v>新店區</x:v>
      </x:c>
      <x:c r="D563" s="217" t="n">
        <x:v>27</x:v>
      </x:c>
      <x:c r="E563" s="217" t="n">
        <x:v>120</x:v>
      </x:c>
      <x:c r="F563" s="218" t="n">
        <x:v>0.9994791666666667</x:v>
      </x:c>
      <x:c r="G563" s="217" t="n">
        <x:v>559</x:v>
      </x:c>
      <x:c r="H563" s="217" t="str">
        <x:f>IF(G563&lt;='排名定義'!$B$5,"是","")</x:f>
        <x:v>是</x:v>
      </x:c>
      <x:c r="I563" s="217" t="n">
        <x:v>570</x:v>
      </x:c>
      <x:c r="J563" s="217" t="str">
        <x:f>IF(I563&lt;='排名定義'!$B$5,"是","")</x:f>
        <x:v>是</x:v>
      </x:c>
      <x:c r="K563" s="217" t="n">
        <x:v>451</x:v>
      </x:c>
      <x:c r="L563" s="217" t="str">
        <x:f>IF(K563&lt;='排名定義'!$B$5,"是","")</x:f>
        <x:v>是</x:v>
      </x:c>
      <x:c r="M563" s="217" t="n">
        <x:f>COUNTIF(H563:L563,"是")</x:f>
        <x:v>3</x:v>
      </x:c>
      <x:c r="N563" s="217" t="str">
        <x:v>三份皆未入選</x:v>
      </x:c>
      <x:c r="O563" s="220" t="n">
        <x:v>60.99166666666667</x:v>
      </x:c>
      <x:c r="P563" s="220" t="n">
        <x:v>55.583333333333336</x:v>
      </x:c>
      <x:c r="Q563" s="220" t="n">
        <x:v>5.408333333333333</x:v>
      </x:c>
      <x:c r="R563" s="220" t="n">
        <x:v>0.08867331602677961</x:v>
      </x:c>
      <x:c r="S563" s="220" t="n">
        <x:v>96.09677419354838</x:v>
      </x:c>
      <x:c r="T563" s="220" t="n">
        <x:v>91.83870967741936</x:v>
      </x:c>
      <x:c r="U563" s="220" t="n">
        <x:v>4.258064516129032</x:v>
      </x:c>
      <x:c r="V563" s="218" t="n">
        <x:v>0.06912442396313365</x:v>
      </x:c>
      <x:c r="W563" s="217" t="n">
        <x:v>15</x:v>
      </x:c>
      <x:c r="X563" s="222" t="n">
        <x:v>2070</x:v>
      </x:c>
      <x:c r="Y563" s="217" t="n">
        <x:v>27</x:v>
      </x:c>
    </x:row>
    <x:row r="564">
      <x:c r="A564" s="216" t="n">
        <x:v>1133</x:v>
      </x:c>
      <x:c r="B564" s="216" t="str">
        <x:v>樹林工業區</x:v>
      </x:c>
      <x:c r="C564" s="216" t="str">
        <x:v>樹林區</x:v>
      </x:c>
      <x:c r="D564" s="216" t="n">
        <x:v>33</x:v>
      </x:c>
      <x:c r="E564" s="216" t="n">
        <x:v>120</x:v>
      </x:c>
      <x:c r="F564" s="219" t="n">
        <x:v>0.9994791666666667</x:v>
      </x:c>
      <x:c r="G564" s="216" t="n">
        <x:v>560</x:v>
      </x:c>
      <x:c r="H564" s="216" t="str">
        <x:f>IF(G564&lt;='排名定義'!$B$5,"是","")</x:f>
        <x:v>是</x:v>
      </x:c>
      <x:c r="I564" s="216" t="n">
        <x:v>566</x:v>
      </x:c>
      <x:c r="J564" s="216" t="str">
        <x:f>IF(I564&lt;='排名定義'!$B$5,"是","")</x:f>
        <x:v>是</x:v>
      </x:c>
      <x:c r="K564" s="216" t="n">
        <x:v>538</x:v>
      </x:c>
      <x:c r="L564" s="216" t="str">
        <x:f>IF(K564&lt;='排名定義'!$B$5,"是","")</x:f>
        <x:v>是</x:v>
      </x:c>
      <x:c r="M564" s="216" t="n">
        <x:f>COUNTIF(H564:L564,"是")</x:f>
        <x:v>3</x:v>
      </x:c>
      <x:c r="N564" s="216" t="str">
        <x:v>三份皆未入選</x:v>
      </x:c>
      <x:c r="O564" s="221" t="n">
        <x:v>60.71666666666667</x:v>
      </x:c>
      <x:c r="P564" s="221" t="n">
        <x:v>55.75</x:v>
      </x:c>
      <x:c r="Q564" s="221" t="n">
        <x:v>4.966666666666667</x:v>
      </x:c>
      <x:c r="R564" s="221" t="n">
        <x:v>0.08180071369750205</x:v>
      </x:c>
      <x:c r="S564" s="221" t="n">
        <x:v>93.35483870967742</x:v>
      </x:c>
      <x:c r="T564" s="221" t="n">
        <x:v>89.12903225806451</x:v>
      </x:c>
      <x:c r="U564" s="221" t="n">
        <x:v>4.225806451612903</x:v>
      </x:c>
      <x:c r="V564" s="219" t="n">
        <x:v>0.03225806451612903</x:v>
      </x:c>
      <x:c r="W564" s="216" t="n">
        <x:v>3</x:v>
      </x:c>
      <x:c r="X564" s="223" t="n">
        <x:v>840</x:v>
      </x:c>
      <x:c r="Y564" s="216" t="n">
        <x:v>33</x:v>
      </x:c>
    </x:row>
    <x:row r="565">
      <x:c r="A565" s="217" t="n">
        <x:v>904</x:v>
      </x:c>
      <x:c r="B565" s="217" t="str">
        <x:v>佳和公園(中山路二段64巷5弄)</x:v>
      </x:c>
      <x:c r="C565" s="217" t="str">
        <x:v>中和區</x:v>
      </x:c>
      <x:c r="D565" s="217" t="n">
        <x:v>26</x:v>
      </x:c>
      <x:c r="E565" s="217" t="n">
        <x:v>120</x:v>
      </x:c>
      <x:c r="F565" s="218" t="n">
        <x:v>0.9994791666666667</x:v>
      </x:c>
      <x:c r="G565" s="217" t="n">
        <x:v>561</x:v>
      </x:c>
      <x:c r="H565" s="217" t="str">
        <x:f>IF(G565&lt;='排名定義'!$B$5,"是","")</x:f>
        <x:v>是</x:v>
      </x:c>
      <x:c r="I565" s="217" t="n">
        <x:v>562</x:v>
      </x:c>
      <x:c r="J565" s="217" t="str">
        <x:f>IF(I565&lt;='排名定義'!$B$5,"是","")</x:f>
        <x:v>是</x:v>
      </x:c>
      <x:c r="K565" s="217" t="n">
        <x:v>585</x:v>
      </x:c>
      <x:c r="L565" s="217" t="str">
        <x:f>IF(K565&lt;='排名定義'!$B$5,"是","")</x:f>
        <x:v>是</x:v>
      </x:c>
      <x:c r="M565" s="217" t="n">
        <x:f>COUNTIF(H565:L565,"是")</x:f>
        <x:v>3</x:v>
      </x:c>
      <x:c r="N565" s="217" t="str">
        <x:v>三份皆未入選</x:v>
      </x:c>
      <x:c r="O565" s="220" t="n">
        <x:v>60.7</x:v>
      </x:c>
      <x:c r="P565" s="220" t="n">
        <x:v>55.93333333333333</x:v>
      </x:c>
      <x:c r="Q565" s="220" t="n">
        <x:v>4.766666666666667</x:v>
      </x:c>
      <x:c r="R565" s="220" t="n">
        <x:v>0.0785282811641955</x:v>
      </x:c>
      <x:c r="S565" s="220" t="n">
        <x:v>84.64516129032258</x:v>
      </x:c>
      <x:c r="T565" s="220" t="n">
        <x:v>80.64516129032258</x:v>
      </x:c>
      <x:c r="U565" s="220" t="n">
        <x:v>4</x:v>
      </x:c>
      <x:c r="V565" s="218" t="n">
        <x:v>0.04377880184331797</x:v>
      </x:c>
      <x:c r="W565" s="217" t="n">
        <x:v>13</x:v>
      </x:c>
      <x:c r="X565" s="222" t="n">
        <x:v>1380</x:v>
      </x:c>
      <x:c r="Y565" s="217" t="n">
        <x:v>26</x:v>
      </x:c>
    </x:row>
    <x:row r="566">
      <x:c r="A566" s="216" t="n">
        <x:v>517</x:v>
      </x:c>
      <x:c r="B566" s="216" t="str">
        <x:v>中正路465巷</x:v>
      </x:c>
      <x:c r="C566" s="216" t="str">
        <x:v>永和區</x:v>
      </x:c>
      <x:c r="D566" s="216" t="n">
        <x:v>17</x:v>
      </x:c>
      <x:c r="E566" s="216" t="n">
        <x:v>120</x:v>
      </x:c>
      <x:c r="F566" s="219" t="n">
        <x:v>0.9994791666666667</x:v>
      </x:c>
      <x:c r="G566" s="216" t="n">
        <x:v>562</x:v>
      </x:c>
      <x:c r="H566" s="216" t="str">
        <x:f>IF(G566&lt;='排名定義'!$B$5,"是","")</x:f>
        <x:v>是</x:v>
      </x:c>
      <x:c r="I566" s="216" t="n">
        <x:v>557</x:v>
      </x:c>
      <x:c r="J566" s="216" t="str">
        <x:f>IF(I566&lt;='排名定義'!$B$5,"是","")</x:f>
        <x:v>是</x:v>
      </x:c>
      <x:c r="K566" s="216" t="n">
        <x:v>697</x:v>
      </x:c>
      <x:c r="L566" s="216" t="str">
        <x:f>IF(K566&lt;='排名定義'!$B$5,"是","")</x:f>
        <x:v>是</x:v>
      </x:c>
      <x:c r="M566" s="216" t="n">
        <x:f>COUNTIF(H566:L566,"是")</x:f>
        <x:v>3</x:v>
      </x:c>
      <x:c r="N566" s="216" t="str">
        <x:v>三份皆未入選</x:v>
      </x:c>
      <x:c r="O566" s="221" t="n">
        <x:v>60.641666666666666</x:v>
      </x:c>
      <x:c r="P566" s="221" t="n">
        <x:v>56.34166666666667</x:v>
      </x:c>
      <x:c r="Q566" s="221" t="n">
        <x:v>4.3</x:v>
      </x:c>
      <x:c r="R566" s="221" t="n">
        <x:v>0.0709083413494572</x:v>
      </x:c>
      <x:c r="S566" s="221" t="n">
        <x:v>88.45161290322581</x:v>
      </x:c>
      <x:c r="T566" s="221" t="n">
        <x:v>84.09677419354838</x:v>
      </x:c>
      <x:c r="U566" s="221" t="n">
        <x:v>4.354838709677419</x:v>
      </x:c>
      <x:c r="V566" s="219" t="n">
        <x:v>0.0967741935483871</x:v>
      </x:c>
      <x:c r="W566" s="216" t="n">
        <x:v>18</x:v>
      </x:c>
      <x:c r="X566" s="223" t="n">
        <x:v>2850</x:v>
      </x:c>
      <x:c r="Y566" s="216" t="n">
        <x:v>17</x:v>
      </x:c>
    </x:row>
    <x:row r="567">
      <x:c r="A567" s="217" t="n">
        <x:v>1112</x:v>
      </x:c>
      <x:c r="B567" s="217" t="str">
        <x:v>大崙公園</x:v>
      </x:c>
      <x:c r="C567" s="217" t="str">
        <x:v>林口區</x:v>
      </x:c>
      <x:c r="D567" s="217" t="n">
        <x:v>31</x:v>
      </x:c>
      <x:c r="E567" s="217" t="n">
        <x:v>120</x:v>
      </x:c>
      <x:c r="F567" s="218" t="n">
        <x:v>0.9994791666666667</x:v>
      </x:c>
      <x:c r="G567" s="217" t="n">
        <x:v>563</x:v>
      </x:c>
      <x:c r="H567" s="217" t="str">
        <x:f>IF(G567&lt;='排名定義'!$B$5,"是","")</x:f>
        <x:v>是</x:v>
      </x:c>
      <x:c r="I567" s="217" t="n">
        <x:v>576</x:v>
      </x:c>
      <x:c r="J567" s="217" t="str">
        <x:f>IF(I567&lt;='排名定義'!$B$5,"是","")</x:f>
        <x:v>是</x:v>
      </x:c>
      <x:c r="K567" s="217" t="n">
        <x:v>431</x:v>
      </x:c>
      <x:c r="L567" s="217" t="str">
        <x:f>IF(K567&lt;='排名定義'!$B$5,"是","")</x:f>
        <x:v>是</x:v>
      </x:c>
      <x:c r="M567" s="217" t="n">
        <x:f>COUNTIF(H567:L567,"是")</x:f>
        <x:v>3</x:v>
      </x:c>
      <x:c r="N567" s="217" t="str">
        <x:v>三份皆未入選</x:v>
      </x:c>
      <x:c r="O567" s="220" t="n">
        <x:v>60.63333333333333</x:v>
      </x:c>
      <x:c r="P567" s="220" t="n">
        <x:v>55.11666666666667</x:v>
      </x:c>
      <x:c r="Q567" s="220" t="n">
        <x:v>5.516666666666667</x:v>
      </x:c>
      <x:c r="R567" s="220" t="n">
        <x:v>0.09098405717427158</x:v>
      </x:c>
      <x:c r="S567" s="220" t="n">
        <x:v>85.61290322580645</x:v>
      </x:c>
      <x:c r="T567" s="220" t="n">
        <x:v>81.2258064516129</x:v>
      </x:c>
      <x:c r="U567" s="220" t="n">
        <x:v>4.387096774193548</x:v>
      </x:c>
      <x:c r="V567" s="218" t="n">
        <x:v>0.02534562211981567</x:v>
      </x:c>
      <x:c r="W567" s="217" t="n">
        <x:v>4</x:v>
      </x:c>
      <x:c r="X567" s="222" t="n">
        <x:v>720</x:v>
      </x:c>
      <x:c r="Y567" s="217" t="n">
        <x:v>30</x:v>
      </x:c>
    </x:row>
    <x:row r="568">
      <x:c r="A568" s="216" t="n">
        <x:v>1530</x:v>
      </x:c>
      <x:c r="B568" s="216" t="str">
        <x:v>金城?廷街口</x:v>
      </x:c>
      <x:c r="C568" s="216" t="str">
        <x:v>土城區</x:v>
      </x:c>
      <x:c r="D568" s="216" t="n">
        <x:v>9</x:v>
      </x:c>
      <x:c r="E568" s="216" t="n">
        <x:v>61</x:v>
      </x:c>
      <x:c r="F568" s="219" t="n">
        <x:v>0.9996584699453552</x:v>
      </x:c>
      <x:c r="G568" s="216" t="n">
        <x:v>564</x:v>
      </x:c>
      <x:c r="H568" s="216" t="str">
        <x:f>IF(G568&lt;='排名定義'!$B$5,"是","")</x:f>
        <x:v>是</x:v>
      </x:c>
      <x:c r="I568" s="216" t="n">
        <x:v>531</x:v>
      </x:c>
      <x:c r="J568" s="216" t="str">
        <x:f>IF(I568&lt;='排名定義'!$B$5,"是","")</x:f>
        <x:v>是</x:v>
      </x:c>
      <x:c r="K568" s="216" t="n">
        <x:v>1299</x:v>
      </x:c>
      <x:c r="L568" s="216" t="str">
        <x:f>IF(K568&lt;='排名定義'!$B$5,"是","")</x:f>
        <x:v>是</x:v>
      </x:c>
      <x:c r="M568" s="216" t="n">
        <x:f>COUNTIF(H568:L568,"是")</x:f>
        <x:v>3</x:v>
      </x:c>
      <x:c r="N568" s="216" t="str">
        <x:v>三份皆未入選</x:v>
      </x:c>
      <x:c r="O568" s="221" t="n">
        <x:v>60.52459016393443</x:v>
      </x:c>
      <x:c r="P568" s="221" t="n">
        <x:v>58.0655737704918</x:v>
      </x:c>
      <x:c r="Q568" s="221" t="n">
        <x:v>2.459016393442623</x:v>
      </x:c>
      <x:c r="R568" s="221" t="n">
        <x:v>0.040628385698808236</x:v>
      </x:c>
      <x:c r="S568" s="221" t="n">
        <x:v>61.064516129032256</x:v>
      </x:c>
      <x:c r="T568" s="221" t="n">
        <x:v>57.54838709677419</x:v>
      </x:c>
      <x:c r="U568" s="221" t="n">
        <x:v>3.5161290322580645</x:v>
      </x:c>
      <x:c r="V568" s="219" t="n">
        <x:v>0.16359447004608296</x:v>
      </x:c>
      <x:c r="W568" s="216" t="n">
        <x:v>33</x:v>
      </x:c>
      <x:c r="X568" s="223" t="n">
        <x:v>4380</x:v>
      </x:c>
      <x:c r="Y568" s="216" t="n">
        <x:v>9</x:v>
      </x:c>
    </x:row>
    <x:row r="569">
      <x:c r="A569" s="217" t="n">
        <x:v>107</x:v>
      </x:c>
      <x:c r="B569" s="217" t="str">
        <x:v>三民翠華街口</x:v>
      </x:c>
      <x:c r="C569" s="217" t="str">
        <x:v>板橋區</x:v>
      </x:c>
      <x:c r="D569" s="217" t="n">
        <x:v>10</x:v>
      </x:c>
      <x:c r="E569" s="217" t="n">
        <x:v>120</x:v>
      </x:c>
      <x:c r="F569" s="218" t="n">
        <x:v>0.9994791666666667</x:v>
      </x:c>
      <x:c r="G569" s="217" t="n">
        <x:v>565</x:v>
      </x:c>
      <x:c r="H569" s="217" t="str">
        <x:f>IF(G569&lt;='排名定義'!$B$5,"是","")</x:f>
        <x:v>是</x:v>
      </x:c>
      <x:c r="I569" s="217" t="n">
        <x:v>558</x:v>
      </x:c>
      <x:c r="J569" s="217" t="str">
        <x:f>IF(I569&lt;='排名定義'!$B$5,"是","")</x:f>
        <x:v>是</x:v>
      </x:c>
      <x:c r="K569" s="217" t="n">
        <x:v>754</x:v>
      </x:c>
      <x:c r="L569" s="217" t="str">
        <x:f>IF(K569&lt;='排名定義'!$B$5,"是","")</x:f>
        <x:v>是</x:v>
      </x:c>
      <x:c r="M569" s="217" t="n">
        <x:f>COUNTIF(H569:L569,"是")</x:f>
        <x:v>3</x:v>
      </x:c>
      <x:c r="N569" s="217" t="str">
        <x:v>三份皆未入選</x:v>
      </x:c>
      <x:c r="O569" s="220" t="n">
        <x:v>60.391666666666666</x:v>
      </x:c>
      <x:c r="P569" s="220" t="n">
        <x:v>56.275</x:v>
      </x:c>
      <x:c r="Q569" s="220" t="n">
        <x:v>4.116666666666666</x:v>
      </x:c>
      <x:c r="R569" s="220" t="n">
        <x:v>0.06816613771215675</x:v>
      </x:c>
      <x:c r="S569" s="220" t="n">
        <x:v>71.93548387096774</x:v>
      </x:c>
      <x:c r="T569" s="220" t="n">
        <x:v>67.6774193548387</x:v>
      </x:c>
      <x:c r="U569" s="220" t="n">
        <x:v>4.258064516129032</x:v>
      </x:c>
      <x:c r="V569" s="218" t="n">
        <x:v>0.20967741935483872</x:v>
      </x:c>
      <x:c r="W569" s="217" t="n">
        <x:v>50</x:v>
      </x:c>
      <x:c r="X569" s="222" t="n">
        <x:v>6510</x:v>
      </x:c>
      <x:c r="Y569" s="217" t="n">
        <x:v>10</x:v>
      </x:c>
    </x:row>
    <x:row r="570">
      <x:c r="A570" s="216" t="n">
        <x:v>159</x:v>
      </x:c>
      <x:c r="B570" s="216" t="str">
        <x:v>黃城公園(中榮街)</x:v>
      </x:c>
      <x:c r="C570" s="216" t="str">
        <x:v>新莊區</x:v>
      </x:c>
      <x:c r="D570" s="216" t="n">
        <x:v>11</x:v>
      </x:c>
      <x:c r="E570" s="216" t="n">
        <x:v>120</x:v>
      </x:c>
      <x:c r="F570" s="219" t="n">
        <x:v>0.9994791666666667</x:v>
      </x:c>
      <x:c r="G570" s="216" t="n">
        <x:v>566</x:v>
      </x:c>
      <x:c r="H570" s="216" t="str">
        <x:f>IF(G570&lt;='排名定義'!$B$5,"是","")</x:f>
        <x:v>是</x:v>
      </x:c>
      <x:c r="I570" s="216" t="n">
        <x:v>578</x:v>
      </x:c>
      <x:c r="J570" s="216" t="str">
        <x:f>IF(I570&lt;='排名定義'!$B$5,"是","")</x:f>
        <x:v>是</x:v>
      </x:c>
      <x:c r="K570" s="216" t="n">
        <x:v>460</x:v>
      </x:c>
      <x:c r="L570" s="216" t="str">
        <x:f>IF(K570&lt;='排名定義'!$B$5,"是","")</x:f>
        <x:v>是</x:v>
      </x:c>
      <x:c r="M570" s="216" t="n">
        <x:f>COUNTIF(H570:L570,"是")</x:f>
        <x:v>3</x:v>
      </x:c>
      <x:c r="N570" s="216" t="str">
        <x:v>三份皆未入選</x:v>
      </x:c>
      <x:c r="O570" s="221" t="n">
        <x:v>60.34166666666667</x:v>
      </x:c>
      <x:c r="P570" s="221" t="n">
        <x:v>55.025</x:v>
      </x:c>
      <x:c r="Q570" s="221" t="n">
        <x:v>5.316666666666666</x:v>
      </x:c>
      <x:c r="R570" s="221" t="n">
        <x:v>0.08810937715785112</x:v>
      </x:c>
      <x:c r="S570" s="221" t="n">
        <x:v>74.74193548387096</x:v>
      </x:c>
      <x:c r="T570" s="221" t="n">
        <x:v>72.29032258064517</x:v>
      </x:c>
      <x:c r="U570" s="221" t="n">
        <x:v>2.4516129032258065</x:v>
      </x:c>
      <x:c r="V570" s="219" t="n">
        <x:v>0.1774193548387097</x:v>
      </x:c>
      <x:c r="W570" s="216" t="n">
        <x:v>46</x:v>
      </x:c>
      <x:c r="X570" s="223" t="n">
        <x:v>6780</x:v>
      </x:c>
      <x:c r="Y570" s="216" t="n">
        <x:v>11</x:v>
      </x:c>
    </x:row>
    <x:row r="571">
      <x:c r="A571" s="217" t="n">
        <x:v>189</x:v>
      </x:c>
      <x:c r="B571" s="217" t="str">
        <x:v>正和中正路口</x:v>
      </x:c>
      <x:c r="C571" s="217" t="str">
        <x:v>蘆洲區</x:v>
      </x:c>
      <x:c r="D571" s="217" t="n">
        <x:v>12</x:v>
      </x:c>
      <x:c r="E571" s="217" t="n">
        <x:v>120</x:v>
      </x:c>
      <x:c r="F571" s="218" t="n">
        <x:v>0.9994791666666667</x:v>
      </x:c>
      <x:c r="G571" s="217" t="n">
        <x:v>567</x:v>
      </x:c>
      <x:c r="H571" s="217" t="str">
        <x:f>IF(G571&lt;='排名定義'!$B$5,"是","")</x:f>
        <x:v>是</x:v>
      </x:c>
      <x:c r="I571" s="217" t="n">
        <x:v>550</x:v>
      </x:c>
      <x:c r="J571" s="217" t="str">
        <x:f>IF(I571&lt;='排名定義'!$B$5,"是","")</x:f>
        <x:v>是</x:v>
      </x:c>
      <x:c r="K571" s="217" t="n">
        <x:v>1082</x:v>
      </x:c>
      <x:c r="L571" s="217" t="str">
        <x:f>IF(K571&lt;='排名定義'!$B$5,"是","")</x:f>
        <x:v>是</x:v>
      </x:c>
      <x:c r="M571" s="217" t="n">
        <x:f>COUNTIF(H571:L571,"是")</x:f>
        <x:v>3</x:v>
      </x:c>
      <x:c r="N571" s="217" t="str">
        <x:v>三份皆未入選</x:v>
      </x:c>
      <x:c r="O571" s="220" t="n">
        <x:v>60.333333333333336</x:v>
      </x:c>
      <x:c r="P571" s="220" t="n">
        <x:v>57.083333333333336</x:v>
      </x:c>
      <x:c r="Q571" s="220" t="n">
        <x:v>3.25</x:v>
      </x:c>
      <x:c r="R571" s="220" t="n">
        <x:v>0.05386740331491713</x:v>
      </x:c>
      <x:c r="S571" s="220" t="n">
        <x:v>80</x:v>
      </x:c>
      <x:c r="T571" s="220" t="n">
        <x:v>77.29032258064517</x:v>
      </x:c>
      <x:c r="U571" s="220" t="n">
        <x:v>2.7096774193548385</x:v>
      </x:c>
      <x:c r="V571" s="218" t="n">
        <x:v>0.1313364055299539</x:v>
      </x:c>
      <x:c r="W571" s="217" t="n">
        <x:v>24</x:v>
      </x:c>
      <x:c r="X571" s="222" t="n">
        <x:v>4170</x:v>
      </x:c>
      <x:c r="Y571" s="217" t="n">
        <x:v>12</x:v>
      </x:c>
    </x:row>
    <x:row r="572">
      <x:c r="A572" s="216" t="n">
        <x:v>1178</x:v>
      </x:c>
      <x:c r="B572" s="216" t="str">
        <x:v>淡水國民運動中心</x:v>
      </x:c>
      <x:c r="C572" s="216" t="str">
        <x:v>淡水區</x:v>
      </x:c>
      <x:c r="D572" s="216" t="n">
        <x:v>36</x:v>
      </x:c>
      <x:c r="E572" s="216" t="n">
        <x:v>120</x:v>
      </x:c>
      <x:c r="F572" s="219" t="n">
        <x:v>0.9994791666666667</x:v>
      </x:c>
      <x:c r="G572" s="216" t="n">
        <x:v>568</x:v>
      </x:c>
      <x:c r="H572" s="216" t="str">
        <x:f>IF(G572&lt;='排名定義'!$B$5,"是","")</x:f>
        <x:v>是</x:v>
      </x:c>
      <x:c r="I572" s="216" t="n">
        <x:v>583</x:v>
      </x:c>
      <x:c r="J572" s="216" t="str">
        <x:f>IF(I572&lt;='排名定義'!$B$5,"是","")</x:f>
        <x:v>是</x:v>
      </x:c>
      <x:c r="K572" s="216" t="n">
        <x:v>432</x:v>
      </x:c>
      <x:c r="L572" s="216" t="str">
        <x:f>IF(K572&lt;='排名定義'!$B$5,"是","")</x:f>
        <x:v>是</x:v>
      </x:c>
      <x:c r="M572" s="216" t="n">
        <x:f>COUNTIF(H572:L572,"是")</x:f>
        <x:v>3</x:v>
      </x:c>
      <x:c r="N572" s="216" t="str">
        <x:v>三份皆未入選</x:v>
      </x:c>
      <x:c r="O572" s="221" t="n">
        <x:v>60.3</x:v>
      </x:c>
      <x:c r="P572" s="221" t="n">
        <x:v>54.78333333333333</x:v>
      </x:c>
      <x:c r="Q572" s="221" t="n">
        <x:v>5.516666666666667</x:v>
      </x:c>
      <x:c r="R572" s="221" t="n">
        <x:v>0.09148700939745716</x:v>
      </x:c>
      <x:c r="S572" s="221" t="n">
        <x:v>90</x:v>
      </x:c>
      <x:c r="T572" s="221" t="n">
        <x:v>85.38709677419355</x:v>
      </x:c>
      <x:c r="U572" s="221" t="n">
        <x:v>4.612903225806452</x:v>
      </x:c>
      <x:c r="V572" s="219" t="n">
        <x:v>0.03456221198156682</x:v>
      </x:c>
      <x:c r="W572" s="216" t="n">
        <x:v>17</x:v>
      </x:c>
      <x:c r="X572" s="223" t="n">
        <x:v>1920</x:v>
      </x:c>
      <x:c r="Y572" s="216" t="n">
        <x:v>36</x:v>
      </x:c>
    </x:row>
    <x:row r="573">
      <x:c r="A573" s="217" t="n">
        <x:v>329</x:v>
      </x:c>
      <x:c r="B573" s="217" t="str">
        <x:v>仁愛仁和街口</x:v>
      </x:c>
      <x:c r="C573" s="217" t="str">
        <x:v>三重區</x:v>
      </x:c>
      <x:c r="D573" s="217" t="n">
        <x:v>15</x:v>
      </x:c>
      <x:c r="E573" s="217" t="n">
        <x:v>120</x:v>
      </x:c>
      <x:c r="F573" s="218" t="n">
        <x:v>0.9994791666666667</x:v>
      </x:c>
      <x:c r="G573" s="217" t="n">
        <x:v>569</x:v>
      </x:c>
      <x:c r="H573" s="217" t="str">
        <x:f>IF(G573&lt;='排名定義'!$B$5,"是","")</x:f>
        <x:v>是</x:v>
      </x:c>
      <x:c r="I573" s="217" t="n">
        <x:v>568</x:v>
      </x:c>
      <x:c r="J573" s="217" t="str">
        <x:f>IF(I573&lt;='排名定義'!$B$5,"是","")</x:f>
        <x:v>是</x:v>
      </x:c>
      <x:c r="K573" s="217" t="n">
        <x:v>616</x:v>
      </x:c>
      <x:c r="L573" s="217" t="str">
        <x:f>IF(K573&lt;='排名定義'!$B$5,"是","")</x:f>
        <x:v>是</x:v>
      </x:c>
      <x:c r="M573" s="217" t="n">
        <x:f>COUNTIF(H573:L573,"是")</x:f>
        <x:v>3</x:v>
      </x:c>
      <x:c r="N573" s="217" t="str">
        <x:v>三份皆未入選</x:v>
      </x:c>
      <x:c r="O573" s="220" t="n">
        <x:v>60.266666666666666</x:v>
      </x:c>
      <x:c r="P573" s="220" t="n">
        <x:v>55.675</x:v>
      </x:c>
      <x:c r="Q573" s="220" t="n">
        <x:v>4.591666666666667</x:v>
      </x:c>
      <x:c r="R573" s="220" t="n">
        <x:v>0.0761891592920354</x:v>
      </x:c>
      <x:c r="S573" s="220" t="n">
        <x:v>72.90322580645162</x:v>
      </x:c>
      <x:c r="T573" s="220" t="n">
        <x:v>68.70967741935483</x:v>
      </x:c>
      <x:c r="U573" s="220" t="n">
        <x:v>4.193548387096774</x:v>
      </x:c>
      <x:c r="V573" s="218" t="n">
        <x:v>0.2073732718894009</x:v>
      </x:c>
      <x:c r="W573" s="217" t="n">
        <x:v>56</x:v>
      </x:c>
      <x:c r="X573" s="222" t="n">
        <x:v>7230</x:v>
      </x:c>
      <x:c r="Y573" s="217" t="n">
        <x:v>15</x:v>
      </x:c>
    </x:row>
    <x:row r="574">
      <x:c r="A574" s="216" t="n">
        <x:v>348</x:v>
      </x:c>
      <x:c r="B574" s="216" t="str">
        <x:v>大豐公園停車場</x:v>
      </x:c>
      <x:c r="C574" s="216" t="str">
        <x:v>新店區</x:v>
      </x:c>
      <x:c r="D574" s="216" t="n">
        <x:v>15</x:v>
      </x:c>
      <x:c r="E574" s="216" t="n">
        <x:v>120</x:v>
      </x:c>
      <x:c r="F574" s="219" t="n">
        <x:v>0.9994791666666667</x:v>
      </x:c>
      <x:c r="G574" s="216" t="n">
        <x:v>570</x:v>
      </x:c>
      <x:c r="H574" s="216" t="str">
        <x:f>IF(G574&lt;='排名定義'!$B$5,"是","")</x:f>
        <x:v>是</x:v>
      </x:c>
      <x:c r="I574" s="216" t="n">
        <x:v>559</x:v>
      </x:c>
      <x:c r="J574" s="216" t="str">
        <x:f>IF(I574&lt;='排名定義'!$B$5,"是","")</x:f>
        <x:v>是</x:v>
      </x:c>
      <x:c r="K574" s="216" t="n">
        <x:v>766</x:v>
      </x:c>
      <x:c r="L574" s="216" t="str">
        <x:f>IF(K574&lt;='排名定義'!$B$5,"是","")</x:f>
        <x:v>是</x:v>
      </x:c>
      <x:c r="M574" s="216" t="n">
        <x:f>COUNTIF(H574:L574,"是")</x:f>
        <x:v>3</x:v>
      </x:c>
      <x:c r="N574" s="216" t="str">
        <x:v>三份皆未入選</x:v>
      </x:c>
      <x:c r="O574" s="221" t="n">
        <x:v>60.266666666666666</x:v>
      </x:c>
      <x:c r="P574" s="221" t="n">
        <x:v>56.175</x:v>
      </x:c>
      <x:c r="Q574" s="221" t="n">
        <x:v>4.091666666666667</x:v>
      </x:c>
      <x:c r="R574" s="221" t="n">
        <x:v>0.06789269911504425</x:v>
      </x:c>
      <x:c r="S574" s="221" t="n">
        <x:v>85.41935483870968</x:v>
      </x:c>
      <x:c r="T574" s="221" t="n">
        <x:v>81.2258064516129</x:v>
      </x:c>
      <x:c r="U574" s="221" t="n">
        <x:v>4.193548387096774</x:v>
      </x:c>
      <x:c r="V574" s="219" t="n">
        <x:v>0.1313364055299539</x:v>
      </x:c>
      <x:c r="W574" s="216" t="n">
        <x:v>33</x:v>
      </x:c>
      <x:c r="X574" s="223" t="n">
        <x:v>4440</x:v>
      </x:c>
      <x:c r="Y574" s="216" t="n">
        <x:v>15</x:v>
      </x:c>
    </x:row>
    <x:row r="575">
      <x:c r="A575" s="217" t="n">
        <x:v>275</x:v>
      </x:c>
      <x:c r="B575" s="217" t="str">
        <x:v>景新國小</x:v>
      </x:c>
      <x:c r="C575" s="217" t="str">
        <x:v>中和區</x:v>
      </x:c>
      <x:c r="D575" s="217" t="n">
        <x:v>14</x:v>
      </x:c>
      <x:c r="E575" s="217" t="n">
        <x:v>120</x:v>
      </x:c>
      <x:c r="F575" s="218" t="n">
        <x:v>0.9994791666666667</x:v>
      </x:c>
      <x:c r="G575" s="217" t="n">
        <x:v>571</x:v>
      </x:c>
      <x:c r="H575" s="217" t="str">
        <x:f>IF(G575&lt;='排名定義'!$B$5,"是","")</x:f>
        <x:v>是</x:v>
      </x:c>
      <x:c r="I575" s="217" t="n">
        <x:v>554</x:v>
      </x:c>
      <x:c r="J575" s="217" t="str">
        <x:f>IF(I575&lt;='排名定義'!$B$5,"是","")</x:f>
        <x:v>是</x:v>
      </x:c>
      <x:c r="K575" s="217" t="n">
        <x:v>1023</x:v>
      </x:c>
      <x:c r="L575" s="217" t="str">
        <x:f>IF(K575&lt;='排名定義'!$B$5,"是","")</x:f>
        <x:v>是</x:v>
      </x:c>
      <x:c r="M575" s="217" t="n">
        <x:f>COUNTIF(H575:L575,"是")</x:f>
        <x:v>3</x:v>
      </x:c>
      <x:c r="N575" s="217" t="str">
        <x:v>三份皆未入選</x:v>
      </x:c>
      <x:c r="O575" s="220" t="n">
        <x:v>60.141666666666666</x:v>
      </x:c>
      <x:c r="P575" s="220" t="n">
        <x:v>56.75</x:v>
      </x:c>
      <x:c r="Q575" s="220" t="n">
        <x:v>3.3916666666666666</x:v>
      </x:c>
      <x:c r="R575" s="220" t="n">
        <x:v>0.056394623804905085</x:v>
      </x:c>
      <x:c r="S575" s="220" t="n">
        <x:v>80.16129032258064</x:v>
      </x:c>
      <x:c r="T575" s="220" t="n">
        <x:v>77.16129032258064</x:v>
      </x:c>
      <x:c r="U575" s="220" t="n">
        <x:v>3</x:v>
      </x:c>
      <x:c r="V575" s="218" t="n">
        <x:v>0.1336405529953917</x:v>
      </x:c>
      <x:c r="W575" s="217" t="n">
        <x:v>29</x:v>
      </x:c>
      <x:c r="X575" s="222" t="n">
        <x:v>3900</x:v>
      </x:c>
      <x:c r="Y575" s="217" t="n">
        <x:v>14</x:v>
      </x:c>
    </x:row>
    <x:row r="576">
      <x:c r="A576" s="216" t="n">
        <x:v>1337</x:v>
      </x:c>
      <x:c r="B576" s="216" t="str">
        <x:v>鶯歌火車站(仁愛路62號)</x:v>
      </x:c>
      <x:c r="C576" s="216" t="str">
        <x:v>鶯歌區</x:v>
      </x:c>
      <x:c r="D576" s="216" t="n">
        <x:v>42</x:v>
      </x:c>
      <x:c r="E576" s="216" t="n">
        <x:v>120</x:v>
      </x:c>
      <x:c r="F576" s="219" t="n">
        <x:v>0.9994791666666667</x:v>
      </x:c>
      <x:c r="G576" s="216" t="n">
        <x:v>572</x:v>
      </x:c>
      <x:c r="H576" s="216" t="str">
        <x:f>IF(G576&lt;='排名定義'!$B$5,"是","")</x:f>
        <x:v>是</x:v>
      </x:c>
      <x:c r="I576" s="216" t="n">
        <x:v>605</x:v>
      </x:c>
      <x:c r="J576" s="216" t="str">
        <x:f>IF(I576&lt;='排名定義'!$B$5,"是","")</x:f>
        <x:v>是</x:v>
      </x:c>
      <x:c r="K576" s="216" t="n">
        <x:v>299</x:v>
      </x:c>
      <x:c r="L576" s="216" t="str">
        <x:f>IF(K576&lt;='排名定義'!$B$5,"是","")</x:f>
        <x:v>是</x:v>
      </x:c>
      <x:c r="M576" s="216" t="n">
        <x:f>COUNTIF(H576:L576,"是")</x:f>
        <x:v>3</x:v>
      </x:c>
      <x:c r="N576" s="216" t="str">
        <x:v>僅大幅變動</x:v>
      </x:c>
      <x:c r="O576" s="221" t="n">
        <x:v>60.075</x:v>
      </x:c>
      <x:c r="P576" s="221" t="n">
        <x:v>53.69166666666667</x:v>
      </x:c>
      <x:c r="Q576" s="221" t="n">
        <x:v>6.383333333333334</x:v>
      </x:c>
      <x:c r="R576" s="221" t="n">
        <x:v>0.10625606880288528</x:v>
      </x:c>
      <x:c r="S576" s="221" t="n">
        <x:v>81.7741935483871</x:v>
      </x:c>
      <x:c r="T576" s="221" t="n">
        <x:v>77.06451612903226</x:v>
      </x:c>
      <x:c r="U576" s="221" t="n">
        <x:v>4.709677419354839</x:v>
      </x:c>
      <x:c r="V576" s="219" t="n">
        <x:v>0.018433179723502304</x:v>
      </x:c>
      <x:c r="W576" s="216" t="n">
        <x:v>17</x:v>
      </x:c>
      <x:c r="X576" s="223" t="n">
        <x:v>2040</x:v>
      </x:c>
      <x:c r="Y576" s="216" t="n">
        <x:v>42</x:v>
      </x:c>
    </x:row>
    <x:row r="577">
      <x:c r="A577" s="217" t="n">
        <x:v>1239</x:v>
      </x:c>
      <x:c r="B577" s="217" t="str">
        <x:v>民族路257巷/民族路327巷</x:v>
      </x:c>
      <x:c r="C577" s="217" t="str">
        <x:v>蘆洲區</x:v>
      </x:c>
      <x:c r="D577" s="217" t="n">
        <x:v>39</x:v>
      </x:c>
      <x:c r="E577" s="217" t="n">
        <x:v>120</x:v>
      </x:c>
      <x:c r="F577" s="218" t="n">
        <x:v>0.9994791666666667</x:v>
      </x:c>
      <x:c r="G577" s="217" t="n">
        <x:v>573</x:v>
      </x:c>
      <x:c r="H577" s="217" t="str">
        <x:f>IF(G577&lt;='排名定義'!$B$5,"是","")</x:f>
        <x:v>是</x:v>
      </x:c>
      <x:c r="I577" s="217" t="n">
        <x:v>594</x:v>
      </x:c>
      <x:c r="J577" s="217" t="str">
        <x:f>IF(I577&lt;='排名定義'!$B$5,"是","")</x:f>
        <x:v>是</x:v>
      </x:c>
      <x:c r="K577" s="217" t="n">
        <x:v>390</x:v>
      </x:c>
      <x:c r="L577" s="217" t="str">
        <x:f>IF(K577&lt;='排名定義'!$B$5,"是","")</x:f>
        <x:v>是</x:v>
      </x:c>
      <x:c r="M577" s="217" t="n">
        <x:f>COUNTIF(H577:L577,"是")</x:f>
        <x:v>3</x:v>
      </x:c>
      <x:c r="N577" s="217" t="str">
        <x:v>三份皆未入選</x:v>
      </x:c>
      <x:c r="O577" s="220" t="n">
        <x:v>60.05</x:v>
      </x:c>
      <x:c r="P577" s="220" t="n">
        <x:v>54.291666666666664</x:v>
      </x:c>
      <x:c r="Q577" s="220" t="n">
        <x:v>5.758333333333334</x:v>
      </x:c>
      <x:c r="R577" s="220" t="n">
        <x:v>0.09589231196225367</x:v>
      </x:c>
      <x:c r="S577" s="220" t="n">
        <x:v>78.45161290322581</x:v>
      </x:c>
      <x:c r="T577" s="220" t="n">
        <x:v>73.74193548387096</x:v>
      </x:c>
      <x:c r="U577" s="220" t="n">
        <x:v>4.709677419354839</x:v>
      </x:c>
      <x:c r="V577" s="218" t="n">
        <x:v>0.05069124423963134</x:v>
      </x:c>
      <x:c r="W577" s="217" t="n">
        <x:v>9</x:v>
      </x:c>
      <x:c r="X577" s="222" t="n">
        <x:v>1110</x:v>
      </x:c>
      <x:c r="Y577" s="217" t="n">
        <x:v>39</x:v>
      </x:c>
    </x:row>
    <x:row r="578">
      <x:c r="A578" s="216" t="n">
        <x:v>498</x:v>
      </x:c>
      <x:c r="B578" s="216" t="str">
        <x:v>集美街58巷口(東北側)</x:v>
      </x:c>
      <x:c r="C578" s="216" t="str">
        <x:v>三重區</x:v>
      </x:c>
      <x:c r="D578" s="216" t="n">
        <x:v>16</x:v>
      </x:c>
      <x:c r="E578" s="216" t="n">
        <x:v>120</x:v>
      </x:c>
      <x:c r="F578" s="219" t="n">
        <x:v>0.9994791666666667</x:v>
      </x:c>
      <x:c r="G578" s="216" t="n">
        <x:v>574</x:v>
      </x:c>
      <x:c r="H578" s="216" t="str">
        <x:f>IF(G578&lt;='排名定義'!$B$5,"是","")</x:f>
        <x:v>是</x:v>
      </x:c>
      <x:c r="I578" s="216" t="n">
        <x:v>561</x:v>
      </x:c>
      <x:c r="J578" s="216" t="str">
        <x:f>IF(I578&lt;='排名定義'!$B$5,"是","")</x:f>
        <x:v>是</x:v>
      </x:c>
      <x:c r="K578" s="216" t="n">
        <x:v>774</x:v>
      </x:c>
      <x:c r="L578" s="216" t="str">
        <x:f>IF(K578&lt;='排名定義'!$B$5,"是","")</x:f>
        <x:v>是</x:v>
      </x:c>
      <x:c r="M578" s="216" t="n">
        <x:f>COUNTIF(H578:L578,"是")</x:f>
        <x:v>3</x:v>
      </x:c>
      <x:c r="N578" s="216" t="str">
        <x:v>三份皆未入選</x:v>
      </x:c>
      <x:c r="O578" s="221" t="n">
        <x:v>60.041666666666664</x:v>
      </x:c>
      <x:c r="P578" s="221" t="n">
        <x:v>55.96666666666667</x:v>
      </x:c>
      <x:c r="Q578" s="221" t="n">
        <x:v>4.075</x:v>
      </x:c>
      <x:c r="R578" s="221" t="n">
        <x:v>0.06786953504510757</x:v>
      </x:c>
      <x:c r="S578" s="221" t="n">
        <x:v>92.64516129032258</x:v>
      </x:c>
      <x:c r="T578" s="221" t="n">
        <x:v>87.12903225806451</x:v>
      </x:c>
      <x:c r="U578" s="221" t="n">
        <x:v>5.516129032258065</x:v>
      </x:c>
      <x:c r="V578" s="219" t="n">
        <x:v>0.03456221198156682</x:v>
      </x:c>
      <x:c r="W578" s="216" t="n">
        <x:v>15</x:v>
      </x:c>
      <x:c r="X578" s="223" t="n">
        <x:v>2310</x:v>
      </x:c>
      <x:c r="Y578" s="216" t="n">
        <x:v>16</x:v>
      </x:c>
    </x:row>
    <x:row r="579">
      <x:c r="A579" s="217" t="n">
        <x:v>484</x:v>
      </x:c>
      <x:c r="B579" s="217" t="str">
        <x:v>新北大道昌平街口(臨時站)</x:v>
      </x:c>
      <x:c r="C579" s="217" t="str">
        <x:v>新莊區</x:v>
      </x:c>
      <x:c r="D579" s="217" t="n">
        <x:v>16</x:v>
      </x:c>
      <x:c r="E579" s="217" t="n">
        <x:v>120</x:v>
      </x:c>
      <x:c r="F579" s="218" t="n">
        <x:v>0.9994791666666667</x:v>
      </x:c>
      <x:c r="G579" s="217" t="n">
        <x:v>575</x:v>
      </x:c>
      <x:c r="H579" s="217" t="str">
        <x:f>IF(G579&lt;='排名定義'!$B$5,"是","")</x:f>
        <x:v>是</x:v>
      </x:c>
      <x:c r="I579" s="217" t="n">
        <x:v>569</x:v>
      </x:c>
      <x:c r="J579" s="217" t="str">
        <x:f>IF(I579&lt;='排名定義'!$B$5,"是","")</x:f>
        <x:v>是</x:v>
      </x:c>
      <x:c r="K579" s="217" t="n">
        <x:v>687</x:v>
      </x:c>
      <x:c r="L579" s="217" t="str">
        <x:f>IF(K579&lt;='排名定義'!$B$5,"是","")</x:f>
        <x:v>是</x:v>
      </x:c>
      <x:c r="M579" s="217" t="n">
        <x:f>COUNTIF(H579:L579,"是")</x:f>
        <x:v>3</x:v>
      </x:c>
      <x:c r="N579" s="217" t="str">
        <x:v>三份皆未入選</x:v>
      </x:c>
      <x:c r="O579" s="220" t="n">
        <x:v>59.94166666666667</x:v>
      </x:c>
      <x:c r="P579" s="220" t="n">
        <x:v>55.59166666666667</x:v>
      </x:c>
      <x:c r="Q579" s="220" t="n">
        <x:v>4.35</x:v>
      </x:c>
      <x:c r="R579" s="220" t="n">
        <x:v>0.07257055470596413</x:v>
      </x:c>
      <x:c r="S579" s="220" t="n">
        <x:v>80.35483870967742</x:v>
      </x:c>
      <x:c r="T579" s="220" t="n">
        <x:v>76.93548387096774</x:v>
      </x:c>
      <x:c r="U579" s="220" t="n">
        <x:v>3.4193548387096775</x:v>
      </x:c>
      <x:c r="V579" s="218" t="n">
        <x:v>0.1336405529953917</x:v>
      </x:c>
      <x:c r="W579" s="217" t="n">
        <x:v>27</x:v>
      </x:c>
      <x:c r="X579" s="222" t="n">
        <x:v>4320</x:v>
      </x:c>
      <x:c r="Y579" s="217" t="n">
        <x:v>16</x:v>
      </x:c>
    </x:row>
    <x:row r="580">
      <x:c r="A580" s="216" t="n">
        <x:v>778</x:v>
      </x:c>
      <x:c r="B580" s="216" t="str">
        <x:v>重慶國小(和平路101巷)</x:v>
      </x:c>
      <x:c r="C580" s="216" t="str">
        <x:v>板橋區</x:v>
      </x:c>
      <x:c r="D580" s="216" t="n">
        <x:v>21</x:v>
      </x:c>
      <x:c r="E580" s="216" t="n">
        <x:v>120</x:v>
      </x:c>
      <x:c r="F580" s="219" t="n">
        <x:v>0.9994791666666667</x:v>
      </x:c>
      <x:c r="G580" s="216" t="n">
        <x:v>576</x:v>
      </x:c>
      <x:c r="H580" s="216" t="str">
        <x:f>IF(G580&lt;='排名定義'!$B$5,"是","")</x:f>
        <x:v>是</x:v>
      </x:c>
      <x:c r="I580" s="216" t="n">
        <x:v>571</x:v>
      </x:c>
      <x:c r="J580" s="216" t="str">
        <x:f>IF(I580&lt;='排名定義'!$B$5,"是","")</x:f>
        <x:v>是</x:v>
      </x:c>
      <x:c r="K580" s="216" t="n">
        <x:v>668</x:v>
      </x:c>
      <x:c r="L580" s="216" t="str">
        <x:f>IF(K580&lt;='排名定義'!$B$5,"是","")</x:f>
        <x:v>是</x:v>
      </x:c>
      <x:c r="M580" s="216" t="n">
        <x:f>COUNTIF(H580:L580,"是")</x:f>
        <x:v>3</x:v>
      </x:c>
      <x:c r="N580" s="216" t="str">
        <x:v>三份皆未入選</x:v>
      </x:c>
      <x:c r="O580" s="221" t="n">
        <x:v>59.9</x:v>
      </x:c>
      <x:c r="P580" s="221" t="n">
        <x:v>55.49166666666667</x:v>
      </x:c>
      <x:c r="Q580" s="221" t="n">
        <x:v>4.408333333333333</x:v>
      </x:c>
      <x:c r="R580" s="221" t="n">
        <x:v>0.07359488035614914</x:v>
      </x:c>
      <x:c r="S580" s="221" t="n">
        <x:v>82.06451612903226</x:v>
      </x:c>
      <x:c r="T580" s="221" t="n">
        <x:v>77.3225806451613</x:v>
      </x:c>
      <x:c r="U580" s="221" t="n">
        <x:v>4.741935483870968</x:v>
      </x:c>
      <x:c r="V580" s="219" t="n">
        <x:v>0.07834101382488479</x:v>
      </x:c>
      <x:c r="W580" s="216" t="n">
        <x:v>18</x:v>
      </x:c>
      <x:c r="X580" s="223" t="n">
        <x:v>2310</x:v>
      </x:c>
      <x:c r="Y580" s="216" t="n">
        <x:v>21</x:v>
      </x:c>
    </x:row>
    <x:row r="581">
      <x:c r="A581" s="217" t="n">
        <x:v>1144</x:v>
      </x:c>
      <x:c r="B581" s="217" t="str">
        <x:v>福基公園</x:v>
      </x:c>
      <x:c r="C581" s="217" t="str">
        <x:v>新莊區</x:v>
      </x:c>
      <x:c r="D581" s="217" t="n">
        <x:v>40</x:v>
      </x:c>
      <x:c r="E581" s="217" t="n">
        <x:v>120</x:v>
      </x:c>
      <x:c r="F581" s="218" t="n">
        <x:v>0.9994791666666667</x:v>
      </x:c>
      <x:c r="G581" s="217" t="n">
        <x:v>577</x:v>
      </x:c>
      <x:c r="H581" s="217" t="str">
        <x:f>IF(G581&lt;='排名定義'!$B$5,"是","")</x:f>
        <x:v>是</x:v>
      </x:c>
      <x:c r="I581" s="217" t="n">
        <x:v>586</x:v>
      </x:c>
      <x:c r="J581" s="217" t="str">
        <x:f>IF(I581&lt;='排名定義'!$B$5,"是","")</x:f>
        <x:v>是</x:v>
      </x:c>
      <x:c r="K581" s="217" t="n">
        <x:v>477</x:v>
      </x:c>
      <x:c r="L581" s="217" t="str">
        <x:f>IF(K581&lt;='排名定義'!$B$5,"是","")</x:f>
        <x:v>是</x:v>
      </x:c>
      <x:c r="M581" s="217" t="n">
        <x:f>COUNTIF(H581:L581,"是")</x:f>
        <x:v>3</x:v>
      </x:c>
      <x:c r="N581" s="217" t="str">
        <x:v>三份皆未入選</x:v>
      </x:c>
      <x:c r="O581" s="220" t="n">
        <x:v>59.84166666666667</x:v>
      </x:c>
      <x:c r="P581" s="220" t="n">
        <x:v>54.583333333333336</x:v>
      </x:c>
      <x:c r="Q581" s="220" t="n">
        <x:v>5.258333333333334</x:v>
      </x:c>
      <x:c r="R581" s="220" t="n">
        <x:v>0.08787077008773152</x:v>
      </x:c>
      <x:c r="S581" s="220" t="n">
        <x:v>80.03225806451613</x:v>
      </x:c>
      <x:c r="T581" s="220" t="n">
        <x:v>76.58064516129032</x:v>
      </x:c>
      <x:c r="U581" s="220" t="n">
        <x:v>3.4516129032258065</x:v>
      </x:c>
      <x:c r="V581" s="218" t="n">
        <x:v>0.07603686635944701</x:v>
      </x:c>
      <x:c r="W581" s="217" t="n">
        <x:v>21</x:v>
      </x:c>
      <x:c r="X581" s="222" t="n">
        <x:v>2100</x:v>
      </x:c>
      <x:c r="Y581" s="217" t="n">
        <x:v>40</x:v>
      </x:c>
    </x:row>
    <x:row r="582">
      <x:c r="A582" s="216" t="n">
        <x:v>346</x:v>
      </x:c>
      <x:c r="B582" s="216" t="str">
        <x:v>國際二國學街口</x:v>
      </x:c>
      <x:c r="C582" s="216" t="str">
        <x:v>三峽區</x:v>
      </x:c>
      <x:c r="D582" s="216" t="n">
        <x:v>15</x:v>
      </x:c>
      <x:c r="E582" s="216" t="n">
        <x:v>120</x:v>
      </x:c>
      <x:c r="F582" s="219" t="n">
        <x:v>0.9994791666666667</x:v>
      </x:c>
      <x:c r="G582" s="216" t="n">
        <x:v>578</x:v>
      </x:c>
      <x:c r="H582" s="216" t="str">
        <x:f>IF(G582&lt;='排名定義'!$B$5,"是","")</x:f>
        <x:v>是</x:v>
      </x:c>
      <x:c r="I582" s="216" t="n">
        <x:v>565</x:v>
      </x:c>
      <x:c r="J582" s="216" t="str">
        <x:f>IF(I582&lt;='排名定義'!$B$5,"是","")</x:f>
        <x:v>是</x:v>
      </x:c>
      <x:c r="K582" s="216" t="n">
        <x:v>814</x:v>
      </x:c>
      <x:c r="L582" s="216" t="str">
        <x:f>IF(K582&lt;='排名定義'!$B$5,"是","")</x:f>
        <x:v>是</x:v>
      </x:c>
      <x:c r="M582" s="216" t="n">
        <x:f>COUNTIF(H582:L582,"是")</x:f>
        <x:v>3</x:v>
      </x:c>
      <x:c r="N582" s="216" t="str">
        <x:v>三份皆未入選</x:v>
      </x:c>
      <x:c r="O582" s="221" t="n">
        <x:v>59.81666666666667</x:v>
      </x:c>
      <x:c r="P582" s="221" t="n">
        <x:v>55.86666666666667</x:v>
      </x:c>
      <x:c r="Q582" s="221" t="n">
        <x:v>3.95</x:v>
      </x:c>
      <x:c r="R582" s="221" t="n">
        <x:v>0.06603510727222067</x:v>
      </x:c>
      <x:c r="S582" s="221" t="n">
        <x:v>92.74193548387096</x:v>
      </x:c>
      <x:c r="T582" s="221" t="n">
        <x:v>88.54838709677419</x:v>
      </x:c>
      <x:c r="U582" s="221" t="n">
        <x:v>4.193548387096774</x:v>
      </x:c>
      <x:c r="V582" s="219" t="n">
        <x:v>0.07603686635944701</x:v>
      </x:c>
      <x:c r="W582" s="216" t="n">
        <x:v>18</x:v>
      </x:c>
      <x:c r="X582" s="223" t="n">
        <x:v>2490</x:v>
      </x:c>
      <x:c r="Y582" s="216" t="n">
        <x:v>15</x:v>
      </x:c>
    </x:row>
    <x:row r="583">
      <x:c r="A583" s="217" t="n">
        <x:v>388</x:v>
      </x:c>
      <x:c r="B583" s="217" t="str">
        <x:v>莒光德光路口</x:v>
      </x:c>
      <x:c r="C583" s="217" t="str">
        <x:v>中和區</x:v>
      </x:c>
      <x:c r="D583" s="217" t="n">
        <x:v>15</x:v>
      </x:c>
      <x:c r="E583" s="217" t="n">
        <x:v>120</x:v>
      </x:c>
      <x:c r="F583" s="218" t="n">
        <x:v>0.9994791666666667</x:v>
      </x:c>
      <x:c r="G583" s="217" t="n">
        <x:v>579</x:v>
      </x:c>
      <x:c r="H583" s="217" t="str">
        <x:f>IF(G583&lt;='排名定義'!$B$5,"是","")</x:f>
        <x:v>是</x:v>
      </x:c>
      <x:c r="I583" s="217" t="n">
        <x:v>575</x:v>
      </x:c>
      <x:c r="J583" s="217" t="str">
        <x:f>IF(I583&lt;='排名定義'!$B$5,"是","")</x:f>
        <x:v>是</x:v>
      </x:c>
      <x:c r="K583" s="217" t="n">
        <x:v>622</x:v>
      </x:c>
      <x:c r="L583" s="217" t="str">
        <x:f>IF(K583&lt;='排名定義'!$B$5,"是","")</x:f>
        <x:v>是</x:v>
      </x:c>
      <x:c r="M583" s="217" t="n">
        <x:f>COUNTIF(H583:L583,"是")</x:f>
        <x:v>3</x:v>
      </x:c>
      <x:c r="N583" s="217" t="str">
        <x:v>三份皆未入選</x:v>
      </x:c>
      <x:c r="O583" s="220" t="n">
        <x:v>59.75833333333333</x:v>
      </x:c>
      <x:c r="P583" s="220" t="n">
        <x:v>55.18333333333333</x:v>
      </x:c>
      <x:c r="Q583" s="220" t="n">
        <x:v>4.575</x:v>
      </x:c>
      <x:c r="R583" s="220" t="n">
        <x:v>0.07655836006135824</x:v>
      </x:c>
      <x:c r="S583" s="220" t="n">
        <x:v>84.6774193548387</x:v>
      </x:c>
      <x:c r="T583" s="220" t="n">
        <x:v>81.19354838709677</x:v>
      </x:c>
      <x:c r="U583" s="220" t="n">
        <x:v>3.4838709677419355</x:v>
      </x:c>
      <x:c r="V583" s="218" t="n">
        <x:v>0.14516129032258066</x:v>
      </x:c>
      <x:c r="W583" s="217" t="n">
        <x:v>24</x:v>
      </x:c>
      <x:c r="X583" s="222" t="n">
        <x:v>3690</x:v>
      </x:c>
      <x:c r="Y583" s="217" t="n">
        <x:v>15</x:v>
      </x:c>
    </x:row>
    <x:row r="584">
      <x:c r="A584" s="216" t="n">
        <x:v>1120</x:v>
      </x:c>
      <x:c r="B584" s="216" t="str">
        <x:v>大仁街20巷口</x:v>
      </x:c>
      <x:c r="C584" s="216" t="str">
        <x:v>中和區</x:v>
      </x:c>
      <x:c r="D584" s="216" t="n">
        <x:v>33</x:v>
      </x:c>
      <x:c r="E584" s="216" t="n">
        <x:v>120</x:v>
      </x:c>
      <x:c r="F584" s="219" t="n">
        <x:v>0.9994791666666667</x:v>
      </x:c>
      <x:c r="G584" s="216" t="n">
        <x:v>580</x:v>
      </x:c>
      <x:c r="H584" s="216" t="str">
        <x:f>IF(G584&lt;='排名定義'!$B$5,"是","")</x:f>
        <x:v>是</x:v>
      </x:c>
      <x:c r="I584" s="216" t="n">
        <x:v>595</x:v>
      </x:c>
      <x:c r="J584" s="216" t="str">
        <x:f>IF(I584&lt;='排名定義'!$B$5,"是","")</x:f>
        <x:v>是</x:v>
      </x:c>
      <x:c r="K584" s="216" t="n">
        <x:v>454</x:v>
      </x:c>
      <x:c r="L584" s="216" t="str">
        <x:f>IF(K584&lt;='排名定義'!$B$5,"是","")</x:f>
        <x:v>是</x:v>
      </x:c>
      <x:c r="M584" s="216" t="n">
        <x:f>COUNTIF(H584:L584,"是")</x:f>
        <x:v>3</x:v>
      </x:c>
      <x:c r="N584" s="216" t="str">
        <x:v>三份皆未入選</x:v>
      </x:c>
      <x:c r="O584" s="221" t="n">
        <x:v>59.641666666666666</x:v>
      </x:c>
      <x:c r="P584" s="221" t="n">
        <x:v>54.28333333333333</x:v>
      </x:c>
      <x:c r="Q584" s="221" t="n">
        <x:v>5.358333333333333</x:v>
      </x:c>
      <x:c r="R584" s="221" t="n">
        <x:v>0.0898421126170183</x:v>
      </x:c>
      <x:c r="S584" s="221" t="n">
        <x:v>76.70967741935483</x:v>
      </x:c>
      <x:c r="T584" s="221" t="n">
        <x:v>73.51612903225806</x:v>
      </x:c>
      <x:c r="U584" s="221" t="n">
        <x:v>3.193548387096774</x:v>
      </x:c>
      <x:c r="V584" s="219" t="n">
        <x:v>0.03225806451612903</x:v>
      </x:c>
      <x:c r="W584" s="216" t="n">
        <x:v>13</x:v>
      </x:c>
      <x:c r="X584" s="223" t="n">
        <x:v>1200</x:v>
      </x:c>
      <x:c r="Y584" s="216" t="n">
        <x:v>33</x:v>
      </x:c>
    </x:row>
    <x:row r="585">
      <x:c r="A585" s="217" t="n">
        <x:v>1195</x:v>
      </x:c>
      <x:c r="B585" s="217" t="str">
        <x:v>新莊棒球場(和興街)</x:v>
      </x:c>
      <x:c r="C585" s="217" t="str">
        <x:v>新莊區</x:v>
      </x:c>
      <x:c r="D585" s="217" t="n">
        <x:v>37</x:v>
      </x:c>
      <x:c r="E585" s="217" t="n">
        <x:v>120</x:v>
      </x:c>
      <x:c r="F585" s="218" t="n">
        <x:v>0.9994791666666667</x:v>
      </x:c>
      <x:c r="G585" s="217" t="n">
        <x:v>581</x:v>
      </x:c>
      <x:c r="H585" s="217" t="str">
        <x:f>IF(G585&lt;='排名定義'!$B$5,"是","")</x:f>
        <x:v>是</x:v>
      </x:c>
      <x:c r="I585" s="217" t="n">
        <x:v>596</x:v>
      </x:c>
      <x:c r="J585" s="217" t="str">
        <x:f>IF(I585&lt;='排名定義'!$B$5,"是","")</x:f>
        <x:v>是</x:v>
      </x:c>
      <x:c r="K585" s="217" t="n">
        <x:v>463</x:v>
      </x:c>
      <x:c r="L585" s="217" t="str">
        <x:f>IF(K585&lt;='排名定義'!$B$5,"是","")</x:f>
        <x:v>是</x:v>
      </x:c>
      <x:c r="M585" s="217" t="n">
        <x:f>COUNTIF(H585:L585,"是")</x:f>
        <x:v>3</x:v>
      </x:c>
      <x:c r="N585" s="217" t="str">
        <x:v>三份皆未入選</x:v>
      </x:c>
      <x:c r="O585" s="220" t="n">
        <x:v>59.56666666666667</x:v>
      </x:c>
      <x:c r="P585" s="220" t="n">
        <x:v>54.25</x:v>
      </x:c>
      <x:c r="Q585" s="220" t="n">
        <x:v>5.316666666666666</x:v>
      </x:c>
      <x:c r="R585" s="220" t="n">
        <x:v>0.08925573587017348</x:v>
      </x:c>
      <x:c r="S585" s="220" t="n">
        <x:v>95.48387096774194</x:v>
      </x:c>
      <x:c r="T585" s="220" t="n">
        <x:v>88.93548387096774</x:v>
      </x:c>
      <x:c r="U585" s="220" t="n">
        <x:v>6.548387096774194</x:v>
      </x:c>
      <x:c r="V585" s="218" t="n">
        <x:v>0.12442396313364056</x:v>
      </x:c>
      <x:c r="W585" s="217" t="n">
        <x:v>27</x:v>
      </x:c>
      <x:c r="X585" s="222" t="n">
        <x:v>3660</x:v>
      </x:c>
      <x:c r="Y585" s="217" t="n">
        <x:v>37</x:v>
      </x:c>
    </x:row>
    <x:row r="586">
      <x:c r="A586" s="216" t="n">
        <x:v>1260</x:v>
      </x:c>
      <x:c r="B586" s="216" t="str">
        <x:v>啟文央北二路口(中央公園社區)</x:v>
      </x:c>
      <x:c r="C586" s="216" t="str">
        <x:v>新店區</x:v>
      </x:c>
      <x:c r="D586" s="216" t="n">
        <x:v>40</x:v>
      </x:c>
      <x:c r="E586" s="216" t="n">
        <x:v>120</x:v>
      </x:c>
      <x:c r="F586" s="219" t="n">
        <x:v>0.9994791666666667</x:v>
      </x:c>
      <x:c r="G586" s="216" t="n">
        <x:v>582</x:v>
      </x:c>
      <x:c r="H586" s="216" t="str">
        <x:f>IF(G586&lt;='排名定義'!$B$5,"是","")</x:f>
        <x:v>是</x:v>
      </x:c>
      <x:c r="I586" s="216" t="n">
        <x:v>599</x:v>
      </x:c>
      <x:c r="J586" s="216" t="str">
        <x:f>IF(I586&lt;='排名定義'!$B$5,"是","")</x:f>
        <x:v>是</x:v>
      </x:c>
      <x:c r="K586" s="216" t="n">
        <x:v>424</x:v>
      </x:c>
      <x:c r="L586" s="216" t="str">
        <x:f>IF(K586&lt;='排名定義'!$B$5,"是","")</x:f>
        <x:v>是</x:v>
      </x:c>
      <x:c r="M586" s="216" t="n">
        <x:f>COUNTIF(H586:L586,"是")</x:f>
        <x:v>3</x:v>
      </x:c>
      <x:c r="N586" s="216" t="str">
        <x:v>三份皆未入選</x:v>
      </x:c>
      <x:c r="O586" s="221" t="n">
        <x:v>59.56666666666667</x:v>
      </x:c>
      <x:c r="P586" s="221" t="n">
        <x:v>54.016666666666666</x:v>
      </x:c>
      <x:c r="Q586" s="221" t="n">
        <x:v>5.55</x:v>
      </x:c>
      <x:c r="R586" s="221" t="n">
        <x:v>0.09317291550083939</x:v>
      </x:c>
      <x:c r="S586" s="221" t="n">
        <x:v>85.2258064516129</x:v>
      </x:c>
      <x:c r="T586" s="221" t="n">
        <x:v>81.03225806451613</x:v>
      </x:c>
      <x:c r="U586" s="221" t="n">
        <x:v>4.193548387096774</x:v>
      </x:c>
      <x:c r="V586" s="219" t="n">
        <x:v>0.04838709677419355</x:v>
      </x:c>
      <x:c r="W586" s="216" t="n">
        <x:v>22</x:v>
      </x:c>
      <x:c r="X586" s="223" t="n">
        <x:v>2190</x:v>
      </x:c>
      <x:c r="Y586" s="216" t="n">
        <x:v>40</x:v>
      </x:c>
    </x:row>
    <x:row r="587">
      <x:c r="A587" s="217" t="n">
        <x:v>1366</x:v>
      </x:c>
      <x:c r="B587" s="217" t="str">
        <x:v>文林國小(潭興街)</x:v>
      </x:c>
      <x:c r="C587" s="217" t="str">
        <x:v>樹林區</x:v>
      </x:c>
      <x:c r="D587" s="217" t="n">
        <x:v>44</x:v>
      </x:c>
      <x:c r="E587" s="217" t="n">
        <x:v>120</x:v>
      </x:c>
      <x:c r="F587" s="218" t="n">
        <x:v>0.9994791666666667</x:v>
      </x:c>
      <x:c r="G587" s="217" t="n">
        <x:v>583</x:v>
      </x:c>
      <x:c r="H587" s="217" t="str">
        <x:f>IF(G587&lt;='排名定義'!$B$5,"是","")</x:f>
        <x:v>是</x:v>
      </x:c>
      <x:c r="I587" s="217" t="n">
        <x:v>601</x:v>
      </x:c>
      <x:c r="J587" s="217" t="str">
        <x:f>IF(I587&lt;='排名定義'!$B$5,"是","")</x:f>
        <x:v>是</x:v>
      </x:c>
      <x:c r="K587" s="217" t="n">
        <x:v>410</x:v>
      </x:c>
      <x:c r="L587" s="217" t="str">
        <x:f>IF(K587&lt;='排名定義'!$B$5,"是","")</x:f>
        <x:v>是</x:v>
      </x:c>
      <x:c r="M587" s="217" t="n">
        <x:f>COUNTIF(H587:L587,"是")</x:f>
        <x:v>3</x:v>
      </x:c>
      <x:c r="N587" s="217" t="str">
        <x:v>三份皆未入選</x:v>
      </x:c>
      <x:c r="O587" s="220" t="n">
        <x:v>59.56666666666667</x:v>
      </x:c>
      <x:c r="P587" s="220" t="n">
        <x:v>53.93333333333333</x:v>
      </x:c>
      <x:c r="Q587" s="220" t="n">
        <x:v>5.633333333333334</x:v>
      </x:c>
      <x:c r="R587" s="220" t="n">
        <x:v>0.09457190822607722</x:v>
      </x:c>
      <x:c r="S587" s="220" t="n">
        <x:v>84.6774193548387</x:v>
      </x:c>
      <x:c r="T587" s="220" t="n">
        <x:v>80.7741935483871</x:v>
      </x:c>
      <x:c r="U587" s="220" t="n">
        <x:v>3.903225806451613</x:v>
      </x:c>
      <x:c r="V587" s="218" t="n">
        <x:v>0.009216589861751152</x:v>
      </x:c>
      <x:c r="W587" s="217" t="n">
        <x:v>4</x:v>
      </x:c>
      <x:c r="X587" s="222" t="n">
        <x:v>480</x:v>
      </x:c>
      <x:c r="Y587" s="217" t="n">
        <x:v>44</x:v>
      </x:c>
    </x:row>
    <x:row r="588">
      <x:c r="A588" s="216" t="n">
        <x:v>990</x:v>
      </x:c>
      <x:c r="B588" s="216" t="str">
        <x:v>大觀路二段19巷</x:v>
      </x:c>
      <x:c r="C588" s="216" t="str">
        <x:v>板橋區</x:v>
      </x:c>
      <x:c r="D588" s="216" t="n">
        <x:v>29</x:v>
      </x:c>
      <x:c r="E588" s="216" t="n">
        <x:v>120</x:v>
      </x:c>
      <x:c r="F588" s="219" t="n">
        <x:v>0.9994791666666667</x:v>
      </x:c>
      <x:c r="G588" s="216" t="n">
        <x:v>584</x:v>
      </x:c>
      <x:c r="H588" s="216" t="str">
        <x:f>IF(G588&lt;='排名定義'!$B$5,"是","")</x:f>
        <x:v>是</x:v>
      </x:c>
      <x:c r="I588" s="216" t="n">
        <x:v>584</x:v>
      </x:c>
      <x:c r="J588" s="216" t="str">
        <x:f>IF(I588&lt;='排名定義'!$B$5,"是","")</x:f>
        <x:v>是</x:v>
      </x:c>
      <x:c r="K588" s="216" t="n">
        <x:v>546</x:v>
      </x:c>
      <x:c r="L588" s="216" t="str">
        <x:f>IF(K588&lt;='排名定義'!$B$5,"是","")</x:f>
        <x:v>是</x:v>
      </x:c>
      <x:c r="M588" s="216" t="n">
        <x:f>COUNTIF(H588:L588,"是")</x:f>
        <x:v>3</x:v>
      </x:c>
      <x:c r="N588" s="216" t="str">
        <x:v>三份皆未入選</x:v>
      </x:c>
      <x:c r="O588" s="221" t="n">
        <x:v>59.55</x:v>
      </x:c>
      <x:c r="P588" s="221" t="n">
        <x:v>54.625</x:v>
      </x:c>
      <x:c r="Q588" s="221" t="n">
        <x:v>4.925</x:v>
      </x:c>
      <x:c r="R588" s="221" t="n">
        <x:v>0.08270361041141898</x:v>
      </x:c>
      <x:c r="S588" s="221" t="n">
        <x:v>76</x:v>
      </x:c>
      <x:c r="T588" s="221" t="n">
        <x:v>72.16129032258064</x:v>
      </x:c>
      <x:c r="U588" s="221" t="n">
        <x:v>3.838709677419355</x:v>
      </x:c>
      <x:c r="V588" s="219" t="n">
        <x:v>0.06221198156682028</x:v>
      </x:c>
      <x:c r="W588" s="216" t="n">
        <x:v>17</x:v>
      </x:c>
      <x:c r="X588" s="223" t="n">
        <x:v>2190</x:v>
      </x:c>
      <x:c r="Y588" s="216" t="n">
        <x:v>29</x:v>
      </x:c>
    </x:row>
    <x:row r="589">
      <x:c r="A589" s="217" t="n">
        <x:v>616</x:v>
      </x:c>
      <x:c r="B589" s="217" t="str">
        <x:v>漢生東路193巷口</x:v>
      </x:c>
      <x:c r="C589" s="217" t="str">
        <x:v>板橋區</x:v>
      </x:c>
      <x:c r="D589" s="217" t="n">
        <x:v>19</x:v>
      </x:c>
      <x:c r="E589" s="217" t="n">
        <x:v>120</x:v>
      </x:c>
      <x:c r="F589" s="218" t="n">
        <x:v>0.9994791666666667</x:v>
      </x:c>
      <x:c r="G589" s="217" t="n">
        <x:v>585</x:v>
      </x:c>
      <x:c r="H589" s="217" t="str">
        <x:f>IF(G589&lt;='排名定義'!$B$5,"是","")</x:f>
        <x:v>是</x:v>
      </x:c>
      <x:c r="I589" s="217" t="n">
        <x:v>580</x:v>
      </x:c>
      <x:c r="J589" s="217" t="str">
        <x:f>IF(I589&lt;='排名定義'!$B$5,"是","")</x:f>
        <x:v>是</x:v>
      </x:c>
      <x:c r="K589" s="217" t="n">
        <x:v>629</x:v>
      </x:c>
      <x:c r="L589" s="217" t="str">
        <x:f>IF(K589&lt;='排名定義'!$B$5,"是","")</x:f>
        <x:v>是</x:v>
      </x:c>
      <x:c r="M589" s="217" t="n">
        <x:f>COUNTIF(H589:L589,"是")</x:f>
        <x:v>3</x:v>
      </x:c>
      <x:c r="N589" s="217" t="str">
        <x:v>三份皆未入選</x:v>
      </x:c>
      <x:c r="O589" s="220" t="n">
        <x:v>59.53333333333333</x:v>
      </x:c>
      <x:c r="P589" s="220" t="n">
        <x:v>54.983333333333334</x:v>
      </x:c>
      <x:c r="Q589" s="220" t="n">
        <x:v>4.55</x:v>
      </x:c>
      <x:c r="R589" s="220" t="n">
        <x:v>0.07642777155655095</x:v>
      </x:c>
      <x:c r="S589" s="220" t="n">
        <x:v>69.83870967741936</x:v>
      </x:c>
      <x:c r="T589" s="220" t="n">
        <x:v>66.3225806451613</x:v>
      </x:c>
      <x:c r="U589" s="220" t="n">
        <x:v>3.5161290322580645</x:v>
      </x:c>
      <x:c r="V589" s="218" t="n">
        <x:v>0.15898617511520738</x:v>
      </x:c>
      <x:c r="W589" s="217" t="n">
        <x:v>33</x:v>
      </x:c>
      <x:c r="X589" s="222" t="n">
        <x:v>4230</x:v>
      </x:c>
      <x:c r="Y589" s="217" t="n">
        <x:v>19</x:v>
      </x:c>
    </x:row>
    <x:row r="590">
      <x:c r="A590" s="216" t="n">
        <x:v>1235</x:v>
      </x:c>
      <x:c r="B590" s="216" t="str">
        <x:v>四川忠孝路口</x:v>
      </x:c>
      <x:c r="C590" s="216" t="str">
        <x:v>板橋區</x:v>
      </x:c>
      <x:c r="D590" s="216" t="n">
        <x:v>39</x:v>
      </x:c>
      <x:c r="E590" s="216" t="n">
        <x:v>120</x:v>
      </x:c>
      <x:c r="F590" s="219" t="n">
        <x:v>0.9994791666666667</x:v>
      </x:c>
      <x:c r="G590" s="216" t="n">
        <x:v>586</x:v>
      </x:c>
      <x:c r="H590" s="216" t="str">
        <x:f>IF(G590&lt;='排名定義'!$B$5,"是","")</x:f>
        <x:v>是</x:v>
      </x:c>
      <x:c r="I590" s="216" t="n">
        <x:v>587</x:v>
      </x:c>
      <x:c r="J590" s="216" t="str">
        <x:f>IF(I590&lt;='排名定義'!$B$5,"是","")</x:f>
        <x:v>是</x:v>
      </x:c>
      <x:c r="K590" s="216" t="n">
        <x:v>547</x:v>
      </x:c>
      <x:c r="L590" s="216" t="str">
        <x:f>IF(K590&lt;='排名定義'!$B$5,"是","")</x:f>
        <x:v>是</x:v>
      </x:c>
      <x:c r="M590" s="216" t="n">
        <x:f>COUNTIF(H590:L590,"是")</x:f>
        <x:v>3</x:v>
      </x:c>
      <x:c r="N590" s="216" t="str">
        <x:v>三份皆未入選</x:v>
      </x:c>
      <x:c r="O590" s="221" t="n">
        <x:v>59.483333333333334</x:v>
      </x:c>
      <x:c r="P590" s="221" t="n">
        <x:v>54.55833333333333</x:v>
      </x:c>
      <x:c r="Q590" s="221" t="n">
        <x:v>4.925</x:v>
      </x:c>
      <x:c r="R590" s="221" t="n">
        <x:v>0.08279630148500981</x:v>
      </x:c>
      <x:c r="S590" s="221" t="n">
        <x:v>82.61290322580645</x:v>
      </x:c>
      <x:c r="T590" s="221" t="n">
        <x:v>78.54838709677419</x:v>
      </x:c>
      <x:c r="U590" s="221" t="n">
        <x:v>4.064516129032258</x:v>
      </x:c>
      <x:c r="V590" s="219" t="n">
        <x:v>0.041474654377880185</x:v>
      </x:c>
      <x:c r="W590" s="216" t="n">
        <x:v>11</x:v>
      </x:c>
      <x:c r="X590" s="223" t="n">
        <x:v>1710</x:v>
      </x:c>
      <x:c r="Y590" s="216" t="n">
        <x:v>39</x:v>
      </x:c>
    </x:row>
    <x:row r="591">
      <x:c r="A591" s="217" t="n">
        <x:v>1338</x:v>
      </x:c>
      <x:c r="B591" s="217" t="str">
        <x:v>億光電子(樹林高中)</x:v>
      </x:c>
      <x:c r="C591" s="217" t="str">
        <x:v>樹林區</x:v>
      </x:c>
      <x:c r="D591" s="217" t="n">
        <x:v>42</x:v>
      </x:c>
      <x:c r="E591" s="217" t="n">
        <x:v>120</x:v>
      </x:c>
      <x:c r="F591" s="218" t="n">
        <x:v>0.9994791666666667</x:v>
      </x:c>
      <x:c r="G591" s="217" t="n">
        <x:v>587</x:v>
      </x:c>
      <x:c r="H591" s="217" t="str">
        <x:f>IF(G591&lt;='排名定義'!$B$5,"是","")</x:f>
        <x:v>是</x:v>
      </x:c>
      <x:c r="I591" s="217" t="n">
        <x:v>611</x:v>
      </x:c>
      <x:c r="J591" s="217" t="str">
        <x:f>IF(I591&lt;='排名定義'!$B$5,"是","")</x:f>
        <x:v>是</x:v>
      </x:c>
      <x:c r="K591" s="217" t="n">
        <x:v>279</x:v>
      </x:c>
      <x:c r="L591" s="217" t="str">
        <x:f>IF(K591&lt;='排名定義'!$B$5,"是","")</x:f>
        <x:v>是</x:v>
      </x:c>
      <x:c r="M591" s="217" t="n">
        <x:f>COUNTIF(H591:L591,"是")</x:f>
        <x:v>3</x:v>
      </x:c>
      <x:c r="N591" s="217" t="str">
        <x:v>僅大幅變動</x:v>
      </x:c>
      <x:c r="O591" s="220" t="n">
        <x:v>59.46666666666667</x:v>
      </x:c>
      <x:c r="P591" s="220" t="n">
        <x:v>52.95</x:v>
      </x:c>
      <x:c r="Q591" s="220" t="n">
        <x:v>6.516666666666667</x:v>
      </x:c>
      <x:c r="R591" s="220" t="n">
        <x:v>0.10958520179372197</x:v>
      </x:c>
      <x:c r="S591" s="220" t="n">
        <x:v>88.2258064516129</x:v>
      </x:c>
      <x:c r="T591" s="220" t="n">
        <x:v>81.74193548387096</x:v>
      </x:c>
      <x:c r="U591" s="220" t="n">
        <x:v>6.483870967741935</x:v>
      </x:c>
      <x:c r="V591" s="218" t="n">
        <x:v>0.10829493087557604</x:v>
      </x:c>
      <x:c r="W591" s="217" t="n">
        <x:v>10</x:v>
      </x:c>
      <x:c r="X591" s="222" t="n">
        <x:v>1800</x:v>
      </x:c>
      <x:c r="Y591" s="217" t="n">
        <x:v>41</x:v>
      </x:c>
    </x:row>
    <x:row r="592">
      <x:c r="A592" s="216" t="n">
        <x:v>569</x:v>
      </x:c>
      <x:c r="B592" s="216" t="str">
        <x:v>大勇立人街口</x:v>
      </x:c>
      <x:c r="C592" s="216" t="str">
        <x:v>中和區</x:v>
      </x:c>
      <x:c r="D592" s="216" t="n">
        <x:v>18</x:v>
      </x:c>
      <x:c r="E592" s="216" t="n">
        <x:v>120</x:v>
      </x:c>
      <x:c r="F592" s="219" t="n">
        <x:v>0.9994791666666667</x:v>
      </x:c>
      <x:c r="G592" s="216" t="n">
        <x:v>588</x:v>
      </x:c>
      <x:c r="H592" s="216" t="str">
        <x:f>IF(G592&lt;='排名定義'!$B$5,"是","")</x:f>
        <x:v>是</x:v>
      </x:c>
      <x:c r="I592" s="216" t="n">
        <x:v>563</x:v>
      </x:c>
      <x:c r="J592" s="216" t="str">
        <x:f>IF(I592&lt;='排名定義'!$B$5,"是","")</x:f>
        <x:v>是</x:v>
      </x:c>
      <x:c r="K592" s="216" t="n">
        <x:v>961</x:v>
      </x:c>
      <x:c r="L592" s="216" t="str">
        <x:f>IF(K592&lt;='排名定義'!$B$5,"是","")</x:f>
        <x:v>是</x:v>
      </x:c>
      <x:c r="M592" s="216" t="n">
        <x:f>COUNTIF(H592:L592,"是")</x:f>
        <x:v>3</x:v>
      </x:c>
      <x:c r="N592" s="216" t="str">
        <x:v>三份皆未入選</x:v>
      </x:c>
      <x:c r="O592" s="221" t="n">
        <x:v>59.43333333333333</x:v>
      </x:c>
      <x:c r="P592" s="221" t="n">
        <x:v>55.9</x:v>
      </x:c>
      <x:c r="Q592" s="221" t="n">
        <x:v>3.533333333333333</x:v>
      </x:c>
      <x:c r="R592" s="221" t="n">
        <x:v>0.05945036455412227</x:v>
      </x:c>
      <x:c r="S592" s="221" t="n">
        <x:v>80.87096774193549</x:v>
      </x:c>
      <x:c r="T592" s="221" t="n">
        <x:v>76.87096774193549</x:v>
      </x:c>
      <x:c r="U592" s="221" t="n">
        <x:v>4</x:v>
      </x:c>
      <x:c r="V592" s="219" t="n">
        <x:v>0.07142857142857142</x:v>
      </x:c>
      <x:c r="W592" s="216" t="n">
        <x:v>19</x:v>
      </x:c>
      <x:c r="X592" s="223" t="n">
        <x:v>2640</x:v>
      </x:c>
      <x:c r="Y592" s="216" t="n">
        <x:v>18</x:v>
      </x:c>
    </x:row>
    <x:row r="593">
      <x:c r="A593" s="217" t="n">
        <x:v>149</x:v>
      </x:c>
      <x:c r="B593" s="217" t="str">
        <x:v>捷運江子翠站(4號出口)</x:v>
      </x:c>
      <x:c r="C593" s="217" t="str">
        <x:v>板橋區</x:v>
      </x:c>
      <x:c r="D593" s="217" t="n">
        <x:v>11</x:v>
      </x:c>
      <x:c r="E593" s="217" t="n">
        <x:v>120</x:v>
      </x:c>
      <x:c r="F593" s="218" t="n">
        <x:v>0.9994791666666667</x:v>
      </x:c>
      <x:c r="G593" s="217" t="n">
        <x:v>589</x:v>
      </x:c>
      <x:c r="H593" s="217" t="str">
        <x:f>IF(G593&lt;='排名定義'!$B$5,"是","")</x:f>
        <x:v>是</x:v>
      </x:c>
      <x:c r="I593" s="217" t="n">
        <x:v>564</x:v>
      </x:c>
      <x:c r="J593" s="217" t="str">
        <x:f>IF(I593&lt;='排名定義'!$B$5,"是","")</x:f>
        <x:v>是</x:v>
      </x:c>
      <x:c r="K593" s="217" t="n">
        <x:v>960</x:v>
      </x:c>
      <x:c r="L593" s="217" t="str">
        <x:f>IF(K593&lt;='排名定義'!$B$5,"是","")</x:f>
        <x:v>是</x:v>
      </x:c>
      <x:c r="M593" s="217" t="n">
        <x:f>COUNTIF(H593:L593,"是")</x:f>
        <x:v>3</x:v>
      </x:c>
      <x:c r="N593" s="217" t="str">
        <x:v>三份皆未入選</x:v>
      </x:c>
      <x:c r="O593" s="220" t="n">
        <x:v>59.425</x:v>
      </x:c>
      <x:c r="P593" s="220" t="n">
        <x:v>55.891666666666666</x:v>
      </x:c>
      <x:c r="Q593" s="220" t="n">
        <x:v>3.533333333333333</x:v>
      </x:c>
      <x:c r="R593" s="220" t="n">
        <x:v>0.0594587014443977</x:v>
      </x:c>
      <x:c r="S593" s="220" t="n">
        <x:v>73.09677419354838</x:v>
      </x:c>
      <x:c r="T593" s="220" t="n">
        <x:v>70.48387096774194</x:v>
      </x:c>
      <x:c r="U593" s="220" t="n">
        <x:v>2.6129032258064515</x:v>
      </x:c>
      <x:c r="V593" s="218" t="n">
        <x:v>0.22811059907834103</x:v>
      </x:c>
      <x:c r="W593" s="217" t="n">
        <x:v>92</x:v>
      </x:c>
      <x:c r="X593" s="222" t="n">
        <x:v>12300</x:v>
      </x:c>
      <x:c r="Y593" s="217" t="n">
        <x:v>11</x:v>
      </x:c>
    </x:row>
    <x:row r="594">
      <x:c r="A594" s="216" t="n">
        <x:v>1488</x:v>
      </x:c>
      <x:c r="B594" s="216" t="str">
        <x:v>華江一華江九路口</x:v>
      </x:c>
      <x:c r="C594" s="216" t="str">
        <x:v>板橋區</x:v>
      </x:c>
      <x:c r="D594" s="216" t="n">
        <x:v>55</x:v>
      </x:c>
      <x:c r="E594" s="216" t="n">
        <x:v>120</x:v>
      </x:c>
      <x:c r="F594" s="219" t="n">
        <x:v>0.9994791666666667</x:v>
      </x:c>
      <x:c r="G594" s="216" t="n">
        <x:v>590</x:v>
      </x:c>
      <x:c r="H594" s="216" t="str">
        <x:f>IF(G594&lt;='排名定義'!$B$5,"是","")</x:f>
        <x:v>是</x:v>
      </x:c>
      <x:c r="I594" s="216" t="n">
        <x:v>619</x:v>
      </x:c>
      <x:c r="J594" s="216" t="str">
        <x:f>IF(I594&lt;='排名定義'!$B$5,"是","")</x:f>
        <x:v>是</x:v>
      </x:c>
      <x:c r="K594" s="216" t="n">
        <x:v>244</x:v>
      </x:c>
      <x:c r="L594" s="216" t="str">
        <x:f>IF(K594&lt;='排名定義'!$B$5,"是","")</x:f>
        <x:v>是</x:v>
      </x:c>
      <x:c r="M594" s="216" t="n">
        <x:f>COUNTIF(H594:L594,"是")</x:f>
        <x:v>3</x:v>
      </x:c>
      <x:c r="N594" s="216" t="str">
        <x:v>僅大幅變動</x:v>
      </x:c>
      <x:c r="O594" s="221" t="n">
        <x:v>59.391666666666666</x:v>
      </x:c>
      <x:c r="P594" s="221" t="n">
        <x:v>52.55833333333333</x:v>
      </x:c>
      <x:c r="Q594" s="221" t="n">
        <x:v>6.833333333333333</x:v>
      </x:c>
      <x:c r="R594" s="221" t="n">
        <x:v>0.11505542303914691</x:v>
      </x:c>
      <x:c r="S594" s="221" t="n">
        <x:v>10.451612903225806</x:v>
      </x:c>
      <x:c r="T594" s="221" t="n">
        <x:v>8.225806451612904</x:v>
      </x:c>
      <x:c r="U594" s="221" t="n">
        <x:v>2.225806451612903</x:v>
      </x:c>
      <x:c r="V594" s="219" t="n">
        <x:v>0.423963133640553</x:v>
      </x:c>
      <x:c r="W594" s="216" t="n">
        <x:v>5</x:v>
      </x:c>
      <x:c r="X594" s="223" t="n">
        <x:v>18900</x:v>
      </x:c>
      <x:c r="Y594" s="216" t="n">
        <x:v>55</x:v>
      </x:c>
    </x:row>
    <x:row r="595">
      <x:c r="A595" s="217" t="n">
        <x:v>485</x:v>
      </x:c>
      <x:c r="B595" s="217" t="str">
        <x:v>新北市政府板橋分局沙崙派出所</x:v>
      </x:c>
      <x:c r="C595" s="217" t="str">
        <x:v>板橋區</x:v>
      </x:c>
      <x:c r="D595" s="217" t="n">
        <x:v>16</x:v>
      </x:c>
      <x:c r="E595" s="217" t="n">
        <x:v>120</x:v>
      </x:c>
      <x:c r="F595" s="218" t="n">
        <x:v>0.9994791666666667</x:v>
      </x:c>
      <x:c r="G595" s="217" t="n">
        <x:v>591</x:v>
      </x:c>
      <x:c r="H595" s="217" t="str">
        <x:f>IF(G595&lt;='排名定義'!$B$5,"是","")</x:f>
        <x:v>是</x:v>
      </x:c>
      <x:c r="I595" s="217" t="n">
        <x:v>574</x:v>
      </x:c>
      <x:c r="J595" s="217" t="str">
        <x:f>IF(I595&lt;='排名定義'!$B$5,"是","")</x:f>
        <x:v>是</x:v>
      </x:c>
      <x:c r="K595" s="217" t="n">
        <x:v>750</x:v>
      </x:c>
      <x:c r="L595" s="217" t="str">
        <x:f>IF(K595&lt;='排名定義'!$B$5,"是","")</x:f>
        <x:v>是</x:v>
      </x:c>
      <x:c r="M595" s="217" t="n">
        <x:f>COUNTIF(H595:L595,"是")</x:f>
        <x:v>3</x:v>
      </x:c>
      <x:c r="N595" s="217" t="str">
        <x:v>三份皆未入選</x:v>
      </x:c>
      <x:c r="O595" s="220" t="n">
        <x:v>59.34166666666667</x:v>
      </x:c>
      <x:c r="P595" s="220" t="n">
        <x:v>55.208333333333336</x:v>
      </x:c>
      <x:c r="Q595" s="220" t="n">
        <x:v>4.133333333333334</x:v>
      </x:c>
      <x:c r="R595" s="220" t="n">
        <x:v>0.06965313860412864</x:v>
      </x:c>
      <x:c r="S595" s="220" t="n">
        <x:v>80.16129032258064</x:v>
      </x:c>
      <x:c r="T595" s="220" t="n">
        <x:v>76.61290322580645</x:v>
      </x:c>
      <x:c r="U595" s="220" t="n">
        <x:v>3.5483870967741935</x:v>
      </x:c>
      <x:c r="V595" s="218" t="n">
        <x:v>0.11981566820276497</x:v>
      </x:c>
      <x:c r="W595" s="217" t="n">
        <x:v>18</x:v>
      </x:c>
      <x:c r="X595" s="222" t="n">
        <x:v>2730</x:v>
      </x:c>
      <x:c r="Y595" s="217" t="n">
        <x:v>16</x:v>
      </x:c>
    </x:row>
    <x:row r="596">
      <x:c r="A596" s="216" t="n">
        <x:v>1198</x:v>
      </x:c>
      <x:c r="B596" s="216" t="str">
        <x:v>福德一路201巷口(福德ONE社區)</x:v>
      </x:c>
      <x:c r="C596" s="216" t="str">
        <x:v>汐止區</x:v>
      </x:c>
      <x:c r="D596" s="216" t="n">
        <x:v>37</x:v>
      </x:c>
      <x:c r="E596" s="216" t="n">
        <x:v>120</x:v>
      </x:c>
      <x:c r="F596" s="219" t="n">
        <x:v>0.9994791666666667</x:v>
      </x:c>
      <x:c r="G596" s="216" t="n">
        <x:v>592</x:v>
      </x:c>
      <x:c r="H596" s="216" t="str">
        <x:f>IF(G596&lt;='排名定義'!$B$5,"是","")</x:f>
        <x:v>是</x:v>
      </x:c>
      <x:c r="I596" s="216" t="n">
        <x:v>614</x:v>
      </x:c>
      <x:c r="J596" s="216" t="str">
        <x:f>IF(I596&lt;='排名定義'!$B$5,"是","")</x:f>
        <x:v>是</x:v>
      </x:c>
      <x:c r="K596" s="216" t="n">
        <x:v>282</x:v>
      </x:c>
      <x:c r="L596" s="216" t="str">
        <x:f>IF(K596&lt;='排名定義'!$B$5,"是","")</x:f>
        <x:v>是</x:v>
      </x:c>
      <x:c r="M596" s="216" t="n">
        <x:f>COUNTIF(H596:L596,"是")</x:f>
        <x:v>3</x:v>
      </x:c>
      <x:c r="N596" s="216" t="str">
        <x:v>僅大幅變動</x:v>
      </x:c>
      <x:c r="O596" s="221" t="n">
        <x:v>59.3</x:v>
      </x:c>
      <x:c r="P596" s="221" t="n">
        <x:v>52.8</x:v>
      </x:c>
      <x:c r="Q596" s="221" t="n">
        <x:v>6.5</x:v>
      </x:c>
      <x:c r="R596" s="221" t="n">
        <x:v>0.10961214165261383</x:v>
      </x:c>
      <x:c r="S596" s="221" t="n">
        <x:v>80.96774193548387</x:v>
      </x:c>
      <x:c r="T596" s="221" t="n">
        <x:v>76.64516129032258</x:v>
      </x:c>
      <x:c r="U596" s="221" t="n">
        <x:v>4.32258064516129</x:v>
      </x:c>
      <x:c r="V596" s="219" t="n">
        <x:v>0.06451612903225806</x:v>
      </x:c>
      <x:c r="W596" s="216" t="n">
        <x:v>14</x:v>
      </x:c>
      <x:c r="X596" s="223" t="n">
        <x:v>1320</x:v>
      </x:c>
      <x:c r="Y596" s="216" t="n">
        <x:v>37</x:v>
      </x:c>
    </x:row>
    <x:row r="597">
      <x:c r="A597" s="217" t="n">
        <x:v>155</x:v>
      </x:c>
      <x:c r="B597" s="217" t="str">
        <x:v>縣民大道三段270巷口</x:v>
      </x:c>
      <x:c r="C597" s="217" t="str">
        <x:v>板橋區</x:v>
      </x:c>
      <x:c r="D597" s="217" t="n">
        <x:v>11</x:v>
      </x:c>
      <x:c r="E597" s="217" t="n">
        <x:v>120</x:v>
      </x:c>
      <x:c r="F597" s="218" t="n">
        <x:v>0.9994791666666667</x:v>
      </x:c>
      <x:c r="G597" s="217" t="n">
        <x:v>593</x:v>
      </x:c>
      <x:c r="H597" s="217" t="str">
        <x:f>IF(G597&lt;='排名定義'!$B$5,"是","")</x:f>
        <x:v>是</x:v>
      </x:c>
      <x:c r="I597" s="217" t="n">
        <x:v>588</x:v>
      </x:c>
      <x:c r="J597" s="217" t="str">
        <x:f>IF(I597&lt;='排名定義'!$B$5,"是","")</x:f>
        <x:v>是</x:v>
      </x:c>
      <x:c r="K597" s="217" t="n">
        <x:v>584</x:v>
      </x:c>
      <x:c r="L597" s="217" t="str">
        <x:f>IF(K597&lt;='排名定義'!$B$5,"是","")</x:f>
        <x:v>是</x:v>
      </x:c>
      <x:c r="M597" s="217" t="n">
        <x:f>COUNTIF(H597:L597,"是")</x:f>
        <x:v>3</x:v>
      </x:c>
      <x:c r="N597" s="217" t="str">
        <x:v>三份皆未入選</x:v>
      </x:c>
      <x:c r="O597" s="220" t="n">
        <x:v>59.275</x:v>
      </x:c>
      <x:c r="P597" s="220" t="n">
        <x:v>54.50833333333333</x:v>
      </x:c>
      <x:c r="Q597" s="220" t="n">
        <x:v>4.766666666666667</x:v>
      </x:c>
      <x:c r="R597" s="220" t="n">
        <x:v>0.08041613946295516</x:v>
      </x:c>
      <x:c r="S597" s="220" t="n">
        <x:v>73.70967741935483</x:v>
      </x:c>
      <x:c r="T597" s="220" t="n">
        <x:v>67.96774193548387</x:v>
      </x:c>
      <x:c r="U597" s="220" t="n">
        <x:v>5.741935483870968</x:v>
      </x:c>
      <x:c r="V597" s="218" t="n">
        <x:v>0.20046082949308755</x:v>
      </x:c>
      <x:c r="W597" s="217" t="n">
        <x:v>42</x:v>
      </x:c>
      <x:c r="X597" s="222" t="n">
        <x:v>5400</x:v>
      </x:c>
      <x:c r="Y597" s="217" t="n">
        <x:v>11</x:v>
      </x:c>
    </x:row>
    <x:row r="598">
      <x:c r="A598" s="216" t="n">
        <x:v>489</x:v>
      </x:c>
      <x:c r="B598" s="216" t="str">
        <x:v>碧河里公園(建康路)</x:v>
      </x:c>
      <x:c r="C598" s="216" t="str">
        <x:v>中和區</x:v>
      </x:c>
      <x:c r="D598" s="216" t="n">
        <x:v>16</x:v>
      </x:c>
      <x:c r="E598" s="216" t="n">
        <x:v>120</x:v>
      </x:c>
      <x:c r="F598" s="219" t="n">
        <x:v>0.9994791666666667</x:v>
      </x:c>
      <x:c r="G598" s="216" t="n">
        <x:v>594</x:v>
      </x:c>
      <x:c r="H598" s="216" t="str">
        <x:f>IF(G598&lt;='排名定義'!$B$5,"是","")</x:f>
        <x:v>是</x:v>
      </x:c>
      <x:c r="I598" s="216" t="n">
        <x:v>573</x:v>
      </x:c>
      <x:c r="J598" s="216" t="str">
        <x:f>IF(I598&lt;='排名定義'!$B$5,"是","")</x:f>
        <x:v>是</x:v>
      </x:c>
      <x:c r="K598" s="216" t="n">
        <x:v>843</x:v>
      </x:c>
      <x:c r="L598" s="216" t="str">
        <x:f>IF(K598&lt;='排名定義'!$B$5,"是","")</x:f>
        <x:v>是</x:v>
      </x:c>
      <x:c r="M598" s="216" t="n">
        <x:f>COUNTIF(H598:L598,"是")</x:f>
        <x:v>3</x:v>
      </x:c>
      <x:c r="N598" s="216" t="str">
        <x:v>三份皆未入選</x:v>
      </x:c>
      <x:c r="O598" s="221" t="n">
        <x:v>59.233333333333334</x:v>
      </x:c>
      <x:c r="P598" s="221" t="n">
        <x:v>55.358333333333334</x:v>
      </x:c>
      <x:c r="Q598" s="221" t="n">
        <x:v>3.875</x:v>
      </x:c>
      <x:c r="R598" s="221" t="n">
        <x:v>0.06541924592009003</x:v>
      </x:c>
      <x:c r="S598" s="221" t="n">
        <x:v>84.45161290322581</x:v>
      </x:c>
      <x:c r="T598" s="221" t="n">
        <x:v>79.96774193548387</x:v>
      </x:c>
      <x:c r="U598" s="221" t="n">
        <x:v>4.483870967741935</x:v>
      </x:c>
      <x:c r="V598" s="219" t="n">
        <x:v>0.06682027649769585</x:v>
      </x:c>
      <x:c r="W598" s="216" t="n">
        <x:v>8</x:v>
      </x:c>
      <x:c r="X598" s="223" t="n">
        <x:v>2040</x:v>
      </x:c>
      <x:c r="Y598" s="216" t="n">
        <x:v>16</x:v>
      </x:c>
    </x:row>
    <x:row r="599">
      <x:c r="A599" s="217" t="n">
        <x:v>740</x:v>
      </x:c>
      <x:c r="B599" s="217" t="str">
        <x:v>新泰路255巷口</x:v>
      </x:c>
      <x:c r="C599" s="217" t="str">
        <x:v>新莊區</x:v>
      </x:c>
      <x:c r="D599" s="217" t="n">
        <x:v>20</x:v>
      </x:c>
      <x:c r="E599" s="217" t="n">
        <x:v>120</x:v>
      </x:c>
      <x:c r="F599" s="218" t="n">
        <x:v>0.9994791666666667</x:v>
      </x:c>
      <x:c r="G599" s="217" t="n">
        <x:v>595</x:v>
      </x:c>
      <x:c r="H599" s="217" t="str">
        <x:f>IF(G599&lt;='排名定義'!$B$5,"是","")</x:f>
        <x:v>是</x:v>
      </x:c>
      <x:c r="I599" s="217" t="n">
        <x:v>593</x:v>
      </x:c>
      <x:c r="J599" s="217" t="str">
        <x:f>IF(I599&lt;='排名定義'!$B$5,"是","")</x:f>
        <x:v>是</x:v>
      </x:c>
      <x:c r="K599" s="217" t="n">
        <x:v>553</x:v>
      </x:c>
      <x:c r="L599" s="217" t="str">
        <x:f>IF(K599&lt;='排名定義'!$B$5,"是","")</x:f>
        <x:v>是</x:v>
      </x:c>
      <x:c r="M599" s="217" t="n">
        <x:f>COUNTIF(H599:L599,"是")</x:f>
        <x:v>3</x:v>
      </x:c>
      <x:c r="N599" s="217" t="str">
        <x:v>三份皆未入選</x:v>
      </x:c>
      <x:c r="O599" s="220" t="n">
        <x:v>59.19166666666667</x:v>
      </x:c>
      <x:c r="P599" s="220" t="n">
        <x:v>54.291666666666664</x:v>
      </x:c>
      <x:c r="Q599" s="220" t="n">
        <x:v>4.9</x:v>
      </x:c>
      <x:c r="R599" s="220" t="n">
        <x:v>0.08278192313107138</x:v>
      </x:c>
      <x:c r="S599" s="220" t="n">
        <x:v>79.6774193548387</x:v>
      </x:c>
      <x:c r="T599" s="220" t="n">
        <x:v>73.38709677419355</x:v>
      </x:c>
      <x:c r="U599" s="220" t="n">
        <x:v>6.290322580645161</x:v>
      </x:c>
      <x:c r="V599" s="218" t="n">
        <x:v>0.0069124423963133645</x:v>
      </x:c>
      <x:c r="W599" s="217" t="n">
        <x:v>9</x:v>
      </x:c>
      <x:c r="X599" s="222" t="n">
        <x:v>1110</x:v>
      </x:c>
      <x:c r="Y599" s="217" t="n">
        <x:v>20</x:v>
      </x:c>
    </x:row>
    <x:row r="600">
      <x:c r="A600" s="216" t="n">
        <x:v>931</x:v>
      </x:c>
      <x:c r="B600" s="216" t="str">
        <x:v>臺北大學商學院(法商大道)</x:v>
      </x:c>
      <x:c r="C600" s="216" t="str">
        <x:v>三峽區</x:v>
      </x:c>
      <x:c r="D600" s="216" t="n">
        <x:v>26</x:v>
      </x:c>
      <x:c r="E600" s="216" t="n">
        <x:v>120</x:v>
      </x:c>
      <x:c r="F600" s="219" t="n">
        <x:v>0.9994791666666667</x:v>
      </x:c>
      <x:c r="G600" s="216" t="n">
        <x:v>596</x:v>
      </x:c>
      <x:c r="H600" s="216" t="str">
        <x:f>IF(G600&lt;='排名定義'!$B$5,"是","")</x:f>
        <x:v>是</x:v>
      </x:c>
      <x:c r="I600" s="216" t="n">
        <x:v>591</x:v>
      </x:c>
      <x:c r="J600" s="216" t="str">
        <x:f>IF(I600&lt;='排名定義'!$B$5,"是","")</x:f>
        <x:v>是</x:v>
      </x:c>
      <x:c r="K600" s="216" t="n">
        <x:v>597</x:v>
      </x:c>
      <x:c r="L600" s="216" t="str">
        <x:f>IF(K600&lt;='排名定義'!$B$5,"是","")</x:f>
        <x:v>是</x:v>
      </x:c>
      <x:c r="M600" s="216" t="n">
        <x:f>COUNTIF(H600:L600,"是")</x:f>
        <x:v>3</x:v>
      </x:c>
      <x:c r="N600" s="216" t="str">
        <x:v>三份皆未入選</x:v>
      </x:c>
      <x:c r="O600" s="221" t="n">
        <x:v>59.166666666666664</x:v>
      </x:c>
      <x:c r="P600" s="221" t="n">
        <x:v>54.45</x:v>
      </x:c>
      <x:c r="Q600" s="221" t="n">
        <x:v>4.716666666666667</x:v>
      </x:c>
      <x:c r="R600" s="221" t="n">
        <x:v>0.07971830985915493</x:v>
      </x:c>
      <x:c r="S600" s="221" t="n">
        <x:v>108.54838709677419</x:v>
      </x:c>
      <x:c r="T600" s="221" t="n">
        <x:v>102.03225806451613</x:v>
      </x:c>
      <x:c r="U600" s="221" t="n">
        <x:v>6.516129032258065</x:v>
      </x:c>
      <x:c r="V600" s="219" t="n">
        <x:v>0.020737327188940093</x:v>
      </x:c>
      <x:c r="W600" s="216" t="n">
        <x:v>4</x:v>
      </x:c>
      <x:c r="X600" s="223" t="n">
        <x:v>780</x:v>
      </x:c>
      <x:c r="Y600" s="216" t="n">
        <x:v>26</x:v>
      </x:c>
    </x:row>
    <x:row r="601">
      <x:c r="A601" s="217" t="n">
        <x:v>393</x:v>
      </x:c>
      <x:c r="B601" s="217" t="str">
        <x:v>足夢運動公園</x:v>
      </x:c>
      <x:c r="C601" s="217" t="str">
        <x:v>林口區</x:v>
      </x:c>
      <x:c r="D601" s="217" t="n">
        <x:v>15</x:v>
      </x:c>
      <x:c r="E601" s="217" t="n">
        <x:v>120</x:v>
      </x:c>
      <x:c r="F601" s="218" t="n">
        <x:v>0.9994791666666667</x:v>
      </x:c>
      <x:c r="G601" s="217" t="n">
        <x:v>597</x:v>
      </x:c>
      <x:c r="H601" s="217" t="str">
        <x:f>IF(G601&lt;='排名定義'!$B$5,"是","")</x:f>
        <x:v>是</x:v>
      </x:c>
      <x:c r="I601" s="217" t="n">
        <x:v>577</x:v>
      </x:c>
      <x:c r="J601" s="217" t="str">
        <x:f>IF(I601&lt;='排名定義'!$B$5,"是","")</x:f>
        <x:v>是</x:v>
      </x:c>
      <x:c r="K601" s="217" t="n">
        <x:v>801</x:v>
      </x:c>
      <x:c r="L601" s="217" t="str">
        <x:f>IF(K601&lt;='排名定義'!$B$5,"是","")</x:f>
        <x:v>是</x:v>
      </x:c>
      <x:c r="M601" s="217" t="n">
        <x:f>COUNTIF(H601:L601,"是")</x:f>
        <x:v>3</x:v>
      </x:c>
      <x:c r="N601" s="217" t="str">
        <x:v>三份皆未入選</x:v>
      </x:c>
      <x:c r="O601" s="220" t="n">
        <x:v>59.06666666666667</x:v>
      </x:c>
      <x:c r="P601" s="220" t="n">
        <x:v>55.083333333333336</x:v>
      </x:c>
      <x:c r="Q601" s="220" t="n">
        <x:v>3.9833333333333334</x:v>
      </x:c>
      <x:c r="R601" s="220" t="n">
        <x:v>0.06743792325056433</x:v>
      </x:c>
      <x:c r="S601" s="220" t="n">
        <x:v>81.83870967741936</x:v>
      </x:c>
      <x:c r="T601" s="220" t="n">
        <x:v>77.06451612903226</x:v>
      </x:c>
      <x:c r="U601" s="220" t="n">
        <x:v>4.774193548387097</x:v>
      </x:c>
      <x:c r="V601" s="218" t="n">
        <x:v>0.055299539170506916</x:v>
      </x:c>
      <x:c r="W601" s="217" t="n">
        <x:v>11</x:v>
      </x:c>
      <x:c r="X601" s="222" t="n">
        <x:v>2250</x:v>
      </x:c>
      <x:c r="Y601" s="217" t="n">
        <x:v>15</x:v>
      </x:c>
    </x:row>
    <x:row r="602">
      <x:c r="A602" s="216" t="n">
        <x:v>494</x:v>
      </x:c>
      <x:c r="B602" s="216" t="str">
        <x:v>華福公園</x:v>
      </x:c>
      <x:c r="C602" s="216" t="str">
        <x:v>中和區</x:v>
      </x:c>
      <x:c r="D602" s="216" t="n">
        <x:v>16</x:v>
      </x:c>
      <x:c r="E602" s="216" t="n">
        <x:v>120</x:v>
      </x:c>
      <x:c r="F602" s="219" t="n">
        <x:v>0.9994791666666667</x:v>
      </x:c>
      <x:c r="G602" s="216" t="n">
        <x:v>598</x:v>
      </x:c>
      <x:c r="H602" s="216" t="str">
        <x:f>IF(G602&lt;='排名定義'!$B$5,"是","")</x:f>
        <x:v>是</x:v>
      </x:c>
      <x:c r="I602" s="216" t="n">
        <x:v>582</x:v>
      </x:c>
      <x:c r="J602" s="216" t="str">
        <x:f>IF(I602&lt;='排名定義'!$B$5,"是","")</x:f>
        <x:v>是</x:v>
      </x:c>
      <x:c r="K602" s="216" t="n">
        <x:v>723</x:v>
      </x:c>
      <x:c r="L602" s="216" t="str">
        <x:f>IF(K602&lt;='排名定義'!$B$5,"是","")</x:f>
        <x:v>是</x:v>
      </x:c>
      <x:c r="M602" s="216" t="n">
        <x:f>COUNTIF(H602:L602,"是")</x:f>
        <x:v>3</x:v>
      </x:c>
      <x:c r="N602" s="216" t="str">
        <x:v>三份皆未入選</x:v>
      </x:c>
      <x:c r="O602" s="221" t="n">
        <x:v>59.03333333333333</x:v>
      </x:c>
      <x:c r="P602" s="221" t="n">
        <x:v>54.8</x:v>
      </x:c>
      <x:c r="Q602" s="221" t="n">
        <x:v>4.233333333333333</x:v>
      </x:c>
      <x:c r="R602" s="221" t="n">
        <x:v>0.07171089779785432</x:v>
      </x:c>
      <x:c r="S602" s="221" t="n">
        <x:v>77.93548387096774</x:v>
      </x:c>
      <x:c r="T602" s="221" t="n">
        <x:v>74.51612903225806</x:v>
      </x:c>
      <x:c r="U602" s="221" t="n">
        <x:v>3.4193548387096775</x:v>
      </x:c>
      <x:c r="V602" s="219" t="n">
        <x:v>0.17050691244239632</x:v>
      </x:c>
      <x:c r="W602" s="216" t="n">
        <x:v>38</x:v>
      </x:c>
      <x:c r="X602" s="223" t="n">
        <x:v>4500</x:v>
      </x:c>
      <x:c r="Y602" s="216" t="n">
        <x:v>16</x:v>
      </x:c>
    </x:row>
    <x:row r="603">
      <x:c r="A603" s="217" t="n">
        <x:v>1145</x:v>
      </x:c>
      <x:c r="B603" s="217" t="str">
        <x:v>臺北海洋科技大學</x:v>
      </x:c>
      <x:c r="C603" s="217" t="str">
        <x:v>淡水區</x:v>
      </x:c>
      <x:c r="D603" s="217" t="n">
        <x:v>34</x:v>
      </x:c>
      <x:c r="E603" s="217" t="n">
        <x:v>120</x:v>
      </x:c>
      <x:c r="F603" s="218" t="n">
        <x:v>0.9994791666666667</x:v>
      </x:c>
      <x:c r="G603" s="217" t="n">
        <x:v>599</x:v>
      </x:c>
      <x:c r="H603" s="217" t="str">
        <x:f>IF(G603&lt;='排名定義'!$B$5,"是","")</x:f>
        <x:v>是</x:v>
      </x:c>
      <x:c r="I603" s="217" t="n">
        <x:v>604</x:v>
      </x:c>
      <x:c r="J603" s="217" t="str">
        <x:f>IF(I603&lt;='排名定義'!$B$5,"是","")</x:f>
        <x:v>是</x:v>
      </x:c>
      <x:c r="K603" s="217" t="n">
        <x:v>524</x:v>
      </x:c>
      <x:c r="L603" s="217" t="str">
        <x:f>IF(K603&lt;='排名定義'!$B$5,"是","")</x:f>
        <x:v>是</x:v>
      </x:c>
      <x:c r="M603" s="217" t="n">
        <x:f>COUNTIF(H603:L603,"是")</x:f>
        <x:v>3</x:v>
      </x:c>
      <x:c r="N603" s="217" t="str">
        <x:v>三份皆未入選</x:v>
      </x:c>
      <x:c r="O603" s="220" t="n">
        <x:v>58.90833333333333</x:v>
      </x:c>
      <x:c r="P603" s="220" t="n">
        <x:v>53.86666666666667</x:v>
      </x:c>
      <x:c r="Q603" s="220" t="n">
        <x:v>5.041666666666667</x:v>
      </x:c>
      <x:c r="R603" s="220" t="n">
        <x:v>0.08558494836610553</x:v>
      </x:c>
      <x:c r="S603" s="220" t="n">
        <x:v>102.16129032258064</x:v>
      </x:c>
      <x:c r="T603" s="220" t="n">
        <x:v>94.16129032258064</x:v>
      </x:c>
      <x:c r="U603" s="220" t="n">
        <x:v>8</x:v>
      </x:c>
      <x:c r="V603" s="218" t="n">
        <x:v>0.018433179723502304</x:v>
      </x:c>
      <x:c r="W603" s="217" t="n">
        <x:v>2</x:v>
      </x:c>
      <x:c r="X603" s="222" t="n">
        <x:v>750</x:v>
      </x:c>
      <x:c r="Y603" s="217" t="n">
        <x:v>34</x:v>
      </x:c>
    </x:row>
    <x:row r="604">
      <x:c r="A604" s="216" t="n">
        <x:v>521</x:v>
      </x:c>
      <x:c r="B604" s="216" t="str">
        <x:v>光復路一段15巷口</x:v>
      </x:c>
      <x:c r="C604" s="216" t="str">
        <x:v>三重區</x:v>
      </x:c>
      <x:c r="D604" s="216" t="n">
        <x:v>17</x:v>
      </x:c>
      <x:c r="E604" s="216" t="n">
        <x:v>120</x:v>
      </x:c>
      <x:c r="F604" s="219" t="n">
        <x:v>0.9994791666666667</x:v>
      </x:c>
      <x:c r="G604" s="216" t="n">
        <x:v>600</x:v>
      </x:c>
      <x:c r="H604" s="216" t="str">
        <x:f>IF(G604&lt;='排名定義'!$B$5,"是","")</x:f>
        <x:v>是</x:v>
      </x:c>
      <x:c r="I604" s="216" t="n">
        <x:v>585</x:v>
      </x:c>
      <x:c r="J604" s="216" t="str">
        <x:f>IF(I604&lt;='排名定義'!$B$5,"是","")</x:f>
        <x:v>是</x:v>
      </x:c>
      <x:c r="K604" s="216" t="n">
        <x:v>708</x:v>
      </x:c>
      <x:c r="L604" s="216" t="str">
        <x:f>IF(K604&lt;='排名定義'!$B$5,"是","")</x:f>
        <x:v>是</x:v>
      </x:c>
      <x:c r="M604" s="216" t="n">
        <x:f>COUNTIF(H604:L604,"是")</x:f>
        <x:v>3</x:v>
      </x:c>
      <x:c r="N604" s="216" t="str">
        <x:v>三份皆未入選</x:v>
      </x:c>
      <x:c r="O604" s="221" t="n">
        <x:v>58.88333333333333</x:v>
      </x:c>
      <x:c r="P604" s="221" t="n">
        <x:v>54.608333333333334</x:v>
      </x:c>
      <x:c r="Q604" s="221" t="n">
        <x:v>4.275</x:v>
      </x:c>
      <x:c r="R604" s="221" t="n">
        <x:v>0.07260118879139542</x:v>
      </x:c>
      <x:c r="S604" s="221" t="n">
        <x:v>87.3225806451613</x:v>
      </x:c>
      <x:c r="T604" s="221" t="n">
        <x:v>81.70967741935483</x:v>
      </x:c>
      <x:c r="U604" s="221" t="n">
        <x:v>5.612903225806452</x:v>
      </x:c>
      <x:c r="V604" s="219" t="n">
        <x:v>0.07603686635944701</x:v>
      </x:c>
      <x:c r="W604" s="216" t="n">
        <x:v>32</x:v>
      </x:c>
      <x:c r="X604" s="223" t="n">
        <x:v>4440</x:v>
      </x:c>
      <x:c r="Y604" s="216" t="n">
        <x:v>29</x:v>
      </x:c>
    </x:row>
    <x:row r="605">
      <x:c r="A605" s="217" t="n">
        <x:v>423</x:v>
      </x:c>
      <x:c r="B605" s="217" t="str">
        <x:v>文化三路一段249巷</x:v>
      </x:c>
      <x:c r="C605" s="217" t="str">
        <x:v>林口區</x:v>
      </x:c>
      <x:c r="D605" s="217" t="n">
        <x:v>15</x:v>
      </x:c>
      <x:c r="E605" s="217" t="n">
        <x:v>120</x:v>
      </x:c>
      <x:c r="F605" s="218" t="n">
        <x:v>0.9994791666666667</x:v>
      </x:c>
      <x:c r="G605" s="217" t="n">
        <x:v>601</x:v>
      </x:c>
      <x:c r="H605" s="217" t="str">
        <x:f>IF(G605&lt;='排名定義'!$B$5,"是","")</x:f>
        <x:v>是</x:v>
      </x:c>
      <x:c r="I605" s="217" t="n">
        <x:v>579</x:v>
      </x:c>
      <x:c r="J605" s="217" t="str">
        <x:f>IF(I605&lt;='排名定義'!$B$5,"是","")</x:f>
        <x:v>是</x:v>
      </x:c>
      <x:c r="K605" s="217" t="n">
        <x:v>852</x:v>
      </x:c>
      <x:c r="L605" s="217" t="str">
        <x:f>IF(K605&lt;='排名定義'!$B$5,"是","")</x:f>
        <x:v>是</x:v>
      </x:c>
      <x:c r="M605" s="217" t="n">
        <x:f>COUNTIF(H605:L605,"是")</x:f>
        <x:v>3</x:v>
      </x:c>
      <x:c r="N605" s="217" t="str">
        <x:v>三份皆未入選</x:v>
      </x:c>
      <x:c r="O605" s="220" t="n">
        <x:v>58.858333333333334</x:v>
      </x:c>
      <x:c r="P605" s="220" t="n">
        <x:v>55.00833333333333</x:v>
      </x:c>
      <x:c r="Q605" s="220" t="n">
        <x:v>3.85</x:v>
      </x:c>
      <x:c r="R605" s="220" t="n">
        <x:v>0.06541129831516353</x:v>
      </x:c>
      <x:c r="S605" s="220" t="n">
        <x:v>79.58064516129032</x:v>
      </x:c>
      <x:c r="T605" s="220" t="n">
        <x:v>76.64516129032258</x:v>
      </x:c>
      <x:c r="U605" s="220" t="n">
        <x:v>2.935483870967742</x:v>
      </x:c>
      <x:c r="V605" s="218" t="n">
        <x:v>0.08064516129032258</x:v>
      </x:c>
      <x:c r="W605" s="217" t="n">
        <x:v>14</x:v>
      </x:c>
      <x:c r="X605" s="222" t="n">
        <x:v>1950</x:v>
      </x:c>
      <x:c r="Y605" s="217" t="n">
        <x:v>15</x:v>
      </x:c>
    </x:row>
    <x:row r="606">
      <x:c r="A606" s="216" t="n">
        <x:v>851</x:v>
      </x:c>
      <x:c r="B606" s="216" t="str">
        <x:v>後埔國小(實踐路/重慶路155巷口)</x:v>
      </x:c>
      <x:c r="C606" s="216" t="str">
        <x:v>板橋區</x:v>
      </x:c>
      <x:c r="D606" s="216" t="n">
        <x:v>24</x:v>
      </x:c>
      <x:c r="E606" s="216" t="n">
        <x:v>120</x:v>
      </x:c>
      <x:c r="F606" s="219" t="n">
        <x:v>0.9994791666666667</x:v>
      </x:c>
      <x:c r="G606" s="216" t="n">
        <x:v>602</x:v>
      </x:c>
      <x:c r="H606" s="216" t="str">
        <x:f>IF(G606&lt;='排名定義'!$B$5,"是","")</x:f>
        <x:v>是</x:v>
      </x:c>
      <x:c r="I606" s="216" t="n">
        <x:v>590</x:v>
      </x:c>
      <x:c r="J606" s="216" t="str">
        <x:f>IF(I606&lt;='排名定義'!$B$5,"是","")</x:f>
        <x:v>是</x:v>
      </x:c>
      <x:c r="K606" s="216" t="n">
        <x:v>689</x:v>
      </x:c>
      <x:c r="L606" s="216" t="str">
        <x:f>IF(K606&lt;='排名定義'!$B$5,"是","")</x:f>
        <x:v>是</x:v>
      </x:c>
      <x:c r="M606" s="216" t="n">
        <x:f>COUNTIF(H606:L606,"是")</x:f>
        <x:v>3</x:v>
      </x:c>
      <x:c r="N606" s="216" t="str">
        <x:v>三份皆未入選</x:v>
      </x:c>
      <x:c r="O606" s="221" t="n">
        <x:v>58.825</x:v>
      </x:c>
      <x:c r="P606" s="221" t="n">
        <x:v>54.483333333333334</x:v>
      </x:c>
      <x:c r="Q606" s="221" t="n">
        <x:v>4.341666666666667</x:v>
      </x:c>
      <x:c r="R606" s="221" t="n">
        <x:v>0.07380648817112906</x:v>
      </x:c>
      <x:c r="S606" s="221" t="n">
        <x:v>82.12903225806451</x:v>
      </x:c>
      <x:c r="T606" s="221" t="n">
        <x:v>77.96774193548387</x:v>
      </x:c>
      <x:c r="U606" s="221" t="n">
        <x:v>4.161290322580645</x:v>
      </x:c>
      <x:c r="V606" s="219" t="n">
        <x:v>0.1313364055299539</x:v>
      </x:c>
      <x:c r="W606" s="216" t="n">
        <x:v>37</x:v>
      </x:c>
      <x:c r="X606" s="223" t="n">
        <x:v>4290</x:v>
      </x:c>
      <x:c r="Y606" s="216" t="n">
        <x:v>24</x:v>
      </x:c>
    </x:row>
    <x:row r="607">
      <x:c r="A607" s="217" t="n">
        <x:v>633</x:v>
      </x:c>
      <x:c r="B607" s="217" t="str">
        <x:v>仁愛信義路口</x:v>
      </x:c>
      <x:c r="C607" s="217" t="str">
        <x:v>永和區</x:v>
      </x:c>
      <x:c r="D607" s="217" t="n">
        <x:v>20</x:v>
      </x:c>
      <x:c r="E607" s="217" t="n">
        <x:v>120</x:v>
      </x:c>
      <x:c r="F607" s="218" t="n">
        <x:v>0.9994791666666667</x:v>
      </x:c>
      <x:c r="G607" s="217" t="n">
        <x:v>603</x:v>
      </x:c>
      <x:c r="H607" s="217" t="str">
        <x:f>IF(G607&lt;='排名定義'!$B$5,"是","")</x:f>
        <x:v>是</x:v>
      </x:c>
      <x:c r="I607" s="217" t="n">
        <x:v>589</x:v>
      </x:c>
      <x:c r="J607" s="217" t="str">
        <x:f>IF(I607&lt;='排名定義'!$B$5,"是","")</x:f>
        <x:v>是</x:v>
      </x:c>
      <x:c r="K607" s="217" t="n">
        <x:v>725</x:v>
      </x:c>
      <x:c r="L607" s="217" t="str">
        <x:f>IF(K607&lt;='排名定義'!$B$5,"是","")</x:f>
        <x:v>是</x:v>
      </x:c>
      <x:c r="M607" s="217" t="n">
        <x:f>COUNTIF(H607:L607,"是")</x:f>
        <x:v>3</x:v>
      </x:c>
      <x:c r="N607" s="217" t="str">
        <x:v>三份皆未入選</x:v>
      </x:c>
      <x:c r="O607" s="220" t="n">
        <x:v>58.733333333333334</x:v>
      </x:c>
      <x:c r="P607" s="220" t="n">
        <x:v>54.5</x:v>
      </x:c>
      <x:c r="Q607" s="220" t="n">
        <x:v>4.233333333333333</x:v>
      </x:c>
      <x:c r="R607" s="220" t="n">
        <x:v>0.0720771850170261</x:v>
      </x:c>
      <x:c r="S607" s="220" t="n">
        <x:v>77.16129032258064</x:v>
      </x:c>
      <x:c r="T607" s="220" t="n">
        <x:v>72.80645161290323</x:v>
      </x:c>
      <x:c r="U607" s="220" t="n">
        <x:v>4.354838709677419</x:v>
      </x:c>
      <x:c r="V607" s="218" t="n">
        <x:v>0.07834101382488479</x:v>
      </x:c>
      <x:c r="W607" s="217" t="n">
        <x:v>43</x:v>
      </x:c>
      <x:c r="X607" s="222" t="n">
        <x:v>5280</x:v>
      </x:c>
      <x:c r="Y607" s="217" t="n">
        <x:v>20</x:v>
      </x:c>
    </x:row>
    <x:row r="608">
      <x:c r="A608" s="216" t="n">
        <x:v>1497</x:v>
      </x:c>
      <x:c r="B608" s="216" t="str">
        <x:v>新北市立鶯歌高級工商職業學校</x:v>
      </x:c>
      <x:c r="C608" s="216" t="str">
        <x:v>鶯歌區</x:v>
      </x:c>
      <x:c r="D608" s="216" t="n">
        <x:v>56</x:v>
      </x:c>
      <x:c r="E608" s="216" t="n">
        <x:v>120</x:v>
      </x:c>
      <x:c r="F608" s="219" t="n">
        <x:v>0.9994791666666667</x:v>
      </x:c>
      <x:c r="G608" s="216" t="n">
        <x:v>604</x:v>
      </x:c>
      <x:c r="H608" s="216" t="str">
        <x:f>IF(G608&lt;='排名定義'!$B$5,"是","")</x:f>
        <x:v>是</x:v>
      </x:c>
      <x:c r="I608" s="216" t="n">
        <x:v>691</x:v>
      </x:c>
      <x:c r="J608" s="216" t="str">
        <x:f>IF(I608&lt;='排名定義'!$B$5,"是","")</x:f>
        <x:v>是</x:v>
      </x:c>
      <x:c r="K608" s="216" t="n">
        <x:v>52</x:v>
      </x:c>
      <x:c r="L608" s="216" t="str">
        <x:f>IF(K608&lt;='排名定義'!$B$5,"是","")</x:f>
        <x:v>是</x:v>
      </x:c>
      <x:c r="M608" s="216" t="n">
        <x:f>COUNTIF(H608:L608,"是")</x:f>
        <x:v>3</x:v>
      </x:c>
      <x:c r="N608" s="216" t="str">
        <x:v>僅大幅變動</x:v>
      </x:c>
      <x:c r="O608" s="221" t="n">
        <x:v>58.5</x:v>
      </x:c>
      <x:c r="P608" s="221" t="n">
        <x:v>48.108333333333334</x:v>
      </x:c>
      <x:c r="Q608" s="221" t="n">
        <x:v>10.391666666666667</x:v>
      </x:c>
      <x:c r="R608" s="221" t="n">
        <x:v>0.17763532763532763</x:v>
      </x:c>
      <x:c r="S608" s="221" t="n">
        <x:v>91.16129032258064</x:v>
      </x:c>
      <x:c r="T608" s="221" t="n">
        <x:v>77.87096774193549</x:v>
      </x:c>
      <x:c r="U608" s="221" t="n">
        <x:v>13.290322580645162</x:v>
      </x:c>
      <x:c r="V608" s="219" t="n">
        <x:v>0.07142857142857142</x:v>
      </x:c>
      <x:c r="W608" s="216" t="n">
        <x:v>10</x:v>
      </x:c>
      <x:c r="X608" s="223" t="n">
        <x:v>1170</x:v>
      </x:c>
      <x:c r="Y608" s="216" t="n">
        <x:v>56</x:v>
      </x:c>
    </x:row>
    <x:row r="609">
      <x:c r="A609" s="217" t="n">
        <x:v>1440</x:v>
      </x:c>
      <x:c r="B609" s="217" t="str">
        <x:v>中興中正路口(泰坤建設)</x:v>
      </x:c>
      <x:c r="C609" s="217" t="str">
        <x:v>新莊區</x:v>
      </x:c>
      <x:c r="D609" s="217" t="n">
        <x:v>50</x:v>
      </x:c>
      <x:c r="E609" s="217" t="n">
        <x:v>120</x:v>
      </x:c>
      <x:c r="F609" s="218" t="n">
        <x:v>0.9994791666666667</x:v>
      </x:c>
      <x:c r="G609" s="217" t="n">
        <x:v>605</x:v>
      </x:c>
      <x:c r="H609" s="217" t="str">
        <x:f>IF(G609&lt;='排名定義'!$B$5,"是","")</x:f>
        <x:v>是</x:v>
      </x:c>
      <x:c r="I609" s="217" t="n">
        <x:v>603</x:v>
      </x:c>
      <x:c r="J609" s="217" t="str">
        <x:f>IF(I609&lt;='排名定義'!$B$5,"是","")</x:f>
        <x:v>是</x:v>
      </x:c>
      <x:c r="K609" s="217" t="n">
        <x:v>618</x:v>
      </x:c>
      <x:c r="L609" s="217" t="str">
        <x:f>IF(K609&lt;='排名定義'!$B$5,"是","")</x:f>
        <x:v>是</x:v>
      </x:c>
      <x:c r="M609" s="217" t="n">
        <x:f>COUNTIF(H609:L609,"是")</x:f>
        <x:v>3</x:v>
      </x:c>
      <x:c r="N609" s="217" t="str">
        <x:v>三份皆未入選</x:v>
      </x:c>
      <x:c r="O609" s="220" t="n">
        <x:v>58.49166666666667</x:v>
      </x:c>
      <x:c r="P609" s="220" t="n">
        <x:v>53.9</x:v>
      </x:c>
      <x:c r="Q609" s="220" t="n">
        <x:v>4.591666666666667</x:v>
      </x:c>
      <x:c r="R609" s="220" t="n">
        <x:v>0.07850121099871776</x:v>
      </x:c>
      <x:c r="S609" s="220" t="n">
        <x:v>87.58064516129032</x:v>
      </x:c>
      <x:c r="T609" s="220" t="n">
        <x:v>83.29032258064517</x:v>
      </x:c>
      <x:c r="U609" s="220" t="n">
        <x:v>4.290322580645161</x:v>
      </x:c>
      <x:c r="V609" s="218" t="n">
        <x:v>0.04377880184331797</x:v>
      </x:c>
      <x:c r="W609" s="217" t="n">
        <x:v>4</x:v>
      </x:c>
      <x:c r="X609" s="222" t="n">
        <x:v>1740</x:v>
      </x:c>
      <x:c r="Y609" s="217" t="n">
        <x:v>50</x:v>
      </x:c>
    </x:row>
    <x:row r="610">
      <x:c r="A610" s="216" t="n">
        <x:v>1009</x:v>
      </x:c>
      <x:c r="B610" s="216" t="str">
        <x:v>大同國小</x:v>
      </x:c>
      <x:c r="C610" s="216" t="str">
        <x:v>樹林區</x:v>
      </x:c>
      <x:c r="D610" s="216" t="n">
        <x:v>30</x:v>
      </x:c>
      <x:c r="E610" s="216" t="n">
        <x:v>120</x:v>
      </x:c>
      <x:c r="F610" s="219" t="n">
        <x:v>0.9994791666666667</x:v>
      </x:c>
      <x:c r="G610" s="216" t="n">
        <x:v>606</x:v>
      </x:c>
      <x:c r="H610" s="216" t="str">
        <x:f>IF(G610&lt;='排名定義'!$B$5,"是","")</x:f>
        <x:v>是</x:v>
      </x:c>
      <x:c r="I610" s="216" t="n">
        <x:v>610</x:v>
      </x:c>
      <x:c r="J610" s="216" t="str">
        <x:f>IF(I610&lt;='排名定義'!$B$5,"是","")</x:f>
        <x:v>是</x:v>
      </x:c>
      <x:c r="K610" s="216" t="n">
        <x:v>467</x:v>
      </x:c>
      <x:c r="L610" s="216" t="str">
        <x:f>IF(K610&lt;='排名定義'!$B$5,"是","")</x:f>
        <x:v>是</x:v>
      </x:c>
      <x:c r="M610" s="216" t="n">
        <x:f>COUNTIF(H610:L610,"是")</x:f>
        <x:v>3</x:v>
      </x:c>
      <x:c r="N610" s="216" t="str">
        <x:v>三份皆未入選</x:v>
      </x:c>
      <x:c r="O610" s="221" t="n">
        <x:v>58.333333333333336</x:v>
      </x:c>
      <x:c r="P610" s="221" t="n">
        <x:v>53.025</x:v>
      </x:c>
      <x:c r="Q610" s="221" t="n">
        <x:v>5.308333333333334</x:v>
      </x:c>
      <x:c r="R610" s="221" t="n">
        <x:v>0.091</x:v>
      </x:c>
      <x:c r="S610" s="221" t="n">
        <x:v>84.03225806451613</x:v>
      </x:c>
      <x:c r="T610" s="221" t="n">
        <x:v>80.16129032258064</x:v>
      </x:c>
      <x:c r="U610" s="221" t="n">
        <x:v>3.870967741935484</x:v>
      </x:c>
      <x:c r="V610" s="219" t="n">
        <x:v>0.04838709677419355</x:v>
      </x:c>
      <x:c r="W610" s="216" t="n">
        <x:v>8</x:v>
      </x:c>
      <x:c r="X610" s="223" t="n">
        <x:v>1440</x:v>
      </x:c>
      <x:c r="Y610" s="216" t="n">
        <x:v>30</x:v>
      </x:c>
    </x:row>
    <x:row r="611">
      <x:c r="A611" s="217" t="n">
        <x:v>1282</x:v>
      </x:c>
      <x:c r="B611" s="217" t="str">
        <x:v>華江一華江二路口(江匯Life社區)</x:v>
      </x:c>
      <x:c r="C611" s="217" t="str">
        <x:v>板橋區</x:v>
      </x:c>
      <x:c r="D611" s="217" t="n">
        <x:v>40</x:v>
      </x:c>
      <x:c r="E611" s="217" t="n">
        <x:v>120</x:v>
      </x:c>
      <x:c r="F611" s="218" t="n">
        <x:v>0.9994791666666667</x:v>
      </x:c>
      <x:c r="G611" s="217" t="n">
        <x:v>607</x:v>
      </x:c>
      <x:c r="H611" s="217" t="str">
        <x:f>IF(G611&lt;='排名定義'!$B$5,"是","")</x:f>
        <x:v>是</x:v>
      </x:c>
      <x:c r="I611" s="217" t="n">
        <x:v>622</x:v>
      </x:c>
      <x:c r="J611" s="217" t="str">
        <x:f>IF(I611&lt;='排名定義'!$B$5,"是","")</x:f>
        <x:v>是</x:v>
      </x:c>
      <x:c r="K611" s="217" t="n">
        <x:v>340</x:v>
      </x:c>
      <x:c r="L611" s="217" t="str">
        <x:f>IF(K611&lt;='排名定義'!$B$5,"是","")</x:f>
        <x:v>是</x:v>
      </x:c>
      <x:c r="M611" s="217" t="n">
        <x:f>COUNTIF(H611:L611,"是")</x:f>
        <x:v>3</x:v>
      </x:c>
      <x:c r="N611" s="217" t="str">
        <x:v>僅大幅變動</x:v>
      </x:c>
      <x:c r="O611" s="220" t="n">
        <x:v>58.3</x:v>
      </x:c>
      <x:c r="P611" s="220" t="n">
        <x:v>52.208333333333336</x:v>
      </x:c>
      <x:c r="Q611" s="220" t="n">
        <x:v>6.091666666666667</x:v>
      </x:c>
      <x:c r="R611" s="220" t="n">
        <x:v>0.1044882790165809</x:v>
      </x:c>
      <x:c r="S611" s="220" t="n">
        <x:v>79.64516129032258</x:v>
      </x:c>
      <x:c r="T611" s="220" t="n">
        <x:v>75.16129032258064</x:v>
      </x:c>
      <x:c r="U611" s="220" t="n">
        <x:v>4.483870967741935</x:v>
      </x:c>
      <x:c r="V611" s="218" t="n">
        <x:v>0.052995391705069124</x:v>
      </x:c>
      <x:c r="W611" s="217" t="n">
        <x:v>20</x:v>
      </x:c>
      <x:c r="X611" s="222" t="n">
        <x:v>2010</x:v>
      </x:c>
      <x:c r="Y611" s="217" t="n">
        <x:v>40</x:v>
      </x:c>
    </x:row>
    <x:row r="612">
      <x:c r="A612" s="216" t="n">
        <x:v>261</x:v>
      </x:c>
      <x:c r="B612" s="216" t="str">
        <x:v>中正路883巷口</x:v>
      </x:c>
      <x:c r="C612" s="216" t="str">
        <x:v>新莊區</x:v>
      </x:c>
      <x:c r="D612" s="216" t="n">
        <x:v>14</x:v>
      </x:c>
      <x:c r="E612" s="216" t="n">
        <x:v>120</x:v>
      </x:c>
      <x:c r="F612" s="219" t="n">
        <x:v>0.9994791666666667</x:v>
      </x:c>
      <x:c r="G612" s="216" t="n">
        <x:v>608</x:v>
      </x:c>
      <x:c r="H612" s="216" t="str">
        <x:f>IF(G612&lt;='排名定義'!$B$5,"是","")</x:f>
        <x:v>是</x:v>
      </x:c>
      <x:c r="I612" s="216" t="n">
        <x:v>597</x:v>
      </x:c>
      <x:c r="J612" s="216" t="str">
        <x:f>IF(I612&lt;='排名定義'!$B$5,"是","")</x:f>
        <x:v>是</x:v>
      </x:c>
      <x:c r="K612" s="216" t="n">
        <x:v>749</x:v>
      </x:c>
      <x:c r="L612" s="216" t="str">
        <x:f>IF(K612&lt;='排名定義'!$B$5,"是","")</x:f>
        <x:v>是</x:v>
      </x:c>
      <x:c r="M612" s="216" t="n">
        <x:f>COUNTIF(H612:L612,"是")</x:f>
        <x:v>3</x:v>
      </x:c>
      <x:c r="N612" s="216" t="str">
        <x:v>三份皆未入選</x:v>
      </x:c>
      <x:c r="O612" s="221" t="n">
        <x:v>58.24166666666667</x:v>
      </x:c>
      <x:c r="P612" s="221" t="n">
        <x:v>54.108333333333334</x:v>
      </x:c>
      <x:c r="Q612" s="221" t="n">
        <x:v>4.133333333333334</x:v>
      </x:c>
      <x:c r="R612" s="221" t="n">
        <x:v>0.07096866504507082</x:v>
      </x:c>
      <x:c r="S612" s="221" t="n">
        <x:v>77.58064516129032</x:v>
      </x:c>
      <x:c r="T612" s="221" t="n">
        <x:v>73.16129032258064</x:v>
      </x:c>
      <x:c r="U612" s="221" t="n">
        <x:v>4.419354838709677</x:v>
      </x:c>
      <x:c r="V612" s="219" t="n">
        <x:v>0.11981566820276497</x:v>
      </x:c>
      <x:c r="W612" s="216" t="n">
        <x:v>31</x:v>
      </x:c>
      <x:c r="X612" s="223" t="n">
        <x:v>3480</x:v>
      </x:c>
      <x:c r="Y612" s="216" t="n">
        <x:v>14</x:v>
      </x:c>
    </x:row>
    <x:row r="613">
      <x:c r="A613" s="217" t="n">
        <x:v>95</x:v>
      </x:c>
      <x:c r="B613" s="217" t="str">
        <x:v>連興龍安路口</x:v>
      </x:c>
      <x:c r="C613" s="217" t="str">
        <x:v>汐止區</x:v>
      </x:c>
      <x:c r="D613" s="217" t="n">
        <x:v>70</x:v>
      </x:c>
      <x:c r="E613" s="217" t="n">
        <x:v>120</x:v>
      </x:c>
      <x:c r="F613" s="218" t="n">
        <x:v>0.9994791666666667</x:v>
      </x:c>
      <x:c r="G613" s="217" t="n">
        <x:v>609</x:v>
      </x:c>
      <x:c r="H613" s="217" t="str">
        <x:f>IF(G613&lt;='排名定義'!$B$5,"是","")</x:f>
        <x:v>是</x:v>
      </x:c>
      <x:c r="I613" s="217" t="n">
        <x:v>609</x:v>
      </x:c>
      <x:c r="J613" s="217" t="str">
        <x:f>IF(I613&lt;='排名定義'!$B$5,"是","")</x:f>
        <x:v>是</x:v>
      </x:c>
      <x:c r="K613" s="217" t="n">
        <x:v>536</x:v>
      </x:c>
      <x:c r="L613" s="217" t="str">
        <x:f>IF(K613&lt;='排名定義'!$B$5,"是","")</x:f>
        <x:v>是</x:v>
      </x:c>
      <x:c r="M613" s="217" t="n">
        <x:f>COUNTIF(H613:L613,"是")</x:f>
        <x:v>3</x:v>
      </x:c>
      <x:c r="N613" s="217" t="str">
        <x:v>三份皆未入選</x:v>
      </x:c>
      <x:c r="O613" s="220" t="n">
        <x:v>58.083333333333336</x:v>
      </x:c>
      <x:c r="P613" s="220" t="n">
        <x:v>53.11666666666667</x:v>
      </x:c>
      <x:c r="Q613" s="220" t="n">
        <x:v>4.966666666666667</x:v>
      </x:c>
      <x:c r="R613" s="220" t="n">
        <x:v>0.08550932568149211</x:v>
      </x:c>
      <x:c r="S613" s="220" t="n">
        <x:v>86.70967741935483</x:v>
      </x:c>
      <x:c r="T613" s="220" t="n">
        <x:v>82.19354838709677</x:v>
      </x:c>
      <x:c r="U613" s="220" t="n">
        <x:v>4.516129032258065</x:v>
      </x:c>
      <x:c r="V613" s="218" t="n">
        <x:v>0.013824884792626729</x:v>
      </x:c>
      <x:c r="W613" s="217" t="n">
        <x:v>8</x:v>
      </x:c>
      <x:c r="X613" s="222" t="n">
        <x:v>900</x:v>
      </x:c>
      <x:c r="Y613" s="217" t="n">
        <x:v>70</x:v>
      </x:c>
    </x:row>
    <x:row r="614">
      <x:c r="A614" s="216" t="n">
        <x:v>145</x:v>
      </x:c>
      <x:c r="B614" s="216" t="str">
        <x:v>台北醫院(民樂街)</x:v>
      </x:c>
      <x:c r="C614" s="216" t="str">
        <x:v>新莊區</x:v>
      </x:c>
      <x:c r="D614" s="216" t="n">
        <x:v>11</x:v>
      </x:c>
      <x:c r="E614" s="216" t="n">
        <x:v>120</x:v>
      </x:c>
      <x:c r="F614" s="219" t="n">
        <x:v>0.9994791666666667</x:v>
      </x:c>
      <x:c r="G614" s="216" t="n">
        <x:v>610</x:v>
      </x:c>
      <x:c r="H614" s="216" t="str">
        <x:f>IF(G614&lt;='排名定義'!$B$5,"是","")</x:f>
        <x:v>是</x:v>
      </x:c>
      <x:c r="I614" s="216" t="n">
        <x:v>592</x:v>
      </x:c>
      <x:c r="J614" s="216" t="str">
        <x:f>IF(I614&lt;='排名定義'!$B$5,"是","")</x:f>
        <x:v>是</x:v>
      </x:c>
      <x:c r="K614" s="216" t="n">
        <x:v>913</x:v>
      </x:c>
      <x:c r="L614" s="216" t="str">
        <x:f>IF(K614&lt;='排名定義'!$B$5,"是","")</x:f>
        <x:v>是</x:v>
      </x:c>
      <x:c r="M614" s="216" t="n">
        <x:f>COUNTIF(H614:L614,"是")</x:f>
        <x:v>3</x:v>
      </x:c>
      <x:c r="N614" s="216" t="str">
        <x:v>三份皆未入選</x:v>
      </x:c>
      <x:c r="O614" s="221" t="n">
        <x:v>58</x:v>
      </x:c>
      <x:c r="P614" s="221" t="n">
        <x:v>54.325</x:v>
      </x:c>
      <x:c r="Q614" s="221" t="n">
        <x:v>3.675</x:v>
      </x:c>
      <x:c r="R614" s="221" t="n">
        <x:v>0.06336206896551724</x:v>
      </x:c>
      <x:c r="S614" s="221" t="n">
        <x:v>74.09677419354838</x:v>
      </x:c>
      <x:c r="T614" s="221" t="n">
        <x:v>69.96774193548387</x:v>
      </x:c>
      <x:c r="U614" s="221" t="n">
        <x:v>4.129032258064516</x:v>
      </x:c>
      <x:c r="V614" s="219" t="n">
        <x:v>0.1912442396313364</x:v>
      </x:c>
      <x:c r="W614" s="216" t="n">
        <x:v>44</x:v>
      </x:c>
      <x:c r="X614" s="223" t="n">
        <x:v>6570</x:v>
      </x:c>
      <x:c r="Y614" s="216" t="n">
        <x:v>11</x:v>
      </x:c>
    </x:row>
    <x:row r="615">
      <x:c r="A615" s="217" t="n">
        <x:v>1040</x:v>
      </x:c>
      <x:c r="B615" s="217" t="str">
        <x:v>長風社區</x:v>
      </x:c>
      <x:c r="C615" s="217" t="str">
        <x:v>土城區</x:v>
      </x:c>
      <x:c r="D615" s="217" t="n">
        <x:v>30</x:v>
      </x:c>
      <x:c r="E615" s="217" t="n">
        <x:v>120</x:v>
      </x:c>
      <x:c r="F615" s="218" t="n">
        <x:v>0.9994791666666667</x:v>
      </x:c>
      <x:c r="G615" s="217" t="n">
        <x:v>611</x:v>
      </x:c>
      <x:c r="H615" s="217" t="str">
        <x:f>IF(G615&lt;='排名定義'!$B$5,"是","")</x:f>
        <x:v>是</x:v>
      </x:c>
      <x:c r="I615" s="217" t="n">
        <x:v>618</x:v>
      </x:c>
      <x:c r="J615" s="217" t="str">
        <x:f>IF(I615&lt;='排名定義'!$B$5,"是","")</x:f>
        <x:v>是</x:v>
      </x:c>
      <x:c r="K615" s="217" t="n">
        <x:v>449</x:v>
      </x:c>
      <x:c r="L615" s="217" t="str">
        <x:f>IF(K615&lt;='排名定義'!$B$5,"是","")</x:f>
        <x:v>是</x:v>
      </x:c>
      <x:c r="M615" s="217" t="n">
        <x:f>COUNTIF(H615:L615,"是")</x:f>
        <x:v>3</x:v>
      </x:c>
      <x:c r="N615" s="217" t="str">
        <x:v>三份皆未入選</x:v>
      </x:c>
      <x:c r="O615" s="220" t="n">
        <x:v>58</x:v>
      </x:c>
      <x:c r="P615" s="220" t="n">
        <x:v>52.583333333333336</x:v>
      </x:c>
      <x:c r="Q615" s="220" t="n">
        <x:v>5.416666666666667</x:v>
      </x:c>
      <x:c r="R615" s="220" t="n">
        <x:v>0.09339080459770115</x:v>
      </x:c>
      <x:c r="S615" s="220" t="n">
        <x:v>82.16129032258064</x:v>
      </x:c>
      <x:c r="T615" s="220" t="n">
        <x:v>78.35483870967742</x:v>
      </x:c>
      <x:c r="U615" s="220" t="n">
        <x:v>3.806451612903226</x:v>
      </x:c>
      <x:c r="V615" s="218" t="n">
        <x:v>0.06451612903225806</x:v>
      </x:c>
      <x:c r="W615" s="217" t="n">
        <x:v>15</x:v>
      </x:c>
      <x:c r="X615" s="222" t="n">
        <x:v>2130</x:v>
      </x:c>
      <x:c r="Y615" s="217" t="n">
        <x:v>30</x:v>
      </x:c>
    </x:row>
    <x:row r="616">
      <x:c r="A616" s="216" t="n">
        <x:v>1379</x:v>
      </x:c>
      <x:c r="B616" s="216" t="str">
        <x:v>中正思源路口(東北側)</x:v>
      </x:c>
      <x:c r="C616" s="216" t="str">
        <x:v>新莊區</x:v>
      </x:c>
      <x:c r="D616" s="216" t="n">
        <x:v>45</x:v>
      </x:c>
      <x:c r="E616" s="216" t="n">
        <x:v>120</x:v>
      </x:c>
      <x:c r="F616" s="219" t="n">
        <x:v>0.9994791666666667</x:v>
      </x:c>
      <x:c r="G616" s="216" t="n">
        <x:v>612</x:v>
      </x:c>
      <x:c r="H616" s="216" t="str">
        <x:f>IF(G616&lt;='排名定義'!$B$5,"是","")</x:f>
        <x:v>是</x:v>
      </x:c>
      <x:c r="I616" s="216" t="n">
        <x:v>662</x:v>
      </x:c>
      <x:c r="J616" s="216" t="str">
        <x:f>IF(I616&lt;='排名定義'!$B$5,"是","")</x:f>
        <x:v>是</x:v>
      </x:c>
      <x:c r="K616" s="216" t="n">
        <x:v>118</x:v>
      </x:c>
      <x:c r="L616" s="216" t="str">
        <x:f>IF(K616&lt;='排名定義'!$B$5,"是","")</x:f>
        <x:v>是</x:v>
      </x:c>
      <x:c r="M616" s="216" t="n">
        <x:f>COUNTIF(H616:L616,"是")</x:f>
        <x:v>3</x:v>
      </x:c>
      <x:c r="N616" s="216" t="str">
        <x:v>僅大幅變動</x:v>
      </x:c>
      <x:c r="O616" s="221" t="n">
        <x:v>58</x:v>
      </x:c>
      <x:c r="P616" s="221" t="n">
        <x:v>49.733333333333334</x:v>
      </x:c>
      <x:c r="Q616" s="221" t="n">
        <x:v>8.266666666666667</x:v>
      </x:c>
      <x:c r="R616" s="221" t="n">
        <x:v>0.1425287356321839</x:v>
      </x:c>
      <x:c r="S616" s="221" t="n">
        <x:v>69.48387096774194</x:v>
      </x:c>
      <x:c r="T616" s="221" t="n">
        <x:v>61.45161290322581</x:v>
      </x:c>
      <x:c r="U616" s="221" t="n">
        <x:v>8.03225806451613</x:v>
      </x:c>
      <x:c r="V616" s="219" t="n">
        <x:v>0.20046082949308755</x:v>
      </x:c>
      <x:c r="W616" s="216" t="n">
        <x:v>55</x:v>
      </x:c>
      <x:c r="X616" s="223" t="n">
        <x:v>8430</x:v>
      </x:c>
      <x:c r="Y616" s="216" t="n">
        <x:v>45</x:v>
      </x:c>
    </x:row>
    <x:row r="617">
      <x:c r="A617" s="217" t="n">
        <x:v>1400</x:v>
      </x:c>
      <x:c r="B617" s="217" t="str">
        <x:v>華江一華江五路口(雙江翠社區)</x:v>
      </x:c>
      <x:c r="C617" s="217" t="str">
        <x:v>板橋區</x:v>
      </x:c>
      <x:c r="D617" s="217" t="n">
        <x:v>46</x:v>
      </x:c>
      <x:c r="E617" s="217" t="n">
        <x:v>120</x:v>
      </x:c>
      <x:c r="F617" s="218" t="n">
        <x:v>0.9994791666666667</x:v>
      </x:c>
      <x:c r="G617" s="217" t="n">
        <x:v>613</x:v>
      </x:c>
      <x:c r="H617" s="217" t="str">
        <x:f>IF(G617&lt;='排名定義'!$B$5,"是","")</x:f>
        <x:v>是</x:v>
      </x:c>
      <x:c r="I617" s="217" t="n">
        <x:v>612</x:v>
      </x:c>
      <x:c r="J617" s="217" t="str">
        <x:f>IF(I617&lt;='排名定義'!$B$5,"是","")</x:f>
        <x:v>是</x:v>
      </x:c>
      <x:c r="K617" s="217" t="n">
        <x:v>508</x:v>
      </x:c>
      <x:c r="L617" s="217" t="str">
        <x:f>IF(K617&lt;='排名定義'!$B$5,"是","")</x:f>
        <x:v>是</x:v>
      </x:c>
      <x:c r="M617" s="217" t="n">
        <x:f>COUNTIF(H617:L617,"是")</x:f>
        <x:v>3</x:v>
      </x:c>
      <x:c r="N617" s="217" t="str">
        <x:v>三份皆未入選</x:v>
      </x:c>
      <x:c r="O617" s="220" t="n">
        <x:v>57.975</x:v>
      </x:c>
      <x:c r="P617" s="220" t="n">
        <x:v>52.858333333333334</x:v>
      </x:c>
      <x:c r="Q617" s="220" t="n">
        <x:v>5.116666666666666</x:v>
      </x:c>
      <x:c r="R617" s="220" t="n">
        <x:v>0.08825643237027454</x:v>
      </x:c>
      <x:c r="S617" s="220" t="n">
        <x:v>73.6774193548387</x:v>
      </x:c>
      <x:c r="T617" s="220" t="n">
        <x:v>68.80645161290323</x:v>
      </x:c>
      <x:c r="U617" s="220" t="n">
        <x:v>4.870967741935484</x:v>
      </x:c>
      <x:c r="V617" s="218" t="n">
        <x:v>0.027649769585253458</x:v>
      </x:c>
      <x:c r="W617" s="217" t="n">
        <x:v>10</x:v>
      </x:c>
      <x:c r="X617" s="222" t="n">
        <x:v>1260</x:v>
      </x:c>
      <x:c r="Y617" s="217" t="n">
        <x:v>46</x:v>
      </x:c>
    </x:row>
    <x:row r="618">
      <x:c r="A618" s="216" t="n">
        <x:v>1293</x:v>
      </x:c>
      <x:c r="B618" s="216" t="str">
        <x:v>光華東帝士</x:v>
      </x:c>
      <x:c r="C618" s="216" t="str">
        <x:v>新莊區</x:v>
      </x:c>
      <x:c r="D618" s="216" t="n">
        <x:v>40</x:v>
      </x:c>
      <x:c r="E618" s="216" t="n">
        <x:v>120</x:v>
      </x:c>
      <x:c r="F618" s="219" t="n">
        <x:v>0.9994791666666667</x:v>
      </x:c>
      <x:c r="G618" s="216" t="n">
        <x:v>614</x:v>
      </x:c>
      <x:c r="H618" s="216" t="str">
        <x:f>IF(G618&lt;='排名定義'!$B$5,"是","")</x:f>
        <x:v>是</x:v>
      </x:c>
      <x:c r="I618" s="216" t="n">
        <x:v>615</x:v>
      </x:c>
      <x:c r="J618" s="216" t="str">
        <x:f>IF(I618&lt;='排名定義'!$B$5,"是","")</x:f>
        <x:v>是</x:v>
      </x:c>
      <x:c r="K618" s="216" t="n">
        <x:v>499</x:v>
      </x:c>
      <x:c r="L618" s="216" t="str">
        <x:f>IF(K618&lt;='排名定義'!$B$5,"是","")</x:f>
        <x:v>是</x:v>
      </x:c>
      <x:c r="M618" s="216" t="n">
        <x:f>COUNTIF(H618:L618,"是")</x:f>
        <x:v>3</x:v>
      </x:c>
      <x:c r="N618" s="216" t="str">
        <x:v>三份皆未入選</x:v>
      </x:c>
      <x:c r="O618" s="221" t="n">
        <x:v>57.93333333333333</x:v>
      </x:c>
      <x:c r="P618" s="221" t="n">
        <x:v>52.791666666666664</x:v>
      </x:c>
      <x:c r="Q618" s="221" t="n">
        <x:v>5.141666666666667</x:v>
      </x:c>
      <x:c r="R618" s="221" t="n">
        <x:v>0.08875143843498273</x:v>
      </x:c>
      <x:c r="S618" s="221" t="n">
        <x:v>83.61290322580645</x:v>
      </x:c>
      <x:c r="T618" s="221" t="n">
        <x:v>80.19354838709677</x:v>
      </x:c>
      <x:c r="U618" s="221" t="n">
        <x:v>3.4193548387096775</x:v>
      </x:c>
      <x:c r="V618" s="219" t="n">
        <x:v>0.004608294930875576</x:v>
      </x:c>
      <x:c r="W618" s="216" t="n">
        <x:v>0</x:v>
      </x:c>
      <x:c r="X618" s="223" t="n">
        <x:v>60</x:v>
      </x:c>
      <x:c r="Y618" s="216" t="n">
        <x:v>40</x:v>
      </x:c>
    </x:row>
    <x:row r="619">
      <x:c r="A619" s="217" t="n">
        <x:v>247</x:v>
      </x:c>
      <x:c r="B619" s="217" t="str">
        <x:v>重慶路89巷</x:v>
      </x:c>
      <x:c r="C619" s="217" t="str">
        <x:v>板橋區</x:v>
      </x:c>
      <x:c r="D619" s="217" t="n">
        <x:v>13</x:v>
      </x:c>
      <x:c r="E619" s="217" t="n">
        <x:v>120</x:v>
      </x:c>
      <x:c r="F619" s="218" t="n">
        <x:v>0.9994791666666667</x:v>
      </x:c>
      <x:c r="G619" s="217" t="n">
        <x:v>615</x:v>
      </x:c>
      <x:c r="H619" s="217" t="str">
        <x:f>IF(G619&lt;='排名定義'!$B$5,"是","")</x:f>
        <x:v>是</x:v>
      </x:c>
      <x:c r="I619" s="217" t="n">
        <x:v>600</x:v>
      </x:c>
      <x:c r="J619" s="217" t="str">
        <x:f>IF(I619&lt;='排名定義'!$B$5,"是","")</x:f>
        <x:v>是</x:v>
      </x:c>
      <x:c r="K619" s="217" t="n">
        <x:v>880</x:v>
      </x:c>
      <x:c r="L619" s="217" t="str">
        <x:f>IF(K619&lt;='排名定義'!$B$5,"是","")</x:f>
        <x:v>是</x:v>
      </x:c>
      <x:c r="M619" s="217" t="n">
        <x:f>COUNTIF(H619:L619,"是")</x:f>
        <x:v>3</x:v>
      </x:c>
      <x:c r="N619" s="217" t="str">
        <x:v>三份皆未入選</x:v>
      </x:c>
      <x:c r="O619" s="220" t="n">
        <x:v>57.75833333333333</x:v>
      </x:c>
      <x:c r="P619" s="220" t="n">
        <x:v>53.975</x:v>
      </x:c>
      <x:c r="Q619" s="220" t="n">
        <x:v>3.783333333333333</x:v>
      </x:c>
      <x:c r="R619" s="220" t="n">
        <x:v>0.06550281344683306</x:v>
      </x:c>
      <x:c r="S619" s="220" t="n">
        <x:v>77.80645161290323</x:v>
      </x:c>
      <x:c r="T619" s="220" t="n">
        <x:v>74.25806451612904</x:v>
      </x:c>
      <x:c r="U619" s="220" t="n">
        <x:v>3.5483870967741935</x:v>
      </x:c>
      <x:c r="V619" s="218" t="n">
        <x:v>0.1382488479262673</x:v>
      </x:c>
      <x:c r="W619" s="217" t="n">
        <x:v>51</x:v>
      </x:c>
      <x:c r="X619" s="222" t="n">
        <x:v>7050</x:v>
      </x:c>
      <x:c r="Y619" s="217" t="n">
        <x:v>13</x:v>
      </x:c>
    </x:row>
    <x:row r="620">
      <x:c r="A620" s="216" t="n">
        <x:v>667</x:v>
      </x:c>
      <x:c r="B620" s="216" t="str">
        <x:v>松柏街15巷口</x:v>
      </x:c>
      <x:c r="C620" s="216" t="str">
        <x:v>板橋區</x:v>
      </x:c>
      <x:c r="D620" s="216" t="n">
        <x:v>20</x:v>
      </x:c>
      <x:c r="E620" s="216" t="n">
        <x:v>120</x:v>
      </x:c>
      <x:c r="F620" s="219" t="n">
        <x:v>0.9994791666666667</x:v>
      </x:c>
      <x:c r="G620" s="216" t="n">
        <x:v>616</x:v>
      </x:c>
      <x:c r="H620" s="216" t="str">
        <x:f>IF(G620&lt;='排名定義'!$B$5,"是","")</x:f>
        <x:v>是</x:v>
      </x:c>
      <x:c r="I620" s="216" t="n">
        <x:v>607</x:v>
      </x:c>
      <x:c r="J620" s="216" t="str">
        <x:f>IF(I620&lt;='排名定義'!$B$5,"是","")</x:f>
        <x:v>是</x:v>
      </x:c>
      <x:c r="K620" s="216" t="n">
        <x:v>674</x:v>
      </x:c>
      <x:c r="L620" s="216" t="str">
        <x:f>IF(K620&lt;='排名定義'!$B$5,"是","")</x:f>
        <x:v>是</x:v>
      </x:c>
      <x:c r="M620" s="216" t="n">
        <x:f>COUNTIF(H620:L620,"是")</x:f>
        <x:v>3</x:v>
      </x:c>
      <x:c r="N620" s="216" t="str">
        <x:v>三份皆未入選</x:v>
      </x:c>
      <x:c r="O620" s="221" t="n">
        <x:v>57.74166666666667</x:v>
      </x:c>
      <x:c r="P620" s="221" t="n">
        <x:v>53.358333333333334</x:v>
      </x:c>
      <x:c r="Q620" s="221" t="n">
        <x:v>4.383333333333334</x:v>
      </x:c>
      <x:c r="R620" s="221" t="n">
        <x:v>0.0759128301342185</x:v>
      </x:c>
      <x:c r="S620" s="221" t="n">
        <x:v>81.64516129032258</x:v>
      </x:c>
      <x:c r="T620" s="221" t="n">
        <x:v>77.19354838709677</x:v>
      </x:c>
      <x:c r="U620" s="221" t="n">
        <x:v>4.451612903225806</x:v>
      </x:c>
      <x:c r="V620" s="219" t="n">
        <x:v>0.10599078341013825</x:v>
      </x:c>
      <x:c r="W620" s="216" t="n">
        <x:v>53</x:v>
      </x:c>
      <x:c r="X620" s="223" t="n">
        <x:v>6240</x:v>
      </x:c>
      <x:c r="Y620" s="216" t="n">
        <x:v>20</x:v>
      </x:c>
    </x:row>
    <x:row r="621">
      <x:c r="A621" s="217" t="n">
        <x:v>486</x:v>
      </x:c>
      <x:c r="B621" s="217" t="str">
        <x:v>民治街81巷</x:v>
      </x:c>
      <x:c r="C621" s="217" t="str">
        <x:v>板橋區</x:v>
      </x:c>
      <x:c r="D621" s="217" t="n">
        <x:v>16</x:v>
      </x:c>
      <x:c r="E621" s="217" t="n">
        <x:v>120</x:v>
      </x:c>
      <x:c r="F621" s="218" t="n">
        <x:v>0.9994791666666667</x:v>
      </x:c>
      <x:c r="G621" s="217" t="n">
        <x:v>617</x:v>
      </x:c>
      <x:c r="H621" s="217" t="str">
        <x:f>IF(G621&lt;='排名定義'!$B$5,"是","")</x:f>
        <x:v>是</x:v>
      </x:c>
      <x:c r="I621" s="217" t="n">
        <x:v>602</x:v>
      </x:c>
      <x:c r="J621" s="217" t="str">
        <x:f>IF(I621&lt;='排名定義'!$B$5,"是","")</x:f>
        <x:v>是</x:v>
      </x:c>
      <x:c r="K621" s="217" t="n">
        <x:v>921</x:v>
      </x:c>
      <x:c r="L621" s="217" t="str">
        <x:f>IF(K621&lt;='排名定義'!$B$5,"是","")</x:f>
        <x:v>是</x:v>
      </x:c>
      <x:c r="M621" s="217" t="n">
        <x:f>COUNTIF(H621:L621,"是")</x:f>
        <x:v>3</x:v>
      </x:c>
      <x:c r="N621" s="217" t="str">
        <x:v>三份皆未入選</x:v>
      </x:c>
      <x:c r="O621" s="220" t="n">
        <x:v>57.55833333333333</x:v>
      </x:c>
      <x:c r="P621" s="220" t="n">
        <x:v>53.9</x:v>
      </x:c>
      <x:c r="Q621" s="220" t="n">
        <x:v>3.658333333333333</x:v>
      </x:c>
      <x:c r="R621" s="220" t="n">
        <x:v>0.06355870855653685</x:v>
      </x:c>
      <x:c r="S621" s="220" t="n">
        <x:v>79.29032258064517</x:v>
      </x:c>
      <x:c r="T621" s="220" t="n">
        <x:v>75.7741935483871</x:v>
      </x:c>
      <x:c r="U621" s="220" t="n">
        <x:v>3.5161290322580645</x:v>
      </x:c>
      <x:c r="V621" s="218" t="n">
        <x:v>0.2073732718894009</x:v>
      </x:c>
      <x:c r="W621" s="217" t="n">
        <x:v>33</x:v>
      </x:c>
      <x:c r="X621" s="222" t="n">
        <x:v>5100</x:v>
      </x:c>
      <x:c r="Y621" s="217" t="n">
        <x:v>16</x:v>
      </x:c>
    </x:row>
    <x:row r="622">
      <x:c r="A622" s="216" t="n">
        <x:v>169</x:v>
      </x:c>
      <x:c r="B622" s="216" t="str">
        <x:v>中山橋安街口</x:v>
      </x:c>
      <x:c r="C622" s="216" t="str">
        <x:v>中和區</x:v>
      </x:c>
      <x:c r="D622" s="216" t="n">
        <x:v>12</x:v>
      </x:c>
      <x:c r="E622" s="216" t="n">
        <x:v>120</x:v>
      </x:c>
      <x:c r="F622" s="219" t="n">
        <x:v>0.9994791666666667</x:v>
      </x:c>
      <x:c r="G622" s="216" t="n">
        <x:v>618</x:v>
      </x:c>
      <x:c r="H622" s="216" t="str">
        <x:f>IF(G622&lt;='排名定義'!$B$5,"是","")</x:f>
        <x:v>是</x:v>
      </x:c>
      <x:c r="I622" s="216" t="n">
        <x:v>606</x:v>
      </x:c>
      <x:c r="J622" s="216" t="str">
        <x:f>IF(I622&lt;='排名定義'!$B$5,"是","")</x:f>
        <x:v>是</x:v>
      </x:c>
      <x:c r="K622" s="216" t="n">
        <x:v>884</x:v>
      </x:c>
      <x:c r="L622" s="216" t="str">
        <x:f>IF(K622&lt;='排名定義'!$B$5,"是","")</x:f>
        <x:v>是</x:v>
      </x:c>
      <x:c r="M622" s="216" t="n">
        <x:f>COUNTIF(H622:L622,"是")</x:f>
        <x:v>3</x:v>
      </x:c>
      <x:c r="N622" s="216" t="str">
        <x:v>三份皆未入選</x:v>
      </x:c>
      <x:c r="O622" s="221" t="n">
        <x:v>57.43333333333333</x:v>
      </x:c>
      <x:c r="P622" s="221" t="n">
        <x:v>53.65833333333333</x:v>
      </x:c>
      <x:c r="Q622" s="221" t="n">
        <x:v>3.775</x:v>
      </x:c>
      <x:c r="R622" s="221" t="n">
        <x:v>0.06572838073128265</x:v>
      </x:c>
      <x:c r="S622" s="221" t="n">
        <x:v>75</x:v>
      </x:c>
      <x:c r="T622" s="221" t="n">
        <x:v>71.38709677419355</x:v>
      </x:c>
      <x:c r="U622" s="221" t="n">
        <x:v>3.6129032258064515</x:v>
      </x:c>
      <x:c r="V622" s="219" t="n">
        <x:v>0.12442396313364056</x:v>
      </x:c>
      <x:c r="W622" s="216" t="n">
        <x:v>26</x:v>
      </x:c>
      <x:c r="X622" s="223" t="n">
        <x:v>4170</x:v>
      </x:c>
      <x:c r="Y622" s="216" t="n">
        <x:v>12</x:v>
      </x:c>
    </x:row>
    <x:row r="623">
      <x:c r="A623" s="217" t="n">
        <x:v>1001</x:v>
      </x:c>
      <x:c r="B623" s="217" t="str">
        <x:v>文化三四維路口</x:v>
      </x:c>
      <x:c r="C623" s="217" t="str">
        <x:v>林口區</x:v>
      </x:c>
      <x:c r="D623" s="217" t="n">
        <x:v>29</x:v>
      </x:c>
      <x:c r="E623" s="217" t="n">
        <x:v>120</x:v>
      </x:c>
      <x:c r="F623" s="218" t="n">
        <x:v>0.9994791666666667</x:v>
      </x:c>
      <x:c r="G623" s="217" t="n">
        <x:v>619</x:v>
      </x:c>
      <x:c r="H623" s="217" t="str">
        <x:f>IF(G623&lt;='排名定義'!$B$5,"是","")</x:f>
        <x:v>是</x:v>
      </x:c>
      <x:c r="I623" s="217" t="n">
        <x:v>621</x:v>
      </x:c>
      <x:c r="J623" s="217" t="str">
        <x:f>IF(I623&lt;='排名定義'!$B$5,"是","")</x:f>
        <x:v>是</x:v>
      </x:c>
      <x:c r="K623" s="217" t="n">
        <x:v>591</x:v>
      </x:c>
      <x:c r="L623" s="217" t="str">
        <x:f>IF(K623&lt;='排名定義'!$B$5,"是","")</x:f>
        <x:v>是</x:v>
      </x:c>
      <x:c r="M623" s="217" t="n">
        <x:f>COUNTIF(H623:L623,"是")</x:f>
        <x:v>3</x:v>
      </x:c>
      <x:c r="N623" s="217" t="str">
        <x:v>三份皆未入選</x:v>
      </x:c>
      <x:c r="O623" s="220" t="n">
        <x:v>57.15833333333333</x:v>
      </x:c>
      <x:c r="P623" s="220" t="n">
        <x:v>52.416666666666664</x:v>
      </x:c>
      <x:c r="Q623" s="220" t="n">
        <x:v>4.741666666666666</x:v>
      </x:c>
      <x:c r="R623" s="220" t="n">
        <x:v>0.08295669922729261</x:v>
      </x:c>
      <x:c r="S623" s="220" t="n">
        <x:v>92.12903225806451</x:v>
      </x:c>
      <x:c r="T623" s="220" t="n">
        <x:v>87.29032258064517</x:v>
      </x:c>
      <x:c r="U623" s="220" t="n">
        <x:v>4.838709677419355</x:v>
      </x:c>
      <x:c r="V623" s="218" t="n">
        <x:v>0.029953917050691243</x:v>
      </x:c>
      <x:c r="W623" s="217" t="n">
        <x:v>5</x:v>
      </x:c>
      <x:c r="X623" s="222" t="n">
        <x:v>750</x:v>
      </x:c>
      <x:c r="Y623" s="217" t="n">
        <x:v>29</x:v>
      </x:c>
    </x:row>
    <x:row r="624">
      <x:c r="A624" s="216" t="n">
        <x:v>849</x:v>
      </x:c>
      <x:c r="B624" s="216" t="str">
        <x:v>中興北街42巷17弄</x:v>
      </x:c>
      <x:c r="C624" s="216" t="str">
        <x:v>三重區</x:v>
      </x:c>
      <x:c r="D624" s="216" t="n">
        <x:v>28</x:v>
      </x:c>
      <x:c r="E624" s="216" t="n">
        <x:v>120</x:v>
      </x:c>
      <x:c r="F624" s="219" t="n">
        <x:v>0.9994791666666667</x:v>
      </x:c>
      <x:c r="G624" s="216" t="n">
        <x:v>620</x:v>
      </x:c>
      <x:c r="H624" s="216" t="str">
        <x:f>IF(G624&lt;='排名定義'!$B$5,"是","")</x:f>
        <x:v>是</x:v>
      </x:c>
      <x:c r="I624" s="216" t="n">
        <x:v>625</x:v>
      </x:c>
      <x:c r="J624" s="216" t="str">
        <x:f>IF(I624&lt;='排名定義'!$B$5,"是","")</x:f>
        <x:v>是</x:v>
      </x:c>
      <x:c r="K624" s="216" t="n">
        <x:v>510</x:v>
      </x:c>
      <x:c r="L624" s="216" t="str">
        <x:f>IF(K624&lt;='排名定義'!$B$5,"是","")</x:f>
        <x:v>是</x:v>
      </x:c>
      <x:c r="M624" s="216" t="n">
        <x:f>COUNTIF(H624:L624,"是")</x:f>
        <x:v>3</x:v>
      </x:c>
      <x:c r="N624" s="216" t="str">
        <x:v>三份皆未入選</x:v>
      </x:c>
      <x:c r="O624" s="221" t="n">
        <x:v>57.11666666666667</x:v>
      </x:c>
      <x:c r="P624" s="221" t="n">
        <x:v>52.00833333333333</x:v>
      </x:c>
      <x:c r="Q624" s="221" t="n">
        <x:v>5.108333333333333</x:v>
      </x:c>
      <x:c r="R624" s="221" t="n">
        <x:v>0.0894368252115553</x:v>
      </x:c>
      <x:c r="S624" s="221" t="n">
        <x:v>75.06451612903226</x:v>
      </x:c>
      <x:c r="T624" s="221" t="n">
        <x:v>70.3225806451613</x:v>
      </x:c>
      <x:c r="U624" s="221" t="n">
        <x:v>4.741935483870968</x:v>
      </x:c>
      <x:c r="V624" s="219" t="n">
        <x:v>0.03917050691244239</x:v>
      </x:c>
      <x:c r="W624" s="216" t="n">
        <x:v>7</x:v>
      </x:c>
      <x:c r="X624" s="223" t="n">
        <x:v>1230</x:v>
      </x:c>
      <x:c r="Y624" s="216" t="n">
        <x:v>28</x:v>
      </x:c>
    </x:row>
    <x:row r="625">
      <x:c r="A625" s="217" t="n">
        <x:v>278</x:v>
      </x:c>
      <x:c r="B625" s="217" t="str">
        <x:v>民權二十張路口</x:v>
      </x:c>
      <x:c r="C625" s="217" t="str">
        <x:v>新店區</x:v>
      </x:c>
      <x:c r="D625" s="217" t="n">
        <x:v>14</x:v>
      </x:c>
      <x:c r="E625" s="217" t="n">
        <x:v>120</x:v>
      </x:c>
      <x:c r="F625" s="218" t="n">
        <x:v>0.9994791666666667</x:v>
      </x:c>
      <x:c r="G625" s="217" t="n">
        <x:v>621</x:v>
      </x:c>
      <x:c r="H625" s="217" t="str">
        <x:f>IF(G625&lt;='排名定義'!$B$5,"是","")</x:f>
        <x:v>是</x:v>
      </x:c>
      <x:c r="I625" s="217" t="n">
        <x:v>617</x:v>
      </x:c>
      <x:c r="J625" s="217" t="str">
        <x:f>IF(I625&lt;='排名定義'!$B$5,"是","")</x:f>
        <x:v>是</x:v>
      </x:c>
      <x:c r="K625" s="217" t="n">
        <x:v>654</x:v>
      </x:c>
      <x:c r="L625" s="217" t="str">
        <x:f>IF(K625&lt;='排名定義'!$B$5,"是","")</x:f>
        <x:v>是</x:v>
      </x:c>
      <x:c r="M625" s="217" t="n">
        <x:f>COUNTIF(H625:L625,"是")</x:f>
        <x:v>3</x:v>
      </x:c>
      <x:c r="N625" s="217" t="str">
        <x:v>三份皆未入選</x:v>
      </x:c>
      <x:c r="O625" s="220" t="n">
        <x:v>57.075</x:v>
      </x:c>
      <x:c r="P625" s="220" t="n">
        <x:v>52.61666666666667</x:v>
      </x:c>
      <x:c r="Q625" s="220" t="n">
        <x:v>4.458333333333333</x:v>
      </x:c>
      <x:c r="R625" s="220" t="n">
        <x:v>0.07811359322528837</x:v>
      </x:c>
      <x:c r="S625" s="220" t="n">
        <x:v>65.16129032258064</x:v>
      </x:c>
      <x:c r="T625" s="220" t="n">
        <x:v>61.064516129032256</x:v>
      </x:c>
      <x:c r="U625" s="220" t="n">
        <x:v>4.096774193548387</x:v>
      </x:c>
      <x:c r="V625" s="218" t="n">
        <x:v>0.10368663594470046</x:v>
      </x:c>
      <x:c r="W625" s="217" t="n">
        <x:v>65</x:v>
      </x:c>
      <x:c r="X625" s="222" t="n">
        <x:v>8850</x:v>
      </x:c>
      <x:c r="Y625" s="217" t="n">
        <x:v>14</x:v>
      </x:c>
    </x:row>
    <x:row r="626">
      <x:c r="A626" s="216" t="n">
        <x:v>763</x:v>
      </x:c>
      <x:c r="B626" s="216" t="str">
        <x:v>俊興三龍街口</x:v>
      </x:c>
      <x:c r="C626" s="216" t="str">
        <x:v>樹林區</x:v>
      </x:c>
      <x:c r="D626" s="216" t="n">
        <x:v>21</x:v>
      </x:c>
      <x:c r="E626" s="216" t="n">
        <x:v>120</x:v>
      </x:c>
      <x:c r="F626" s="219" t="n">
        <x:v>0.9994791666666667</x:v>
      </x:c>
      <x:c r="G626" s="216" t="n">
        <x:v>622</x:v>
      </x:c>
      <x:c r="H626" s="216" t="str">
        <x:f>IF(G626&lt;='排名定義'!$B$5,"是","")</x:f>
        <x:v>是</x:v>
      </x:c>
      <x:c r="I626" s="216" t="n">
        <x:v>608</x:v>
      </x:c>
      <x:c r="J626" s="216" t="str">
        <x:f>IF(I626&lt;='排名定義'!$B$5,"是","")</x:f>
        <x:v>是</x:v>
      </x:c>
      <x:c r="K626" s="216" t="n">
        <x:v>869</x:v>
      </x:c>
      <x:c r="L626" s="216" t="str">
        <x:f>IF(K626&lt;='排名定義'!$B$5,"是","")</x:f>
        <x:v>是</x:v>
      </x:c>
      <x:c r="M626" s="216" t="n">
        <x:f>COUNTIF(H626:L626,"是")</x:f>
        <x:v>3</x:v>
      </x:c>
      <x:c r="N626" s="216" t="str">
        <x:v>三份皆未入選</x:v>
      </x:c>
      <x:c r="O626" s="221" t="n">
        <x:v>57.03333333333333</x:v>
      </x:c>
      <x:c r="P626" s="221" t="n">
        <x:v>53.21666666666667</x:v>
      </x:c>
      <x:c r="Q626" s="221" t="n">
        <x:v>3.816666666666667</x:v>
      </x:c>
      <x:c r="R626" s="221" t="n">
        <x:v>0.06691992986557568</x:v>
      </x:c>
      <x:c r="S626" s="221" t="n">
        <x:v>73.06451612903226</x:v>
      </x:c>
      <x:c r="T626" s="221" t="n">
        <x:v>69.7741935483871</x:v>
      </x:c>
      <x:c r="U626" s="221" t="n">
        <x:v>3.2903225806451615</x:v>
      </x:c>
      <x:c r="V626" s="219" t="n">
        <x:v>0.10829493087557604</x:v>
      </x:c>
      <x:c r="W626" s="216" t="n">
        <x:v>17</x:v>
      </x:c>
      <x:c r="X626" s="223" t="n">
        <x:v>2070</x:v>
      </x:c>
      <x:c r="Y626" s="216" t="n">
        <x:v>21</x:v>
      </x:c>
    </x:row>
    <x:row r="627">
      <x:c r="A627" s="217" t="n">
        <x:v>438</x:v>
      </x:c>
      <x:c r="B627" s="217" t="str">
        <x:v>福德二街35號</x:v>
      </x:c>
      <x:c r="C627" s="217" t="str">
        <x:v>新莊區</x:v>
      </x:c>
      <x:c r="D627" s="217" t="n">
        <x:v>15</x:v>
      </x:c>
      <x:c r="E627" s="217" t="n">
        <x:v>120</x:v>
      </x:c>
      <x:c r="F627" s="218" t="n">
        <x:v>0.9994791666666667</x:v>
      </x:c>
      <x:c r="G627" s="217" t="n">
        <x:v>623</x:v>
      </x:c>
      <x:c r="H627" s="217" t="str">
        <x:f>IF(G627&lt;='排名定義'!$B$5,"是","")</x:f>
        <x:v>是</x:v>
      </x:c>
      <x:c r="I627" s="217" t="n">
        <x:v>616</x:v>
      </x:c>
      <x:c r="J627" s="217" t="str">
        <x:f>IF(I627&lt;='排名定義'!$B$5,"是","")</x:f>
        <x:v>是</x:v>
      </x:c>
      <x:c r="K627" s="217" t="n">
        <x:v>699</x:v>
      </x:c>
      <x:c r="L627" s="217" t="str">
        <x:f>IF(K627&lt;='排名定義'!$B$5,"是","")</x:f>
        <x:v>是</x:v>
      </x:c>
      <x:c r="M627" s="217" t="n">
        <x:f>COUNTIF(H627:L627,"是")</x:f>
        <x:v>3</x:v>
      </x:c>
      <x:c r="N627" s="217" t="str">
        <x:v>三份皆未入選</x:v>
      </x:c>
      <x:c r="O627" s="220" t="n">
        <x:v>56.96666666666667</x:v>
      </x:c>
      <x:c r="P627" s="220" t="n">
        <x:v>52.675</x:v>
      </x:c>
      <x:c r="Q627" s="220" t="n">
        <x:v>4.291666666666667</x:v>
      </x:c>
      <x:c r="R627" s="220" t="n">
        <x:v>0.07533645406670568</x:v>
      </x:c>
      <x:c r="S627" s="220" t="n">
        <x:v>80.2258064516129</x:v>
      </x:c>
      <x:c r="T627" s="220" t="n">
        <x:v>76.90322580645162</x:v>
      </x:c>
      <x:c r="U627" s="220" t="n">
        <x:v>3.3225806451612905</x:v>
      </x:c>
      <x:c r="V627" s="218" t="n">
        <x:v>0.0944700460829493</x:v>
      </x:c>
      <x:c r="W627" s="217" t="n">
        <x:v>16</x:v>
      </x:c>
      <x:c r="X627" s="222" t="n">
        <x:v>2880</x:v>
      </x:c>
      <x:c r="Y627" s="217" t="n">
        <x:v>15</x:v>
      </x:c>
    </x:row>
    <x:row r="628">
      <x:c r="A628" s="216" t="n">
        <x:v>1470</x:v>
      </x:c>
      <x:c r="B628" s="216" t="str">
        <x:v>圓通錦和路口</x:v>
      </x:c>
      <x:c r="C628" s="216" t="str">
        <x:v>中和區</x:v>
      </x:c>
      <x:c r="D628" s="216" t="n">
        <x:v>54</x:v>
      </x:c>
      <x:c r="E628" s="216" t="n">
        <x:v>120</x:v>
      </x:c>
      <x:c r="F628" s="219" t="n">
        <x:v>0.9994791666666667</x:v>
      </x:c>
      <x:c r="G628" s="216" t="n">
        <x:v>624</x:v>
      </x:c>
      <x:c r="H628" s="216" t="str">
        <x:f>IF(G628&lt;='排名定義'!$B$5,"是","")</x:f>
        <x:v>是</x:v>
      </x:c>
      <x:c r="I628" s="216" t="n">
        <x:v>633</x:v>
      </x:c>
      <x:c r="J628" s="216" t="str">
        <x:f>IF(I628&lt;='排名定義'!$B$5,"是","")</x:f>
        <x:v>是</x:v>
      </x:c>
      <x:c r="K628" s="216" t="n">
        <x:v>509</x:v>
      </x:c>
      <x:c r="L628" s="216" t="str">
        <x:f>IF(K628&lt;='排名定義'!$B$5,"是","")</x:f>
        <x:v>是</x:v>
      </x:c>
      <x:c r="M628" s="216" t="n">
        <x:f>COUNTIF(H628:L628,"是")</x:f>
        <x:v>3</x:v>
      </x:c>
      <x:c r="N628" s="216" t="str">
        <x:v>三份皆未入選</x:v>
      </x:c>
      <x:c r="O628" s="221" t="n">
        <x:v>56.875</x:v>
      </x:c>
      <x:c r="P628" s="221" t="n">
        <x:v>51.75833333333333</x:v>
      </x:c>
      <x:c r="Q628" s="221" t="n">
        <x:v>5.116666666666666</x:v>
      </x:c>
      <x:c r="R628" s="221" t="n">
        <x:v>0.08996336996336997</x:v>
      </x:c>
      <x:c r="S628" s="221" t="n">
        <x:v>68.19354838709677</x:v>
      </x:c>
      <x:c r="T628" s="221" t="n">
        <x:v>64</x:v>
      </x:c>
      <x:c r="U628" s="221" t="n">
        <x:v>4.193548387096774</x:v>
      </x:c>
      <x:c r="V628" s="219" t="n">
        <x:v>0.055299539170506916</x:v>
      </x:c>
      <x:c r="W628" s="216" t="n">
        <x:v>9</x:v>
      </x:c>
      <x:c r="X628" s="223" t="n">
        <x:v>1260</x:v>
      </x:c>
      <x:c r="Y628" s="216" t="n">
        <x:v>54</x:v>
      </x:c>
    </x:row>
    <x:row r="629">
      <x:c r="A629" s="217" t="n">
        <x:v>1118</x:v>
      </x:c>
      <x:c r="B629" s="217" t="str">
        <x:v>三峽區公所(三峽老街)</x:v>
      </x:c>
      <x:c r="C629" s="217" t="str">
        <x:v>三峽區</x:v>
      </x:c>
      <x:c r="D629" s="217" t="n">
        <x:v>33</x:v>
      </x:c>
      <x:c r="E629" s="217" t="n">
        <x:v>120</x:v>
      </x:c>
      <x:c r="F629" s="218" t="n">
        <x:v>0.9994791666666667</x:v>
      </x:c>
      <x:c r="G629" s="217" t="n">
        <x:v>625</x:v>
      </x:c>
      <x:c r="H629" s="217" t="str">
        <x:f>IF(G629&lt;='排名定義'!$B$5,"是","")</x:f>
        <x:v>是</x:v>
      </x:c>
      <x:c r="I629" s="217" t="n">
        <x:v>636</x:v>
      </x:c>
      <x:c r="J629" s="217" t="str">
        <x:f>IF(I629&lt;='排名定義'!$B$5,"是","")</x:f>
        <x:v>是</x:v>
      </x:c>
      <x:c r="K629" s="217" t="n">
        <x:v>490</x:v>
      </x:c>
      <x:c r="L629" s="217" t="str">
        <x:f>IF(K629&lt;='排名定義'!$B$5,"是","")</x:f>
        <x:v>是</x:v>
      </x:c>
      <x:c r="M629" s="217" t="n">
        <x:f>COUNTIF(H629:L629,"是")</x:f>
        <x:v>3</x:v>
      </x:c>
      <x:c r="N629" s="217" t="str">
        <x:v>三份皆未入選</x:v>
      </x:c>
      <x:c r="O629" s="220" t="n">
        <x:v>56.8</x:v>
      </x:c>
      <x:c r="P629" s="220" t="n">
        <x:v>51.6</x:v>
      </x:c>
      <x:c r="Q629" s="220" t="n">
        <x:v>5.2</x:v>
      </x:c>
      <x:c r="R629" s="220" t="n">
        <x:v>0.09154929577464789</x:v>
      </x:c>
      <x:c r="S629" s="220" t="n">
        <x:v>88.96774193548387</x:v>
      </x:c>
      <x:c r="T629" s="220" t="n">
        <x:v>83.80645161290323</x:v>
      </x:c>
      <x:c r="U629" s="220" t="n">
        <x:v>5.161290322580645</x:v>
      </x:c>
      <x:c r="V629" s="218" t="n">
        <x:v>0.009216589861751152</x:v>
      </x:c>
      <x:c r="W629" s="217" t="n">
        <x:v>4</x:v>
      </x:c>
      <x:c r="X629" s="222" t="n">
        <x:v>510</x:v>
      </x:c>
      <x:c r="Y629" s="217" t="n">
        <x:v>33</x:v>
      </x:c>
    </x:row>
    <x:row r="630">
      <x:c r="A630" s="216" t="n">
        <x:v>1170</x:v>
      </x:c>
      <x:c r="B630" s="216" t="str">
        <x:v>大庄一號公園</x:v>
      </x:c>
      <x:c r="C630" s="216" t="str">
        <x:v>淡水區</x:v>
      </x:c>
      <x:c r="D630" s="216" t="n">
        <x:v>35</x:v>
      </x:c>
      <x:c r="E630" s="216" t="n">
        <x:v>120</x:v>
      </x:c>
      <x:c r="F630" s="219" t="n">
        <x:v>0.9994791666666667</x:v>
      </x:c>
      <x:c r="G630" s="216" t="n">
        <x:v>626</x:v>
      </x:c>
      <x:c r="H630" s="216" t="str">
        <x:f>IF(G630&lt;='排名定義'!$B$5,"是","")</x:f>
        <x:v>是</x:v>
      </x:c>
      <x:c r="I630" s="216" t="n">
        <x:v>638</x:v>
      </x:c>
      <x:c r="J630" s="216" t="str">
        <x:f>IF(I630&lt;='排名定義'!$B$5,"是","")</x:f>
        <x:v>是</x:v>
      </x:c>
      <x:c r="K630" s="216" t="n">
        <x:v>457</x:v>
      </x:c>
      <x:c r="L630" s="216" t="str">
        <x:f>IF(K630&lt;='排名定義'!$B$5,"是","")</x:f>
        <x:v>是</x:v>
      </x:c>
      <x:c r="M630" s="216" t="n">
        <x:f>COUNTIF(H630:L630,"是")</x:f>
        <x:v>3</x:v>
      </x:c>
      <x:c r="N630" s="216" t="str">
        <x:v>三份皆未入選</x:v>
      </x:c>
      <x:c r="O630" s="221" t="n">
        <x:v>56.75833333333333</x:v>
      </x:c>
      <x:c r="P630" s="221" t="n">
        <x:v>51.416666666666664</x:v>
      </x:c>
      <x:c r="Q630" s="221" t="n">
        <x:v>5.341666666666667</x:v>
      </x:c>
      <x:c r="R630" s="221" t="n">
        <x:v>0.09411246512993687</x:v>
      </x:c>
      <x:c r="S630" s="221" t="n">
        <x:v>134.09677419354838</x:v>
      </x:c>
      <x:c r="T630" s="221" t="n">
        <x:v>127.12903225806451</x:v>
      </x:c>
      <x:c r="U630" s="221" t="n">
        <x:v>6.967741935483871</x:v>
      </x:c>
      <x:c r="V630" s="219" t="n">
        <x:v>0.02304147465437788</x:v>
      </x:c>
      <x:c r="W630" s="216" t="n">
        <x:v>4</x:v>
      </x:c>
      <x:c r="X630" s="223" t="n">
        <x:v>900</x:v>
      </x:c>
      <x:c r="Y630" s="216" t="n">
        <x:v>35</x:v>
      </x:c>
    </x:row>
    <x:row r="631">
      <x:c r="A631" s="217" t="n">
        <x:v>802</x:v>
      </x:c>
      <x:c r="B631" s="217" t="str">
        <x:v>民生縣民大道口(東南側)</x:v>
      </x:c>
      <x:c r="C631" s="217" t="str">
        <x:v>板橋區</x:v>
      </x:c>
      <x:c r="D631" s="217" t="n">
        <x:v>22</x:v>
      </x:c>
      <x:c r="E631" s="217" t="n">
        <x:v>120</x:v>
      </x:c>
      <x:c r="F631" s="218" t="n">
        <x:v>0.9994791666666667</x:v>
      </x:c>
      <x:c r="G631" s="217" t="n">
        <x:v>627</x:v>
      </x:c>
      <x:c r="H631" s="217" t="str">
        <x:f>IF(G631&lt;='排名定義'!$B$5,"是","")</x:f>
        <x:v>是</x:v>
      </x:c>
      <x:c r="I631" s="217" t="n">
        <x:v>627</x:v>
      </x:c>
      <x:c r="J631" s="217" t="str">
        <x:f>IF(I631&lt;='排名定義'!$B$5,"是","")</x:f>
        <x:v>是</x:v>
      </x:c>
      <x:c r="K631" s="217" t="n">
        <x:v>571</x:v>
      </x:c>
      <x:c r="L631" s="217" t="str">
        <x:f>IF(K631&lt;='排名定義'!$B$5,"是","")</x:f>
        <x:v>是</x:v>
      </x:c>
      <x:c r="M631" s="217" t="n">
        <x:f>COUNTIF(H631:L631,"是")</x:f>
        <x:v>3</x:v>
      </x:c>
      <x:c r="N631" s="217" t="str">
        <x:v>三份皆未入選</x:v>
      </x:c>
      <x:c r="O631" s="220" t="n">
        <x:v>56.71666666666667</x:v>
      </x:c>
      <x:c r="P631" s="220" t="n">
        <x:v>51.891666666666666</x:v>
      </x:c>
      <x:c r="Q631" s="220" t="n">
        <x:v>4.825</x:v>
      </x:c>
      <x:c r="R631" s="220" t="n">
        <x:v>0.08507199529826624</x:v>
      </x:c>
      <x:c r="S631" s="220" t="n">
        <x:v>66.41935483870968</x:v>
      </x:c>
      <x:c r="T631" s="220" t="n">
        <x:v>62.96774193548387</x:v>
      </x:c>
      <x:c r="U631" s="220" t="n">
        <x:v>3.4516129032258065</x:v>
      </x:c>
      <x:c r="V631" s="218" t="n">
        <x:v>0.2557603686635945</x:v>
      </x:c>
      <x:c r="W631" s="217" t="n">
        <x:v>56</x:v>
      </x:c>
      <x:c r="X631" s="222" t="n">
        <x:v>7260</x:v>
      </x:c>
      <x:c r="Y631" s="217" t="n">
        <x:v>22</x:v>
      </x:c>
    </x:row>
    <x:row r="632">
      <x:c r="A632" s="216" t="n">
        <x:v>805</x:v>
      </x:c>
      <x:c r="B632" s="216" t="str">
        <x:v>福和國中(永利路)</x:v>
      </x:c>
      <x:c r="C632" s="216" t="str">
        <x:v>永和區</x:v>
      </x:c>
      <x:c r="D632" s="216" t="n">
        <x:v>22</x:v>
      </x:c>
      <x:c r="E632" s="216" t="n">
        <x:v>120</x:v>
      </x:c>
      <x:c r="F632" s="219" t="n">
        <x:v>0.9994791666666667</x:v>
      </x:c>
      <x:c r="G632" s="216" t="n">
        <x:v>628</x:v>
      </x:c>
      <x:c r="H632" s="216" t="str">
        <x:f>IF(G632&lt;='排名定義'!$B$5,"是","")</x:f>
        <x:v>是</x:v>
      </x:c>
      <x:c r="I632" s="216" t="n">
        <x:v>620</x:v>
      </x:c>
      <x:c r="J632" s="216" t="str">
        <x:f>IF(I632&lt;='排名定義'!$B$5,"是","")</x:f>
        <x:v>是</x:v>
      </x:c>
      <x:c r="K632" s="216" t="n">
        <x:v>726</x:v>
      </x:c>
      <x:c r="L632" s="216" t="str">
        <x:f>IF(K632&lt;='排名定義'!$B$5,"是","")</x:f>
        <x:v>是</x:v>
      </x:c>
      <x:c r="M632" s="216" t="n">
        <x:f>COUNTIF(H632:L632,"是")</x:f>
        <x:v>3</x:v>
      </x:c>
      <x:c r="N632" s="216" t="str">
        <x:v>三份皆未入選</x:v>
      </x:c>
      <x:c r="O632" s="221" t="n">
        <x:v>56.666666666666664</x:v>
      </x:c>
      <x:c r="P632" s="221" t="n">
        <x:v>52.44166666666667</x:v>
      </x:c>
      <x:c r="Q632" s="221" t="n">
        <x:v>4.225</x:v>
      </x:c>
      <x:c r="R632" s="221" t="n">
        <x:v>0.07455882352941176</x:v>
      </x:c>
      <x:c r="S632" s="221" t="n">
        <x:v>79.58064516129032</x:v>
      </x:c>
      <x:c r="T632" s="221" t="n">
        <x:v>76.2258064516129</x:v>
      </x:c>
      <x:c r="U632" s="221" t="n">
        <x:v>3.3548387096774195</x:v>
      </x:c>
      <x:c r="V632" s="219" t="n">
        <x:v>0.1313364055299539</x:v>
      </x:c>
      <x:c r="W632" s="216" t="n">
        <x:v>20</x:v>
      </x:c>
      <x:c r="X632" s="223" t="n">
        <x:v>2910</x:v>
      </x:c>
      <x:c r="Y632" s="216" t="n">
        <x:v>22</x:v>
      </x:c>
    </x:row>
    <x:row r="633">
      <x:c r="A633" s="217" t="n">
        <x:v>837</x:v>
      </x:c>
      <x:c r="B633" s="217" t="str">
        <x:v>莊敬路25巷口</x:v>
      </x:c>
      <x:c r="C633" s="217" t="str">
        <x:v>板橋區</x:v>
      </x:c>
      <x:c r="D633" s="217" t="n">
        <x:v>23</x:v>
      </x:c>
      <x:c r="E633" s="217" t="n">
        <x:v>120</x:v>
      </x:c>
      <x:c r="F633" s="218" t="n">
        <x:v>0.9994791666666667</x:v>
      </x:c>
      <x:c r="G633" s="217" t="n">
        <x:v>629</x:v>
      </x:c>
      <x:c r="H633" s="217" t="str">
        <x:f>IF(G633&lt;='排名定義'!$B$5,"是","")</x:f>
        <x:v>是</x:v>
      </x:c>
      <x:c r="I633" s="217" t="n">
        <x:v>624</x:v>
      </x:c>
      <x:c r="J633" s="217" t="str">
        <x:f>IF(I633&lt;='排名定義'!$B$5,"是","")</x:f>
        <x:v>是</x:v>
      </x:c>
      <x:c r="K633" s="217" t="n">
        <x:v>615</x:v>
      </x:c>
      <x:c r="L633" s="217" t="str">
        <x:f>IF(K633&lt;='排名定義'!$B$5,"是","")</x:f>
        <x:v>是</x:v>
      </x:c>
      <x:c r="M633" s="217" t="n">
        <x:f>COUNTIF(H633:L633,"是")</x:f>
        <x:v>3</x:v>
      </x:c>
      <x:c r="N633" s="217" t="str">
        <x:v>三份皆未入選</x:v>
      </x:c>
      <x:c r="O633" s="220" t="n">
        <x:v>56.625</x:v>
      </x:c>
      <x:c r="P633" s="220" t="n">
        <x:v>52.025</x:v>
      </x:c>
      <x:c r="Q633" s="220" t="n">
        <x:v>4.6</x:v>
      </x:c>
      <x:c r="R633" s="220" t="n">
        <x:v>0.08123620309050773</x:v>
      </x:c>
      <x:c r="S633" s="220" t="n">
        <x:v>84.12903225806451</x:v>
      </x:c>
      <x:c r="T633" s="220" t="n">
        <x:v>79.61290322580645</x:v>
      </x:c>
      <x:c r="U633" s="220" t="n">
        <x:v>4.516129032258065</x:v>
      </x:c>
      <x:c r="V633" s="218" t="n">
        <x:v>0.06451612903225806</x:v>
      </x:c>
      <x:c r="W633" s="217" t="n">
        <x:v>14</x:v>
      </x:c>
      <x:c r="X633" s="222" t="n">
        <x:v>1950</x:v>
      </x:c>
      <x:c r="Y633" s="217" t="n">
        <x:v>23</x:v>
      </x:c>
    </x:row>
    <x:row r="634">
      <x:c r="A634" s="216" t="n">
        <x:v>1368</x:v>
      </x:c>
      <x:c r="B634" s="216" t="str">
        <x:v>樹林大安活動中心</x:v>
      </x:c>
      <x:c r="C634" s="216" t="str">
        <x:v>樹林區</x:v>
      </x:c>
      <x:c r="D634" s="216" t="n">
        <x:v>44</x:v>
      </x:c>
      <x:c r="E634" s="216" t="n">
        <x:v>120</x:v>
      </x:c>
      <x:c r="F634" s="219" t="n">
        <x:v>0.9994791666666667</x:v>
      </x:c>
      <x:c r="G634" s="216" t="n">
        <x:v>630</x:v>
      </x:c>
      <x:c r="H634" s="216" t="str">
        <x:f>IF(G634&lt;='排名定義'!$B$5,"是","")</x:f>
        <x:v>是</x:v>
      </x:c>
      <x:c r="I634" s="216" t="n">
        <x:v>648</x:v>
      </x:c>
      <x:c r="J634" s="216" t="str">
        <x:f>IF(I634&lt;='排名定義'!$B$5,"是","")</x:f>
        <x:v>是</x:v>
      </x:c>
      <x:c r="K634" s="216" t="n">
        <x:v>363</x:v>
      </x:c>
      <x:c r="L634" s="216" t="str">
        <x:f>IF(K634&lt;='排名定義'!$B$5,"是","")</x:f>
        <x:v>是</x:v>
      </x:c>
      <x:c r="M634" s="216" t="n">
        <x:f>COUNTIF(H634:L634,"是")</x:f>
        <x:v>3</x:v>
      </x:c>
      <x:c r="N634" s="216" t="str">
        <x:v>僅大幅變動</x:v>
      </x:c>
      <x:c r="O634" s="221" t="n">
        <x:v>56.34166666666667</x:v>
      </x:c>
      <x:c r="P634" s="221" t="n">
        <x:v>50.391666666666666</x:v>
      </x:c>
      <x:c r="Q634" s="221" t="n">
        <x:v>5.95</x:v>
      </x:c>
      <x:c r="R634" s="221" t="n">
        <x:v>0.10560567963319036</x:v>
      </x:c>
      <x:c r="S634" s="221" t="n">
        <x:v>83.61290322580645</x:v>
      </x:c>
      <x:c r="T634" s="221" t="n">
        <x:v>79.16129032258064</x:v>
      </x:c>
      <x:c r="U634" s="221" t="n">
        <x:v>4.451612903225806</x:v>
      </x:c>
      <x:c r="V634" s="219" t="n">
        <x:v>0.059907834101382486</x:v>
      </x:c>
      <x:c r="W634" s="216" t="n">
        <x:v>8</x:v>
      </x:c>
      <x:c r="X634" s="223" t="n">
        <x:v>1080</x:v>
      </x:c>
      <x:c r="Y634" s="216" t="n">
        <x:v>44</x:v>
      </x:c>
    </x:row>
    <x:row r="635">
      <x:c r="A635" s="217" t="n">
        <x:v>507</x:v>
      </x:c>
      <x:c r="B635" s="217" t="str">
        <x:v>金城路三段52巷</x:v>
      </x:c>
      <x:c r="C635" s="217" t="str">
        <x:v>土城區</x:v>
      </x:c>
      <x:c r="D635" s="217" t="n">
        <x:v>16</x:v>
      </x:c>
      <x:c r="E635" s="217" t="n">
        <x:v>120</x:v>
      </x:c>
      <x:c r="F635" s="218" t="n">
        <x:v>0.9994791666666667</x:v>
      </x:c>
      <x:c r="G635" s="217" t="n">
        <x:v>631</x:v>
      </x:c>
      <x:c r="H635" s="217" t="str">
        <x:f>IF(G635&lt;='排名定義'!$B$5,"是","")</x:f>
        <x:v>是</x:v>
      </x:c>
      <x:c r="I635" s="217" t="n">
        <x:v>628</x:v>
      </x:c>
      <x:c r="J635" s="217" t="str">
        <x:f>IF(I635&lt;='排名定義'!$B$5,"是","")</x:f>
        <x:v>是</x:v>
      </x:c>
      <x:c r="K635" s="217" t="n">
        <x:v>670</x:v>
      </x:c>
      <x:c r="L635" s="217" t="str">
        <x:f>IF(K635&lt;='排名定義'!$B$5,"是","")</x:f>
        <x:v>是</x:v>
      </x:c>
      <x:c r="M635" s="217" t="n">
        <x:f>COUNTIF(H635:L635,"是")</x:f>
        <x:v>3</x:v>
      </x:c>
      <x:c r="N635" s="217" t="str">
        <x:v>三份皆未入選</x:v>
      </x:c>
      <x:c r="O635" s="220" t="n">
        <x:v>56.225</x:v>
      </x:c>
      <x:c r="P635" s="220" t="n">
        <x:v>51.825</x:v>
      </x:c>
      <x:c r="Q635" s="220" t="n">
        <x:v>4.4</x:v>
      </x:c>
      <x:c r="R635" s="220" t="n">
        <x:v>0.07825700311249444</x:v>
      </x:c>
      <x:c r="S635" s="220" t="n">
        <x:v>75.19354838709677</x:v>
      </x:c>
      <x:c r="T635" s="220" t="n">
        <x:v>71.3225806451613</x:v>
      </x:c>
      <x:c r="U635" s="220" t="n">
        <x:v>3.870967741935484</x:v>
      </x:c>
      <x:c r="V635" s="218" t="n">
        <x:v>0.0069124423963133645</x:v>
      </x:c>
      <x:c r="W635" s="217" t="n">
        <x:v>3</x:v>
      </x:c>
      <x:c r="X635" s="222" t="n">
        <x:v>420</x:v>
      </x:c>
      <x:c r="Y635" s="217" t="n">
        <x:v>16</x:v>
      </x:c>
    </x:row>
    <x:row r="636">
      <x:c r="A636" s="216" t="n">
        <x:v>284</x:v>
      </x:c>
      <x:c r="B636" s="216" t="str">
        <x:v>秀朗路二段24巷16弄24號</x:v>
      </x:c>
      <x:c r="C636" s="216" t="str">
        <x:v>永和區</x:v>
      </x:c>
      <x:c r="D636" s="216" t="n">
        <x:v>14</x:v>
      </x:c>
      <x:c r="E636" s="216" t="n">
        <x:v>120</x:v>
      </x:c>
      <x:c r="F636" s="219" t="n">
        <x:v>0.9994791666666667</x:v>
      </x:c>
      <x:c r="G636" s="216" t="n">
        <x:v>632</x:v>
      </x:c>
      <x:c r="H636" s="216" t="str">
        <x:f>IF(G636&lt;='排名定義'!$B$5,"是","")</x:f>
        <x:v>是</x:v>
      </x:c>
      <x:c r="I636" s="216" t="n">
        <x:v>613</x:v>
      </x:c>
      <x:c r="J636" s="216" t="str">
        <x:f>IF(I636&lt;='排名定義'!$B$5,"是","")</x:f>
        <x:v>是</x:v>
      </x:c>
      <x:c r="K636" s="216" t="n">
        <x:v>1053</x:v>
      </x:c>
      <x:c r="L636" s="216" t="str">
        <x:f>IF(K636&lt;='排名定義'!$B$5,"是","")</x:f>
        <x:v>是</x:v>
      </x:c>
      <x:c r="M636" s="216" t="n">
        <x:f>COUNTIF(H636:L636,"是")</x:f>
        <x:v>3</x:v>
      </x:c>
      <x:c r="N636" s="216" t="str">
        <x:v>三份皆未入選</x:v>
      </x:c>
      <x:c r="O636" s="221" t="n">
        <x:v>56.175</x:v>
      </x:c>
      <x:c r="P636" s="221" t="n">
        <x:v>52.84166666666667</x:v>
      </x:c>
      <x:c r="Q636" s="221" t="n">
        <x:v>3.3333333333333335</x:v>
      </x:c>
      <x:c r="R636" s="221" t="n">
        <x:v>0.05933837709538644</x:v>
      </x:c>
      <x:c r="S636" s="221" t="n">
        <x:v>78.58064516129032</x:v>
      </x:c>
      <x:c r="T636" s="221" t="n">
        <x:v>74.74193548387096</x:v>
      </x:c>
      <x:c r="U636" s="221" t="n">
        <x:v>3.838709677419355</x:v>
      </x:c>
      <x:c r="V636" s="219" t="n">
        <x:v>0.07834101382488479</x:v>
      </x:c>
      <x:c r="W636" s="216" t="n">
        <x:v>11</x:v>
      </x:c>
      <x:c r="X636" s="223" t="n">
        <x:v>2160</x:v>
      </x:c>
      <x:c r="Y636" s="216" t="n">
        <x:v>14</x:v>
      </x:c>
    </x:row>
    <x:row r="637">
      <x:c r="A637" s="217" t="n">
        <x:v>447</x:v>
      </x:c>
      <x:c r="B637" s="217" t="str">
        <x:v>鷺江國中(長興路298巷)</x:v>
      </x:c>
      <x:c r="C637" s="217" t="str">
        <x:v>蘆洲區</x:v>
      </x:c>
      <x:c r="D637" s="217" t="n">
        <x:v>15</x:v>
      </x:c>
      <x:c r="E637" s="217" t="n">
        <x:v>120</x:v>
      </x:c>
      <x:c r="F637" s="218" t="n">
        <x:v>0.9994791666666667</x:v>
      </x:c>
      <x:c r="G637" s="217" t="n">
        <x:v>633</x:v>
      </x:c>
      <x:c r="H637" s="217" t="str">
        <x:f>IF(G637&lt;='排名定義'!$B$5,"是","")</x:f>
        <x:v>是</x:v>
      </x:c>
      <x:c r="I637" s="217" t="n">
        <x:v>623</x:v>
      </x:c>
      <x:c r="J637" s="217" t="str">
        <x:f>IF(I637&lt;='排名定義'!$B$5,"是","")</x:f>
        <x:v>是</x:v>
      </x:c>
      <x:c r="K637" s="217" t="n">
        <x:v>767</x:v>
      </x:c>
      <x:c r="L637" s="217" t="str">
        <x:f>IF(K637&lt;='排名定義'!$B$5,"是","")</x:f>
        <x:v>是</x:v>
      </x:c>
      <x:c r="M637" s="217" t="n">
        <x:f>COUNTIF(H637:L637,"是")</x:f>
        <x:v>3</x:v>
      </x:c>
      <x:c r="N637" s="217" t="str">
        <x:v>三份皆未入選</x:v>
      </x:c>
      <x:c r="O637" s="220" t="n">
        <x:v>56.141666666666666</x:v>
      </x:c>
      <x:c r="P637" s="220" t="n">
        <x:v>52.05</x:v>
      </x:c>
      <x:c r="Q637" s="220" t="n">
        <x:v>4.091666666666667</x:v>
      </x:c>
      <x:c r="R637" s="220" t="n">
        <x:v>0.07288110434911682</x:v>
      </x:c>
      <x:c r="S637" s="220" t="n">
        <x:v>72.7741935483871</x:v>
      </x:c>
      <x:c r="T637" s="220" t="n">
        <x:v>69.41935483870968</x:v>
      </x:c>
      <x:c r="U637" s="220" t="n">
        <x:v>3.3548387096774195</x:v>
      </x:c>
      <x:c r="V637" s="218" t="n">
        <x:v>0.17972350230414746</x:v>
      </x:c>
      <x:c r="W637" s="217" t="n">
        <x:v>41</x:v>
      </x:c>
      <x:c r="X637" s="222" t="n">
        <x:v>4740</x:v>
      </x:c>
      <x:c r="Y637" s="217" t="n">
        <x:v>15</x:v>
      </x:c>
    </x:row>
    <x:row r="638">
      <x:c r="A638" s="216" t="n">
        <x:v>171</x:v>
      </x:c>
      <x:c r="B638" s="216" t="str">
        <x:v>中興復興路口</x:v>
      </x:c>
      <x:c r="C638" s="216" t="str">
        <x:v>蘆洲區</x:v>
      </x:c>
      <x:c r="D638" s="216" t="n">
        <x:v>12</x:v>
      </x:c>
      <x:c r="E638" s="216" t="n">
        <x:v>120</x:v>
      </x:c>
      <x:c r="F638" s="219" t="n">
        <x:v>0.9994791666666667</x:v>
      </x:c>
      <x:c r="G638" s="216" t="n">
        <x:v>634</x:v>
      </x:c>
      <x:c r="H638" s="216" t="str">
        <x:f>IF(G638&lt;='排名定義'!$B$5,"是","")</x:f>
        <x:v>是</x:v>
      </x:c>
      <x:c r="I638" s="216" t="n">
        <x:v>632</x:v>
      </x:c>
      <x:c r="J638" s="216" t="str">
        <x:f>IF(I638&lt;='排名定義'!$B$5,"是","")</x:f>
        <x:v>是</x:v>
      </x:c>
      <x:c r="K638" s="216" t="n">
        <x:v>694</x:v>
      </x:c>
      <x:c r="L638" s="216" t="str">
        <x:f>IF(K638&lt;='排名定義'!$B$5,"是","")</x:f>
        <x:v>是</x:v>
      </x:c>
      <x:c r="M638" s="216" t="n">
        <x:f>COUNTIF(H638:L638,"是")</x:f>
        <x:v>3</x:v>
      </x:c>
      <x:c r="N638" s="216" t="str">
        <x:v>三份皆未入選</x:v>
      </x:c>
      <x:c r="O638" s="221" t="n">
        <x:v>56.083333333333336</x:v>
      </x:c>
      <x:c r="P638" s="221" t="n">
        <x:v>51.766666666666666</x:v>
      </x:c>
      <x:c r="Q638" s="221" t="n">
        <x:v>4.316666666666666</x:v>
      </x:c>
      <x:c r="R638" s="221" t="n">
        <x:v>0.07696879643387816</x:v>
      </x:c>
      <x:c r="S638" s="221" t="n">
        <x:v>73.2258064516129</x:v>
      </x:c>
      <x:c r="T638" s="221" t="n">
        <x:v>70.48387096774194</x:v>
      </x:c>
      <x:c r="U638" s="221" t="n">
        <x:v>2.7419354838709675</x:v>
      </x:c>
      <x:c r="V638" s="219" t="n">
        <x:v>0.06451612903225806</x:v>
      </x:c>
      <x:c r="W638" s="216" t="n">
        <x:v>24</x:v>
      </x:c>
      <x:c r="X638" s="223" t="n">
        <x:v>3390</x:v>
      </x:c>
      <x:c r="Y638" s="216" t="n">
        <x:v>12</x:v>
      </x:c>
    </x:row>
    <x:row r="639">
      <x:c r="A639" s="217" t="n">
        <x:v>269</x:v>
      </x:c>
      <x:c r="B639" s="217" t="str">
        <x:v>國慶路149巷口</x:v>
      </x:c>
      <x:c r="C639" s="217" t="str">
        <x:v>板橋區</x:v>
      </x:c>
      <x:c r="D639" s="217" t="n">
        <x:v>14</x:v>
      </x:c>
      <x:c r="E639" s="217" t="n">
        <x:v>120</x:v>
      </x:c>
      <x:c r="F639" s="218" t="n">
        <x:v>0.9994791666666667</x:v>
      </x:c>
      <x:c r="G639" s="217" t="n">
        <x:v>635</x:v>
      </x:c>
      <x:c r="H639" s="217" t="str">
        <x:f>IF(G639&lt;='排名定義'!$B$5,"是","")</x:f>
        <x:v>是</x:v>
      </x:c>
      <x:c r="I639" s="217" t="n">
        <x:v>629</x:v>
      </x:c>
      <x:c r="J639" s="217" t="str">
        <x:f>IF(I639&lt;='排名定義'!$B$5,"是","")</x:f>
        <x:v>是</x:v>
      </x:c>
      <x:c r="K639" s="217" t="n">
        <x:v>730</x:v>
      </x:c>
      <x:c r="L639" s="217" t="str">
        <x:f>IF(K639&lt;='排名定義'!$B$5,"是","")</x:f>
        <x:v>是</x:v>
      </x:c>
      <x:c r="M639" s="217" t="n">
        <x:f>COUNTIF(H639:L639,"是")</x:f>
        <x:v>3</x:v>
      </x:c>
      <x:c r="N639" s="217" t="str">
        <x:v>三份皆未入選</x:v>
      </x:c>
      <x:c r="O639" s="220" t="n">
        <x:v>56.00833333333333</x:v>
      </x:c>
      <x:c r="P639" s="220" t="n">
        <x:v>51.80833333333333</x:v>
      </x:c>
      <x:c r="Q639" s="220" t="n">
        <x:v>4.2</x:v>
      </x:c>
      <x:c r="R639" s="220" t="n">
        <x:v>0.07498884094628776</x:v>
      </x:c>
      <x:c r="S639" s="220" t="n">
        <x:v>75.64516129032258</x:v>
      </x:c>
      <x:c r="T639" s="220" t="n">
        <x:v>72.29032258064517</x:v>
      </x:c>
      <x:c r="U639" s="220" t="n">
        <x:v>3.3548387096774195</x:v>
      </x:c>
      <x:c r="V639" s="218" t="n">
        <x:v>0.1175115207373272</x:v>
      </x:c>
      <x:c r="W639" s="217" t="n">
        <x:v>27</x:v>
      </x:c>
      <x:c r="X639" s="222" t="n">
        <x:v>3960</x:v>
      </x:c>
      <x:c r="Y639" s="217" t="n">
        <x:v>14</x:v>
      </x:c>
    </x:row>
    <x:row r="640">
      <x:c r="A640" s="216" t="n">
        <x:v>992</x:v>
      </x:c>
      <x:c r="B640" s="216" t="str">
        <x:v>林口區公所</x:v>
      </x:c>
      <x:c r="C640" s="216" t="str">
        <x:v>林口區</x:v>
      </x:c>
      <x:c r="D640" s="216" t="n">
        <x:v>29</x:v>
      </x:c>
      <x:c r="E640" s="216" t="n">
        <x:v>120</x:v>
      </x:c>
      <x:c r="F640" s="219" t="n">
        <x:v>0.9994791666666667</x:v>
      </x:c>
      <x:c r="G640" s="216" t="n">
        <x:v>636</x:v>
      </x:c>
      <x:c r="H640" s="216" t="str">
        <x:f>IF(G640&lt;='排名定義'!$B$5,"是","")</x:f>
        <x:v>是</x:v>
      </x:c>
      <x:c r="I640" s="216" t="n">
        <x:v>637</x:v>
      </x:c>
      <x:c r="J640" s="216" t="str">
        <x:f>IF(I640&lt;='排名定義'!$B$5,"是","")</x:f>
        <x:v>是</x:v>
      </x:c>
      <x:c r="K640" s="216" t="n">
        <x:v>658</x:v>
      </x:c>
      <x:c r="L640" s="216" t="str">
        <x:f>IF(K640&lt;='排名定義'!$B$5,"是","")</x:f>
        <x:v>是</x:v>
      </x:c>
      <x:c r="M640" s="216" t="n">
        <x:f>COUNTIF(H640:L640,"是")</x:f>
        <x:v>3</x:v>
      </x:c>
      <x:c r="N640" s="216" t="str">
        <x:v>三份皆未入選</x:v>
      </x:c>
      <x:c r="O640" s="221" t="n">
        <x:v>55.95</x:v>
      </x:c>
      <x:c r="P640" s="221" t="n">
        <x:v>51.5</x:v>
      </x:c>
      <x:c r="Q640" s="221" t="n">
        <x:v>4.45</x:v>
      </x:c>
      <x:c r="R640" s="221" t="n">
        <x:v>0.07953529937444147</x:v>
      </x:c>
      <x:c r="S640" s="221" t="n">
        <x:v>89.2258064516129</x:v>
      </x:c>
      <x:c r="T640" s="221" t="n">
        <x:v>84.96774193548387</x:v>
      </x:c>
      <x:c r="U640" s="221" t="n">
        <x:v>4.258064516129032</x:v>
      </x:c>
      <x:c r="V640" s="219" t="n">
        <x:v>0.01152073732718894</x:v>
      </x:c>
      <x:c r="W640" s="216" t="n">
        <x:v>3</x:v>
      </x:c>
      <x:c r="X640" s="223" t="n">
        <x:v>480</x:v>
      </x:c>
      <x:c r="Y640" s="216" t="n">
        <x:v>29</x:v>
      </x:c>
    </x:row>
    <x:row r="641">
      <x:c r="A641" s="217" t="n">
        <x:v>1411</x:v>
      </x:c>
      <x:c r="B641" s="217" t="str">
        <x:v>林口社區運動公園(公園路)</x:v>
      </x:c>
      <x:c r="C641" s="217" t="str">
        <x:v>林口區</x:v>
      </x:c>
      <x:c r="D641" s="217" t="n">
        <x:v>47</x:v>
      </x:c>
      <x:c r="E641" s="217" t="n">
        <x:v>120</x:v>
      </x:c>
      <x:c r="F641" s="218" t="n">
        <x:v>0.9994791666666667</x:v>
      </x:c>
      <x:c r="G641" s="217" t="n">
        <x:v>637</x:v>
      </x:c>
      <x:c r="H641" s="217" t="str">
        <x:f>IF(G641&lt;='排名定義'!$B$5,"是","")</x:f>
        <x:v>是</x:v>
      </x:c>
      <x:c r="I641" s="217" t="n">
        <x:v>655</x:v>
      </x:c>
      <x:c r="J641" s="217" t="str">
        <x:f>IF(I641&lt;='排名定義'!$B$5,"是","")</x:f>
        <x:v>是</x:v>
      </x:c>
      <x:c r="K641" s="217" t="n">
        <x:v>341</x:v>
      </x:c>
      <x:c r="L641" s="217" t="str">
        <x:f>IF(K641&lt;='排名定義'!$B$5,"是","")</x:f>
        <x:v>是</x:v>
      </x:c>
      <x:c r="M641" s="217" t="n">
        <x:f>COUNTIF(H641:L641,"是")</x:f>
        <x:v>3</x:v>
      </x:c>
      <x:c r="N641" s="217" t="str">
        <x:v>僅大幅變動</x:v>
      </x:c>
      <x:c r="O641" s="220" t="n">
        <x:v>55.94166666666667</x:v>
      </x:c>
      <x:c r="P641" s="220" t="n">
        <x:v>49.85</x:v>
      </x:c>
      <x:c r="Q641" s="220" t="n">
        <x:v>6.091666666666667</x:v>
      </x:c>
      <x:c r="R641" s="220" t="n">
        <x:v>0.10889319231342172</x:v>
      </x:c>
      <x:c r="S641" s="220" t="n">
        <x:v>97.51612903225806</x:v>
      </x:c>
      <x:c r="T641" s="220" t="n">
        <x:v>92.7741935483871</x:v>
      </x:c>
      <x:c r="U641" s="220" t="n">
        <x:v>4.741935483870968</x:v>
      </x:c>
      <x:c r="V641" s="218" t="n">
        <x:v>0.03225806451612903</x:v>
      </x:c>
      <x:c r="W641" s="217" t="n">
        <x:v>6</x:v>
      </x:c>
      <x:c r="X641" s="222" t="n">
        <x:v>810</x:v>
      </x:c>
      <x:c r="Y641" s="217" t="n">
        <x:v>47</x:v>
      </x:c>
    </x:row>
    <x:row r="642">
      <x:c r="A642" s="216" t="n">
        <x:v>541</x:v>
      </x:c>
      <x:c r="B642" s="216" t="str">
        <x:v>中平中榮街口</x:v>
      </x:c>
      <x:c r="C642" s="216" t="str">
        <x:v>新莊區</x:v>
      </x:c>
      <x:c r="D642" s="216" t="n">
        <x:v>17</x:v>
      </x:c>
      <x:c r="E642" s="216" t="n">
        <x:v>120</x:v>
      </x:c>
      <x:c r="F642" s="219" t="n">
        <x:v>0.9994791666666667</x:v>
      </x:c>
      <x:c r="G642" s="216" t="n">
        <x:v>638</x:v>
      </x:c>
      <x:c r="H642" s="216" t="str">
        <x:f>IF(G642&lt;='排名定義'!$B$5,"是","")</x:f>
        <x:v>是</x:v>
      </x:c>
      <x:c r="I642" s="216" t="n">
        <x:v>630</x:v>
      </x:c>
      <x:c r="J642" s="216" t="str">
        <x:f>IF(I642&lt;='排名定義'!$B$5,"是","")</x:f>
        <x:v>是</x:v>
      </x:c>
      <x:c r="K642" s="216" t="n">
        <x:v>775</x:v>
      </x:c>
      <x:c r="L642" s="216" t="str">
        <x:f>IF(K642&lt;='排名定義'!$B$5,"是","")</x:f>
        <x:v>是</x:v>
      </x:c>
      <x:c r="M642" s="216" t="n">
        <x:f>COUNTIF(H642:L642,"是")</x:f>
        <x:v>3</x:v>
      </x:c>
      <x:c r="N642" s="216" t="str">
        <x:v>三份皆未入選</x:v>
      </x:c>
      <x:c r="O642" s="221" t="n">
        <x:v>55.875</x:v>
      </x:c>
      <x:c r="P642" s="221" t="n">
        <x:v>51.8</x:v>
      </x:c>
      <x:c r="Q642" s="221" t="n">
        <x:v>4.075</x:v>
      </x:c>
      <x:c r="R642" s="221" t="n">
        <x:v>0.07293064876957495</x:v>
      </x:c>
      <x:c r="S642" s="221" t="n">
        <x:v>86.3225806451613</x:v>
      </x:c>
      <x:c r="T642" s="221" t="n">
        <x:v>82.29032258064517</x:v>
      </x:c>
      <x:c r="U642" s="221" t="n">
        <x:v>4.032258064516129</x:v>
      </x:c>
      <x:c r="V642" s="219" t="n">
        <x:v>0.03686635944700461</x:v>
      </x:c>
      <x:c r="W642" s="216" t="n">
        <x:v>15</x:v>
      </x:c>
      <x:c r="X642" s="223" t="n">
        <x:v>1860</x:v>
      </x:c>
      <x:c r="Y642" s="216" t="n">
        <x:v>17</x:v>
      </x:c>
    </x:row>
    <x:row r="643">
      <x:c r="A643" s="217" t="n">
        <x:v>894</x:v>
      </x:c>
      <x:c r="B643" s="217" t="str">
        <x:v>新樹公園</x:v>
      </x:c>
      <x:c r="C643" s="217" t="str">
        <x:v>新莊區</x:v>
      </x:c>
      <x:c r="D643" s="217" t="n">
        <x:v>25</x:v>
      </x:c>
      <x:c r="E643" s="217" t="n">
        <x:v>120</x:v>
      </x:c>
      <x:c r="F643" s="218" t="n">
        <x:v>0.9994791666666667</x:v>
      </x:c>
      <x:c r="G643" s="217" t="n">
        <x:v>639</x:v>
      </x:c>
      <x:c r="H643" s="217" t="str">
        <x:f>IF(G643&lt;='排名定義'!$B$5,"是","")</x:f>
        <x:v>是</x:v>
      </x:c>
      <x:c r="I643" s="217" t="n">
        <x:v>641</x:v>
      </x:c>
      <x:c r="J643" s="217" t="str">
        <x:f>IF(I643&lt;='排名定義'!$B$5,"是","")</x:f>
        <x:v>是</x:v>
      </x:c>
      <x:c r="K643" s="217" t="n">
        <x:v>617</x:v>
      </x:c>
      <x:c r="L643" s="217" t="str">
        <x:f>IF(K643&lt;='排名定義'!$B$5,"是","")</x:f>
        <x:v>是</x:v>
      </x:c>
      <x:c r="M643" s="217" t="n">
        <x:f>COUNTIF(H643:L643,"是")</x:f>
        <x:v>3</x:v>
      </x:c>
      <x:c r="N643" s="217" t="str">
        <x:v>三份皆未入選</x:v>
      </x:c>
      <x:c r="O643" s="220" t="n">
        <x:v>55.8</x:v>
      </x:c>
      <x:c r="P643" s="220" t="n">
        <x:v>51.208333333333336</x:v>
      </x:c>
      <x:c r="Q643" s="220" t="n">
        <x:v>4.591666666666667</x:v>
      </x:c>
      <x:c r="R643" s="220" t="n">
        <x:v>0.0822879330943847</x:v>
      </x:c>
      <x:c r="S643" s="220" t="n">
        <x:v>78.70967741935483</x:v>
      </x:c>
      <x:c r="T643" s="220" t="n">
        <x:v>74.61290322580645</x:v>
      </x:c>
      <x:c r="U643" s="220" t="n">
        <x:v>4.096774193548387</x:v>
      </x:c>
      <x:c r="V643" s="218" t="n">
        <x:v>0.027649769585253458</x:v>
      </x:c>
      <x:c r="W643" s="217" t="n">
        <x:v>6</x:v>
      </x:c>
      <x:c r="X643" s="222" t="n">
        <x:v>780</x:v>
      </x:c>
      <x:c r="Y643" s="217" t="n">
        <x:v>25</x:v>
      </x:c>
    </x:row>
    <x:row r="644">
      <x:c r="A644" s="216" t="n">
        <x:v>1193</x:v>
      </x:c>
      <x:c r="B644" s="216" t="str">
        <x:v>新北市藝文中心(文化路二段124巷)</x:v>
      </x:c>
      <x:c r="C644" s="216" t="str">
        <x:v>板橋區</x:v>
      </x:c>
      <x:c r="D644" s="216" t="n">
        <x:v>37</x:v>
      </x:c>
      <x:c r="E644" s="216" t="n">
        <x:v>120</x:v>
      </x:c>
      <x:c r="F644" s="219" t="n">
        <x:v>0.9994791666666667</x:v>
      </x:c>
      <x:c r="G644" s="216" t="n">
        <x:v>640</x:v>
      </x:c>
      <x:c r="H644" s="216" t="str">
        <x:f>IF(G644&lt;='排名定義'!$B$5,"是","")</x:f>
        <x:v>是</x:v>
      </x:c>
      <x:c r="I644" s="216" t="n">
        <x:v>645</x:v>
      </x:c>
      <x:c r="J644" s="216" t="str">
        <x:f>IF(I644&lt;='排名定義'!$B$5,"是","")</x:f>
        <x:v>是</x:v>
      </x:c>
      <x:c r="K644" s="216" t="n">
        <x:v>519</x:v>
      </x:c>
      <x:c r="L644" s="216" t="str">
        <x:f>IF(K644&lt;='排名定義'!$B$5,"是","")</x:f>
        <x:v>是</x:v>
      </x:c>
      <x:c r="M644" s="216" t="n">
        <x:f>COUNTIF(H644:L644,"是")</x:f>
        <x:v>3</x:v>
      </x:c>
      <x:c r="N644" s="216" t="str">
        <x:v>三份皆未入選</x:v>
      </x:c>
      <x:c r="O644" s="221" t="n">
        <x:v>55.78333333333333</x:v>
      </x:c>
      <x:c r="P644" s="221" t="n">
        <x:v>50.708333333333336</x:v>
      </x:c>
      <x:c r="Q644" s="221" t="n">
        <x:v>5.075</x:v>
      </x:c>
      <x:c r="R644" s="221" t="n">
        <x:v>0.09097699432327458</x:v>
      </x:c>
      <x:c r="S644" s="221" t="n">
        <x:v>86.16129032258064</x:v>
      </x:c>
      <x:c r="T644" s="221" t="n">
        <x:v>80.61290322580645</x:v>
      </x:c>
      <x:c r="U644" s="221" t="n">
        <x:v>5.548387096774194</x:v>
      </x:c>
      <x:c r="V644" s="219" t="n">
        <x:v>0.055299539170506916</x:v>
      </x:c>
      <x:c r="W644" s="216" t="n">
        <x:v>24</x:v>
      </x:c>
      <x:c r="X644" s="223" t="n">
        <x:v>2970</x:v>
      </x:c>
      <x:c r="Y644" s="216" t="n">
        <x:v>37</x:v>
      </x:c>
    </x:row>
    <x:row r="645">
      <x:c r="A645" s="217" t="n">
        <x:v>362</x:v>
      </x:c>
      <x:c r="B645" s="217" t="str">
        <x:v>捷運頂溪站(復興街1巷)</x:v>
      </x:c>
      <x:c r="C645" s="217" t="str">
        <x:v>永和區</x:v>
      </x:c>
      <x:c r="D645" s="217" t="n">
        <x:v>15</x:v>
      </x:c>
      <x:c r="E645" s="217" t="n">
        <x:v>120</x:v>
      </x:c>
      <x:c r="F645" s="218" t="n">
        <x:v>0.9994791666666667</x:v>
      </x:c>
      <x:c r="G645" s="217" t="n">
        <x:v>641</x:v>
      </x:c>
      <x:c r="H645" s="217" t="str">
        <x:f>IF(G645&lt;='排名定義'!$B$5,"是","")</x:f>
        <x:v>是</x:v>
      </x:c>
      <x:c r="I645" s="217" t="n">
        <x:v>634</x:v>
      </x:c>
      <x:c r="J645" s="217" t="str">
        <x:f>IF(I645&lt;='排名定義'!$B$5,"是","")</x:f>
        <x:v>是</x:v>
      </x:c>
      <x:c r="K645" s="217" t="n">
        <x:v>758</x:v>
      </x:c>
      <x:c r="L645" s="217" t="str">
        <x:f>IF(K645&lt;='排名定義'!$B$5,"是","")</x:f>
        <x:v>是</x:v>
      </x:c>
      <x:c r="M645" s="217" t="n">
        <x:f>COUNTIF(H645:L645,"是")</x:f>
        <x:v>3</x:v>
      </x:c>
      <x:c r="N645" s="217" t="str">
        <x:v>三份皆未入選</x:v>
      </x:c>
      <x:c r="O645" s="220" t="n">
        <x:v>55.775</x:v>
      </x:c>
      <x:c r="P645" s="220" t="n">
        <x:v>51.666666666666664</x:v>
      </x:c>
      <x:c r="Q645" s="220" t="n">
        <x:v>4.108333333333333</x:v>
      </x:c>
      <x:c r="R645" s="220" t="n">
        <x:v>0.07365904676527715</x:v>
      </x:c>
      <x:c r="S645" s="220" t="n">
        <x:v>71.61290322580645</x:v>
      </x:c>
      <x:c r="T645" s="220" t="n">
        <x:v>68.16129032258064</x:v>
      </x:c>
      <x:c r="U645" s="220" t="n">
        <x:v>3.4516129032258065</x:v>
      </x:c>
      <x:c r="V645" s="218" t="n">
        <x:v>0.22119815668202766</x:v>
      </x:c>
      <x:c r="W645" s="217" t="n">
        <x:v>85</x:v>
      </x:c>
      <x:c r="X645" s="222" t="n">
        <x:v>10200</x:v>
      </x:c>
      <x:c r="Y645" s="217" t="n">
        <x:v>15</x:v>
      </x:c>
    </x:row>
    <x:row r="646">
      <x:c r="A646" s="216" t="n">
        <x:v>567</x:v>
      </x:c>
      <x:c r="B646" s="216" t="str">
        <x:v>光復路二段42巷口</x:v>
      </x:c>
      <x:c r="C646" s="216" t="str">
        <x:v>三重區</x:v>
      </x:c>
      <x:c r="D646" s="216" t="n">
        <x:v>18</x:v>
      </x:c>
      <x:c r="E646" s="216" t="n">
        <x:v>120</x:v>
      </x:c>
      <x:c r="F646" s="219" t="n">
        <x:v>0.9994791666666667</x:v>
      </x:c>
      <x:c r="G646" s="216" t="n">
        <x:v>642</x:v>
      </x:c>
      <x:c r="H646" s="216" t="str">
        <x:f>IF(G646&lt;='排名定義'!$B$5,"是","")</x:f>
        <x:v>是</x:v>
      </x:c>
      <x:c r="I646" s="216" t="n">
        <x:v>635</x:v>
      </x:c>
      <x:c r="J646" s="216" t="str">
        <x:f>IF(I646&lt;='排名定義'!$B$5,"是","")</x:f>
        <x:v>是</x:v>
      </x:c>
      <x:c r="K646" s="216" t="n">
        <x:v>762</x:v>
      </x:c>
      <x:c r="L646" s="216" t="str">
        <x:f>IF(K646&lt;='排名定義'!$B$5,"是","")</x:f>
        <x:v>是</x:v>
      </x:c>
      <x:c r="M646" s="216" t="n">
        <x:f>COUNTIF(H646:L646,"是")</x:f>
        <x:v>3</x:v>
      </x:c>
      <x:c r="N646" s="216" t="str">
        <x:v>三份皆未入選</x:v>
      </x:c>
      <x:c r="O646" s="221" t="n">
        <x:v>55.75</x:v>
      </x:c>
      <x:c r="P646" s="221" t="n">
        <x:v>51.65</x:v>
      </x:c>
      <x:c r="Q646" s="221" t="n">
        <x:v>4.1</x:v>
      </x:c>
      <x:c r="R646" s="221" t="n">
        <x:v>0.07354260089686099</x:v>
      </x:c>
      <x:c r="S646" s="221" t="n">
        <x:v>74.54838709677419</x:v>
      </x:c>
      <x:c r="T646" s="221" t="n">
        <x:v>70.09677419354838</x:v>
      </x:c>
      <x:c r="U646" s="221" t="n">
        <x:v>4.451612903225806</x:v>
      </x:c>
      <x:c r="V646" s="219" t="n">
        <x:v>0.07834101382488479</x:v>
      </x:c>
      <x:c r="W646" s="216" t="n">
        <x:v>19</x:v>
      </x:c>
      <x:c r="X646" s="223" t="n">
        <x:v>3030</x:v>
      </x:c>
      <x:c r="Y646" s="216" t="n">
        <x:v>18</x:v>
      </x:c>
    </x:row>
    <x:row r="647">
      <x:c r="A647" s="217" t="n">
        <x:v>1313</x:v>
      </x:c>
      <x:c r="B647" s="217" t="str">
        <x:v>厚德公園</x:v>
      </x:c>
      <x:c r="C647" s="217" t="str">
        <x:v>三重區</x:v>
      </x:c>
      <x:c r="D647" s="217" t="n">
        <x:v>41</x:v>
      </x:c>
      <x:c r="E647" s="217" t="n">
        <x:v>120</x:v>
      </x:c>
      <x:c r="F647" s="218" t="n">
        <x:v>0.9994791666666667</x:v>
      </x:c>
      <x:c r="G647" s="217" t="n">
        <x:v>643</x:v>
      </x:c>
      <x:c r="H647" s="217" t="str">
        <x:f>IF(G647&lt;='排名定義'!$B$5,"是","")</x:f>
        <x:v>是</x:v>
      </x:c>
      <x:c r="I647" s="217" t="n">
        <x:v>644</x:v>
      </x:c>
      <x:c r="J647" s="217" t="str">
        <x:f>IF(I647&lt;='排名定義'!$B$5,"是","")</x:f>
        <x:v>是</x:v>
      </x:c>
      <x:c r="K647" s="217" t="n">
        <x:v>557</x:v>
      </x:c>
      <x:c r="L647" s="217" t="str">
        <x:f>IF(K647&lt;='排名定義'!$B$5,"是","")</x:f>
        <x:v>是</x:v>
      </x:c>
      <x:c r="M647" s="217" t="n">
        <x:f>COUNTIF(H647:L647,"是")</x:f>
        <x:v>3</x:v>
      </x:c>
      <x:c r="N647" s="217" t="str">
        <x:v>三份皆未入選</x:v>
      </x:c>
      <x:c r="O647" s="220" t="n">
        <x:v>55.725</x:v>
      </x:c>
      <x:c r="P647" s="220" t="n">
        <x:v>50.833333333333336</x:v>
      </x:c>
      <x:c r="Q647" s="220" t="n">
        <x:v>4.891666666666667</x:v>
      </x:c>
      <x:c r="R647" s="220" t="n">
        <x:v>0.08778226409451174</x:v>
      </x:c>
      <x:c r="S647" s="220" t="n">
        <x:v>79.29032258064517</x:v>
      </x:c>
      <x:c r="T647" s="220" t="n">
        <x:v>74.16129032258064</x:v>
      </x:c>
      <x:c r="U647" s="220" t="n">
        <x:v>5.129032258064516</x:v>
      </x:c>
      <x:c r="V647" s="218" t="n">
        <x:v>0.027649769585253458</x:v>
      </x:c>
      <x:c r="W647" s="217" t="n">
        <x:v>6</x:v>
      </x:c>
      <x:c r="X647" s="222" t="n">
        <x:v>960</x:v>
      </x:c>
      <x:c r="Y647" s="217" t="n">
        <x:v>41</x:v>
      </x:c>
    </x:row>
    <x:row r="648">
      <x:c r="A648" s="216" t="n">
        <x:v>1187</x:v>
      </x:c>
      <x:c r="B648" s="216" t="str">
        <x:v>華福市民活動中心</x:v>
      </x:c>
      <x:c r="C648" s="216" t="str">
        <x:v>中和區</x:v>
      </x:c>
      <x:c r="D648" s="216" t="n">
        <x:v>36</x:v>
      </x:c>
      <x:c r="E648" s="216" t="n">
        <x:v>120</x:v>
      </x:c>
      <x:c r="F648" s="219" t="n">
        <x:v>0.9994791666666667</x:v>
      </x:c>
      <x:c r="G648" s="216" t="n">
        <x:v>644</x:v>
      </x:c>
      <x:c r="H648" s="216" t="str">
        <x:f>IF(G648&lt;='排名定義'!$B$5,"是","")</x:f>
        <x:v>是</x:v>
      </x:c>
      <x:c r="I648" s="216" t="n">
        <x:v>646</x:v>
      </x:c>
      <x:c r="J648" s="216" t="str">
        <x:f>IF(I648&lt;='排名定義'!$B$5,"是","")</x:f>
        <x:v>是</x:v>
      </x:c>
      <x:c r="K648" s="216" t="n">
        <x:v>518</x:v>
      </x:c>
      <x:c r="L648" s="216" t="str">
        <x:f>IF(K648&lt;='排名定義'!$B$5,"是","")</x:f>
        <x:v>是</x:v>
      </x:c>
      <x:c r="M648" s="216" t="n">
        <x:f>COUNTIF(H648:L648,"是")</x:f>
        <x:v>3</x:v>
      </x:c>
      <x:c r="N648" s="216" t="str">
        <x:v>三份皆未入選</x:v>
      </x:c>
      <x:c r="O648" s="221" t="n">
        <x:v>55.675</x:v>
      </x:c>
      <x:c r="P648" s="221" t="n">
        <x:v>50.59166666666667</x:v>
      </x:c>
      <x:c r="Q648" s="221" t="n">
        <x:v>5.083333333333333</x:v>
      </x:c>
      <x:c r="R648" s="221" t="n">
        <x:v>0.09130369705133962</x:v>
      </x:c>
      <x:c r="S648" s="221" t="n">
        <x:v>77.06451612903226</x:v>
      </x:c>
      <x:c r="T648" s="221" t="n">
        <x:v>73.35483870967742</x:v>
      </x:c>
      <x:c r="U648" s="221" t="n">
        <x:v>3.7096774193548385</x:v>
      </x:c>
      <x:c r="V648" s="219" t="n">
        <x:v>0.027649769585253458</x:v>
      </x:c>
      <x:c r="W648" s="216" t="n">
        <x:v>3</x:v>
      </x:c>
      <x:c r="X648" s="223" t="n">
        <x:v>630</x:v>
      </x:c>
      <x:c r="Y648" s="216" t="n">
        <x:v>36</x:v>
      </x:c>
    </x:row>
    <x:row r="649">
      <x:c r="A649" s="217" t="n">
        <x:v>347</x:v>
      </x:c>
      <x:c r="B649" s="217" t="str">
        <x:v>塭仔底濕地公園</x:v>
      </x:c>
      <x:c r="C649" s="217" t="str">
        <x:v>新莊區</x:v>
      </x:c>
      <x:c r="D649" s="217" t="n">
        <x:v>25</x:v>
      </x:c>
      <x:c r="E649" s="217" t="n">
        <x:v>120</x:v>
      </x:c>
      <x:c r="F649" s="218" t="n">
        <x:v>0.9994791666666667</x:v>
      </x:c>
      <x:c r="G649" s="217" t="n">
        <x:v>645</x:v>
      </x:c>
      <x:c r="H649" s="217" t="str">
        <x:f>IF(G649&lt;='排名定義'!$B$5,"是","")</x:f>
        <x:v>是</x:v>
      </x:c>
      <x:c r="I649" s="217" t="n">
        <x:v>642</x:v>
      </x:c>
      <x:c r="J649" s="217" t="str">
        <x:f>IF(I649&lt;='排名定義'!$B$5,"是","")</x:f>
        <x:v>是</x:v>
      </x:c>
      <x:c r="K649" s="217" t="n">
        <x:v>682</x:v>
      </x:c>
      <x:c r="L649" s="217" t="str">
        <x:f>IF(K649&lt;='排名定義'!$B$5,"是","")</x:f>
        <x:v>是</x:v>
      </x:c>
      <x:c r="M649" s="217" t="n">
        <x:f>COUNTIF(H649:L649,"是")</x:f>
        <x:v>3</x:v>
      </x:c>
      <x:c r="N649" s="217" t="str">
        <x:v>三份皆未入選</x:v>
      </x:c>
      <x:c r="O649" s="220" t="n">
        <x:v>55.45</x:v>
      </x:c>
      <x:c r="P649" s="220" t="n">
        <x:v>51.09166666666667</x:v>
      </x:c>
      <x:c r="Q649" s="220" t="n">
        <x:v>4.358333333333333</x:v>
      </x:c>
      <x:c r="R649" s="220" t="n">
        <x:v>0.07859933874361287</x:v>
      </x:c>
      <x:c r="S649" s="220" t="n">
        <x:v>80.80645161290323</x:v>
      </x:c>
      <x:c r="T649" s="220" t="n">
        <x:v>76.12903225806451</x:v>
      </x:c>
      <x:c r="U649" s="220" t="n">
        <x:v>4.67741935483871</x:v>
      </x:c>
      <x:c r="V649" s="218" t="n">
        <x:v>0.03917050691244239</x:v>
      </x:c>
      <x:c r="W649" s="217" t="n">
        <x:v>7</x:v>
      </x:c>
      <x:c r="X649" s="222" t="n">
        <x:v>1020</x:v>
      </x:c>
      <x:c r="Y649" s="217" t="n">
        <x:v>25</x:v>
      </x:c>
    </x:row>
    <x:row r="650">
      <x:c r="A650" s="216" t="n">
        <x:v>1212</x:v>
      </x:c>
      <x:c r="B650" s="216" t="str">
        <x:v>亞洲員安路口</x:v>
      </x:c>
      <x:c r="C650" s="216" t="str">
        <x:v>土城區</x:v>
      </x:c>
      <x:c r="D650" s="216" t="n">
        <x:v>38</x:v>
      </x:c>
      <x:c r="E650" s="216" t="n">
        <x:v>120</x:v>
      </x:c>
      <x:c r="F650" s="219" t="n">
        <x:v>0.9994791666666667</x:v>
      </x:c>
      <x:c r="G650" s="216" t="n">
        <x:v>646</x:v>
      </x:c>
      <x:c r="H650" s="216" t="str">
        <x:f>IF(G650&lt;='排名定義'!$B$5,"是","")</x:f>
        <x:v>是</x:v>
      </x:c>
      <x:c r="I650" s="216" t="n">
        <x:v>654</x:v>
      </x:c>
      <x:c r="J650" s="216" t="str">
        <x:f>IF(I650&lt;='排名定義'!$B$5,"是","")</x:f>
        <x:v>是</x:v>
      </x:c>
      <x:c r="K650" s="216" t="n">
        <x:v>453</x:v>
      </x:c>
      <x:c r="L650" s="216" t="str">
        <x:f>IF(K650&lt;='排名定義'!$B$5,"是","")</x:f>
        <x:v>是</x:v>
      </x:c>
      <x:c r="M650" s="216" t="n">
        <x:f>COUNTIF(H650:L650,"是")</x:f>
        <x:v>3</x:v>
      </x:c>
      <x:c r="N650" s="216" t="str">
        <x:v>三份皆未入選</x:v>
      </x:c>
      <x:c r="O650" s="221" t="n">
        <x:v>55.275</x:v>
      </x:c>
      <x:c r="P650" s="221" t="n">
        <x:v>49.86666666666667</x:v>
      </x:c>
      <x:c r="Q650" s="221" t="n">
        <x:v>5.408333333333333</x:v>
      </x:c>
      <x:c r="R650" s="221" t="n">
        <x:v>0.0978441127694859</x:v>
      </x:c>
      <x:c r="S650" s="221" t="n">
        <x:v>76.06451612903226</x:v>
      </x:c>
      <x:c r="T650" s="221" t="n">
        <x:v>70.90322580645162</x:v>
      </x:c>
      <x:c r="U650" s="221" t="n">
        <x:v>5.161290322580645</x:v>
      </x:c>
      <x:c r="V650" s="219" t="n">
        <x:v>0.02304147465437788</x:v>
      </x:c>
      <x:c r="W650" s="216" t="n">
        <x:v>5</x:v>
      </x:c>
      <x:c r="X650" s="223" t="n">
        <x:v>510</x:v>
      </x:c>
      <x:c r="Y650" s="216" t="n">
        <x:v>38</x:v>
      </x:c>
    </x:row>
    <x:row r="651">
      <x:c r="A651" s="217" t="n">
        <x:v>1296</x:v>
      </x:c>
      <x:c r="B651" s="217" t="str">
        <x:v>安邦段青年社會住宅</x:v>
      </x:c>
      <x:c r="C651" s="217" t="str">
        <x:v>中和區</x:v>
      </x:c>
      <x:c r="D651" s="217" t="n">
        <x:v>40</x:v>
      </x:c>
      <x:c r="E651" s="217" t="n">
        <x:v>120</x:v>
      </x:c>
      <x:c r="F651" s="218" t="n">
        <x:v>0.9994791666666667</x:v>
      </x:c>
      <x:c r="G651" s="217" t="n">
        <x:v>647</x:v>
      </x:c>
      <x:c r="H651" s="217" t="str">
        <x:f>IF(G651&lt;='排名定義'!$B$5,"是","")</x:f>
        <x:v>是</x:v>
      </x:c>
      <x:c r="I651" s="217" t="n">
        <x:v>660</x:v>
      </x:c>
      <x:c r="J651" s="217" t="str">
        <x:f>IF(I651&lt;='排名定義'!$B$5,"是","")</x:f>
        <x:v>是</x:v>
      </x:c>
      <x:c r="K651" s="217" t="n">
        <x:v>430</x:v>
      </x:c>
      <x:c r="L651" s="217" t="str">
        <x:f>IF(K651&lt;='排名定義'!$B$5,"是","")</x:f>
        <x:v>是</x:v>
      </x:c>
      <x:c r="M651" s="217" t="n">
        <x:f>COUNTIF(H651:L651,"是")</x:f>
        <x:v>3</x:v>
      </x:c>
      <x:c r="N651" s="217" t="str">
        <x:v>三份皆未入選</x:v>
      </x:c>
      <x:c r="O651" s="220" t="n">
        <x:v>55.275</x:v>
      </x:c>
      <x:c r="P651" s="220" t="n">
        <x:v>49.75</x:v>
      </x:c>
      <x:c r="Q651" s="220" t="n">
        <x:v>5.525</x:v>
      </x:c>
      <x:c r="R651" s="220" t="n">
        <x:v>0.09995477159656264</x:v>
      </x:c>
      <x:c r="S651" s="220" t="n">
        <x:v>96.12903225806451</x:v>
      </x:c>
      <x:c r="T651" s="220" t="n">
        <x:v>89.6774193548387</x:v>
      </x:c>
      <x:c r="U651" s="220" t="n">
        <x:v>6.451612903225806</x:v>
      </x:c>
      <x:c r="V651" s="218" t="n">
        <x:v>0.016129032258064516</x:v>
      </x:c>
      <x:c r="W651" s="217" t="n">
        <x:v>2</x:v>
      </x:c>
      <x:c r="X651" s="222" t="n">
        <x:v>330</x:v>
      </x:c>
      <x:c r="Y651" s="217" t="n">
        <x:v>40</x:v>
      </x:c>
    </x:row>
    <x:row r="652">
      <x:c r="A652" s="216" t="n">
        <x:v>205</x:v>
      </x:c>
      <x:c r="B652" s="216" t="str">
        <x:v>龍安成德街口</x:v>
      </x:c>
      <x:c r="C652" s="216" t="str">
        <x:v>新莊區</x:v>
      </x:c>
      <x:c r="D652" s="216" t="n">
        <x:v>12</x:v>
      </x:c>
      <x:c r="E652" s="216" t="n">
        <x:v>120</x:v>
      </x:c>
      <x:c r="F652" s="219" t="n">
        <x:v>0.9994791666666667</x:v>
      </x:c>
      <x:c r="G652" s="216" t="n">
        <x:v>648</x:v>
      </x:c>
      <x:c r="H652" s="216" t="str">
        <x:f>IF(G652&lt;='排名定義'!$B$5,"是","")</x:f>
        <x:v>是</x:v>
      </x:c>
      <x:c r="I652" s="216" t="n">
        <x:v>626</x:v>
      </x:c>
      <x:c r="J652" s="216" t="str">
        <x:f>IF(I652&lt;='排名定義'!$B$5,"是","")</x:f>
        <x:v>是</x:v>
      </x:c>
      <x:c r="K652" s="216" t="n">
        <x:v>1083</x:v>
      </x:c>
      <x:c r="L652" s="216" t="str">
        <x:f>IF(K652&lt;='排名定義'!$B$5,"是","")</x:f>
        <x:v>是</x:v>
      </x:c>
      <x:c r="M652" s="216" t="n">
        <x:f>COUNTIF(H652:L652,"是")</x:f>
        <x:v>3</x:v>
      </x:c>
      <x:c r="N652" s="216" t="str">
        <x:v>三份皆未入選</x:v>
      </x:c>
      <x:c r="O652" s="221" t="n">
        <x:v>55.21666666666667</x:v>
      </x:c>
      <x:c r="P652" s="221" t="n">
        <x:v>51.96666666666667</x:v>
      </x:c>
      <x:c r="Q652" s="221" t="n">
        <x:v>3.25</x:v>
      </x:c>
      <x:c r="R652" s="221" t="n">
        <x:v>0.058859040144883794</x:v>
      </x:c>
      <x:c r="S652" s="221" t="n">
        <x:v>78</x:v>
      </x:c>
      <x:c r="T652" s="221" t="n">
        <x:v>75.64516129032258</x:v>
      </x:c>
      <x:c r="U652" s="221" t="n">
        <x:v>2.3548387096774195</x:v>
      </x:c>
      <x:c r="V652" s="219" t="n">
        <x:v>0.1774193548387097</x:v>
      </x:c>
      <x:c r="W652" s="216" t="n">
        <x:v>30</x:v>
      </x:c>
      <x:c r="X652" s="223" t="n">
        <x:v>4080</x:v>
      </x:c>
      <x:c r="Y652" s="216" t="n">
        <x:v>12</x:v>
      </x:c>
    </x:row>
    <x:row r="653">
      <x:c r="A653" s="217" t="n">
        <x:v>3</x:v>
      </x:c>
      <x:c r="B653" s="217" t="str">
        <x:v>三重商工地下停車場</x:v>
      </x:c>
      <x:c r="C653" s="217" t="str">
        <x:v>三重區</x:v>
      </x:c>
      <x:c r="D653" s="217" t="n">
        <x:v>64</x:v>
      </x:c>
      <x:c r="E653" s="217" t="n">
        <x:v>120</x:v>
      </x:c>
      <x:c r="F653" s="218" t="n">
        <x:v>0.9994791666666667</x:v>
      </x:c>
      <x:c r="G653" s="217" t="n">
        <x:v>649</x:v>
      </x:c>
      <x:c r="H653" s="217" t="str">
        <x:f>IF(G653&lt;='排名定義'!$B$5,"是","")</x:f>
        <x:v>是</x:v>
      </x:c>
      <x:c r="I653" s="217" t="n">
        <x:v>651</x:v>
      </x:c>
      <x:c r="J653" s="217" t="str">
        <x:f>IF(I653&lt;='排名定義'!$B$5,"是","")</x:f>
        <x:v>是</x:v>
      </x:c>
      <x:c r="K653" s="217" t="n">
        <x:v>493</x:v>
      </x:c>
      <x:c r="L653" s="217" t="str">
        <x:f>IF(K653&lt;='排名定義'!$B$5,"是","")</x:f>
        <x:v>是</x:v>
      </x:c>
      <x:c r="M653" s="217" t="n">
        <x:f>COUNTIF(H653:L653,"是")</x:f>
        <x:v>3</x:v>
      </x:c>
      <x:c r="N653" s="217" t="str">
        <x:v>三份皆未入選</x:v>
      </x:c>
      <x:c r="O653" s="220" t="n">
        <x:v>55.208333333333336</x:v>
      </x:c>
      <x:c r="P653" s="220" t="n">
        <x:v>50.025</x:v>
      </x:c>
      <x:c r="Q653" s="220" t="n">
        <x:v>5.183333333333334</x:v>
      </x:c>
      <x:c r="R653" s="220" t="n">
        <x:v>0.09388679245283019</x:v>
      </x:c>
      <x:c r="S653" s="220" t="n">
        <x:v>83.38709677419355</x:v>
      </x:c>
      <x:c r="T653" s="220" t="n">
        <x:v>78.25806451612904</x:v>
      </x:c>
      <x:c r="U653" s="220" t="n">
        <x:v>5.129032258064516</x:v>
      </x:c>
      <x:c r="V653" s="218" t="n">
        <x:v>0.0576036866359447</x:v>
      </x:c>
      <x:c r="W653" s="217" t="n">
        <x:v>10</x:v>
      </x:c>
      <x:c r="X653" s="222" t="n">
        <x:v>1650</x:v>
      </x:c>
      <x:c r="Y653" s="217" t="n">
        <x:v>64</x:v>
      </x:c>
    </x:row>
    <x:row r="654">
      <x:c r="A654" s="216" t="n">
        <x:v>1152</x:v>
      </x:c>
      <x:c r="B654" s="216" t="str">
        <x:v>裕民路口(清水路)</x:v>
      </x:c>
      <x:c r="C654" s="216" t="str">
        <x:v>土城區</x:v>
      </x:c>
      <x:c r="D654" s="216" t="n">
        <x:v>34</x:v>
      </x:c>
      <x:c r="E654" s="216" t="n">
        <x:v>120</x:v>
      </x:c>
      <x:c r="F654" s="219" t="n">
        <x:v>0.9994791666666667</x:v>
      </x:c>
      <x:c r="G654" s="216" t="n">
        <x:v>650</x:v>
      </x:c>
      <x:c r="H654" s="216" t="str">
        <x:f>IF(G654&lt;='排名定義'!$B$5,"是","")</x:f>
        <x:v>是</x:v>
      </x:c>
      <x:c r="I654" s="216" t="n">
        <x:v>665</x:v>
      </x:c>
      <x:c r="J654" s="216" t="str">
        <x:f>IF(I654&lt;='排名定義'!$B$5,"是","")</x:f>
        <x:v>是</x:v>
      </x:c>
      <x:c r="K654" s="216" t="n">
        <x:v>408</x:v>
      </x:c>
      <x:c r="L654" s="216" t="str">
        <x:f>IF(K654&lt;='排名定義'!$B$5,"是","")</x:f>
        <x:v>是</x:v>
      </x:c>
      <x:c r="M654" s="216" t="n">
        <x:f>COUNTIF(H654:L654,"是")</x:f>
        <x:v>3</x:v>
      </x:c>
      <x:c r="N654" s="216" t="str">
        <x:v>三份皆未入選</x:v>
      </x:c>
      <x:c r="O654" s="221" t="n">
        <x:v>55.18333333333333</x:v>
      </x:c>
      <x:c r="P654" s="221" t="n">
        <x:v>49.541666666666664</x:v>
      </x:c>
      <x:c r="Q654" s="221" t="n">
        <x:v>5.641666666666667</x:v>
      </x:c>
      <x:c r="R654" s="221" t="n">
        <x:v>0.10223497432799758</x:v>
      </x:c>
      <x:c r="S654" s="221" t="n">
        <x:v>64.93548387096774</x:v>
      </x:c>
      <x:c r="T654" s="221" t="n">
        <x:v>60.16129032258065</x:v>
      </x:c>
      <x:c r="U654" s="221" t="n">
        <x:v>4.774193548387097</x:v>
      </x:c>
      <x:c r="V654" s="219" t="n">
        <x:v>0.1359447004608295</x:v>
      </x:c>
      <x:c r="W654" s="216" t="n">
        <x:v>29</x:v>
      </x:c>
      <x:c r="X654" s="223" t="n">
        <x:v>3450</x:v>
      </x:c>
      <x:c r="Y654" s="216" t="n">
        <x:v>34</x:v>
      </x:c>
    </x:row>
    <x:row r="655">
      <x:c r="A655" s="217" t="n">
        <x:v>164</x:v>
      </x:c>
      <x:c r="B655" s="217" t="str">
        <x:v>長青公園</x:v>
      </x:c>
      <x:c r="C655" s="217" t="str">
        <x:v>新莊區</x:v>
      </x:c>
      <x:c r="D655" s="217" t="n">
        <x:v>11</x:v>
      </x:c>
      <x:c r="E655" s="217" t="n">
        <x:v>120</x:v>
      </x:c>
      <x:c r="F655" s="218" t="n">
        <x:v>0.9994791666666667</x:v>
      </x:c>
      <x:c r="G655" s="217" t="n">
        <x:v>651</x:v>
      </x:c>
      <x:c r="H655" s="217" t="str">
        <x:f>IF(G655&lt;='排名定義'!$B$5,"是","")</x:f>
        <x:v>是</x:v>
      </x:c>
      <x:c r="I655" s="217" t="n">
        <x:v>631</x:v>
      </x:c>
      <x:c r="J655" s="217" t="str">
        <x:f>IF(I655&lt;='排名定義'!$B$5,"是","")</x:f>
        <x:v>是</x:v>
      </x:c>
      <x:c r="K655" s="217" t="n">
        <x:v>1063</x:v>
      </x:c>
      <x:c r="L655" s="217" t="str">
        <x:f>IF(K655&lt;='排名定義'!$B$5,"是","")</x:f>
        <x:v>是</x:v>
      </x:c>
      <x:c r="M655" s="217" t="n">
        <x:f>COUNTIF(H655:L655,"是")</x:f>
        <x:v>3</x:v>
      </x:c>
      <x:c r="N655" s="217" t="str">
        <x:v>三份皆未入選</x:v>
      </x:c>
      <x:c r="O655" s="220" t="n">
        <x:v>55.083333333333336</x:v>
      </x:c>
      <x:c r="P655" s="220" t="n">
        <x:v>51.775</x:v>
      </x:c>
      <x:c r="Q655" s="220" t="n">
        <x:v>3.308333333333333</x:v>
      </x:c>
      <x:c r="R655" s="220" t="n">
        <x:v>0.060060514372163386</x:v>
      </x:c>
      <x:c r="S655" s="220" t="n">
        <x:v>73.09677419354838</x:v>
      </x:c>
      <x:c r="T655" s="220" t="n">
        <x:v>68.54838709677419</x:v>
      </x:c>
      <x:c r="U655" s="220" t="n">
        <x:v>4.548387096774194</x:v>
      </x:c>
      <x:c r="V655" s="218" t="n">
        <x:v>0.05069124423963134</x:v>
      </x:c>
      <x:c r="W655" s="217" t="n">
        <x:v>25</x:v>
      </x:c>
      <x:c r="X655" s="222" t="n">
        <x:v>3660</x:v>
      </x:c>
      <x:c r="Y655" s="217" t="n">
        <x:v>11</x:v>
      </x:c>
    </x:row>
    <x:row r="656">
      <x:c r="A656" s="216" t="n">
        <x:v>585</x:v>
      </x:c>
      <x:c r="B656" s="216" t="str">
        <x:v>汐止國小</x:v>
      </x:c>
      <x:c r="C656" s="216" t="str">
        <x:v>汐止區</x:v>
      </x:c>
      <x:c r="D656" s="216" t="n">
        <x:v>18</x:v>
      </x:c>
      <x:c r="E656" s="216" t="n">
        <x:v>120</x:v>
      </x:c>
      <x:c r="F656" s="219" t="n">
        <x:v>0.9994791666666667</x:v>
      </x:c>
      <x:c r="G656" s="216" t="n">
        <x:v>652</x:v>
      </x:c>
      <x:c r="H656" s="216" t="str">
        <x:f>IF(G656&lt;='排名定義'!$B$5,"是","")</x:f>
        <x:v>是</x:v>
      </x:c>
      <x:c r="I656" s="216" t="n">
        <x:v>639</x:v>
      </x:c>
      <x:c r="J656" s="216" t="str">
        <x:f>IF(I656&lt;='排名定義'!$B$5,"是","")</x:f>
        <x:v>是</x:v>
      </x:c>
      <x:c r="K656" s="216" t="n">
        <x:v>901</x:v>
      </x:c>
      <x:c r="L656" s="216" t="str">
        <x:f>IF(K656&lt;='排名定義'!$B$5,"是","")</x:f>
        <x:v>是</x:v>
      </x:c>
      <x:c r="M656" s="216" t="n">
        <x:f>COUNTIF(H656:L656,"是")</x:f>
        <x:v>3</x:v>
      </x:c>
      <x:c r="N656" s="216" t="str">
        <x:v>三份皆未入選</x:v>
      </x:c>
      <x:c r="O656" s="221" t="n">
        <x:v>55.05833333333333</x:v>
      </x:c>
      <x:c r="P656" s="221" t="n">
        <x:v>51.34166666666667</x:v>
      </x:c>
      <x:c r="Q656" s="221" t="n">
        <x:v>3.716666666666667</x:v>
      </x:c>
      <x:c r="R656" s="221" t="n">
        <x:v>0.0675041622521568</x:v>
      </x:c>
      <x:c r="S656" s="221" t="n">
        <x:v>86.6774193548387</x:v>
      </x:c>
      <x:c r="T656" s="221" t="n">
        <x:v>82.29032258064517</x:v>
      </x:c>
      <x:c r="U656" s="221" t="n">
        <x:v>4.387096774193548</x:v>
      </x:c>
      <x:c r="V656" s="219" t="n">
        <x:v>0.059907834101382486</x:v>
      </x:c>
      <x:c r="W656" s="216" t="n">
        <x:v>10</x:v>
      </x:c>
      <x:c r="X656" s="223" t="n">
        <x:v>1830</x:v>
      </x:c>
      <x:c r="Y656" s="216" t="n">
        <x:v>18</x:v>
      </x:c>
    </x:row>
    <x:row r="657">
      <x:c r="A657" s="217" t="n">
        <x:v>669</x:v>
      </x:c>
      <x:c r="B657" s="217" t="str">
        <x:v>樟樹國小(樟樹一路145巷口)</x:v>
      </x:c>
      <x:c r="C657" s="217" t="str">
        <x:v>汐止區</x:v>
      </x:c>
      <x:c r="D657" s="217" t="n">
        <x:v>20</x:v>
      </x:c>
      <x:c r="E657" s="217" t="n">
        <x:v>120</x:v>
      </x:c>
      <x:c r="F657" s="218" t="n">
        <x:v>0.9994791666666667</x:v>
      </x:c>
      <x:c r="G657" s="217" t="n">
        <x:v>653</x:v>
      </x:c>
      <x:c r="H657" s="217" t="str">
        <x:f>IF(G657&lt;='排名定義'!$B$5,"是","")</x:f>
        <x:v>是</x:v>
      </x:c>
      <x:c r="I657" s="217" t="n">
        <x:v>640</x:v>
      </x:c>
      <x:c r="J657" s="217" t="str">
        <x:f>IF(I657&lt;='排名定義'!$B$5,"是","")</x:f>
        <x:v>是</x:v>
      </x:c>
      <x:c r="K657" s="217" t="n">
        <x:v>905</x:v>
      </x:c>
      <x:c r="L657" s="217" t="str">
        <x:f>IF(K657&lt;='排名定義'!$B$5,"是","")</x:f>
        <x:v>是</x:v>
      </x:c>
      <x:c r="M657" s="217" t="n">
        <x:f>COUNTIF(H657:L657,"是")</x:f>
        <x:v>3</x:v>
      </x:c>
      <x:c r="N657" s="217" t="str">
        <x:v>三份皆未入選</x:v>
      </x:c>
      <x:c r="O657" s="220" t="n">
        <x:v>55.016666666666666</x:v>
      </x:c>
      <x:c r="P657" s="220" t="n">
        <x:v>51.30833333333333</x:v>
      </x:c>
      <x:c r="Q657" s="220" t="n">
        <x:v>3.7083333333333335</x:v>
      </x:c>
      <x:c r="R657" s="220" t="n">
        <x:v>0.06740381702514389</x:v>
      </x:c>
      <x:c r="S657" s="220" t="n">
        <x:v>83.83870967741936</x:v>
      </x:c>
      <x:c r="T657" s="220" t="n">
        <x:v>79.48387096774194</x:v>
      </x:c>
      <x:c r="U657" s="220" t="n">
        <x:v>4.354838709677419</x:v>
      </x:c>
      <x:c r="V657" s="218" t="n">
        <x:v>0.06451612903225806</x:v>
      </x:c>
      <x:c r="W657" s="217" t="n">
        <x:v>12</x:v>
      </x:c>
      <x:c r="X657" s="222" t="n">
        <x:v>1770</x:v>
      </x:c>
      <x:c r="Y657" s="217" t="n">
        <x:v>20</x:v>
      </x:c>
    </x:row>
    <x:row r="658">
      <x:c r="A658" s="216" t="n">
        <x:v>838</x:v>
      </x:c>
      <x:c r="B658" s="216" t="str">
        <x:v>輕軌新和國小站</x:v>
      </x:c>
      <x:c r="C658" s="216" t="str">
        <x:v>新店區</x:v>
      </x:c>
      <x:c r="D658" s="216" t="n">
        <x:v>23</x:v>
      </x:c>
      <x:c r="E658" s="216" t="n">
        <x:v>120</x:v>
      </x:c>
      <x:c r="F658" s="219" t="n">
        <x:v>0.9994791666666667</x:v>
      </x:c>
      <x:c r="G658" s="216" t="n">
        <x:v>654</x:v>
      </x:c>
      <x:c r="H658" s="216" t="str">
        <x:f>IF(G658&lt;='排名定義'!$B$5,"是","")</x:f>
        <x:v>是</x:v>
      </x:c>
      <x:c r="I658" s="216" t="n">
        <x:v>643</x:v>
      </x:c>
      <x:c r="J658" s="216" t="str">
        <x:f>IF(I658&lt;='排名定義'!$B$5,"是","")</x:f>
        <x:v>是</x:v>
      </x:c>
      <x:c r="K658" s="216" t="n">
        <x:v>802</x:v>
      </x:c>
      <x:c r="L658" s="216" t="str">
        <x:f>IF(K658&lt;='排名定義'!$B$5,"是","")</x:f>
        <x:v>是</x:v>
      </x:c>
      <x:c r="M658" s="216" t="n">
        <x:f>COUNTIF(H658:L658,"是")</x:f>
        <x:v>3</x:v>
      </x:c>
      <x:c r="N658" s="216" t="str">
        <x:v>三份皆未入選</x:v>
      </x:c>
      <x:c r="O658" s="221" t="n">
        <x:v>54.84166666666667</x:v>
      </x:c>
      <x:c r="P658" s="221" t="n">
        <x:v>50.858333333333334</x:v>
      </x:c>
      <x:c r="Q658" s="221" t="n">
        <x:v>3.9833333333333334</x:v>
      </x:c>
      <x:c r="R658" s="221" t="n">
        <x:v>0.07263333839841969</x:v>
      </x:c>
      <x:c r="S658" s="221" t="n">
        <x:v>77.29032258064517</x:v>
      </x:c>
      <x:c r="T658" s="221" t="n">
        <x:v>70.70967741935483</x:v>
      </x:c>
      <x:c r="U658" s="221" t="n">
        <x:v>6.580645161290323</x:v>
      </x:c>
      <x:c r="V658" s="219" t="n">
        <x:v>0.020737327188940093</x:v>
      </x:c>
      <x:c r="W658" s="216" t="n">
        <x:v>5</x:v>
      </x:c>
      <x:c r="X658" s="223" t="n">
        <x:v>1020</x:v>
      </x:c>
      <x:c r="Y658" s="216" t="n">
        <x:v>23</x:v>
      </x:c>
    </x:row>
    <x:row r="659">
      <x:c r="A659" s="217" t="n">
        <x:v>236</x:v>
      </x:c>
      <x:c r="B659" s="217" t="str">
        <x:v>捷運江子翠站(1號出口)</x:v>
      </x:c>
      <x:c r="C659" s="217" t="str">
        <x:v>板橋區</x:v>
      </x:c>
      <x:c r="D659" s="217" t="n">
        <x:v>13</x:v>
      </x:c>
      <x:c r="E659" s="217" t="n">
        <x:v>120</x:v>
      </x:c>
      <x:c r="F659" s="218" t="n">
        <x:v>0.9994791666666667</x:v>
      </x:c>
      <x:c r="G659" s="217" t="n">
        <x:v>655</x:v>
      </x:c>
      <x:c r="H659" s="217" t="str">
        <x:f>IF(G659&lt;='排名定義'!$B$5,"是","")</x:f>
        <x:v>是</x:v>
      </x:c>
      <x:c r="I659" s="217" t="n">
        <x:v>647</x:v>
      </x:c>
      <x:c r="J659" s="217" t="str">
        <x:f>IF(I659&lt;='排名定義'!$B$5,"是","")</x:f>
        <x:v>是</x:v>
      </x:c>
      <x:c r="K659" s="217" t="n">
        <x:v>747</x:v>
      </x:c>
      <x:c r="L659" s="217" t="str">
        <x:f>IF(K659&lt;='排名定義'!$B$5,"是","")</x:f>
        <x:v>是</x:v>
      </x:c>
      <x:c r="M659" s="217" t="n">
        <x:f>COUNTIF(H659:L659,"是")</x:f>
        <x:v>3</x:v>
      </x:c>
      <x:c r="N659" s="217" t="str">
        <x:v>三份皆未入選</x:v>
      </x:c>
      <x:c r="O659" s="220" t="n">
        <x:v>54.733333333333334</x:v>
      </x:c>
      <x:c r="P659" s="220" t="n">
        <x:v>50.583333333333336</x:v>
      </x:c>
      <x:c r="Q659" s="220" t="n">
        <x:v>4.15</x:v>
      </x:c>
      <x:c r="R659" s="220" t="n">
        <x:v>0.07582216808769793</x:v>
      </x:c>
      <x:c r="S659" s="220" t="n">
        <x:v>66.96774193548387</x:v>
      </x:c>
      <x:c r="T659" s="220" t="n">
        <x:v>64.2258064516129</x:v>
      </x:c>
      <x:c r="U659" s="220" t="n">
        <x:v>2.7419354838709675</x:v>
      </x:c>
      <x:c r="V659" s="218" t="n">
        <x:v>0.2926267281105991</x:v>
      </x:c>
      <x:c r="W659" s="217" t="n">
        <x:v>95</x:v>
      </x:c>
      <x:c r="X659" s="222" t="n">
        <x:v>12630</x:v>
      </x:c>
      <x:c r="Y659" s="217" t="n">
        <x:v>13</x:v>
      </x:c>
    </x:row>
    <x:row r="660">
      <x:c r="A660" s="216" t="n">
        <x:v>1044</x:v>
      </x:c>
      <x:c r="B660" s="216" t="str">
        <x:v>三峽國光青年社會住宅</x:v>
      </x:c>
      <x:c r="C660" s="216" t="str">
        <x:v>三峽區</x:v>
      </x:c>
      <x:c r="D660" s="216" t="n">
        <x:v>30</x:v>
      </x:c>
      <x:c r="E660" s="216" t="n">
        <x:v>120</x:v>
      </x:c>
      <x:c r="F660" s="219" t="n">
        <x:v>0.9994791666666667</x:v>
      </x:c>
      <x:c r="G660" s="216" t="n">
        <x:v>656</x:v>
      </x:c>
      <x:c r="H660" s="216" t="str">
        <x:f>IF(G660&lt;='排名定義'!$B$5,"是","")</x:f>
        <x:v>是</x:v>
      </x:c>
      <x:c r="I660" s="216" t="n">
        <x:v>650</x:v>
      </x:c>
      <x:c r="J660" s="216" t="str">
        <x:f>IF(I660&lt;='排名定義'!$B$5,"是","")</x:f>
        <x:v>是</x:v>
      </x:c>
      <x:c r="K660" s="216" t="n">
        <x:v>620</x:v>
      </x:c>
      <x:c r="L660" s="216" t="str">
        <x:f>IF(K660&lt;='排名定義'!$B$5,"是","")</x:f>
        <x:v>是</x:v>
      </x:c>
      <x:c r="M660" s="216" t="n">
        <x:f>COUNTIF(H660:L660,"是")</x:f>
        <x:v>3</x:v>
      </x:c>
      <x:c r="N660" s="216" t="str">
        <x:v>三份皆未入選</x:v>
      </x:c>
      <x:c r="O660" s="221" t="n">
        <x:v>54.61666666666667</x:v>
      </x:c>
      <x:c r="P660" s="221" t="n">
        <x:v>50.03333333333333</x:v>
      </x:c>
      <x:c r="Q660" s="221" t="n">
        <x:v>4.583333333333333</x:v>
      </x:c>
      <x:c r="R660" s="221" t="n">
        <x:v>0.08391821788220934</x:v>
      </x:c>
      <x:c r="S660" s="221" t="n">
        <x:v>91.38709677419355</x:v>
      </x:c>
      <x:c r="T660" s="221" t="n">
        <x:v>87.54838709677419</x:v>
      </x:c>
      <x:c r="U660" s="221" t="n">
        <x:v>3.838709677419355</x:v>
      </x:c>
      <x:c r="V660" s="219" t="n">
        <x:v>0.01152073732718894</x:v>
      </x:c>
      <x:c r="W660" s="216" t="n">
        <x:v>3</x:v>
      </x:c>
      <x:c r="X660" s="223" t="n">
        <x:v>660</x:v>
      </x:c>
      <x:c r="Y660" s="216" t="n">
        <x:v>30</x:v>
      </x:c>
    </x:row>
    <x:row r="661">
      <x:c r="A661" s="217" t="n">
        <x:v>601</x:v>
      </x:c>
      <x:c r="B661" s="217" t="str">
        <x:v>樹林藝文綜合行政大樓停車場</x:v>
      </x:c>
      <x:c r="C661" s="217" t="str">
        <x:v>樹林區</x:v>
      </x:c>
      <x:c r="D661" s="217" t="n">
        <x:v>18</x:v>
      </x:c>
      <x:c r="E661" s="217" t="n">
        <x:v>120</x:v>
      </x:c>
      <x:c r="F661" s="218" t="n">
        <x:v>0.9994791666666667</x:v>
      </x:c>
      <x:c r="G661" s="217" t="n">
        <x:v>657</x:v>
      </x:c>
      <x:c r="H661" s="217" t="str">
        <x:f>IF(G661&lt;='排名定義'!$B$5,"是","")</x:f>
        <x:v>是</x:v>
      </x:c>
      <x:c r="I661" s="217" t="n">
        <x:v>658</x:v>
      </x:c>
      <x:c r="J661" s="217" t="str">
        <x:f>IF(I661&lt;='排名定義'!$B$5,"是","")</x:f>
        <x:v>是</x:v>
      </x:c>
      <x:c r="K661" s="217" t="n">
        <x:v>623</x:v>
      </x:c>
      <x:c r="L661" s="217" t="str">
        <x:f>IF(K661&lt;='排名定義'!$B$5,"是","")</x:f>
        <x:v>是</x:v>
      </x:c>
      <x:c r="M661" s="217" t="n">
        <x:f>COUNTIF(H661:L661,"是")</x:f>
        <x:v>3</x:v>
      </x:c>
      <x:c r="N661" s="217" t="str">
        <x:v>三份皆未入選</x:v>
      </x:c>
      <x:c r="O661" s="220" t="n">
        <x:v>54.38333333333333</x:v>
      </x:c>
      <x:c r="P661" s="220" t="n">
        <x:v>49.80833333333333</x:v>
      </x:c>
      <x:c r="Q661" s="220" t="n">
        <x:v>4.575</x:v>
      </x:c>
      <x:c r="R661" s="220" t="n">
        <x:v>0.08412503830830524</x:v>
      </x:c>
      <x:c r="S661" s="220" t="n">
        <x:v>80.38709677419355</x:v>
      </x:c>
      <x:c r="T661" s="220" t="n">
        <x:v>76.03225806451613</x:v>
      </x:c>
      <x:c r="U661" s="220" t="n">
        <x:v>4.354838709677419</x:v>
      </x:c>
      <x:c r="V661" s="218" t="n">
        <x:v>0.09907834101382489</x:v>
      </x:c>
      <x:c r="W661" s="217" t="n">
        <x:v>25</x:v>
      </x:c>
      <x:c r="X661" s="222" t="n">
        <x:v>4050</x:v>
      </x:c>
      <x:c r="Y661" s="217" t="n">
        <x:v>18</x:v>
      </x:c>
    </x:row>
    <x:row r="662">
      <x:c r="A662" s="216" t="n">
        <x:v>593</x:v>
      </x:c>
      <x:c r="B662" s="216" t="str">
        <x:v>龍三鳳鳴路口</x:v>
      </x:c>
      <x:c r="C662" s="216" t="str">
        <x:v>鶯歌區</x:v>
      </x:c>
      <x:c r="D662" s="216" t="n">
        <x:v>18</x:v>
      </x:c>
      <x:c r="E662" s="216" t="n">
        <x:v>120</x:v>
      </x:c>
      <x:c r="F662" s="219" t="n">
        <x:v>0.9994791666666667</x:v>
      </x:c>
      <x:c r="G662" s="216" t="n">
        <x:v>658</x:v>
      </x:c>
      <x:c r="H662" s="216" t="str">
        <x:f>IF(G662&lt;='排名定義'!$B$5,"是","")</x:f>
        <x:v>是</x:v>
      </x:c>
      <x:c r="I662" s="216" t="n">
        <x:v>649</x:v>
      </x:c>
      <x:c r="J662" s="216" t="str">
        <x:f>IF(I662&lt;='排名定義'!$B$5,"是","")</x:f>
        <x:v>是</x:v>
      </x:c>
      <x:c r="K662" s="216" t="n">
        <x:v>786</x:v>
      </x:c>
      <x:c r="L662" s="216" t="str">
        <x:f>IF(K662&lt;='排名定義'!$B$5,"是","")</x:f>
        <x:v>是</x:v>
      </x:c>
      <x:c r="M662" s="216" t="n">
        <x:f>COUNTIF(H662:L662,"是")</x:f>
        <x:v>3</x:v>
      </x:c>
      <x:c r="N662" s="216" t="str">
        <x:v>三份皆未入選</x:v>
      </x:c>
      <x:c r="O662" s="221" t="n">
        <x:v>54.375</x:v>
      </x:c>
      <x:c r="P662" s="221" t="n">
        <x:v>50.35</x:v>
      </x:c>
      <x:c r="Q662" s="221" t="n">
        <x:v>4.025</x:v>
      </x:c>
      <x:c r="R662" s="221" t="n">
        <x:v>0.07402298850574712</x:v>
      </x:c>
      <x:c r="S662" s="221" t="n">
        <x:v>76.29032258064517</x:v>
      </x:c>
      <x:c r="T662" s="221" t="n">
        <x:v>71.29032258064517</x:v>
      </x:c>
      <x:c r="U662" s="221" t="n">
        <x:v>5</x:v>
      </x:c>
      <x:c r="V662" s="219" t="n">
        <x:v>0.04608294930875576</x:v>
      </x:c>
      <x:c r="W662" s="216" t="n">
        <x:v>7</x:v>
      </x:c>
      <x:c r="X662" s="223" t="n">
        <x:v>990</x:v>
      </x:c>
      <x:c r="Y662" s="216" t="n">
        <x:v>18</x:v>
      </x:c>
    </x:row>
    <x:row r="663">
      <x:c r="A663" s="217" t="n">
        <x:v>622</x:v>
      </x:c>
      <x:c r="B663" s="217" t="str">
        <x:v>學成大德路口</x:v>
      </x:c>
      <x:c r="C663" s="217" t="str">
        <x:v>三峽區</x:v>
      </x:c>
      <x:c r="D663" s="217" t="n">
        <x:v>19</x:v>
      </x:c>
      <x:c r="E663" s="217" t="n">
        <x:v>120</x:v>
      </x:c>
      <x:c r="F663" s="218" t="n">
        <x:v>0.9994791666666667</x:v>
      </x:c>
      <x:c r="G663" s="217" t="n">
        <x:v>659</x:v>
      </x:c>
      <x:c r="H663" s="217" t="str">
        <x:f>IF(G663&lt;='排名定義'!$B$5,"是","")</x:f>
        <x:v>是</x:v>
      </x:c>
      <x:c r="I663" s="217" t="n">
        <x:v>653</x:v>
      </x:c>
      <x:c r="J663" s="217" t="str">
        <x:f>IF(I663&lt;='排名定義'!$B$5,"是","")</x:f>
        <x:v>是</x:v>
      </x:c>
      <x:c r="K663" s="217" t="n">
        <x:v>724</x:v>
      </x:c>
      <x:c r="L663" s="217" t="str">
        <x:f>IF(K663&lt;='排名定義'!$B$5,"是","")</x:f>
        <x:v>是</x:v>
      </x:c>
      <x:c r="M663" s="217" t="n">
        <x:f>COUNTIF(H663:L663,"是")</x:f>
        <x:v>3</x:v>
      </x:c>
      <x:c r="N663" s="217" t="str">
        <x:v>三份皆未入選</x:v>
      </x:c>
      <x:c r="O663" s="220" t="n">
        <x:v>54.141666666666666</x:v>
      </x:c>
      <x:c r="P663" s="220" t="n">
        <x:v>49.90833333333333</x:v>
      </x:c>
      <x:c r="Q663" s="220" t="n">
        <x:v>4.233333333333333</x:v>
      </x:c>
      <x:c r="R663" s="220" t="n">
        <x:v>0.07818993381560721</x:v>
      </x:c>
      <x:c r="S663" s="220" t="n">
        <x:v>83.58064516129032</x:v>
      </x:c>
      <x:c r="T663" s="220" t="n">
        <x:v>78.7741935483871</x:v>
      </x:c>
      <x:c r="U663" s="220" t="n">
        <x:v>4.806451612903226</x:v>
      </x:c>
      <x:c r="V663" s="218" t="n">
        <x:v>0.059907834101382486</x:v>
      </x:c>
      <x:c r="W663" s="217" t="n">
        <x:v>16</x:v>
      </x:c>
      <x:c r="X663" s="222" t="n">
        <x:v>2280</x:v>
      </x:c>
      <x:c r="Y663" s="217" t="n">
        <x:v>19</x:v>
      </x:c>
    </x:row>
    <x:row r="664">
      <x:c r="A664" s="216" t="n">
        <x:v>771</x:v>
      </x:c>
      <x:c r="B664" s="216" t="str">
        <x:v>永平公園(東南側)</x:v>
      </x:c>
      <x:c r="C664" s="216" t="str">
        <x:v>蘆洲區</x:v>
      </x:c>
      <x:c r="D664" s="216" t="n">
        <x:v>21</x:v>
      </x:c>
      <x:c r="E664" s="216" t="n">
        <x:v>120</x:v>
      </x:c>
      <x:c r="F664" s="219" t="n">
        <x:v>0.9994791666666667</x:v>
      </x:c>
      <x:c r="G664" s="216" t="n">
        <x:v>660</x:v>
      </x:c>
      <x:c r="H664" s="216" t="str">
        <x:f>IF(G664&lt;='排名定義'!$B$5,"是","")</x:f>
        <x:v>是</x:v>
      </x:c>
      <x:c r="I664" s="216" t="n">
        <x:v>656</x:v>
      </x:c>
      <x:c r="J664" s="216" t="str">
        <x:f>IF(I664&lt;='排名定義'!$B$5,"是","")</x:f>
        <x:v>是</x:v>
      </x:c>
      <x:c r="K664" s="216" t="n">
        <x:v>709</x:v>
      </x:c>
      <x:c r="L664" s="216" t="str">
        <x:f>IF(K664&lt;='排名定義'!$B$5,"是","")</x:f>
        <x:v>是</x:v>
      </x:c>
      <x:c r="M664" s="216" t="n">
        <x:f>COUNTIF(H664:L664,"是")</x:f>
        <x:v>3</x:v>
      </x:c>
      <x:c r="N664" s="216" t="str">
        <x:v>三份皆未入選</x:v>
      </x:c>
      <x:c r="O664" s="221" t="n">
        <x:v>54.1</x:v>
      </x:c>
      <x:c r="P664" s="221" t="n">
        <x:v>49.825</x:v>
      </x:c>
      <x:c r="Q664" s="221" t="n">
        <x:v>4.275</x:v>
      </x:c>
      <x:c r="R664" s="221" t="n">
        <x:v>0.07902033271719039</x:v>
      </x:c>
      <x:c r="S664" s="221" t="n">
        <x:v>70.3225806451613</x:v>
      </x:c>
      <x:c r="T664" s="221" t="n">
        <x:v>66.54838709677419</x:v>
      </x:c>
      <x:c r="U664" s="221" t="n">
        <x:v>3.774193548387097</x:v>
      </x:c>
      <x:c r="V664" s="219" t="n">
        <x:v>0.12211981566820276</x:v>
      </x:c>
      <x:c r="W664" s="216" t="n">
        <x:v>27</x:v>
      </x:c>
      <x:c r="X664" s="223" t="n">
        <x:v>3210</x:v>
      </x:c>
      <x:c r="Y664" s="216" t="n">
        <x:v>21</x:v>
      </x:c>
    </x:row>
    <x:row r="665">
      <x:c r="A665" s="217" t="n">
        <x:v>843</x:v>
      </x:c>
      <x:c r="B665" s="217" t="str">
        <x:v>臺北大學公共事務大樓(公政大道)</x:v>
      </x:c>
      <x:c r="C665" s="217" t="str">
        <x:v>三峽區</x:v>
      </x:c>
      <x:c r="D665" s="217" t="n">
        <x:v>23</x:v>
      </x:c>
      <x:c r="E665" s="217" t="n">
        <x:v>120</x:v>
      </x:c>
      <x:c r="F665" s="218" t="n">
        <x:v>0.9994791666666667</x:v>
      </x:c>
      <x:c r="G665" s="217" t="n">
        <x:v>661</x:v>
      </x:c>
      <x:c r="H665" s="217" t="str">
        <x:f>IF(G665&lt;='排名定義'!$B$5,"是","")</x:f>
        <x:v>是</x:v>
      </x:c>
      <x:c r="I665" s="217" t="n">
        <x:v>675</x:v>
      </x:c>
      <x:c r="J665" s="217" t="str">
        <x:f>IF(I665&lt;='排名定義'!$B$5,"是","")</x:f>
        <x:v>是</x:v>
      </x:c>
      <x:c r="K665" s="217" t="n">
        <x:v>497</x:v>
      </x:c>
      <x:c r="L665" s="217" t="str">
        <x:f>IF(K665&lt;='排名定義'!$B$5,"是","")</x:f>
        <x:v>是</x:v>
      </x:c>
      <x:c r="M665" s="217" t="n">
        <x:f>COUNTIF(H665:L665,"是")</x:f>
        <x:v>3</x:v>
      </x:c>
      <x:c r="N665" s="217" t="str">
        <x:v>三份皆未入選</x:v>
      </x:c>
      <x:c r="O665" s="220" t="n">
        <x:v>54.05</x:v>
      </x:c>
      <x:c r="P665" s="220" t="n">
        <x:v>48.891666666666666</x:v>
      </x:c>
      <x:c r="Q665" s="220" t="n">
        <x:v>5.158333333333333</x:v>
      </x:c>
      <x:c r="R665" s="220" t="n">
        <x:v>0.09543632439099599</x:v>
      </x:c>
      <x:c r="S665" s="220" t="n">
        <x:v>98.16129032258064</x:v>
      </x:c>
      <x:c r="T665" s="220" t="n">
        <x:v>91.90322580645162</x:v>
      </x:c>
      <x:c r="U665" s="220" t="n">
        <x:v>6.258064516129032</x:v>
      </x:c>
      <x:c r="V665" s="218" t="n">
        <x:v>0.02304147465437788</x:v>
      </x:c>
      <x:c r="W665" s="217" t="n">
        <x:v>9</x:v>
      </x:c>
      <x:c r="X665" s="222" t="n">
        <x:v>930</x:v>
      </x:c>
      <x:c r="Y665" s="217" t="n">
        <x:v>23</x:v>
      </x:c>
    </x:row>
    <x:row r="666">
      <x:c r="A666" s="216" t="n">
        <x:v>949</x:v>
      </x:c>
      <x:c r="B666" s="216" t="str">
        <x:v>光明市場</x:v>
      </x:c>
      <x:c r="C666" s="216" t="str">
        <x:v>三重區</x:v>
      </x:c>
      <x:c r="D666" s="216" t="n">
        <x:v>27</x:v>
      </x:c>
      <x:c r="E666" s="216" t="n">
        <x:v>120</x:v>
      </x:c>
      <x:c r="F666" s="219" t="n">
        <x:v>0.9994791666666667</x:v>
      </x:c>
      <x:c r="G666" s="216" t="n">
        <x:v>662</x:v>
      </x:c>
      <x:c r="H666" s="216" t="str">
        <x:f>IF(G666&lt;='排名定義'!$B$5,"是","")</x:f>
        <x:v>是</x:v>
      </x:c>
      <x:c r="I666" s="216" t="n">
        <x:v>663</x:v>
      </x:c>
      <x:c r="J666" s="216" t="str">
        <x:f>IF(I666&lt;='排名定義'!$B$5,"是","")</x:f>
        <x:v>是</x:v>
      </x:c>
      <x:c r="K666" s="216" t="n">
        <x:v>672</x:v>
      </x:c>
      <x:c r="L666" s="216" t="str">
        <x:f>IF(K666&lt;='排名定義'!$B$5,"是","")</x:f>
        <x:v>是</x:v>
      </x:c>
      <x:c r="M666" s="216" t="n">
        <x:f>COUNTIF(H666:L666,"是")</x:f>
        <x:v>3</x:v>
      </x:c>
      <x:c r="N666" s="216" t="str">
        <x:v>三份皆未入選</x:v>
      </x:c>
      <x:c r="O666" s="221" t="n">
        <x:v>54.03333333333333</x:v>
      </x:c>
      <x:c r="P666" s="221" t="n">
        <x:v>49.63333333333333</x:v>
      </x:c>
      <x:c r="Q666" s="221" t="n">
        <x:v>4.4</x:v>
      </x:c>
      <x:c r="R666" s="221" t="n">
        <x:v>0.08143121529919803</x:v>
      </x:c>
      <x:c r="S666" s="221" t="n">
        <x:v>78.09677419354838</x:v>
      </x:c>
      <x:c r="T666" s="221" t="n">
        <x:v>73.2258064516129</x:v>
      </x:c>
      <x:c r="U666" s="221" t="n">
        <x:v>4.870967741935484</x:v>
      </x:c>
      <x:c r="V666" s="219" t="n">
        <x:v>0.020737327188940093</x:v>
      </x:c>
      <x:c r="W666" s="216" t="n">
        <x:v>2</x:v>
      </x:c>
      <x:c r="X666" s="223" t="n">
        <x:v>630</x:v>
      </x:c>
      <x:c r="Y666" s="216" t="n">
        <x:v>27</x:v>
      </x:c>
    </x:row>
    <x:row r="667">
      <x:c r="A667" s="217" t="n">
        <x:v>1449</x:v>
      </x:c>
      <x:c r="B667" s="217" t="str">
        <x:v>遠雄左岸</x:v>
      </x:c>
      <x:c r="C667" s="217" t="str">
        <x:v>中和區</x:v>
      </x:c>
      <x:c r="D667" s="217" t="n">
        <x:v>50</x:v>
      </x:c>
      <x:c r="E667" s="217" t="n">
        <x:v>120</x:v>
      </x:c>
      <x:c r="F667" s="218" t="n">
        <x:v>0.9994791666666667</x:v>
      </x:c>
      <x:c r="G667" s="217" t="n">
        <x:v>663</x:v>
      </x:c>
      <x:c r="H667" s="217" t="str">
        <x:f>IF(G667&lt;='排名定義'!$B$5,"是","")</x:f>
        <x:v>是</x:v>
      </x:c>
      <x:c r="I667" s="217" t="n">
        <x:v>661</x:v>
      </x:c>
      <x:c r="J667" s="217" t="str">
        <x:f>IF(I667&lt;='排名定義'!$B$5,"是","")</x:f>
        <x:v>是</x:v>
      </x:c>
      <x:c r="K667" s="217" t="n">
        <x:v>704</x:v>
      </x:c>
      <x:c r="L667" s="217" t="str">
        <x:f>IF(K667&lt;='排名定義'!$B$5,"是","")</x:f>
        <x:v>是</x:v>
      </x:c>
      <x:c r="M667" s="217" t="n">
        <x:f>COUNTIF(H667:L667,"是")</x:f>
        <x:v>3</x:v>
      </x:c>
      <x:c r="N667" s="217" t="str">
        <x:v>三份皆未入選</x:v>
      </x:c>
      <x:c r="O667" s="220" t="n">
        <x:v>54.03333333333333</x:v>
      </x:c>
      <x:c r="P667" s="220" t="n">
        <x:v>49.74166666666667</x:v>
      </x:c>
      <x:c r="Q667" s="220" t="n">
        <x:v>4.291666666666667</x:v>
      </x:c>
      <x:c r="R667" s="220" t="n">
        <x:v>0.07942628007402838</x:v>
      </x:c>
      <x:c r="S667" s="220" t="n">
        <x:v>93.74193548387096</x:v>
      </x:c>
      <x:c r="T667" s="220" t="n">
        <x:v>89.25806451612904</x:v>
      </x:c>
      <x:c r="U667" s="220" t="n">
        <x:v>4.483870967741935</x:v>
      </x:c>
      <x:c r="V667" s="218" t="n">
        <x:v>0.009216589861751152</x:v>
      </x:c>
      <x:c r="W667" s="217" t="n">
        <x:v>1</x:v>
      </x:c>
      <x:c r="X667" s="222" t="n">
        <x:v>210</x:v>
      </x:c>
      <x:c r="Y667" s="217" t="n">
        <x:v>50</x:v>
      </x:c>
    </x:row>
    <x:row r="668">
      <x:c r="A668" s="216" t="n">
        <x:v>615</x:v>
      </x:c>
      <x:c r="B668" s="216" t="str">
        <x:v>江翠國中活動中心地下停車場</x:v>
      </x:c>
      <x:c r="C668" s="216" t="str">
        <x:v>板橋區</x:v>
      </x:c>
      <x:c r="D668" s="216" t="n">
        <x:v>19</x:v>
      </x:c>
      <x:c r="E668" s="216" t="n">
        <x:v>120</x:v>
      </x:c>
      <x:c r="F668" s="219" t="n">
        <x:v>0.9994791666666667</x:v>
      </x:c>
      <x:c r="G668" s="216" t="n">
        <x:v>664</x:v>
      </x:c>
      <x:c r="H668" s="216" t="str">
        <x:f>IF(G668&lt;='排名定義'!$B$5,"是","")</x:f>
        <x:v>是</x:v>
      </x:c>
      <x:c r="I668" s="216" t="n">
        <x:v>659</x:v>
      </x:c>
      <x:c r="J668" s="216" t="str">
        <x:f>IF(I668&lt;='排名定義'!$B$5,"是","")</x:f>
        <x:v>是</x:v>
      </x:c>
      <x:c r="K668" s="216" t="n">
        <x:v>744</x:v>
      </x:c>
      <x:c r="L668" s="216" t="str">
        <x:f>IF(K668&lt;='排名定義'!$B$5,"是","")</x:f>
        <x:v>是</x:v>
      </x:c>
      <x:c r="M668" s="216" t="n">
        <x:f>COUNTIF(H668:L668,"是")</x:f>
        <x:v>3</x:v>
      </x:c>
      <x:c r="N668" s="216" t="str">
        <x:v>三份皆未入選</x:v>
      </x:c>
      <x:c r="O668" s="221" t="n">
        <x:v>53.93333333333333</x:v>
      </x:c>
      <x:c r="P668" s="221" t="n">
        <x:v>49.775</x:v>
      </x:c>
      <x:c r="Q668" s="221" t="n">
        <x:v>4.158333333333333</x:v>
      </x:c>
      <x:c r="R668" s="221" t="n">
        <x:v>0.07710135970333745</x:v>
      </x:c>
      <x:c r="S668" s="221" t="n">
        <x:v>70.83870967741936</x:v>
      </x:c>
      <x:c r="T668" s="221" t="n">
        <x:v>67.35483870967742</x:v>
      </x:c>
      <x:c r="U668" s="221" t="n">
        <x:v>3.4838709677419355</x:v>
      </x:c>
      <x:c r="V668" s="219" t="n">
        <x:v>0.15668202764976957</x:v>
      </x:c>
      <x:c r="W668" s="216" t="n">
        <x:v>43</x:v>
      </x:c>
      <x:c r="X668" s="223" t="n">
        <x:v>5310</x:v>
      </x:c>
      <x:c r="Y668" s="216" t="n">
        <x:v>19</x:v>
      </x:c>
    </x:row>
    <x:row r="669">
      <x:c r="A669" s="217" t="n">
        <x:v>1173</x:v>
      </x:c>
      <x:c r="B669" s="217" t="str">
        <x:v>中興北街175巷口</x:v>
      </x:c>
      <x:c r="C669" s="217" t="str">
        <x:v>三重區</x:v>
      </x:c>
      <x:c r="D669" s="217" t="n">
        <x:v>36</x:v>
      </x:c>
      <x:c r="E669" s="217" t="n">
        <x:v>120</x:v>
      </x:c>
      <x:c r="F669" s="218" t="n">
        <x:v>0.9994791666666667</x:v>
      </x:c>
      <x:c r="G669" s="217" t="n">
        <x:v>665</x:v>
      </x:c>
      <x:c r="H669" s="217" t="str">
        <x:f>IF(G669&lt;='排名定義'!$B$5,"是","")</x:f>
        <x:v>是</x:v>
      </x:c>
      <x:c r="I669" s="217" t="n">
        <x:v>669</x:v>
      </x:c>
      <x:c r="J669" s="217" t="str">
        <x:f>IF(I669&lt;='排名定義'!$B$5,"是","")</x:f>
        <x:v>是</x:v>
      </x:c>
      <x:c r="K669" s="217" t="n">
        <x:v>632</x:v>
      </x:c>
      <x:c r="L669" s="217" t="str">
        <x:f>IF(K669&lt;='排名定義'!$B$5,"是","")</x:f>
        <x:v>是</x:v>
      </x:c>
      <x:c r="M669" s="217" t="n">
        <x:f>COUNTIF(H669:L669,"是")</x:f>
        <x:v>3</x:v>
      </x:c>
      <x:c r="N669" s="217" t="str">
        <x:v>三份皆未入選</x:v>
      </x:c>
      <x:c r="O669" s="220" t="n">
        <x:v>53.875</x:v>
      </x:c>
      <x:c r="P669" s="220" t="n">
        <x:v>49.34166666666667</x:v>
      </x:c>
      <x:c r="Q669" s="220" t="n">
        <x:v>4.533333333333333</x:v>
      </x:c>
      <x:c r="R669" s="220" t="n">
        <x:v>0.08414539829853054</x:v>
      </x:c>
      <x:c r="S669" s="220" t="n">
        <x:v>79.58064516129032</x:v>
      </x:c>
      <x:c r="T669" s="220" t="n">
        <x:v>75.35483870967742</x:v>
      </x:c>
      <x:c r="U669" s="220" t="n">
        <x:v>4.225806451612903</x:v>
      </x:c>
      <x:c r="V669" s="218" t="n">
        <x:v>0.027649769585253458</x:v>
      </x:c>
      <x:c r="W669" s="217" t="n">
        <x:v>2</x:v>
      </x:c>
      <x:c r="X669" s="222" t="n">
        <x:v>450</x:v>
      </x:c>
      <x:c r="Y669" s="217" t="n">
        <x:v>36</x:v>
      </x:c>
    </x:row>
    <x:row r="670">
      <x:c r="A670" s="216" t="n">
        <x:v>941</x:v>
      </x:c>
      <x:c r="B670" s="216" t="str">
        <x:v>新泰游泳池</x:v>
      </x:c>
      <x:c r="C670" s="216" t="str">
        <x:v>新莊區</x:v>
      </x:c>
      <x:c r="D670" s="216" t="n">
        <x:v>40</x:v>
      </x:c>
      <x:c r="E670" s="216" t="n">
        <x:v>120</x:v>
      </x:c>
      <x:c r="F670" s="219" t="n">
        <x:v>0.9994791666666667</x:v>
      </x:c>
      <x:c r="G670" s="216" t="n">
        <x:v>666</x:v>
      </x:c>
      <x:c r="H670" s="216" t="str">
        <x:f>IF(G670&lt;='排名定義'!$B$5,"是","")</x:f>
        <x:v>是</x:v>
      </x:c>
      <x:c r="I670" s="216" t="n">
        <x:v>667</x:v>
      </x:c>
      <x:c r="J670" s="216" t="str">
        <x:f>IF(I670&lt;='排名定義'!$B$5,"是","")</x:f>
        <x:v>是</x:v>
      </x:c>
      <x:c r="K670" s="216" t="n">
        <x:v>727</x:v>
      </x:c>
      <x:c r="L670" s="216" t="str">
        <x:f>IF(K670&lt;='排名定義'!$B$5,"是","")</x:f>
        <x:v>是</x:v>
      </x:c>
      <x:c r="M670" s="216" t="n">
        <x:f>COUNTIF(H670:L670,"是")</x:f>
        <x:v>3</x:v>
      </x:c>
      <x:c r="N670" s="216" t="str">
        <x:v>三份皆未入選</x:v>
      </x:c>
      <x:c r="O670" s="221" t="n">
        <x:v>53.65833333333333</x:v>
      </x:c>
      <x:c r="P670" s="221" t="n">
        <x:v>49.43333333333333</x:v>
      </x:c>
      <x:c r="Q670" s="221" t="n">
        <x:v>4.225</x:v>
      </x:c>
      <x:c r="R670" s="221" t="n">
        <x:v>0.07873893461717658</x:v>
      </x:c>
      <x:c r="S670" s="221" t="n">
        <x:v>76.61290322580645</x:v>
      </x:c>
      <x:c r="T670" s="221" t="n">
        <x:v>72.90322580645162</x:v>
      </x:c>
      <x:c r="U670" s="221" t="n">
        <x:v>3.7096774193548385</x:v>
      </x:c>
      <x:c r="V670" s="219" t="n">
        <x:v>0.020737327188940093</x:v>
      </x:c>
      <x:c r="W670" s="216" t="n">
        <x:v>2</x:v>
      </x:c>
      <x:c r="X670" s="223" t="n">
        <x:v>480</x:v>
      </x:c>
      <x:c r="Y670" s="216" t="n">
        <x:v>40</x:v>
      </x:c>
    </x:row>
    <x:row r="671">
      <x:c r="A671" s="217" t="n">
        <x:v>1361</x:v>
      </x:c>
      <x:c r="B671" s="217" t="str">
        <x:v>安和公園</x:v>
      </x:c>
      <x:c r="C671" s="217" t="str">
        <x:v>新店區</x:v>
      </x:c>
      <x:c r="D671" s="217" t="n">
        <x:v>44</x:v>
      </x:c>
      <x:c r="E671" s="217" t="n">
        <x:v>120</x:v>
      </x:c>
      <x:c r="F671" s="218" t="n">
        <x:v>0.9994791666666667</x:v>
      </x:c>
      <x:c r="G671" s="217" t="n">
        <x:v>667</x:v>
      </x:c>
      <x:c r="H671" s="217" t="str">
        <x:f>IF(G671&lt;='排名定義'!$B$5,"是","")</x:f>
        <x:v>是</x:v>
      </x:c>
      <x:c r="I671" s="217" t="n">
        <x:v>680</x:v>
      </x:c>
      <x:c r="J671" s="217" t="str">
        <x:f>IF(I671&lt;='排名定義'!$B$5,"是","")</x:f>
        <x:v>是</x:v>
      </x:c>
      <x:c r="K671" s="217" t="n">
        <x:v>526</x:v>
      </x:c>
      <x:c r="L671" s="217" t="str">
        <x:f>IF(K671&lt;='排名定義'!$B$5,"是","")</x:f>
        <x:v>是</x:v>
      </x:c>
      <x:c r="M671" s="217" t="n">
        <x:f>COUNTIF(H671:L671,"是")</x:f>
        <x:v>3</x:v>
      </x:c>
      <x:c r="N671" s="217" t="str">
        <x:v>三份皆未入選</x:v>
      </x:c>
      <x:c r="O671" s="220" t="n">
        <x:v>53.65833333333333</x:v>
      </x:c>
      <x:c r="P671" s="220" t="n">
        <x:v>48.61666666666667</x:v>
      </x:c>
      <x:c r="Q671" s="220" t="n">
        <x:v>5.041666666666667</x:v>
      </x:c>
      <x:c r="R671" s="220" t="n">
        <x:v>0.09395868923745923</x:v>
      </x:c>
      <x:c r="S671" s="220" t="n">
        <x:v>83.3225806451613</x:v>
      </x:c>
      <x:c r="T671" s="220" t="n">
        <x:v>79.51612903225806</x:v>
      </x:c>
      <x:c r="U671" s="220" t="n">
        <x:v>3.806451612903226</x:v>
      </x:c>
      <x:c r="V671" s="218" t="n">
        <x:v>0.018433179723502304</x:v>
      </x:c>
      <x:c r="W671" s="217" t="n">
        <x:v>4</x:v>
      </x:c>
      <x:c r="X671" s="222" t="n">
        <x:v>630</x:v>
      </x:c>
      <x:c r="Y671" s="217" t="n">
        <x:v>44</x:v>
      </x:c>
    </x:row>
    <x:row r="672">
      <x:c r="A672" s="216" t="n">
        <x:v>349</x:v>
      </x:c>
      <x:c r="B672" s="216" t="str">
        <x:v>學勤大觀路口</x:v>
      </x:c>
      <x:c r="C672" s="216" t="str">
        <x:v>三峽區</x:v>
      </x:c>
      <x:c r="D672" s="216" t="n">
        <x:v>15</x:v>
      </x:c>
      <x:c r="E672" s="216" t="n">
        <x:v>120</x:v>
      </x:c>
      <x:c r="F672" s="219" t="n">
        <x:v>0.9994791666666667</x:v>
      </x:c>
      <x:c r="G672" s="216" t="n">
        <x:v>668</x:v>
      </x:c>
      <x:c r="H672" s="216" t="str">
        <x:f>IF(G672&lt;='排名定義'!$B$5,"是","")</x:f>
        <x:v>是</x:v>
      </x:c>
      <x:c r="I672" s="216" t="n">
        <x:v>657</x:v>
      </x:c>
      <x:c r="J672" s="216" t="str">
        <x:f>IF(I672&lt;='排名定義'!$B$5,"是","")</x:f>
        <x:v>是</x:v>
      </x:c>
      <x:c r="K672" s="216" t="n">
        <x:v>919</x:v>
      </x:c>
      <x:c r="L672" s="216" t="str">
        <x:f>IF(K672&lt;='排名定義'!$B$5,"是","")</x:f>
        <x:v>是</x:v>
      </x:c>
      <x:c r="M672" s="216" t="n">
        <x:f>COUNTIF(H672:L672,"是")</x:f>
        <x:v>3</x:v>
      </x:c>
      <x:c r="N672" s="216" t="str">
        <x:v>三份皆未入選</x:v>
      </x:c>
      <x:c r="O672" s="221" t="n">
        <x:v>53.46666666666667</x:v>
      </x:c>
      <x:c r="P672" s="221" t="n">
        <x:v>49.80833333333333</x:v>
      </x:c>
      <x:c r="Q672" s="221" t="n">
        <x:v>3.658333333333333</x:v>
      </x:c>
      <x:c r="R672" s="221" t="n">
        <x:v>0.06842269326683292</x:v>
      </x:c>
      <x:c r="S672" s="221" t="n">
        <x:v>84.45161290322581</x:v>
      </x:c>
      <x:c r="T672" s="221" t="n">
        <x:v>80.80645161290323</x:v>
      </x:c>
      <x:c r="U672" s="221" t="n">
        <x:v>3.6451612903225805</x:v>
      </x:c>
      <x:c r="V672" s="219" t="n">
        <x:v>0.11290322580645161</x:v>
      </x:c>
      <x:c r="W672" s="216" t="n">
        <x:v>26</x:v>
      </x:c>
      <x:c r="X672" s="223" t="n">
        <x:v>4050</x:v>
      </x:c>
      <x:c r="Y672" s="216" t="n">
        <x:v>15</x:v>
      </x:c>
    </x:row>
    <x:row r="673">
      <x:c r="A673" s="217" t="n">
        <x:v>1088</x:v>
      </x:c>
      <x:c r="B673" s="217" t="str">
        <x:v>水河里活動中心</x:v>
      </x:c>
      <x:c r="C673" s="217" t="str">
        <x:v>蘆洲區</x:v>
      </x:c>
      <x:c r="D673" s="217" t="n">
        <x:v>31</x:v>
      </x:c>
      <x:c r="E673" s="217" t="n">
        <x:v>120</x:v>
      </x:c>
      <x:c r="F673" s="218" t="n">
        <x:v>0.9994791666666667</x:v>
      </x:c>
      <x:c r="G673" s="217" t="n">
        <x:v>669</x:v>
      </x:c>
      <x:c r="H673" s="217" t="str">
        <x:f>IF(G673&lt;='排名定義'!$B$5,"是","")</x:f>
        <x:v>是</x:v>
      </x:c>
      <x:c r="I673" s="217" t="n">
        <x:v>670</x:v>
      </x:c>
      <x:c r="J673" s="217" t="str">
        <x:f>IF(I673&lt;='排名定義'!$B$5,"是","")</x:f>
        <x:v>是</x:v>
      </x:c>
      <x:c r="K673" s="217" t="n">
        <x:v>752</x:v>
      </x:c>
      <x:c r="L673" s="217" t="str">
        <x:f>IF(K673&lt;='排名定義'!$B$5,"是","")</x:f>
        <x:v>是</x:v>
      </x:c>
      <x:c r="M673" s="217" t="n">
        <x:f>COUNTIF(H673:L673,"是")</x:f>
        <x:v>3</x:v>
      </x:c>
      <x:c r="N673" s="217" t="str">
        <x:v>三份皆未入選</x:v>
      </x:c>
      <x:c r="O673" s="220" t="n">
        <x:v>53.425</x:v>
      </x:c>
      <x:c r="P673" s="220" t="n">
        <x:v>49.291666666666664</x:v>
      </x:c>
      <x:c r="Q673" s="220" t="n">
        <x:v>4.133333333333334</x:v>
      </x:c>
      <x:c r="R673" s="220" t="n">
        <x:v>0.0773670254250507</x:v>
      </x:c>
      <x:c r="S673" s="220" t="n">
        <x:v>73.93548387096774</x:v>
      </x:c>
      <x:c r="T673" s="220" t="n">
        <x:v>69.83870967741936</x:v>
      </x:c>
      <x:c r="U673" s="220" t="n">
        <x:v>4.096774193548387</x:v>
      </x:c>
      <x:c r="V673" s="218" t="n">
        <x:v>0.027649769585253458</x:v>
      </x:c>
      <x:c r="W673" s="217" t="n">
        <x:v>7</x:v>
      </x:c>
      <x:c r="X673" s="222" t="n">
        <x:v>1140</x:v>
      </x:c>
      <x:c r="Y673" s="217" t="n">
        <x:v>31</x:v>
      </x:c>
    </x:row>
    <x:row r="674">
      <x:c r="A674" s="216" t="n">
        <x:v>799</x:v>
      </x:c>
      <x:c r="B674" s="216" t="str">
        <x:v>彭厝市場</x:v>
      </x:c>
      <x:c r="C674" s="216" t="str">
        <x:v>樹林區</x:v>
      </x:c>
      <x:c r="D674" s="216" t="n">
        <x:v>22</x:v>
      </x:c>
      <x:c r="E674" s="216" t="n">
        <x:v>120</x:v>
      </x:c>
      <x:c r="F674" s="219" t="n">
        <x:v>0.9994791666666667</x:v>
      </x:c>
      <x:c r="G674" s="216" t="n">
        <x:v>670</x:v>
      </x:c>
      <x:c r="H674" s="216" t="str">
        <x:f>IF(G674&lt;='排名定義'!$B$5,"是","")</x:f>
        <x:v>是</x:v>
      </x:c>
      <x:c r="I674" s="216" t="n">
        <x:v>674</x:v>
      </x:c>
      <x:c r="J674" s="216" t="str">
        <x:f>IF(I674&lt;='排名定義'!$B$5,"是","")</x:f>
        <x:v>是</x:v>
      </x:c>
      <x:c r="K674" s="216" t="n">
        <x:v>701</x:v>
      </x:c>
      <x:c r="L674" s="216" t="str">
        <x:f>IF(K674&lt;='排名定義'!$B$5,"是","")</x:f>
        <x:v>是</x:v>
      </x:c>
      <x:c r="M674" s="216" t="n">
        <x:f>COUNTIF(H674:L674,"是")</x:f>
        <x:v>3</x:v>
      </x:c>
      <x:c r="N674" s="216" t="str">
        <x:v>三份皆未入選</x:v>
      </x:c>
      <x:c r="O674" s="221" t="n">
        <x:v>53.375</x:v>
      </x:c>
      <x:c r="P674" s="221" t="n">
        <x:v>49.083333333333336</x:v>
      </x:c>
      <x:c r="Q674" s="221" t="n">
        <x:v>4.291666666666667</x:v>
      </x:c>
      <x:c r="R674" s="221" t="n">
        <x:v>0.08040593286494926</x:v>
      </x:c>
      <x:c r="S674" s="221" t="n">
        <x:v>80.03225806451613</x:v>
      </x:c>
      <x:c r="T674" s="221" t="n">
        <x:v>76.09677419354838</x:v>
      </x:c>
      <x:c r="U674" s="221" t="n">
        <x:v>3.935483870967742</x:v>
      </x:c>
      <x:c r="V674" s="219" t="n">
        <x:v>0.04838709677419355</x:v>
      </x:c>
      <x:c r="W674" s="216" t="n">
        <x:v>10</x:v>
      </x:c>
      <x:c r="X674" s="223" t="n">
        <x:v>1350</x:v>
      </x:c>
      <x:c r="Y674" s="216" t="n">
        <x:v>22</x:v>
      </x:c>
    </x:row>
    <x:row r="675">
      <x:c r="A675" s="217" t="n">
        <x:v>1266</x:v>
      </x:c>
      <x:c r="B675" s="217" t="str">
        <x:v>捷運新埔民生站</x:v>
      </x:c>
      <x:c r="C675" s="217" t="str">
        <x:v>板橋區</x:v>
      </x:c>
      <x:c r="D675" s="217" t="n">
        <x:v>40</x:v>
      </x:c>
      <x:c r="E675" s="217" t="n">
        <x:v>120</x:v>
      </x:c>
      <x:c r="F675" s="218" t="n">
        <x:v>0.9994791666666667</x:v>
      </x:c>
      <x:c r="G675" s="217" t="n">
        <x:v>671</x:v>
      </x:c>
      <x:c r="H675" s="217" t="str">
        <x:f>IF(G675&lt;='排名定義'!$B$5,"是","")</x:f>
        <x:v>是</x:v>
      </x:c>
      <x:c r="I675" s="217" t="n">
        <x:v>679</x:v>
      </x:c>
      <x:c r="J675" s="217" t="str">
        <x:f>IF(I675&lt;='排名定義'!$B$5,"是","")</x:f>
        <x:v>是</x:v>
      </x:c>
      <x:c r="K675" s="217" t="n">
        <x:v>592</x:v>
      </x:c>
      <x:c r="L675" s="217" t="str">
        <x:f>IF(K675&lt;='排名定義'!$B$5,"是","")</x:f>
        <x:v>是</x:v>
      </x:c>
      <x:c r="M675" s="217" t="n">
        <x:f>COUNTIF(H675:L675,"是")</x:f>
        <x:v>3</x:v>
      </x:c>
      <x:c r="N675" s="217" t="str">
        <x:v>三份皆未入選</x:v>
      </x:c>
      <x:c r="O675" s="220" t="n">
        <x:v>53.36666666666667</x:v>
      </x:c>
      <x:c r="P675" s="220" t="n">
        <x:v>48.625</x:v>
      </x:c>
      <x:c r="Q675" s="220" t="n">
        <x:v>4.741666666666666</x:v>
      </x:c>
      <x:c r="R675" s="220" t="n">
        <x:v>0.08885071830106184</x:v>
      </x:c>
      <x:c r="S675" s="220" t="n">
        <x:v>75.12903225806451</x:v>
      </x:c>
      <x:c r="T675" s="220" t="n">
        <x:v>70.80645161290323</x:v>
      </x:c>
      <x:c r="U675" s="220" t="n">
        <x:v>4.32258064516129</x:v>
      </x:c>
      <x:c r="V675" s="218" t="n">
        <x:v>0.06682027649769585</x:v>
      </x:c>
      <x:c r="W675" s="217" t="n">
        <x:v>25</x:v>
      </x:c>
      <x:c r="X675" s="222" t="n">
        <x:v>2880</x:v>
      </x:c>
      <x:c r="Y675" s="217" t="n">
        <x:v>40</x:v>
      </x:c>
    </x:row>
    <x:row r="676">
      <x:c r="A676" s="216" t="n">
        <x:v>233</x:v>
      </x:c>
      <x:c r="B676" s="216" t="str">
        <x:v>寶中路97巷口</x:v>
      </x:c>
      <x:c r="C676" s="216" t="str">
        <x:v>新店區</x:v>
      </x:c>
      <x:c r="D676" s="216" t="n">
        <x:v>13</x:v>
      </x:c>
      <x:c r="E676" s="216" t="n">
        <x:v>120</x:v>
      </x:c>
      <x:c r="F676" s="219" t="n">
        <x:v>0.9994791666666667</x:v>
      </x:c>
      <x:c r="G676" s="216" t="n">
        <x:v>672</x:v>
      </x:c>
      <x:c r="H676" s="216" t="str">
        <x:f>IF(G676&lt;='排名定義'!$B$5,"是","")</x:f>
        <x:v>是</x:v>
      </x:c>
      <x:c r="I676" s="216" t="n">
        <x:v>652</x:v>
      </x:c>
      <x:c r="J676" s="216" t="str">
        <x:f>IF(I676&lt;='排名定義'!$B$5,"是","")</x:f>
        <x:v>是</x:v>
      </x:c>
      <x:c r="K676" s="216" t="n">
        <x:v>1057</x:v>
      </x:c>
      <x:c r="L676" s="216" t="str">
        <x:f>IF(K676&lt;='排名定義'!$B$5,"是","")</x:f>
        <x:v>是</x:v>
      </x:c>
      <x:c r="M676" s="216" t="n">
        <x:f>COUNTIF(H676:L676,"是")</x:f>
        <x:v>3</x:v>
      </x:c>
      <x:c r="N676" s="216" t="str">
        <x:v>三份皆未入選</x:v>
      </x:c>
      <x:c r="O676" s="221" t="n">
        <x:v>53.34166666666667</x:v>
      </x:c>
      <x:c r="P676" s="221" t="n">
        <x:v>50.016666666666666</x:v>
      </x:c>
      <x:c r="Q676" s="221" t="n">
        <x:v>3.325</x:v>
      </x:c>
      <x:c r="R676" s="221" t="n">
        <x:v>0.06233401031088892</x:v>
      </x:c>
      <x:c r="S676" s="221" t="n">
        <x:v>71.06451612903226</x:v>
      </x:c>
      <x:c r="T676" s="221" t="n">
        <x:v>66.25806451612904</x:v>
      </x:c>
      <x:c r="U676" s="221" t="n">
        <x:v>4.806451612903226</x:v>
      </x:c>
      <x:c r="V676" s="219" t="n">
        <x:v>0.18202764976958524</x:v>
      </x:c>
      <x:c r="W676" s="216" t="n">
        <x:v>46</x:v>
      </x:c>
      <x:c r="X676" s="223" t="n">
        <x:v>6000</x:v>
      </x:c>
      <x:c r="Y676" s="216" t="n">
        <x:v>13</x:v>
      </x:c>
    </x:row>
    <x:row r="677">
      <x:c r="A677" s="217" t="n">
        <x:v>488</x:v>
      </x:c>
      <x:c r="B677" s="217" t="str">
        <x:v>溪城金門街口</x:v>
      </x:c>
      <x:c r="C677" s="217" t="str">
        <x:v>板橋區</x:v>
      </x:c>
      <x:c r="D677" s="217" t="n">
        <x:v>16</x:v>
      </x:c>
      <x:c r="E677" s="217" t="n">
        <x:v>120</x:v>
      </x:c>
      <x:c r="F677" s="218" t="n">
        <x:v>0.9994791666666667</x:v>
      </x:c>
      <x:c r="G677" s="217" t="n">
        <x:v>673</x:v>
      </x:c>
      <x:c r="H677" s="217" t="str">
        <x:f>IF(G677&lt;='排名定義'!$B$5,"是","")</x:f>
        <x:v>是</x:v>
      </x:c>
      <x:c r="I677" s="217" t="n">
        <x:v>666</x:v>
      </x:c>
      <x:c r="J677" s="217" t="str">
        <x:f>IF(I677&lt;='排名定義'!$B$5,"是","")</x:f>
        <x:v>是</x:v>
      </x:c>
      <x:c r="K677" s="217" t="n">
        <x:v>838</x:v>
      </x:c>
      <x:c r="L677" s="217" t="str">
        <x:f>IF(K677&lt;='排名定義'!$B$5,"是","")</x:f>
        <x:v>是</x:v>
      </x:c>
      <x:c r="M677" s="217" t="n">
        <x:f>COUNTIF(H677:L677,"是")</x:f>
        <x:v>3</x:v>
      </x:c>
      <x:c r="N677" s="217" t="str">
        <x:v>三份皆未入選</x:v>
      </x:c>
      <x:c r="O677" s="220" t="n">
        <x:v>53.333333333333336</x:v>
      </x:c>
      <x:c r="P677" s="220" t="n">
        <x:v>49.44166666666667</x:v>
      </x:c>
      <x:c r="Q677" s="220" t="n">
        <x:v>3.8916666666666666</x:v>
      </x:c>
      <x:c r="R677" s="220" t="n">
        <x:v>0.07296875</x:v>
      </x:c>
      <x:c r="S677" s="220" t="n">
        <x:v>79.6774193548387</x:v>
      </x:c>
      <x:c r="T677" s="220" t="n">
        <x:v>75.29032258064517</x:v>
      </x:c>
      <x:c r="U677" s="220" t="n">
        <x:v>4.387096774193548</x:v>
      </x:c>
      <x:c r="V677" s="218" t="n">
        <x:v>0.0944700460829493</x:v>
      </x:c>
      <x:c r="W677" s="217" t="n">
        <x:v>15</x:v>
      </x:c>
      <x:c r="X677" s="222" t="n">
        <x:v>2280</x:v>
      </x:c>
      <x:c r="Y677" s="217" t="n">
        <x:v>16</x:v>
      </x:c>
    </x:row>
    <x:row r="678">
      <x:c r="A678" s="216" t="n">
        <x:v>634</x:v>
      </x:c>
      <x:c r="B678" s="216" t="str">
        <x:v>俊英俊保路口</x:v>
      </x:c>
      <x:c r="C678" s="216" t="str">
        <x:v>樹林區</x:v>
      </x:c>
      <x:c r="D678" s="216" t="n">
        <x:v>20</x:v>
      </x:c>
      <x:c r="E678" s="216" t="n">
        <x:v>120</x:v>
      </x:c>
      <x:c r="F678" s="219" t="n">
        <x:v>0.9994791666666667</x:v>
      </x:c>
      <x:c r="G678" s="216" t="n">
        <x:v>674</x:v>
      </x:c>
      <x:c r="H678" s="216" t="str">
        <x:f>IF(G678&lt;='排名定義'!$B$5,"是","")</x:f>
        <x:v>是</x:v>
      </x:c>
      <x:c r="I678" s="216" t="n">
        <x:v>683</x:v>
      </x:c>
      <x:c r="J678" s="216" t="str">
        <x:f>IF(I678&lt;='排名定義'!$B$5,"是","")</x:f>
        <x:v>是</x:v>
      </x:c>
      <x:c r="K678" s="216" t="n">
        <x:v>548</x:v>
      </x:c>
      <x:c r="L678" s="216" t="str">
        <x:f>IF(K678&lt;='排名定義'!$B$5,"是","")</x:f>
        <x:v>是</x:v>
      </x:c>
      <x:c r="M678" s="216" t="n">
        <x:f>COUNTIF(H678:L678,"是")</x:f>
        <x:v>3</x:v>
      </x:c>
      <x:c r="N678" s="216" t="str">
        <x:v>三份皆未入選</x:v>
      </x:c>
      <x:c r="O678" s="221" t="n">
        <x:v>53.31666666666667</x:v>
      </x:c>
      <x:c r="P678" s="221" t="n">
        <x:v>48.4</x:v>
      </x:c>
      <x:c r="Q678" s="221" t="n">
        <x:v>4.916666666666667</x:v>
      </x:c>
      <x:c r="R678" s="221" t="n">
        <x:v>0.09221631759924977</x:v>
      </x:c>
      <x:c r="S678" s="221" t="n">
        <x:v>80.38709677419355</x:v>
      </x:c>
      <x:c r="T678" s="221" t="n">
        <x:v>76</x:v>
      </x:c>
      <x:c r="U678" s="221" t="n">
        <x:v>4.387096774193548</x:v>
      </x:c>
      <x:c r="V678" s="219" t="n">
        <x:v>0.07603686635944701</x:v>
      </x:c>
      <x:c r="W678" s="216" t="n">
        <x:v>22</x:v>
      </x:c>
      <x:c r="X678" s="223" t="n">
        <x:v>2220</x:v>
      </x:c>
      <x:c r="Y678" s="216" t="n">
        <x:v>20</x:v>
      </x:c>
    </x:row>
    <x:row r="679">
      <x:c r="A679" s="217" t="n">
        <x:v>666</x:v>
      </x:c>
      <x:c r="B679" s="217" t="str">
        <x:v>新民民族路口</x:v>
      </x:c>
      <x:c r="C679" s="217" t="str">
        <x:v>板橋區</x:v>
      </x:c>
      <x:c r="D679" s="217" t="n">
        <x:v>20</x:v>
      </x:c>
      <x:c r="E679" s="217" t="n">
        <x:v>120</x:v>
      </x:c>
      <x:c r="F679" s="218" t="n">
        <x:v>0.9994791666666667</x:v>
      </x:c>
      <x:c r="G679" s="217" t="n">
        <x:v>675</x:v>
      </x:c>
      <x:c r="H679" s="217" t="str">
        <x:f>IF(G679&lt;='排名定義'!$B$5,"是","")</x:f>
        <x:v>是</x:v>
      </x:c>
      <x:c r="I679" s="217" t="n">
        <x:v>684</x:v>
      </x:c>
      <x:c r="J679" s="217" t="str">
        <x:f>IF(I679&lt;='排名定義'!$B$5,"是","")</x:f>
        <x:v>是</x:v>
      </x:c>
      <x:c r="K679" s="217" t="n">
        <x:v>560</x:v>
      </x:c>
      <x:c r="L679" s="217" t="str">
        <x:f>IF(K679&lt;='排名定義'!$B$5,"是","")</x:f>
        <x:v>是</x:v>
      </x:c>
      <x:c r="M679" s="217" t="n">
        <x:f>COUNTIF(H679:L679,"是")</x:f>
        <x:v>3</x:v>
      </x:c>
      <x:c r="N679" s="217" t="str">
        <x:v>三份皆未入選</x:v>
      </x:c>
      <x:c r="O679" s="220" t="n">
        <x:v>53.25833333333333</x:v>
      </x:c>
      <x:c r="P679" s="220" t="n">
        <x:v>48.38333333333333</x:v>
      </x:c>
      <x:c r="Q679" s="220" t="n">
        <x:v>4.875</x:v>
      </x:c>
      <x:c r="R679" s="220" t="n">
        <x:v>0.09153497105304334</x:v>
      </x:c>
      <x:c r="S679" s="220" t="n">
        <x:v>78.25806451612904</x:v>
      </x:c>
      <x:c r="T679" s="220" t="n">
        <x:v>73.54838709677419</x:v>
      </x:c>
      <x:c r="U679" s="220" t="n">
        <x:v>4.709677419354839</x:v>
      </x:c>
      <x:c r="V679" s="218" t="n">
        <x:v>0.06912442396313365</x:v>
      </x:c>
      <x:c r="W679" s="217" t="n">
        <x:v>29</x:v>
      </x:c>
      <x:c r="X679" s="222" t="n">
        <x:v>3630</x:v>
      </x:c>
      <x:c r="Y679" s="217" t="n">
        <x:v>20</x:v>
      </x:c>
    </x:row>
    <x:row r="680">
      <x:c r="A680" s="216" t="n">
        <x:v>834</x:v>
      </x:c>
      <x:c r="B680" s="216" t="str">
        <x:v>林口高中(四維路)</x:v>
      </x:c>
      <x:c r="C680" s="216" t="str">
        <x:v>林口區</x:v>
      </x:c>
      <x:c r="D680" s="216" t="n">
        <x:v>23</x:v>
      </x:c>
      <x:c r="E680" s="216" t="n">
        <x:v>120</x:v>
      </x:c>
      <x:c r="F680" s="219" t="n">
        <x:v>0.9994791666666667</x:v>
      </x:c>
      <x:c r="G680" s="216" t="n">
        <x:v>676</x:v>
      </x:c>
      <x:c r="H680" s="216" t="str">
        <x:f>IF(G680&lt;='排名定義'!$B$5,"是","")</x:f>
        <x:v>是</x:v>
      </x:c>
      <x:c r="I680" s="216" t="n">
        <x:v>686</x:v>
      </x:c>
      <x:c r="J680" s="216" t="str">
        <x:f>IF(I680&lt;='排名定義'!$B$5,"是","")</x:f>
        <x:v>是</x:v>
      </x:c>
      <x:c r="K680" s="216" t="n">
        <x:v>574</x:v>
      </x:c>
      <x:c r="L680" s="216" t="str">
        <x:f>IF(K680&lt;='排名定義'!$B$5,"是","")</x:f>
        <x:v>是</x:v>
      </x:c>
      <x:c r="M680" s="216" t="n">
        <x:f>COUNTIF(H680:L680,"是")</x:f>
        <x:v>3</x:v>
      </x:c>
      <x:c r="N680" s="216" t="str">
        <x:v>三份皆未入選</x:v>
      </x:c>
      <x:c r="O680" s="221" t="n">
        <x:v>53.141666666666666</x:v>
      </x:c>
      <x:c r="P680" s="221" t="n">
        <x:v>48.325</x:v>
      </x:c>
      <x:c r="Q680" s="221" t="n">
        <x:v>4.816666666666666</x:v>
      </x:c>
      <x:c r="R680" s="221" t="n">
        <x:v>0.09063823114317077</x:v>
      </x:c>
      <x:c r="S680" s="221" t="n">
        <x:v>75.58064516129032</x:v>
      </x:c>
      <x:c r="T680" s="221" t="n">
        <x:v>71.45161290322581</x:v>
      </x:c>
      <x:c r="U680" s="221" t="n">
        <x:v>4.129032258064516</x:v>
      </x:c>
      <x:c r="V680" s="219" t="n">
        <x:v>0.0944700460829493</x:v>
      </x:c>
      <x:c r="W680" s="216" t="n">
        <x:v>15</x:v>
      </x:c>
      <x:c r="X680" s="223" t="n">
        <x:v>2130</x:v>
      </x:c>
      <x:c r="Y680" s="216" t="n">
        <x:v>23</x:v>
      </x:c>
    </x:row>
    <x:row r="681">
      <x:c r="A681" s="217" t="n">
        <x:v>471</x:v>
      </x:c>
      <x:c r="B681" s="217" t="str">
        <x:v>中正雙鳳路口</x:v>
      </x:c>
      <x:c r="C681" s="217" t="str">
        <x:v>新莊區</x:v>
      </x:c>
      <x:c r="D681" s="217" t="n">
        <x:v>16</x:v>
      </x:c>
      <x:c r="E681" s="217" t="n">
        <x:v>120</x:v>
      </x:c>
      <x:c r="F681" s="218" t="n">
        <x:v>0.9994791666666667</x:v>
      </x:c>
      <x:c r="G681" s="217" t="n">
        <x:v>677</x:v>
      </x:c>
      <x:c r="H681" s="217" t="str">
        <x:f>IF(G681&lt;='排名定義'!$B$5,"是","")</x:f>
        <x:v>是</x:v>
      </x:c>
      <x:c r="I681" s="217" t="n">
        <x:v>671</x:v>
      </x:c>
      <x:c r="J681" s="217" t="str">
        <x:f>IF(I681&lt;='排名定義'!$B$5,"是","")</x:f>
        <x:v>是</x:v>
      </x:c>
      <x:c r="K681" s="217" t="n">
        <x:v>846</x:v>
      </x:c>
      <x:c r="L681" s="217" t="str">
        <x:f>IF(K681&lt;='排名定義'!$B$5,"是","")</x:f>
        <x:v>是</x:v>
      </x:c>
      <x:c r="M681" s="217" t="n">
        <x:f>COUNTIF(H681:L681,"是")</x:f>
        <x:v>3</x:v>
      </x:c>
      <x:c r="N681" s="217" t="str">
        <x:v>三份皆未入選</x:v>
      </x:c>
      <x:c r="O681" s="220" t="n">
        <x:v>53.108333333333334</x:v>
      </x:c>
      <x:c r="P681" s="220" t="n">
        <x:v>49.24166666666667</x:v>
      </x:c>
      <x:c r="Q681" s="220" t="n">
        <x:v>3.8666666666666667</x:v>
      </x:c>
      <x:c r="R681" s="220" t="n">
        <x:v>0.07280715518594069</x:v>
      </x:c>
      <x:c r="S681" s="220" t="n">
        <x:v>71.41935483870968</x:v>
      </x:c>
      <x:c r="T681" s="220" t="n">
        <x:v>67.96774193548387</x:v>
      </x:c>
      <x:c r="U681" s="220" t="n">
        <x:v>3.4516129032258065</x:v>
      </x:c>
      <x:c r="V681" s="218" t="n">
        <x:v>0.08525345622119816</x:v>
      </x:c>
      <x:c r="W681" s="217" t="n">
        <x:v>25</x:v>
      </x:c>
      <x:c r="X681" s="222" t="n">
        <x:v>2850</x:v>
      </x:c>
      <x:c r="Y681" s="217" t="n">
        <x:v>16</x:v>
      </x:c>
    </x:row>
    <x:row r="682">
      <x:c r="A682" s="216" t="n">
        <x:v>1027</x:v>
      </x:c>
      <x:c r="B682" s="216" t="str">
        <x:v>德光莒光路口</x:v>
      </x:c>
      <x:c r="C682" s="216" t="str">
        <x:v>中和區</x:v>
      </x:c>
      <x:c r="D682" s="216" t="n">
        <x:v>30</x:v>
      </x:c>
      <x:c r="E682" s="216" t="n">
        <x:v>61</x:v>
      </x:c>
      <x:c r="F682" s="219" t="n">
        <x:v>0.9914617486338798</x:v>
      </x:c>
      <x:c r="G682" s="216" t="n">
        <x:v>678</x:v>
      </x:c>
      <x:c r="H682" s="216" t="str">
        <x:f>IF(G682&lt;='排名定義'!$B$5,"是","")</x:f>
        <x:v>是</x:v>
      </x:c>
      <x:c r="I682" s="216" t="n">
        <x:v>729</x:v>
      </x:c>
      <x:c r="J682" s="216" t="str">
        <x:f>IF(I682&lt;='排名定義'!$B$5,"是","")</x:f>
        <x:v>是</x:v>
      </x:c>
      <x:c r="K682" s="216" t="n">
        <x:v>191</x:v>
      </x:c>
      <x:c r="L682" s="216" t="str">
        <x:f>IF(K682&lt;='排名定義'!$B$5,"是","")</x:f>
        <x:v>是</x:v>
      </x:c>
      <x:c r="M682" s="216" t="n">
        <x:f>COUNTIF(H682:L682,"是")</x:f>
        <x:v>3</x:v>
      </x:c>
      <x:c r="N682" s="216" t="str">
        <x:v>僅大幅變動</x:v>
      </x:c>
      <x:c r="O682" s="221" t="n">
        <x:v>53.0655737704918</x:v>
      </x:c>
      <x:c r="P682" s="221" t="n">
        <x:v>45.77049180327869</x:v>
      </x:c>
      <x:c r="Q682" s="221" t="n">
        <x:v>7.295081967213115</x:v>
      </x:c>
      <x:c r="R682" s="221" t="n">
        <x:v>0.13747296879827</x:v>
      </x:c>
      <x:c r="S682" s="221" t="str"/>
      <x:c r="T682" s="221" t="str"/>
      <x:c r="U682" s="221" t="str"/>
      <x:c r="V682" s="219" t="str"/>
      <x:c r="W682" s="216" t="str"/>
      <x:c r="X682" s="223" t="str"/>
      <x:c r="Y682" s="216" t="str"/>
    </x:row>
    <x:row r="683">
      <x:c r="A683" s="217" t="n">
        <x:v>636</x:v>
      </x:c>
      <x:c r="B683" s="217" t="str">
        <x:v>光榮國中(秀江街)</x:v>
      </x:c>
      <x:c r="C683" s="217" t="str">
        <x:v>三重區</x:v>
      </x:c>
      <x:c r="D683" s="217" t="n">
        <x:v>20</x:v>
      </x:c>
      <x:c r="E683" s="217" t="n">
        <x:v>120</x:v>
      </x:c>
      <x:c r="F683" s="218" t="n">
        <x:v>0.9994791666666667</x:v>
      </x:c>
      <x:c r="G683" s="217" t="n">
        <x:v>679</x:v>
      </x:c>
      <x:c r="H683" s="217" t="str">
        <x:f>IF(G683&lt;='排名定義'!$B$5,"是","")</x:f>
        <x:v>是</x:v>
      </x:c>
      <x:c r="I683" s="217" t="n">
        <x:v>678</x:v>
      </x:c>
      <x:c r="J683" s="217" t="str">
        <x:f>IF(I683&lt;='排名定義'!$B$5,"是","")</x:f>
        <x:v>是</x:v>
      </x:c>
      <x:c r="K683" s="217" t="n">
        <x:v>666</x:v>
      </x:c>
      <x:c r="L683" s="217" t="str">
        <x:f>IF(K683&lt;='排名定義'!$B$5,"是","")</x:f>
        <x:v>是</x:v>
      </x:c>
      <x:c r="M683" s="217" t="n">
        <x:f>COUNTIF(H683:L683,"是")</x:f>
        <x:v>3</x:v>
      </x:c>
      <x:c r="N683" s="217" t="str">
        <x:v>三份皆未入選</x:v>
      </x:c>
      <x:c r="O683" s="220" t="n">
        <x:v>53.05833333333333</x:v>
      </x:c>
      <x:c r="P683" s="220" t="n">
        <x:v>48.641666666666666</x:v>
      </x:c>
      <x:c r="Q683" s="220" t="n">
        <x:v>4.416666666666667</x:v>
      </x:c>
      <x:c r="R683" s="220" t="n">
        <x:v>0.0832417150934506</x:v>
      </x:c>
      <x:c r="S683" s="220" t="n">
        <x:v>68.90322580645162</x:v>
      </x:c>
      <x:c r="T683" s="220" t="n">
        <x:v>66.3225806451613</x:v>
      </x:c>
      <x:c r="U683" s="220" t="n">
        <x:v>2.5806451612903225</x:v>
      </x:c>
      <x:c r="V683" s="218" t="n">
        <x:v>0.15898617511520738</x:v>
      </x:c>
      <x:c r="W683" s="217" t="n">
        <x:v>35</x:v>
      </x:c>
      <x:c r="X683" s="222" t="n">
        <x:v>5070</x:v>
      </x:c>
      <x:c r="Y683" s="217" t="n">
        <x:v>20</x:v>
      </x:c>
    </x:row>
    <x:row r="684">
      <x:c r="A684" s="216" t="n">
        <x:v>70</x:v>
      </x:c>
      <x:c r="B684" s="216" t="str">
        <x:v>板橋國中</x:v>
      </x:c>
      <x:c r="C684" s="216" t="str">
        <x:v>板橋區</x:v>
      </x:c>
      <x:c r="D684" s="216" t="n">
        <x:v>62</x:v>
      </x:c>
      <x:c r="E684" s="216" t="n">
        <x:v>120</x:v>
      </x:c>
      <x:c r="F684" s="219" t="n">
        <x:v>0.9994791666666667</x:v>
      </x:c>
      <x:c r="G684" s="216" t="n">
        <x:v>680</x:v>
      </x:c>
      <x:c r="H684" s="216" t="str">
        <x:f>IF(G684&lt;='排名定義'!$B$5,"是","")</x:f>
        <x:v>是</x:v>
      </x:c>
      <x:c r="I684" s="216" t="n">
        <x:v>681</x:v>
      </x:c>
      <x:c r="J684" s="216" t="str">
        <x:f>IF(I684&lt;='排名定義'!$B$5,"是","")</x:f>
        <x:v>是</x:v>
      </x:c>
      <x:c r="K684" s="216" t="n">
        <x:v>625</x:v>
      </x:c>
      <x:c r="L684" s="216" t="str">
        <x:f>IF(K684&lt;='排名定義'!$B$5,"是","")</x:f>
        <x:v>是</x:v>
      </x:c>
      <x:c r="M684" s="216" t="n">
        <x:f>COUNTIF(H684:L684,"是")</x:f>
        <x:v>3</x:v>
      </x:c>
      <x:c r="N684" s="216" t="str">
        <x:v>三份皆未入選</x:v>
      </x:c>
      <x:c r="O684" s="221" t="n">
        <x:v>53.05</x:v>
      </x:c>
      <x:c r="P684" s="221" t="n">
        <x:v>48.483333333333334</x:v>
      </x:c>
      <x:c r="Q684" s="221" t="n">
        <x:v>4.566666666666666</x:v>
      </x:c>
      <x:c r="R684" s="221" t="n">
        <x:v>0.0860823122840088</x:v>
      </x:c>
      <x:c r="S684" s="221" t="n">
        <x:v>77.19354838709677</x:v>
      </x:c>
      <x:c r="T684" s="221" t="n">
        <x:v>72.16129032258064</x:v>
      </x:c>
      <x:c r="U684" s="221" t="n">
        <x:v>5.032258064516129</x:v>
      </x:c>
      <x:c r="V684" s="219" t="n">
        <x:v>0.08064516129032258</x:v>
      </x:c>
      <x:c r="W684" s="216" t="n">
        <x:v>17</x:v>
      </x:c>
      <x:c r="X684" s="223" t="n">
        <x:v>1800</x:v>
      </x:c>
      <x:c r="Y684" s="216" t="n">
        <x:v>62</x:v>
      </x:c>
    </x:row>
    <x:row r="685">
      <x:c r="A685" s="217" t="n">
        <x:v>860</x:v>
      </x:c>
      <x:c r="B685" s="217" t="str">
        <x:v>信義文化三路口</x:v>
      </x:c>
      <x:c r="C685" s="217" t="str">
        <x:v>林口區</x:v>
      </x:c>
      <x:c r="D685" s="217" t="n">
        <x:v>24</x:v>
      </x:c>
      <x:c r="E685" s="217" t="n">
        <x:v>120</x:v>
      </x:c>
      <x:c r="F685" s="218" t="n">
        <x:v>0.9994791666666667</x:v>
      </x:c>
      <x:c r="G685" s="217" t="n">
        <x:v>681</x:v>
      </x:c>
      <x:c r="H685" s="217" t="str">
        <x:f>IF(G685&lt;='排名定義'!$B$5,"是","")</x:f>
        <x:v>是</x:v>
      </x:c>
      <x:c r="I685" s="217" t="n">
        <x:v>672</x:v>
      </x:c>
      <x:c r="J685" s="217" t="str">
        <x:f>IF(I685&lt;='排名定義'!$B$5,"是","")</x:f>
        <x:v>是</x:v>
      </x:c>
      <x:c r="K685" s="217" t="n">
        <x:v>850</x:v>
      </x:c>
      <x:c r="L685" s="217" t="str">
        <x:f>IF(K685&lt;='排名定義'!$B$5,"是","")</x:f>
        <x:v>是</x:v>
      </x:c>
      <x:c r="M685" s="217" t="n">
        <x:f>COUNTIF(H685:L685,"是")</x:f>
        <x:v>3</x:v>
      </x:c>
      <x:c r="N685" s="217" t="str">
        <x:v>三份皆未入選</x:v>
      </x:c>
      <x:c r="O685" s="220" t="n">
        <x:v>53.016666666666666</x:v>
      </x:c>
      <x:c r="P685" s="220" t="n">
        <x:v>49.15833333333333</x:v>
      </x:c>
      <x:c r="Q685" s="220" t="n">
        <x:v>3.8583333333333334</x:v>
      </x:c>
      <x:c r="R685" s="220" t="n">
        <x:v>0.07277585664885257</x:v>
      </x:c>
      <x:c r="S685" s="220" t="n">
        <x:v>80.64516129032258</x:v>
      </x:c>
      <x:c r="T685" s="220" t="n">
        <x:v>74.09677419354838</x:v>
      </x:c>
      <x:c r="U685" s="220" t="n">
        <x:v>6.548387096774194</x:v>
      </x:c>
      <x:c r="V685" s="218" t="n">
        <x:v>0.029953917050691243</x:v>
      </x:c>
      <x:c r="W685" s="217" t="n">
        <x:v>8</x:v>
      </x:c>
      <x:c r="X685" s="222" t="n">
        <x:v>1050</x:v>
      </x:c>
      <x:c r="Y685" s="217" t="n">
        <x:v>24</x:v>
      </x:c>
    </x:row>
    <x:row r="686">
      <x:c r="A686" s="216" t="n">
        <x:v>983</x:v>
      </x:c>
      <x:c r="B686" s="216" t="str">
        <x:v>龍埔公園</x:v>
      </x:c>
      <x:c r="C686" s="216" t="str">
        <x:v>三峽區</x:v>
      </x:c>
      <x:c r="D686" s="216" t="n">
        <x:v>28</x:v>
      </x:c>
      <x:c r="E686" s="216" t="n">
        <x:v>120</x:v>
      </x:c>
      <x:c r="F686" s="219" t="n">
        <x:v>0.9994791666666667</x:v>
      </x:c>
      <x:c r="G686" s="216" t="n">
        <x:v>682</x:v>
      </x:c>
      <x:c r="H686" s="216" t="str">
        <x:f>IF(G686&lt;='排名定義'!$B$5,"是","")</x:f>
        <x:v>是</x:v>
      </x:c>
      <x:c r="I686" s="216" t="n">
        <x:v>668</x:v>
      </x:c>
      <x:c r="J686" s="216" t="str">
        <x:f>IF(I686&lt;='排名定義'!$B$5,"是","")</x:f>
        <x:v>是</x:v>
      </x:c>
      <x:c r="K686" s="216" t="n">
        <x:v>923</x:v>
      </x:c>
      <x:c r="L686" s="216" t="str">
        <x:f>IF(K686&lt;='排名定義'!$B$5,"是","")</x:f>
        <x:v>是</x:v>
      </x:c>
      <x:c r="M686" s="216" t="n">
        <x:f>COUNTIF(H686:L686,"是")</x:f>
        <x:v>3</x:v>
      </x:c>
      <x:c r="N686" s="216" t="str">
        <x:v>三份皆未入選</x:v>
      </x:c>
      <x:c r="O686" s="221" t="n">
        <x:v>53.00833333333333</x:v>
      </x:c>
      <x:c r="P686" s="221" t="n">
        <x:v>49.35</x:v>
      </x:c>
      <x:c r="Q686" s="221" t="n">
        <x:v>3.658333333333333</x:v>
      </x:c>
      <x:c r="R686" s="221" t="n">
        <x:v>0.06901430592674108</x:v>
      </x:c>
      <x:c r="S686" s="221" t="n">
        <x:v>89.12903225806451</x:v>
      </x:c>
      <x:c r="T686" s="221" t="n">
        <x:v>85.35483870967742</x:v>
      </x:c>
      <x:c r="U686" s="221" t="n">
        <x:v>3.774193548387097</x:v>
      </x:c>
      <x:c r="V686" s="219" t="n">
        <x:v>0.027649769585253458</x:v>
      </x:c>
      <x:c r="W686" s="216" t="n">
        <x:v>8</x:v>
      </x:c>
      <x:c r="X686" s="223" t="n">
        <x:v>1080</x:v>
      </x:c>
      <x:c r="Y686" s="216" t="n">
        <x:v>35</x:v>
      </x:c>
    </x:row>
    <x:row r="687">
      <x:c r="A687" s="217" t="n">
        <x:v>483</x:v>
      </x:c>
      <x:c r="B687" s="217" t="str">
        <x:v>忠孝公園路口</x:v>
      </x:c>
      <x:c r="C687" s="217" t="str">
        <x:v>林口區</x:v>
      </x:c>
      <x:c r="D687" s="217" t="n">
        <x:v>16</x:v>
      </x:c>
      <x:c r="E687" s="217" t="n">
        <x:v>120</x:v>
      </x:c>
      <x:c r="F687" s="218" t="n">
        <x:v>0.9994791666666667</x:v>
      </x:c>
      <x:c r="G687" s="217" t="n">
        <x:v>683</x:v>
      </x:c>
      <x:c r="H687" s="217" t="str">
        <x:f>IF(G687&lt;='排名定義'!$B$5,"是","")</x:f>
        <x:v>是</x:v>
      </x:c>
      <x:c r="I687" s="217" t="n">
        <x:v>664</x:v>
      </x:c>
      <x:c r="J687" s="217" t="str">
        <x:f>IF(I687&lt;='排名定義'!$B$5,"是","")</x:f>
        <x:v>是</x:v>
      </x:c>
      <x:c r="K687" s="217" t="n">
        <x:v>1062</x:v>
      </x:c>
      <x:c r="L687" s="217" t="str">
        <x:f>IF(K687&lt;='排名定義'!$B$5,"是","")</x:f>
        <x:v>是</x:v>
      </x:c>
      <x:c r="M687" s="217" t="n">
        <x:f>COUNTIF(H687:L687,"是")</x:f>
        <x:v>3</x:v>
      </x:c>
      <x:c r="N687" s="217" t="str">
        <x:v>三份皆未入選</x:v>
      </x:c>
      <x:c r="O687" s="220" t="n">
        <x:v>52.925</x:v>
      </x:c>
      <x:c r="P687" s="220" t="n">
        <x:v>49.608333333333334</x:v>
      </x:c>
      <x:c r="Q687" s="220" t="n">
        <x:v>3.316666666666667</x:v>
      </x:c>
      <x:c r="R687" s="220" t="n">
        <x:v>0.06266729648874193</x:v>
      </x:c>
      <x:c r="S687" s="220" t="n">
        <x:v>78.25806451612904</x:v>
      </x:c>
      <x:c r="T687" s="220" t="n">
        <x:v>74.48387096774194</x:v>
      </x:c>
      <x:c r="U687" s="220" t="n">
        <x:v>3.774193548387097</x:v>
      </x:c>
      <x:c r="V687" s="218" t="n">
        <x:v>0.08986175115207373</x:v>
      </x:c>
      <x:c r="W687" s="217" t="n">
        <x:v>21</x:v>
      </x:c>
      <x:c r="X687" s="222" t="n">
        <x:v>3120</x:v>
      </x:c>
      <x:c r="Y687" s="217" t="n">
        <x:v>16</x:v>
      </x:c>
    </x:row>
    <x:row r="688">
      <x:c r="A688" s="216" t="n">
        <x:v>1343</x:v>
      </x:c>
      <x:c r="B688" s="216" t="str">
        <x:v>新店公有中央市場</x:v>
      </x:c>
      <x:c r="C688" s="216" t="str">
        <x:v>新店區</x:v>
      </x:c>
      <x:c r="D688" s="216" t="n">
        <x:v>42</x:v>
      </x:c>
      <x:c r="E688" s="216" t="n">
        <x:v>120</x:v>
      </x:c>
      <x:c r="F688" s="219" t="n">
        <x:v>0.9994791666666667</x:v>
      </x:c>
      <x:c r="G688" s="216" t="n">
        <x:v>684</x:v>
      </x:c>
      <x:c r="H688" s="216" t="str">
        <x:f>IF(G688&lt;='排名定義'!$B$5,"是","")</x:f>
        <x:v>是</x:v>
      </x:c>
      <x:c r="I688" s="216" t="n">
        <x:v>695</x:v>
      </x:c>
      <x:c r="J688" s="216" t="str">
        <x:f>IF(I688&lt;='排名定義'!$B$5,"是","")</x:f>
        <x:v>是</x:v>
      </x:c>
      <x:c r="K688" s="216" t="n">
        <x:v>507</x:v>
      </x:c>
      <x:c r="L688" s="216" t="str">
        <x:f>IF(K688&lt;='排名定義'!$B$5,"是","")</x:f>
        <x:v>是</x:v>
      </x:c>
      <x:c r="M688" s="216" t="n">
        <x:f>COUNTIF(H688:L688,"是")</x:f>
        <x:v>3</x:v>
      </x:c>
      <x:c r="N688" s="216" t="str">
        <x:v>三份皆未入選</x:v>
      </x:c>
      <x:c r="O688" s="221" t="n">
        <x:v>52.925</x:v>
      </x:c>
      <x:c r="P688" s="221" t="n">
        <x:v>47.80833333333333</x:v>
      </x:c>
      <x:c r="Q688" s="221" t="n">
        <x:v>5.116666666666666</x:v>
      </x:c>
      <x:c r="R688" s="221" t="n">
        <x:v>0.09667768855298378</x:v>
      </x:c>
      <x:c r="S688" s="221" t="n">
        <x:v>94.35483870967742</x:v>
      </x:c>
      <x:c r="T688" s="221" t="n">
        <x:v>88.70967741935483</x:v>
      </x:c>
      <x:c r="U688" s="221" t="n">
        <x:v>5.645161290322581</x:v>
      </x:c>
      <x:c r="V688" s="219" t="n">
        <x:v>0.0069124423963133645</x:v>
      </x:c>
      <x:c r="W688" s="216" t="n">
        <x:v>2</x:v>
      </x:c>
      <x:c r="X688" s="223" t="n">
        <x:v>390</x:v>
      </x:c>
      <x:c r="Y688" s="216" t="n">
        <x:v>42</x:v>
      </x:c>
    </x:row>
    <x:row r="689">
      <x:c r="A689" s="217" t="n">
        <x:v>194</x:v>
      </x:c>
      <x:c r="B689" s="217" t="str">
        <x:v>汐止國民運動中心</x:v>
      </x:c>
      <x:c r="C689" s="217" t="str">
        <x:v>汐止區</x:v>
      </x:c>
      <x:c r="D689" s="217" t="n">
        <x:v>12</x:v>
      </x:c>
      <x:c r="E689" s="217" t="n">
        <x:v>120</x:v>
      </x:c>
      <x:c r="F689" s="218" t="n">
        <x:v>0.9994791666666667</x:v>
      </x:c>
      <x:c r="G689" s="217" t="n">
        <x:v>685</x:v>
      </x:c>
      <x:c r="H689" s="217" t="str">
        <x:f>IF(G689&lt;='排名定義'!$B$5,"是","")</x:f>
        <x:v>是</x:v>
      </x:c>
      <x:c r="I689" s="217" t="n">
        <x:v>673</x:v>
      </x:c>
      <x:c r="J689" s="217" t="str">
        <x:f>IF(I689&lt;='排名定義'!$B$5,"是","")</x:f>
        <x:v>是</x:v>
      </x:c>
      <x:c r="K689" s="217" t="n">
        <x:v>917</x:v>
      </x:c>
      <x:c r="L689" s="217" t="str">
        <x:f>IF(K689&lt;='排名定義'!$B$5,"是","")</x:f>
        <x:v>是</x:v>
      </x:c>
      <x:c r="M689" s="217" t="n">
        <x:f>COUNTIF(H689:L689,"是")</x:f>
        <x:v>3</x:v>
      </x:c>
      <x:c r="N689" s="217" t="str">
        <x:v>三份皆未入選</x:v>
      </x:c>
      <x:c r="O689" s="220" t="n">
        <x:v>52.81666666666667</x:v>
      </x:c>
      <x:c r="P689" s="220" t="n">
        <x:v>49.15</x:v>
      </x:c>
      <x:c r="Q689" s="220" t="n">
        <x:v>3.6666666666666665</x:v>
      </x:c>
      <x:c r="R689" s="220" t="n">
        <x:v>0.06942253076680341</x:v>
      </x:c>
      <x:c r="S689" s="220" t="n">
        <x:v>73.58064516129032</x:v>
      </x:c>
      <x:c r="T689" s="220" t="n">
        <x:v>69.2258064516129</x:v>
      </x:c>
      <x:c r="U689" s="220" t="n">
        <x:v>4.354838709677419</x:v>
      </x:c>
      <x:c r="V689" s="218" t="n">
        <x:v>0.0967741935483871</x:v>
      </x:c>
      <x:c r="W689" s="217" t="n">
        <x:v>26</x:v>
      </x:c>
      <x:c r="X689" s="222" t="n">
        <x:v>4080</x:v>
      </x:c>
      <x:c r="Y689" s="217" t="n">
        <x:v>12</x:v>
      </x:c>
    </x:row>
    <x:row r="690">
      <x:c r="A690" s="216" t="n">
        <x:v>921</x:v>
      </x:c>
      <x:c r="B690" s="216" t="str">
        <x:v>中山佳林路口</x:v>
      </x:c>
      <x:c r="C690" s="216" t="str">
        <x:v>林口區</x:v>
      </x:c>
      <x:c r="D690" s="216" t="n">
        <x:v>26</x:v>
      </x:c>
      <x:c r="E690" s="216" t="n">
        <x:v>120</x:v>
      </x:c>
      <x:c r="F690" s="219" t="n">
        <x:v>0.9994791666666667</x:v>
      </x:c>
      <x:c r="G690" s="216" t="n">
        <x:v>686</x:v>
      </x:c>
      <x:c r="H690" s="216" t="str">
        <x:f>IF(G690&lt;='排名定義'!$B$5,"是","")</x:f>
        <x:v>是</x:v>
      </x:c>
      <x:c r="I690" s="216" t="n">
        <x:v>677</x:v>
      </x:c>
      <x:c r="J690" s="216" t="str">
        <x:f>IF(I690&lt;='排名定義'!$B$5,"是","")</x:f>
        <x:v>是</x:v>
      </x:c>
      <x:c r="K690" s="216" t="n">
        <x:v>777</x:v>
      </x:c>
      <x:c r="L690" s="216" t="str">
        <x:f>IF(K690&lt;='排名定義'!$B$5,"是","")</x:f>
        <x:v>是</x:v>
      </x:c>
      <x:c r="M690" s="216" t="n">
        <x:f>COUNTIF(H690:L690,"是")</x:f>
        <x:v>3</x:v>
      </x:c>
      <x:c r="N690" s="216" t="str">
        <x:v>三份皆未入選</x:v>
      </x:c>
      <x:c r="O690" s="221" t="n">
        <x:v>52.75</x:v>
      </x:c>
      <x:c r="P690" s="221" t="n">
        <x:v>48.675</x:v>
      </x:c>
      <x:c r="Q690" s="221" t="n">
        <x:v>4.075</x:v>
      </x:c>
      <x:c r="R690" s="221" t="n">
        <x:v>0.07725118483412323</x:v>
      </x:c>
      <x:c r="S690" s="221" t="n">
        <x:v>78.25806451612904</x:v>
      </x:c>
      <x:c r="T690" s="221" t="n">
        <x:v>75.2258064516129</x:v>
      </x:c>
      <x:c r="U690" s="221" t="n">
        <x:v>3.032258064516129</x:v>
      </x:c>
      <x:c r="V690" s="219" t="n">
        <x:v>0.027649769585253458</x:v>
      </x:c>
      <x:c r="W690" s="216" t="n">
        <x:v>2</x:v>
      </x:c>
      <x:c r="X690" s="223" t="n">
        <x:v>570</x:v>
      </x:c>
      <x:c r="Y690" s="216" t="n">
        <x:v>26</x:v>
      </x:c>
    </x:row>
    <x:row r="691">
      <x:c r="A691" s="217" t="n">
        <x:v>1223</x:v>
      </x:c>
      <x:c r="B691" s="217" t="str">
        <x:v>鶯歌國民運動中心</x:v>
      </x:c>
      <x:c r="C691" s="217" t="str">
        <x:v>鶯歌區</x:v>
      </x:c>
      <x:c r="D691" s="217" t="n">
        <x:v>38</x:v>
      </x:c>
      <x:c r="E691" s="217" t="n">
        <x:v>120</x:v>
      </x:c>
      <x:c r="F691" s="218" t="n">
        <x:v>0.9994791666666667</x:v>
      </x:c>
      <x:c r="G691" s="217" t="n">
        <x:v>687</x:v>
      </x:c>
      <x:c r="H691" s="217" t="str">
        <x:f>IF(G691&lt;='排名定義'!$B$5,"是","")</x:f>
        <x:v>是</x:v>
      </x:c>
      <x:c r="I691" s="217" t="n">
        <x:v>723</x:v>
      </x:c>
      <x:c r="J691" s="217" t="str">
        <x:f>IF(I691&lt;='排名定義'!$B$5,"是","")</x:f>
        <x:v>是</x:v>
      </x:c>
      <x:c r="K691" s="217" t="n">
        <x:v>289</x:v>
      </x:c>
      <x:c r="L691" s="217" t="str">
        <x:f>IF(K691&lt;='排名定義'!$B$5,"是","")</x:f>
        <x:v>是</x:v>
      </x:c>
      <x:c r="M691" s="217" t="n">
        <x:f>COUNTIF(H691:L691,"是")</x:f>
        <x:v>3</x:v>
      </x:c>
      <x:c r="N691" s="217" t="str">
        <x:v>僅大幅變動</x:v>
      </x:c>
      <x:c r="O691" s="220" t="n">
        <x:v>52.59166666666667</x:v>
      </x:c>
      <x:c r="P691" s="220" t="n">
        <x:v>46.141666666666666</x:v>
      </x:c>
      <x:c r="Q691" s="220" t="n">
        <x:v>6.45</x:v>
      </x:c>
      <x:c r="R691" s="220" t="n">
        <x:v>0.12264300427824433</x:v>
      </x:c>
      <x:c r="S691" s="220" t="n">
        <x:v>92.38709677419355</x:v>
      </x:c>
      <x:c r="T691" s="220" t="n">
        <x:v>85.6774193548387</x:v>
      </x:c>
      <x:c r="U691" s="220" t="n">
        <x:v>6.709677419354839</x:v>
      </x:c>
      <x:c r="V691" s="218" t="n">
        <x:v>0.004608294930875576</x:v>
      </x:c>
      <x:c r="W691" s="217" t="n">
        <x:v>1</x:v>
      </x:c>
      <x:c r="X691" s="222" t="n">
        <x:v>300</x:v>
      </x:c>
      <x:c r="Y691" s="217" t="n">
        <x:v>38</x:v>
      </x:c>
    </x:row>
    <x:row r="692">
      <x:c r="A692" s="216" t="n">
        <x:v>887</x:v>
      </x:c>
      <x:c r="B692" s="216" t="str">
        <x:v>興林路151巷口</x:v>
      </x:c>
      <x:c r="C692" s="216" t="str">
        <x:v>林口區</x:v>
      </x:c>
      <x:c r="D692" s="216" t="n">
        <x:v>25</x:v>
      </x:c>
      <x:c r="E692" s="216" t="n">
        <x:v>120</x:v>
      </x:c>
      <x:c r="F692" s="219" t="n">
        <x:v>0.9994791666666667</x:v>
      </x:c>
      <x:c r="G692" s="216" t="n">
        <x:v>688</x:v>
      </x:c>
      <x:c r="H692" s="216" t="str">
        <x:f>IF(G692&lt;='排名定義'!$B$5,"是","")</x:f>
        <x:v>是</x:v>
      </x:c>
      <x:c r="I692" s="216" t="n">
        <x:v>698</x:v>
      </x:c>
      <x:c r="J692" s="216" t="str">
        <x:f>IF(I692&lt;='排名定義'!$B$5,"是","")</x:f>
        <x:v>是</x:v>
      </x:c>
      <x:c r="K692" s="216" t="n">
        <x:v>575</x:v>
      </x:c>
      <x:c r="L692" s="216" t="str">
        <x:f>IF(K692&lt;='排名定義'!$B$5,"是","")</x:f>
        <x:v>是</x:v>
      </x:c>
      <x:c r="M692" s="216" t="n">
        <x:f>COUNTIF(H692:L692,"是")</x:f>
        <x:v>3</x:v>
      </x:c>
      <x:c r="N692" s="216" t="str">
        <x:v>三份皆未入選</x:v>
      </x:c>
      <x:c r="O692" s="221" t="n">
        <x:v>52.525</x:v>
      </x:c>
      <x:c r="P692" s="221" t="n">
        <x:v>47.708333333333336</x:v>
      </x:c>
      <x:c r="Q692" s="221" t="n">
        <x:v>4.816666666666666</x:v>
      </x:c>
      <x:c r="R692" s="221" t="n">
        <x:v>0.09170236395367286</x:v>
      </x:c>
      <x:c r="S692" s="221" t="n">
        <x:v>78.90322580645162</x:v>
      </x:c>
      <x:c r="T692" s="221" t="n">
        <x:v>74.16129032258064</x:v>
      </x:c>
      <x:c r="U692" s="221" t="n">
        <x:v>4.741935483870968</x:v>
      </x:c>
      <x:c r="V692" s="219" t="n">
        <x:v>0.06221198156682028</x:v>
      </x:c>
      <x:c r="W692" s="216" t="n">
        <x:v>9</x:v>
      </x:c>
      <x:c r="X692" s="223" t="n">
        <x:v>1140</x:v>
      </x:c>
      <x:c r="Y692" s="216" t="n">
        <x:v>25</x:v>
      </x:c>
    </x:row>
    <x:row r="693">
      <x:c r="A693" s="217" t="n">
        <x:v>974</x:v>
      </x:c>
      <x:c r="B693" s="217" t="str">
        <x:v>林口婦幼公園</x:v>
      </x:c>
      <x:c r="C693" s="217" t="str">
        <x:v>林口區</x:v>
      </x:c>
      <x:c r="D693" s="217" t="n">
        <x:v>28</x:v>
      </x:c>
      <x:c r="E693" s="217" t="n">
        <x:v>120</x:v>
      </x:c>
      <x:c r="F693" s="218" t="n">
        <x:v>0.9994791666666667</x:v>
      </x:c>
      <x:c r="G693" s="217" t="n">
        <x:v>689</x:v>
      </x:c>
      <x:c r="H693" s="217" t="str">
        <x:f>IF(G693&lt;='排名定義'!$B$5,"是","")</x:f>
        <x:v>是</x:v>
      </x:c>
      <x:c r="I693" s="217" t="n">
        <x:v>687</x:v>
      </x:c>
      <x:c r="J693" s="217" t="str">
        <x:f>IF(I693&lt;='排名定義'!$B$5,"是","")</x:f>
        <x:v>是</x:v>
      </x:c>
      <x:c r="K693" s="217" t="n">
        <x:v>734</x:v>
      </x:c>
      <x:c r="L693" s="217" t="str">
        <x:f>IF(K693&lt;='排名定義'!$B$5,"是","")</x:f>
        <x:v>是</x:v>
      </x:c>
      <x:c r="M693" s="217" t="n">
        <x:f>COUNTIF(H693:L693,"是")</x:f>
        <x:v>3</x:v>
      </x:c>
      <x:c r="N693" s="217" t="str">
        <x:v>三份皆未入選</x:v>
      </x:c>
      <x:c r="O693" s="220" t="n">
        <x:v>52.525</x:v>
      </x:c>
      <x:c r="P693" s="220" t="n">
        <x:v>48.325</x:v>
      </x:c>
      <x:c r="Q693" s="220" t="n">
        <x:v>4.2</x:v>
      </x:c>
      <x:c r="R693" s="220" t="n">
        <x:v>0.07996192289386006</x:v>
      </x:c>
      <x:c r="S693" s="220" t="n">
        <x:v>76.83870967741936</x:v>
      </x:c>
      <x:c r="T693" s="220" t="n">
        <x:v>73.48387096774194</x:v>
      </x:c>
      <x:c r="U693" s="220" t="n">
        <x:v>3.3548387096774195</x:v>
      </x:c>
      <x:c r="V693" s="218" t="n">
        <x:v>0.01152073732718894</x:v>
      </x:c>
      <x:c r="W693" s="217" t="n">
        <x:v>4</x:v>
      </x:c>
      <x:c r="X693" s="222" t="n">
        <x:v>480</x:v>
      </x:c>
      <x:c r="Y693" s="217" t="n">
        <x:v>28</x:v>
      </x:c>
    </x:row>
    <x:row r="694">
      <x:c r="A694" s="216" t="n">
        <x:v>522</x:v>
      </x:c>
      <x:c r="B694" s="216" t="str">
        <x:v>台灣電力公司中和服務所</x:v>
      </x:c>
      <x:c r="C694" s="216" t="str">
        <x:v>中和區</x:v>
      </x:c>
      <x:c r="D694" s="216" t="n">
        <x:v>17</x:v>
      </x:c>
      <x:c r="E694" s="216" t="n">
        <x:v>120</x:v>
      </x:c>
      <x:c r="F694" s="219" t="n">
        <x:v>0.9994791666666667</x:v>
      </x:c>
      <x:c r="G694" s="216" t="n">
        <x:v>690</x:v>
      </x:c>
      <x:c r="H694" s="216" t="str">
        <x:f>IF(G694&lt;='排名定義'!$B$5,"是","")</x:f>
        <x:v>是</x:v>
      </x:c>
      <x:c r="I694" s="216" t="n">
        <x:v>676</x:v>
      </x:c>
      <x:c r="J694" s="216" t="str">
        <x:f>IF(I694&lt;='排名定義'!$B$5,"是","")</x:f>
        <x:v>是</x:v>
      </x:c>
      <x:c r="K694" s="216" t="n">
        <x:v>904</x:v>
      </x:c>
      <x:c r="L694" s="216" t="str">
        <x:f>IF(K694&lt;='排名定義'!$B$5,"是","")</x:f>
        <x:v>是</x:v>
      </x:c>
      <x:c r="M694" s="216" t="n">
        <x:f>COUNTIF(H694:L694,"是")</x:f>
        <x:v>3</x:v>
      </x:c>
      <x:c r="N694" s="216" t="str">
        <x:v>三份皆未入選</x:v>
      </x:c>
      <x:c r="O694" s="221" t="n">
        <x:v>52.49166666666667</x:v>
      </x:c>
      <x:c r="P694" s="221" t="n">
        <x:v>48.78333333333333</x:v>
      </x:c>
      <x:c r="Q694" s="221" t="n">
        <x:v>3.7083333333333335</x:v>
      </x:c>
      <x:c r="R694" s="221" t="n">
        <x:v>0.07064613430703286</x:v>
      </x:c>
      <x:c r="S694" s="221" t="n">
        <x:v>71.64516129032258</x:v>
      </x:c>
      <x:c r="T694" s="221" t="n">
        <x:v>67.64516129032258</x:v>
      </x:c>
      <x:c r="U694" s="221" t="n">
        <x:v>4</x:v>
      </x:c>
      <x:c r="V694" s="219" t="n">
        <x:v>0.07142857142857142</x:v>
      </x:c>
      <x:c r="W694" s="216" t="n">
        <x:v>28</x:v>
      </x:c>
      <x:c r="X694" s="223" t="n">
        <x:v>3720</x:v>
      </x:c>
      <x:c r="Y694" s="216" t="n">
        <x:v>17</x:v>
      </x:c>
    </x:row>
    <x:row r="695">
      <x:c r="A695" s="217" t="n">
        <x:v>1142</x:v>
      </x:c>
      <x:c r="B695" s="217" t="str">
        <x:v>文化機車立體停車場</x:v>
      </x:c>
      <x:c r="C695" s="217" t="str">
        <x:v>淡水區</x:v>
      </x:c>
      <x:c r="D695" s="217" t="n">
        <x:v>34</x:v>
      </x:c>
      <x:c r="E695" s="217" t="n">
        <x:v>120</x:v>
      </x:c>
      <x:c r="F695" s="218" t="n">
        <x:v>0.9994791666666667</x:v>
      </x:c>
      <x:c r="G695" s="217" t="n">
        <x:v>691</x:v>
      </x:c>
      <x:c r="H695" s="217" t="str">
        <x:f>IF(G695&lt;='排名定義'!$B$5,"是","")</x:f>
        <x:v>是</x:v>
      </x:c>
      <x:c r="I695" s="217" t="n">
        <x:v>719</x:v>
      </x:c>
      <x:c r="J695" s="217" t="str">
        <x:f>IF(I695&lt;='排名定義'!$B$5,"是","")</x:f>
        <x:v>是</x:v>
      </x:c>
      <x:c r="K695" s="217" t="n">
        <x:v>349</x:v>
      </x:c>
      <x:c r="L695" s="217" t="str">
        <x:f>IF(K695&lt;='排名定義'!$B$5,"是","")</x:f>
        <x:v>是</x:v>
      </x:c>
      <x:c r="M695" s="217" t="n">
        <x:f>COUNTIF(H695:L695,"是")</x:f>
        <x:v>3</x:v>
      </x:c>
      <x:c r="N695" s="217" t="str">
        <x:v>僅大幅變動</x:v>
      </x:c>
      <x:c r="O695" s="220" t="n">
        <x:v>52.34166666666667</x:v>
      </x:c>
      <x:c r="P695" s="220" t="n">
        <x:v>46.31666666666667</x:v>
      </x:c>
      <x:c r="Q695" s="220" t="n">
        <x:v>6.025</x:v>
      </x:c>
      <x:c r="R695" s="220" t="n">
        <x:v>0.11510905906702755</x:v>
      </x:c>
      <x:c r="S695" s="220" t="n">
        <x:v>89.48387096774194</x:v>
      </x:c>
      <x:c r="T695" s="220" t="n">
        <x:v>83.12903225806451</x:v>
      </x:c>
      <x:c r="U695" s="220" t="n">
        <x:v>6.354838709677419</x:v>
      </x:c>
      <x:c r="V695" s="218" t="n">
        <x:v>0.0967741935483871</x:v>
      </x:c>
      <x:c r="W695" s="217" t="n">
        <x:v>12</x:v>
      </x:c>
      <x:c r="X695" s="222" t="n">
        <x:v>1890</x:v>
      </x:c>
      <x:c r="Y695" s="217" t="n">
        <x:v>34</x:v>
      </x:c>
    </x:row>
    <x:row r="696">
      <x:c r="A696" s="216" t="n">
        <x:v>796</x:v>
      </x:c>
      <x:c r="B696" s="216" t="str">
        <x:v>安華公園</x:v>
      </x:c>
      <x:c r="C696" s="216" t="str">
        <x:v>新店區</x:v>
      </x:c>
      <x:c r="D696" s="216" t="n">
        <x:v>22</x:v>
      </x:c>
      <x:c r="E696" s="216" t="n">
        <x:v>120</x:v>
      </x:c>
      <x:c r="F696" s="219" t="n">
        <x:v>0.9994791666666667</x:v>
      </x:c>
      <x:c r="G696" s="216" t="n">
        <x:v>692</x:v>
      </x:c>
      <x:c r="H696" s="216" t="str">
        <x:f>IF(G696&lt;='排名定義'!$B$5,"是","")</x:f>
        <x:v>是</x:v>
      </x:c>
      <x:c r="I696" s="216" t="n">
        <x:v>700</x:v>
      </x:c>
      <x:c r="J696" s="216" t="str">
        <x:f>IF(I696&lt;='排名定義'!$B$5,"是","")</x:f>
        <x:v>是</x:v>
      </x:c>
      <x:c r="K696" s="216" t="n">
        <x:v>601</x:v>
      </x:c>
      <x:c r="L696" s="216" t="str">
        <x:f>IF(K696&lt;='排名定義'!$B$5,"是","")</x:f>
        <x:v>是</x:v>
      </x:c>
      <x:c r="M696" s="216" t="n">
        <x:f>COUNTIF(H696:L696,"是")</x:f>
        <x:v>3</x:v>
      </x:c>
      <x:c r="N696" s="216" t="str">
        <x:v>三份皆未入選</x:v>
      </x:c>
      <x:c r="O696" s="221" t="n">
        <x:v>52.21666666666667</x:v>
      </x:c>
      <x:c r="P696" s="221" t="n">
        <x:v>47.541666666666664</x:v>
      </x:c>
      <x:c r="Q696" s="221" t="n">
        <x:v>4.675</x:v>
      </x:c>
      <x:c r="R696" s="221" t="n">
        <x:v>0.08953080114905841</x:v>
      </x:c>
      <x:c r="S696" s="221" t="n">
        <x:v>69.70967741935483</x:v>
      </x:c>
      <x:c r="T696" s="221" t="n">
        <x:v>65.45161290322581</x:v>
      </x:c>
      <x:c r="U696" s="221" t="n">
        <x:v>4.258064516129032</x:v>
      </x:c>
      <x:c r="V696" s="219" t="n">
        <x:v>0.041474654377880185</x:v>
      </x:c>
      <x:c r="W696" s="216" t="n">
        <x:v>14</x:v>
      </x:c>
      <x:c r="X696" s="223" t="n">
        <x:v>2190</x:v>
      </x:c>
      <x:c r="Y696" s="216" t="n">
        <x:v>22</x:v>
      </x:c>
    </x:row>
    <x:row r="697">
      <x:c r="A697" s="217" t="n">
        <x:v>945</x:v>
      </x:c>
      <x:c r="B697" s="217" t="str">
        <x:v>西安市民活動中心</x:v>
      </x:c>
      <x:c r="C697" s="217" t="str">
        <x:v>板橋區</x:v>
      </x:c>
      <x:c r="D697" s="217" t="n">
        <x:v>27</x:v>
      </x:c>
      <x:c r="E697" s="217" t="n">
        <x:v>120</x:v>
      </x:c>
      <x:c r="F697" s="218" t="n">
        <x:v>0.9994791666666667</x:v>
      </x:c>
      <x:c r="G697" s="217" t="n">
        <x:v>693</x:v>
      </x:c>
      <x:c r="H697" s="217" t="str">
        <x:f>IF(G697&lt;='排名定義'!$B$5,"是","")</x:f>
        <x:v>是</x:v>
      </x:c>
      <x:c r="I697" s="217" t="n">
        <x:v>712</x:v>
      </x:c>
      <x:c r="J697" s="217" t="str">
        <x:f>IF(I697&lt;='排名定義'!$B$5,"是","")</x:f>
        <x:v>是</x:v>
      </x:c>
      <x:c r="K697" s="217" t="n">
        <x:v>485</x:v>
      </x:c>
      <x:c r="L697" s="217" t="str">
        <x:f>IF(K697&lt;='排名定義'!$B$5,"是","")</x:f>
        <x:v>是</x:v>
      </x:c>
      <x:c r="M697" s="217" t="n">
        <x:f>COUNTIF(H697:L697,"是")</x:f>
        <x:v>3</x:v>
      </x:c>
      <x:c r="N697" s="217" t="str">
        <x:v>三份皆未入選</x:v>
      </x:c>
      <x:c r="O697" s="220" t="n">
        <x:v>52.041666666666664</x:v>
      </x:c>
      <x:c r="P697" s="220" t="n">
        <x:v>46.81666666666667</x:v>
      </x:c>
      <x:c r="Q697" s="220" t="n">
        <x:v>5.225</x:v>
      </x:c>
      <x:c r="R697" s="220" t="n">
        <x:v>0.10040032025620496</x:v>
      </x:c>
      <x:c r="S697" s="220" t="n">
        <x:v>64.16129032258064</x:v>
      </x:c>
      <x:c r="T697" s="220" t="n">
        <x:v>60.83870967741935</x:v>
      </x:c>
      <x:c r="U697" s="220" t="n">
        <x:v>3.3225806451612905</x:v>
      </x:c>
      <x:c r="V697" s="218" t="n">
        <x:v>0.1497695852534562</x:v>
      </x:c>
      <x:c r="W697" s="217" t="n">
        <x:v>42</x:v>
      </x:c>
      <x:c r="X697" s="222" t="n">
        <x:v>4500</x:v>
      </x:c>
      <x:c r="Y697" s="217" t="n">
        <x:v>27</x:v>
      </x:c>
    </x:row>
    <x:row r="698">
      <x:c r="A698" s="216" t="n">
        <x:v>647</x:v>
      </x:c>
      <x:c r="B698" s="216" t="str">
        <x:v>國家電影及視聽文化中心</x:v>
      </x:c>
      <x:c r="C698" s="216" t="str">
        <x:v>新莊區</x:v>
      </x:c>
      <x:c r="D698" s="216" t="n">
        <x:v>20</x:v>
      </x:c>
      <x:c r="E698" s="216" t="n">
        <x:v>120</x:v>
      </x:c>
      <x:c r="F698" s="219" t="n">
        <x:v>0.9994791666666667</x:v>
      </x:c>
      <x:c r="G698" s="216" t="n">
        <x:v>694</x:v>
      </x:c>
      <x:c r="H698" s="216" t="str">
        <x:f>IF(G698&lt;='排名定義'!$B$5,"是","")</x:f>
        <x:v>是</x:v>
      </x:c>
      <x:c r="I698" s="216" t="n">
        <x:v>694</x:v>
      </x:c>
      <x:c r="J698" s="216" t="str">
        <x:f>IF(I698&lt;='排名定義'!$B$5,"是","")</x:f>
        <x:v>是</x:v>
      </x:c>
      <x:c r="K698" s="216" t="n">
        <x:v>755</x:v>
      </x:c>
      <x:c r="L698" s="216" t="str">
        <x:f>IF(K698&lt;='排名定義'!$B$5,"是","")</x:f>
        <x:v>是</x:v>
      </x:c>
      <x:c r="M698" s="216" t="n">
        <x:f>COUNTIF(H698:L698,"是")</x:f>
        <x:v>3</x:v>
      </x:c>
      <x:c r="N698" s="216" t="str">
        <x:v>三份皆未入選</x:v>
      </x:c>
      <x:c r="O698" s="221" t="n">
        <x:v>52.00833333333333</x:v>
      </x:c>
      <x:c r="P698" s="221" t="n">
        <x:v>47.891666666666666</x:v>
      </x:c>
      <x:c r="Q698" s="221" t="n">
        <x:v>4.116666666666666</x:v>
      </x:c>
      <x:c r="R698" s="221" t="n">
        <x:v>0.07915398173369652</x:v>
      </x:c>
      <x:c r="S698" s="221" t="n">
        <x:v>76.12903225806451</x:v>
      </x:c>
      <x:c r="T698" s="221" t="n">
        <x:v>72.96774193548387</x:v>
      </x:c>
      <x:c r="U698" s="221" t="n">
        <x:v>3.161290322580645</x:v>
      </x:c>
      <x:c r="V698" s="219" t="n">
        <x:v>0.1175115207373272</x:v>
      </x:c>
      <x:c r="W698" s="216" t="n">
        <x:v>29</x:v>
      </x:c>
      <x:c r="X698" s="223" t="n">
        <x:v>4290</x:v>
      </x:c>
      <x:c r="Y698" s="216" t="n">
        <x:v>20</x:v>
      </x:c>
    </x:row>
    <x:row r="699">
      <x:c r="A699" s="217" t="n">
        <x:v>1243</x:v>
      </x:c>
      <x:c r="B699" s="217" t="str">
        <x:v>西盛廣場</x:v>
      </x:c>
      <x:c r="C699" s="217" t="str">
        <x:v>新莊區</x:v>
      </x:c>
      <x:c r="D699" s="217" t="n">
        <x:v>39</x:v>
      </x:c>
      <x:c r="E699" s="217" t="n">
        <x:v>120</x:v>
      </x:c>
      <x:c r="F699" s="218" t="n">
        <x:v>0.9994791666666667</x:v>
      </x:c>
      <x:c r="G699" s="217" t="n">
        <x:v>695</x:v>
      </x:c>
      <x:c r="H699" s="217" t="str">
        <x:f>IF(G699&lt;='排名定義'!$B$5,"是","")</x:f>
        <x:v>是</x:v>
      </x:c>
      <x:c r="I699" s="217" t="n">
        <x:v>711</x:v>
      </x:c>
      <x:c r="J699" s="217" t="str">
        <x:f>IF(I699&lt;='排名定義'!$B$5,"是","")</x:f>
        <x:v>是</x:v>
      </x:c>
      <x:c r="K699" s="217" t="n">
        <x:v>514</x:v>
      </x:c>
      <x:c r="L699" s="217" t="str">
        <x:f>IF(K699&lt;='排名定義'!$B$5,"是","")</x:f>
        <x:v>是</x:v>
      </x:c>
      <x:c r="M699" s="217" t="n">
        <x:f>COUNTIF(H699:L699,"是")</x:f>
        <x:v>3</x:v>
      </x:c>
      <x:c r="N699" s="217" t="str">
        <x:v>三份皆未入選</x:v>
      </x:c>
      <x:c r="O699" s="220" t="n">
        <x:v>51.94166666666667</x:v>
      </x:c>
      <x:c r="P699" s="220" t="n">
        <x:v>46.85</x:v>
      </x:c>
      <x:c r="Q699" s="220" t="n">
        <x:v>5.091666666666667</x:v>
      </x:c>
      <x:c r="R699" s="220" t="n">
        <x:v>0.09802663244023745</x:v>
      </x:c>
      <x:c r="S699" s="220" t="n">
        <x:v>82.41935483870968</x:v>
      </x:c>
      <x:c r="T699" s="220" t="n">
        <x:v>77.09677419354838</x:v>
      </x:c>
      <x:c r="U699" s="220" t="n">
        <x:v>5.32258064516129</x:v>
      </x:c>
      <x:c r="V699" s="218" t="n">
        <x:v>0.02304147465437788</x:v>
      </x:c>
      <x:c r="W699" s="217" t="n">
        <x:v>1</x:v>
      </x:c>
      <x:c r="X699" s="222" t="n">
        <x:v>450</x:v>
      </x:c>
      <x:c r="Y699" s="217" t="n">
        <x:v>39</x:v>
      </x:c>
    </x:row>
    <x:row r="700">
      <x:c r="A700" s="216" t="n">
        <x:v>383</x:v>
      </x:c>
      <x:c r="B700" s="216" t="str">
        <x:v>環河民樂街59巷26弄口</x:v>
      </x:c>
      <x:c r="C700" s="216" t="str">
        <x:v>永和區</x:v>
      </x:c>
      <x:c r="D700" s="216" t="n">
        <x:v>15</x:v>
      </x:c>
      <x:c r="E700" s="216" t="n">
        <x:v>120</x:v>
      </x:c>
      <x:c r="F700" s="219" t="n">
        <x:v>0.9994791666666667</x:v>
      </x:c>
      <x:c r="G700" s="216" t="n">
        <x:v>696</x:v>
      </x:c>
      <x:c r="H700" s="216" t="str">
        <x:f>IF(G700&lt;='排名定義'!$B$5,"是","")</x:f>
        <x:v>是</x:v>
      </x:c>
      <x:c r="I700" s="216" t="n">
        <x:v>688</x:v>
      </x:c>
      <x:c r="J700" s="216" t="str">
        <x:f>IF(I700&lt;='排名定義'!$B$5,"是","")</x:f>
        <x:v>是</x:v>
      </x:c>
      <x:c r="K700" s="216" t="n">
        <x:v>947</x:v>
      </x:c>
      <x:c r="L700" s="216" t="str">
        <x:f>IF(K700&lt;='排名定義'!$B$5,"是","")</x:f>
        <x:v>是</x:v>
      </x:c>
      <x:c r="M700" s="216" t="n">
        <x:f>COUNTIF(H700:L700,"是")</x:f>
        <x:v>3</x:v>
      </x:c>
      <x:c r="N700" s="216" t="str">
        <x:v>三份皆未入選</x:v>
      </x:c>
      <x:c r="O700" s="221" t="n">
        <x:v>51.9</x:v>
      </x:c>
      <x:c r="P700" s="221" t="n">
        <x:v>48.31666666666667</x:v>
      </x:c>
      <x:c r="Q700" s="221" t="n">
        <x:v>3.5833333333333335</x:v>
      </x:c>
      <x:c r="R700" s="221" t="n">
        <x:v>0.06904303147077713</x:v>
      </x:c>
      <x:c r="S700" s="221" t="n">
        <x:v>75.06451612903226</x:v>
      </x:c>
      <x:c r="T700" s="221" t="n">
        <x:v>71.61290322580645</x:v>
      </x:c>
      <x:c r="U700" s="221" t="n">
        <x:v>3.4516129032258065</x:v>
      </x:c>
      <x:c r="V700" s="219" t="n">
        <x:v>0.06451612903225806</x:v>
      </x:c>
      <x:c r="W700" s="216" t="n">
        <x:v>17</x:v>
      </x:c>
      <x:c r="X700" s="223" t="n">
        <x:v>2580</x:v>
      </x:c>
      <x:c r="Y700" s="216" t="n">
        <x:v>15</x:v>
      </x:c>
    </x:row>
    <x:row r="701">
      <x:c r="A701" s="217" t="n">
        <x:v>131</x:v>
      </x:c>
      <x:c r="B701" s="217" t="str">
        <x:v>縣民富山街口</x:v>
      </x:c>
      <x:c r="C701" s="217" t="str">
        <x:v>板橋區</x:v>
      </x:c>
      <x:c r="D701" s="217" t="n">
        <x:v>10</x:v>
      </x:c>
      <x:c r="E701" s="217" t="n">
        <x:v>120</x:v>
      </x:c>
      <x:c r="F701" s="218" t="n">
        <x:v>0.9994791666666667</x:v>
      </x:c>
      <x:c r="G701" s="217" t="n">
        <x:v>697</x:v>
      </x:c>
      <x:c r="H701" s="217" t="str">
        <x:f>IF(G701&lt;='排名定義'!$B$5,"是","")</x:f>
        <x:v>是</x:v>
      </x:c>
      <x:c r="I701" s="217" t="n">
        <x:v>692</x:v>
      </x:c>
      <x:c r="J701" s="217" t="str">
        <x:f>IF(I701&lt;='排名定義'!$B$5,"是","")</x:f>
        <x:v>是</x:v>
      </x:c>
      <x:c r="K701" s="217" t="n">
        <x:v>833</x:v>
      </x:c>
      <x:c r="L701" s="217" t="str">
        <x:f>IF(K701&lt;='排名定義'!$B$5,"是","")</x:f>
        <x:v>是</x:v>
      </x:c>
      <x:c r="M701" s="217" t="n">
        <x:f>COUNTIF(H701:L701,"是")</x:f>
        <x:v>3</x:v>
      </x:c>
      <x:c r="N701" s="217" t="str">
        <x:v>三份皆未入選</x:v>
      </x:c>
      <x:c r="O701" s="220" t="n">
        <x:v>51.891666666666666</x:v>
      </x:c>
      <x:c r="P701" s="220" t="n">
        <x:v>47.99166666666667</x:v>
      </x:c>
      <x:c r="Q701" s="220" t="n">
        <x:v>3.9</x:v>
      </x:c>
      <x:c r="R701" s="220" t="n">
        <x:v>0.07515657620041753</x:v>
      </x:c>
      <x:c r="S701" s="220" t="n">
        <x:v>63.87096774193548</x:v>
      </x:c>
      <x:c r="T701" s="220" t="n">
        <x:v>57.774193548387096</x:v>
      </x:c>
      <x:c r="U701" s="220" t="n">
        <x:v>6.096774193548387</x:v>
      </x:c>
      <x:c r="V701" s="218" t="n">
        <x:v>0.21428571428571427</x:v>
      </x:c>
      <x:c r="W701" s="217" t="n">
        <x:v>50</x:v>
      </x:c>
      <x:c r="X701" s="222" t="n">
        <x:v>6030</x:v>
      </x:c>
      <x:c r="Y701" s="217" t="n">
        <x:v>10</x:v>
      </x:c>
    </x:row>
    <x:row r="702">
      <x:c r="A702" s="216" t="n">
        <x:v>173</x:v>
      </x:c>
      <x:c r="B702" s="216" t="str">
        <x:v>仁美街/三和路四段145巷口</x:v>
      </x:c>
      <x:c r="C702" s="216" t="str">
        <x:v>三重區</x:v>
      </x:c>
      <x:c r="D702" s="216" t="n">
        <x:v>12</x:v>
      </x:c>
      <x:c r="E702" s="216" t="n">
        <x:v>120</x:v>
      </x:c>
      <x:c r="F702" s="219" t="n">
        <x:v>0.9994791666666667</x:v>
      </x:c>
      <x:c r="G702" s="216" t="n">
        <x:v>698</x:v>
      </x:c>
      <x:c r="H702" s="216" t="str">
        <x:f>IF(G702&lt;='排名定義'!$B$5,"是","")</x:f>
        <x:v>是</x:v>
      </x:c>
      <x:c r="I702" s="216" t="n">
        <x:v>689</x:v>
      </x:c>
      <x:c r="J702" s="216" t="str">
        <x:f>IF(I702&lt;='排名定義'!$B$5,"是","")</x:f>
        <x:v>是</x:v>
      </x:c>
      <x:c r="K702" s="216" t="n">
        <x:v>937</x:v>
      </x:c>
      <x:c r="L702" s="216" t="str">
        <x:f>IF(K702&lt;='排名定義'!$B$5,"是","")</x:f>
        <x:v>是</x:v>
      </x:c>
      <x:c r="M702" s="216" t="n">
        <x:f>COUNTIF(H702:L702,"是")</x:f>
        <x:v>3</x:v>
      </x:c>
      <x:c r="N702" s="216" t="str">
        <x:v>三份皆未入選</x:v>
      </x:c>
      <x:c r="O702" s="221" t="n">
        <x:v>51.875</x:v>
      </x:c>
      <x:c r="P702" s="221" t="n">
        <x:v>48.275</x:v>
      </x:c>
      <x:c r="Q702" s="221" t="n">
        <x:v>3.6</x:v>
      </x:c>
      <x:c r="R702" s="221" t="n">
        <x:v>0.06939759036144579</x:v>
      </x:c>
      <x:c r="S702" s="221" t="n">
        <x:v>65.45161290322581</x:v>
      </x:c>
      <x:c r="T702" s="221" t="n">
        <x:v>62.70967741935484</x:v>
      </x:c>
      <x:c r="U702" s="221" t="n">
        <x:v>2.7419354838709675</x:v>
      </x:c>
      <x:c r="V702" s="219" t="n">
        <x:v>0.22119815668202766</x:v>
      </x:c>
      <x:c r="W702" s="216" t="n">
        <x:v>46</x:v>
      </x:c>
      <x:c r="X702" s="223" t="n">
        <x:v>6420</x:v>
      </x:c>
      <x:c r="Y702" s="216" t="n">
        <x:v>12</x:v>
      </x:c>
    </x:row>
    <x:row r="703">
      <x:c r="A703" s="217" t="n">
        <x:v>1134</x:v>
      </x:c>
      <x:c r="B703" s="217" t="str">
        <x:v>穀保家商</x:v>
      </x:c>
      <x:c r="C703" s="217" t="str">
        <x:v>三重區</x:v>
      </x:c>
      <x:c r="D703" s="217" t="n">
        <x:v>33</x:v>
      </x:c>
      <x:c r="E703" s="217" t="n">
        <x:v>120</x:v>
      </x:c>
      <x:c r="F703" s="218" t="n">
        <x:v>0.9994791666666667</x:v>
      </x:c>
      <x:c r="G703" s="217" t="n">
        <x:v>699</x:v>
      </x:c>
      <x:c r="H703" s="217" t="str">
        <x:f>IF(G703&lt;='排名定義'!$B$5,"是","")</x:f>
        <x:v>是</x:v>
      </x:c>
      <x:c r="I703" s="217" t="n">
        <x:v>734</x:v>
      </x:c>
      <x:c r="J703" s="217" t="str">
        <x:f>IF(I703&lt;='排名定義'!$B$5,"是","")</x:f>
        <x:v>是</x:v>
      </x:c>
      <x:c r="K703" s="217" t="n">
        <x:v>301</x:v>
      </x:c>
      <x:c r="L703" s="217" t="str">
        <x:f>IF(K703&lt;='排名定義'!$B$5,"是","")</x:f>
        <x:v>是</x:v>
      </x:c>
      <x:c r="M703" s="217" t="n">
        <x:f>COUNTIF(H703:L703,"是")</x:f>
        <x:v>3</x:v>
      </x:c>
      <x:c r="N703" s="217" t="str">
        <x:v>僅大幅變動</x:v>
      </x:c>
      <x:c r="O703" s="220" t="n">
        <x:v>51.833333333333336</x:v>
      </x:c>
      <x:c r="P703" s="220" t="n">
        <x:v>45.475</x:v>
      </x:c>
      <x:c r="Q703" s="220" t="n">
        <x:v>6.358333333333333</x:v>
      </x:c>
      <x:c r="R703" s="220" t="n">
        <x:v>0.12266881028938907</x:v>
      </x:c>
      <x:c r="S703" s="220" t="n">
        <x:v>76.64516129032258</x:v>
      </x:c>
      <x:c r="T703" s="220" t="n">
        <x:v>70.09677419354838</x:v>
      </x:c>
      <x:c r="U703" s="220" t="n">
        <x:v>6.548387096774194</x:v>
      </x:c>
      <x:c r="V703" s="218" t="n">
        <x:v>0.04608294930875576</x:v>
      </x:c>
      <x:c r="W703" s="217" t="n">
        <x:v>5</x:v>
      </x:c>
      <x:c r="X703" s="222" t="n">
        <x:v>690</x:v>
      </x:c>
      <x:c r="Y703" s="217" t="n">
        <x:v>33</x:v>
      </x:c>
    </x:row>
    <x:row r="704">
      <x:c r="A704" s="216" t="n">
        <x:v>152</x:v>
      </x:c>
      <x:c r="B704" s="216" t="str">
        <x:v>水源路29巷/光華街口</x:v>
      </x:c>
      <x:c r="C704" s="216" t="str">
        <x:v>中和區</x:v>
      </x:c>
      <x:c r="D704" s="216" t="n">
        <x:v>11</x:v>
      </x:c>
      <x:c r="E704" s="216" t="n">
        <x:v>120</x:v>
      </x:c>
      <x:c r="F704" s="219" t="n">
        <x:v>0.9994791666666667</x:v>
      </x:c>
      <x:c r="G704" s="216" t="n">
        <x:v>700</x:v>
      </x:c>
      <x:c r="H704" s="216" t="str">
        <x:f>IF(G704&lt;='排名定義'!$B$5,"是","")</x:f>
        <x:v>是</x:v>
      </x:c>
      <x:c r="I704" s="216" t="n">
        <x:v>682</x:v>
      </x:c>
      <x:c r="J704" s="216" t="str">
        <x:f>IF(I704&lt;='排名定義'!$B$5,"是","")</x:f>
        <x:v>是</x:v>
      </x:c>
      <x:c r="K704" s="216" t="n">
        <x:v>1044</x:v>
      </x:c>
      <x:c r="L704" s="216" t="str">
        <x:f>IF(K704&lt;='排名定義'!$B$5,"是","")</x:f>
        <x:v>是</x:v>
      </x:c>
      <x:c r="M704" s="216" t="n">
        <x:f>COUNTIF(H704:L704,"是")</x:f>
        <x:v>3</x:v>
      </x:c>
      <x:c r="N704" s="216" t="str">
        <x:v>三份皆未入選</x:v>
      </x:c>
      <x:c r="O704" s="221" t="n">
        <x:v>51.775</x:v>
      </x:c>
      <x:c r="P704" s="221" t="n">
        <x:v>48.43333333333333</x:v>
      </x:c>
      <x:c r="Q704" s="221" t="n">
        <x:v>3.341666666666667</x:v>
      </x:c>
      <x:c r="R704" s="221" t="n">
        <x:v>0.06454208916787381</x:v>
      </x:c>
      <x:c r="S704" s="221" t="n">
        <x:v>65.54838709677419</x:v>
      </x:c>
      <x:c r="T704" s="221" t="n">
        <x:v>61.96774193548387</x:v>
      </x:c>
      <x:c r="U704" s="221" t="n">
        <x:v>3.5806451612903225</x:v>
      </x:c>
      <x:c r="V704" s="219" t="n">
        <x:v>0.1152073732718894</x:v>
      </x:c>
      <x:c r="W704" s="216" t="n">
        <x:v>24</x:v>
      </x:c>
      <x:c r="X704" s="223" t="n">
        <x:v>3390</x:v>
      </x:c>
      <x:c r="Y704" s="216" t="n">
        <x:v>11</x:v>
      </x:c>
    </x:row>
    <x:row r="705">
      <x:c r="A705" s="217" t="n">
        <x:v>831</x:v>
      </x:c>
      <x:c r="B705" s="217" t="str">
        <x:v>慈愛公園</x:v>
      </x:c>
      <x:c r="C705" s="217" t="str">
        <x:v>三重區</x:v>
      </x:c>
      <x:c r="D705" s="217" t="n">
        <x:v>23</x:v>
      </x:c>
      <x:c r="E705" s="217" t="n">
        <x:v>120</x:v>
      </x:c>
      <x:c r="F705" s="218" t="n">
        <x:v>0.9994791666666667</x:v>
      </x:c>
      <x:c r="G705" s="217" t="n">
        <x:v>701</x:v>
      </x:c>
      <x:c r="H705" s="217" t="str">
        <x:f>IF(G705&lt;='排名定義'!$B$5,"是","")</x:f>
        <x:v>是</x:v>
      </x:c>
      <x:c r="I705" s="217" t="n">
        <x:v>699</x:v>
      </x:c>
      <x:c r="J705" s="217" t="str">
        <x:f>IF(I705&lt;='排名定義'!$B$5,"是","")</x:f>
        <x:v>是</x:v>
      </x:c>
      <x:c r="K705" s="217" t="n">
        <x:v>756</x:v>
      </x:c>
      <x:c r="L705" s="217" t="str">
        <x:f>IF(K705&lt;='排名定義'!$B$5,"是","")</x:f>
        <x:v>是</x:v>
      </x:c>
      <x:c r="M705" s="217" t="n">
        <x:f>COUNTIF(H705:L705,"是")</x:f>
        <x:v>3</x:v>
      </x:c>
      <x:c r="N705" s="217" t="str">
        <x:v>三份皆未入選</x:v>
      </x:c>
      <x:c r="O705" s="220" t="n">
        <x:v>51.75833333333333</x:v>
      </x:c>
      <x:c r="P705" s="220" t="n">
        <x:v>47.641666666666666</x:v>
      </x:c>
      <x:c r="Q705" s="220" t="n">
        <x:v>4.116666666666666</x:v>
      </x:c>
      <x:c r="R705" s="220" t="n">
        <x:v>0.07953630655289004</x:v>
      </x:c>
      <x:c r="S705" s="220" t="n">
        <x:v>72.2258064516129</x:v>
      </x:c>
      <x:c r="T705" s="220" t="n">
        <x:v>69.38709677419355</x:v>
      </x:c>
      <x:c r="U705" s="220" t="n">
        <x:v>2.838709677419355</x:v>
      </x:c>
      <x:c r="V705" s="218" t="n">
        <x:v>0.09907834101382489</x:v>
      </x:c>
      <x:c r="W705" s="217" t="n">
        <x:v>22</x:v>
      </x:c>
      <x:c r="X705" s="222" t="n">
        <x:v>2850</x:v>
      </x:c>
      <x:c r="Y705" s="217" t="n">
        <x:v>23</x:v>
      </x:c>
    </x:row>
    <x:row r="706">
      <x:c r="A706" s="216" t="n">
        <x:v>785</x:v>
      </x:c>
      <x:c r="B706" s="216" t="str">
        <x:v>新月二綠堤街口</x:v>
      </x:c>
      <x:c r="C706" s="216" t="str">
        <x:v>板橋區</x:v>
      </x:c>
      <x:c r="D706" s="216" t="n">
        <x:v>21</x:v>
      </x:c>
      <x:c r="E706" s="216" t="n">
        <x:v>120</x:v>
      </x:c>
      <x:c r="F706" s="219" t="n">
        <x:v>0.9994791666666667</x:v>
      </x:c>
      <x:c r="G706" s="216" t="n">
        <x:v>702</x:v>
      </x:c>
      <x:c r="H706" s="216" t="str">
        <x:f>IF(G706&lt;='排名定義'!$B$5,"是","")</x:f>
        <x:v>是</x:v>
      </x:c>
      <x:c r="I706" s="216" t="n">
        <x:v>703</x:v>
      </x:c>
      <x:c r="J706" s="216" t="str">
        <x:f>IF(I706&lt;='排名定義'!$B$5,"是","")</x:f>
        <x:v>是</x:v>
      </x:c>
      <x:c r="K706" s="216" t="n">
        <x:v>684</x:v>
      </x:c>
      <x:c r="L706" s="216" t="str">
        <x:f>IF(K706&lt;='排名定義'!$B$5,"是","")</x:f>
        <x:v>是</x:v>
      </x:c>
      <x:c r="M706" s="216" t="n">
        <x:f>COUNTIF(H706:L706,"是")</x:f>
        <x:v>3</x:v>
      </x:c>
      <x:c r="N706" s="216" t="str">
        <x:v>三份皆未入選</x:v>
      </x:c>
      <x:c r="O706" s="221" t="n">
        <x:v>51.708333333333336</x:v>
      </x:c>
      <x:c r="P706" s="221" t="n">
        <x:v>47.35</x:v>
      </x:c>
      <x:c r="Q706" s="221" t="n">
        <x:v>4.358333333333333</x:v>
      </x:c>
      <x:c r="R706" s="221" t="n">
        <x:v>0.08428686543110395</x:v>
      </x:c>
      <x:c r="S706" s="221" t="n">
        <x:v>73.51612903225806</x:v>
      </x:c>
      <x:c r="T706" s="221" t="n">
        <x:v>69.38709677419355</x:v>
      </x:c>
      <x:c r="U706" s="221" t="n">
        <x:v>4.129032258064516</x:v>
      </x:c>
      <x:c r="V706" s="219" t="n">
        <x:v>0.052995391705069124</x:v>
      </x:c>
      <x:c r="W706" s="216" t="n">
        <x:v>9</x:v>
      </x:c>
      <x:c r="X706" s="223" t="n">
        <x:v>1320</x:v>
      </x:c>
      <x:c r="Y706" s="216" t="n">
        <x:v>21</x:v>
      </x:c>
    </x:row>
    <x:row r="707">
      <x:c r="A707" s="217" t="n">
        <x:v>1250</x:v>
      </x:c>
      <x:c r="B707" s="217" t="str">
        <x:v>樹林藝文綜合行政大樓</x:v>
      </x:c>
      <x:c r="C707" s="217" t="str">
        <x:v>樹林區</x:v>
      </x:c>
      <x:c r="D707" s="217" t="n">
        <x:v>39</x:v>
      </x:c>
      <x:c r="E707" s="217" t="n">
        <x:v>120</x:v>
      </x:c>
      <x:c r="F707" s="218" t="n">
        <x:v>0.9994791666666667</x:v>
      </x:c>
      <x:c r="G707" s="217" t="n">
        <x:v>703</x:v>
      </x:c>
      <x:c r="H707" s="217" t="str">
        <x:f>IF(G707&lt;='排名定義'!$B$5,"是","")</x:f>
        <x:v>是</x:v>
      </x:c>
      <x:c r="I707" s="217" t="n">
        <x:v>714</x:v>
      </x:c>
      <x:c r="J707" s="217" t="str">
        <x:f>IF(I707&lt;='排名定義'!$B$5,"是","")</x:f>
        <x:v>是</x:v>
      </x:c>
      <x:c r="K707" s="217" t="n">
        <x:v>530</x:v>
      </x:c>
      <x:c r="L707" s="217" t="str">
        <x:f>IF(K707&lt;='排名定義'!$B$5,"是","")</x:f>
        <x:v>是</x:v>
      </x:c>
      <x:c r="M707" s="217" t="n">
        <x:f>COUNTIF(H707:L707,"是")</x:f>
        <x:v>3</x:v>
      </x:c>
      <x:c r="N707" s="217" t="str">
        <x:v>三份皆未入選</x:v>
      </x:c>
      <x:c r="O707" s="220" t="n">
        <x:v>51.69166666666667</x:v>
      </x:c>
      <x:c r="P707" s="220" t="n">
        <x:v>46.666666666666664</x:v>
      </x:c>
      <x:c r="Q707" s="220" t="n">
        <x:v>5.025</x:v>
      </x:c>
      <x:c r="R707" s="220" t="n">
        <x:v>0.09721102692245688</x:v>
      </x:c>
      <x:c r="S707" s="220" t="n">
        <x:v>86.74193548387096</x:v>
      </x:c>
      <x:c r="T707" s="220" t="n">
        <x:v>81.12903225806451</x:v>
      </x:c>
      <x:c r="U707" s="220" t="n">
        <x:v>5.612903225806452</x:v>
      </x:c>
      <x:c r="V707" s="218" t="n">
        <x:v>0.03456221198156682</x:v>
      </x:c>
      <x:c r="W707" s="217" t="n">
        <x:v>13</x:v>
      </x:c>
      <x:c r="X707" s="222" t="n">
        <x:v>2160</x:v>
      </x:c>
      <x:c r="Y707" s="217" t="n">
        <x:v>39</x:v>
      </x:c>
    </x:row>
    <x:row r="708">
      <x:c r="A708" s="216" t="n">
        <x:v>120</x:v>
      </x:c>
      <x:c r="B708" s="216" t="str">
        <x:v>捷運土城站(1號出口)</x:v>
      </x:c>
      <x:c r="C708" s="216" t="str">
        <x:v>土城區</x:v>
      </x:c>
      <x:c r="D708" s="216" t="n">
        <x:v>10</x:v>
      </x:c>
      <x:c r="E708" s="216" t="n">
        <x:v>120</x:v>
      </x:c>
      <x:c r="F708" s="219" t="n">
        <x:v>0.9994791666666667</x:v>
      </x:c>
      <x:c r="G708" s="216" t="n">
        <x:v>704</x:v>
      </x:c>
      <x:c r="H708" s="216" t="str">
        <x:f>IF(G708&lt;='排名定義'!$B$5,"是","")</x:f>
        <x:v>是</x:v>
      </x:c>
      <x:c r="I708" s="216" t="n">
        <x:v>690</x:v>
      </x:c>
      <x:c r="J708" s="216" t="str">
        <x:f>IF(I708&lt;='排名定義'!$B$5,"是","")</x:f>
        <x:v>是</x:v>
      </x:c>
      <x:c r="K708" s="216" t="n">
        <x:v>992</x:v>
      </x:c>
      <x:c r="L708" s="216" t="str">
        <x:f>IF(K708&lt;='排名定義'!$B$5,"是","")</x:f>
        <x:v>是</x:v>
      </x:c>
      <x:c r="M708" s="216" t="n">
        <x:f>COUNTIF(H708:L708,"是")</x:f>
        <x:v>3</x:v>
      </x:c>
      <x:c r="N708" s="216" t="str">
        <x:v>三份皆未入選</x:v>
      </x:c>
      <x:c r="O708" s="221" t="n">
        <x:v>51.63333333333333</x:v>
      </x:c>
      <x:c r="P708" s="221" t="n">
        <x:v>48.175</x:v>
      </x:c>
      <x:c r="Q708" s="221" t="n">
        <x:v>3.4583333333333335</x:v>
      </x:c>
      <x:c r="R708" s="221" t="n">
        <x:v>0.0669786959328599</x:v>
      </x:c>
      <x:c r="S708" s="221" t="n">
        <x:v>71.64516129032258</x:v>
      </x:c>
      <x:c r="T708" s="221" t="n">
        <x:v>66.93548387096774</x:v>
      </x:c>
      <x:c r="U708" s="221" t="n">
        <x:v>4.709677419354839</x:v>
      </x:c>
      <x:c r="V708" s="219" t="n">
        <x:v>0.1336405529953917</x:v>
      </x:c>
      <x:c r="W708" s="216" t="n">
        <x:v>46</x:v>
      </x:c>
      <x:c r="X708" s="223" t="n">
        <x:v>5670</x:v>
      </x:c>
      <x:c r="Y708" s="216" t="n">
        <x:v>10</x:v>
      </x:c>
    </x:row>
    <x:row r="709">
      <x:c r="A709" s="217" t="n">
        <x:v>1443</x:v>
      </x:c>
      <x:c r="B709" s="217" t="str">
        <x:v>板南立言街口</x:v>
      </x:c>
      <x:c r="C709" s="217" t="str">
        <x:v>中和區</x:v>
      </x:c>
      <x:c r="D709" s="217" t="n">
        <x:v>50</x:v>
      </x:c>
      <x:c r="E709" s="217" t="n">
        <x:v>120</x:v>
      </x:c>
      <x:c r="F709" s="218" t="n">
        <x:v>0.9994791666666667</x:v>
      </x:c>
      <x:c r="G709" s="217" t="n">
        <x:v>705</x:v>
      </x:c>
      <x:c r="H709" s="217" t="str">
        <x:f>IF(G709&lt;='排名定義'!$B$5,"是","")</x:f>
        <x:v>是</x:v>
      </x:c>
      <x:c r="I709" s="217" t="n">
        <x:v>749</x:v>
      </x:c>
      <x:c r="J709" s="217" t="str">
        <x:f>IF(I709&lt;='排名定義'!$B$5,"是","")</x:f>
        <x:v>是</x:v>
      </x:c>
      <x:c r="K709" s="217" t="n">
        <x:v>252</x:v>
      </x:c>
      <x:c r="L709" s="217" t="str">
        <x:f>IF(K709&lt;='排名定義'!$B$5,"是","")</x:f>
        <x:v>是</x:v>
      </x:c>
      <x:c r="M709" s="217" t="n">
        <x:f>COUNTIF(H709:L709,"是")</x:f>
        <x:v>3</x:v>
      </x:c>
      <x:c r="N709" s="217" t="str">
        <x:v>僅大幅變動</x:v>
      </x:c>
      <x:c r="O709" s="220" t="n">
        <x:v>51.63333333333333</x:v>
      </x:c>
      <x:c r="P709" s="220" t="n">
        <x:v>44.86666666666667</x:v>
      </x:c>
      <x:c r="Q709" s="220" t="n">
        <x:v>6.766666666666667</x:v>
      </x:c>
      <x:c r="R709" s="220" t="n">
        <x:v>0.13105229180116204</x:v>
      </x:c>
      <x:c r="S709" s="220" t="n">
        <x:v>72.35483870967742</x:v>
      </x:c>
      <x:c r="T709" s="220" t="n">
        <x:v>68.45161290322581</x:v>
      </x:c>
      <x:c r="U709" s="220" t="n">
        <x:v>3.903225806451613</x:v>
      </x:c>
      <x:c r="V709" s="218" t="n">
        <x:v>0.01152073732718894</x:v>
      </x:c>
      <x:c r="W709" s="217" t="n">
        <x:v>3</x:v>
      </x:c>
      <x:c r="X709" s="222" t="n">
        <x:v>360</x:v>
      </x:c>
      <x:c r="Y709" s="217" t="n">
        <x:v>50</x:v>
      </x:c>
    </x:row>
    <x:row r="710">
      <x:c r="A710" s="216" t="n">
        <x:v>1298</x:v>
      </x:c>
      <x:c r="B710" s="216" t="str">
        <x:v>立德青雲路口</x:v>
      </x:c>
      <x:c r="C710" s="216" t="str">
        <x:v>土城區</x:v>
      </x:c>
      <x:c r="D710" s="216" t="n">
        <x:v>40</x:v>
      </x:c>
      <x:c r="E710" s="216" t="n">
        <x:v>120</x:v>
      </x:c>
      <x:c r="F710" s="219" t="n">
        <x:v>0.9994791666666667</x:v>
      </x:c>
      <x:c r="G710" s="216" t="n">
        <x:v>706</x:v>
      </x:c>
      <x:c r="H710" s="216" t="str">
        <x:f>IF(G710&lt;='排名定義'!$B$5,"是","")</x:f>
        <x:v>是</x:v>
      </x:c>
      <x:c r="I710" s="216" t="n">
        <x:v>716</x:v>
      </x:c>
      <x:c r="J710" s="216" t="str">
        <x:f>IF(I710&lt;='排名定義'!$B$5,"是","")</x:f>
        <x:v>是</x:v>
      </x:c>
      <x:c r="K710" s="216" t="n">
        <x:v>525</x:v>
      </x:c>
      <x:c r="L710" s="216" t="str">
        <x:f>IF(K710&lt;='排名定義'!$B$5,"是","")</x:f>
        <x:v>是</x:v>
      </x:c>
      <x:c r="M710" s="216" t="n">
        <x:f>COUNTIF(H710:L710,"是")</x:f>
        <x:v>3</x:v>
      </x:c>
      <x:c r="N710" s="216" t="str">
        <x:v>三份皆未入選</x:v>
      </x:c>
      <x:c r="O710" s="221" t="n">
        <x:v>51.625</x:v>
      </x:c>
      <x:c r="P710" s="221" t="n">
        <x:v>46.583333333333336</x:v>
      </x:c>
      <x:c r="Q710" s="221" t="n">
        <x:v>5.041666666666667</x:v>
      </x:c>
      <x:c r="R710" s="221" t="n">
        <x:v>0.09765940274414851</x:v>
      </x:c>
      <x:c r="S710" s="221" t="n">
        <x:v>63.41935483870968</x:v>
      </x:c>
      <x:c r="T710" s="221" t="n">
        <x:v>60.483870967741936</x:v>
      </x:c>
      <x:c r="U710" s="221" t="n">
        <x:v>2.935483870967742</x:v>
      </x:c>
      <x:c r="V710" s="219" t="n">
        <x:v>0.1336405529953917</x:v>
      </x:c>
      <x:c r="W710" s="216" t="n">
        <x:v>25</x:v>
      </x:c>
      <x:c r="X710" s="223" t="n">
        <x:v>3300</x:v>
      </x:c>
      <x:c r="Y710" s="216" t="n">
        <x:v>40</x:v>
      </x:c>
    </x:row>
    <x:row r="711">
      <x:c r="A711" s="217" t="n">
        <x:v>231</x:v>
      </x:c>
      <x:c r="B711" s="217" t="str">
        <x:v>大豐里(建國路)</x:v>
      </x:c>
      <x:c r="C711" s="217" t="str">
        <x:v>新店區</x:v>
      </x:c>
      <x:c r="D711" s="217" t="n">
        <x:v>13</x:v>
      </x:c>
      <x:c r="E711" s="217" t="n">
        <x:v>120</x:v>
      </x:c>
      <x:c r="F711" s="218" t="n">
        <x:v>0.9994791666666667</x:v>
      </x:c>
      <x:c r="G711" s="217" t="n">
        <x:v>707</x:v>
      </x:c>
      <x:c r="H711" s="217" t="str">
        <x:f>IF(G711&lt;='排名定義'!$B$5,"是","")</x:f>
        <x:v>是</x:v>
      </x:c>
      <x:c r="I711" s="217" t="n">
        <x:v>693</x:v>
      </x:c>
      <x:c r="J711" s="217" t="str">
        <x:f>IF(I711&lt;='排名定義'!$B$5,"是","")</x:f>
        <x:v>是</x:v>
      </x:c>
      <x:c r="K711" s="217" t="n">
        <x:v>930</x:v>
      </x:c>
      <x:c r="L711" s="217" t="str">
        <x:f>IF(K711&lt;='排名定義'!$B$5,"是","")</x:f>
        <x:v>是</x:v>
      </x:c>
      <x:c r="M711" s="217" t="n">
        <x:f>COUNTIF(H711:L711,"是")</x:f>
        <x:v>3</x:v>
      </x:c>
      <x:c r="N711" s="217" t="str">
        <x:v>三份皆未入選</x:v>
      </x:c>
      <x:c r="O711" s="220" t="n">
        <x:v>51.608333333333334</x:v>
      </x:c>
      <x:c r="P711" s="220" t="n">
        <x:v>47.99166666666667</x:v>
      </x:c>
      <x:c r="Q711" s="220" t="n">
        <x:v>3.6166666666666667</x:v>
      </x:c>
      <x:c r="R711" s="220" t="n">
        <x:v>0.07007912158889068</x:v>
      </x:c>
      <x:c r="S711" s="220" t="n">
        <x:v>73.48387096774194</x:v>
      </x:c>
      <x:c r="T711" s="220" t="n">
        <x:v>71.12903225806451</x:v>
      </x:c>
      <x:c r="U711" s="220" t="n">
        <x:v>2.3548387096774195</x:v>
      </x:c>
      <x:c r="V711" s="218" t="n">
        <x:v>0.17972350230414746</x:v>
      </x:c>
      <x:c r="W711" s="217" t="n">
        <x:v>41</x:v>
      </x:c>
      <x:c r="X711" s="222" t="n">
        <x:v>5610</x:v>
      </x:c>
      <x:c r="Y711" s="217" t="n">
        <x:v>13</x:v>
      </x:c>
    </x:row>
    <x:row r="712">
      <x:c r="A712" s="216" t="n">
        <x:v>385</x:v>
      </x:c>
      <x:c r="B712" s="216" t="str">
        <x:v>福民市民活動中心</x:v>
      </x:c>
      <x:c r="C712" s="216" t="str">
        <x:v>新店區</x:v>
      </x:c>
      <x:c r="D712" s="216" t="n">
        <x:v>15</x:v>
      </x:c>
      <x:c r="E712" s="216" t="n">
        <x:v>120</x:v>
      </x:c>
      <x:c r="F712" s="219" t="n">
        <x:v>0.9994791666666667</x:v>
      </x:c>
      <x:c r="G712" s="216" t="n">
        <x:v>708</x:v>
      </x:c>
      <x:c r="H712" s="216" t="str">
        <x:f>IF(G712&lt;='排名定義'!$B$5,"是","")</x:f>
        <x:v>是</x:v>
      </x:c>
      <x:c r="I712" s="216" t="n">
        <x:v>685</x:v>
      </x:c>
      <x:c r="J712" s="216" t="str">
        <x:f>IF(I712&lt;='排名定義'!$B$5,"是","")</x:f>
        <x:v>是</x:v>
      </x:c>
      <x:c r="K712" s="216" t="n">
        <x:v>1097</x:v>
      </x:c>
      <x:c r="L712" s="216" t="str">
        <x:f>IF(K712&lt;='排名定義'!$B$5,"是","")</x:f>
        <x:v>是</x:v>
      </x:c>
      <x:c r="M712" s="216" t="n">
        <x:f>COUNTIF(H712:L712,"是")</x:f>
        <x:v>3</x:v>
      </x:c>
      <x:c r="N712" s="216" t="str">
        <x:v>三份皆未入選</x:v>
      </x:c>
      <x:c r="O712" s="221" t="n">
        <x:v>51.575</x:v>
      </x:c>
      <x:c r="P712" s="221" t="n">
        <x:v>48.36666666666667</x:v>
      </x:c>
      <x:c r="Q712" s="221" t="n">
        <x:v>3.2083333333333335</x:v>
      </x:c>
      <x:c r="R712" s="221" t="n">
        <x:v>0.06220714170302149</x:v>
      </x:c>
      <x:c r="S712" s="221" t="n">
        <x:v>69.80645161290323</x:v>
      </x:c>
      <x:c r="T712" s="221" t="n">
        <x:v>66.74193548387096</x:v>
      </x:c>
      <x:c r="U712" s="221" t="n">
        <x:v>3.064516129032258</x:v>
      </x:c>
      <x:c r="V712" s="219" t="n">
        <x:v>0.14516129032258066</x:v>
      </x:c>
      <x:c r="W712" s="216" t="n">
        <x:v>31</x:v>
      </x:c>
      <x:c r="X712" s="223" t="n">
        <x:v>5580</x:v>
      </x:c>
      <x:c r="Y712" s="216" t="n">
        <x:v>15</x:v>
      </x:c>
    </x:row>
    <x:row r="713">
      <x:c r="A713" s="217" t="n">
        <x:v>1079</x:v>
      </x:c>
      <x:c r="B713" s="217" t="str">
        <x:v>東海高中</x:v>
      </x:c>
      <x:c r="C713" s="217" t="str">
        <x:v>三重區</x:v>
      </x:c>
      <x:c r="D713" s="217" t="n">
        <x:v>31</x:v>
      </x:c>
      <x:c r="E713" s="217" t="n">
        <x:v>120</x:v>
      </x:c>
      <x:c r="F713" s="218" t="n">
        <x:v>0.9994791666666667</x:v>
      </x:c>
      <x:c r="G713" s="217" t="n">
        <x:v>709</x:v>
      </x:c>
      <x:c r="H713" s="217" t="str">
        <x:f>IF(G713&lt;='排名定義'!$B$5,"是","")</x:f>
        <x:v>是</x:v>
      </x:c>
      <x:c r="I713" s="217" t="n">
        <x:v>720</x:v>
      </x:c>
      <x:c r="J713" s="217" t="str">
        <x:f>IF(I713&lt;='排名定義'!$B$5,"是","")</x:f>
        <x:v>是</x:v>
      </x:c>
      <x:c r="K713" s="217" t="n">
        <x:v>459</x:v>
      </x:c>
      <x:c r="L713" s="217" t="str">
        <x:f>IF(K713&lt;='排名定義'!$B$5,"是","")</x:f>
        <x:v>是</x:v>
      </x:c>
      <x:c r="M713" s="217" t="n">
        <x:f>COUNTIF(H713:L713,"是")</x:f>
        <x:v>3</x:v>
      </x:c>
      <x:c r="N713" s="217" t="str">
        <x:v>三份皆未入選</x:v>
      </x:c>
      <x:c r="O713" s="220" t="n">
        <x:v>51.575</x:v>
      </x:c>
      <x:c r="P713" s="220" t="n">
        <x:v>46.25</x:v>
      </x:c>
      <x:c r="Q713" s="220" t="n">
        <x:v>5.325</x:v>
      </x:c>
      <x:c r="R713" s="220" t="n">
        <x:v>0.10324769752787204</x:v>
      </x:c>
      <x:c r="S713" s="220" t="n">
        <x:v>71.16129032258064</x:v>
      </x:c>
      <x:c r="T713" s="220" t="n">
        <x:v>66.90322580645162</x:v>
      </x:c>
      <x:c r="U713" s="220" t="n">
        <x:v>4.258064516129032</x:v>
      </x:c>
      <x:c r="V713" s="218" t="n">
        <x:v>0.07142857142857142</x:v>
      </x:c>
      <x:c r="W713" s="217" t="n">
        <x:v>14</x:v>
      </x:c>
      <x:c r="X713" s="222" t="n">
        <x:v>1590</x:v>
      </x:c>
      <x:c r="Y713" s="217" t="n">
        <x:v>31</x:v>
      </x:c>
    </x:row>
    <x:row r="714">
      <x:c r="A714" s="216" t="n">
        <x:v>807</x:v>
      </x:c>
      <x:c r="B714" s="216" t="str">
        <x:v>順德街(御中央3社區)</x:v>
      </x:c>
      <x:c r="C714" s="216" t="str">
        <x:v>新店區</x:v>
      </x:c>
      <x:c r="D714" s="216" t="n">
        <x:v>36</x:v>
      </x:c>
      <x:c r="E714" s="216" t="n">
        <x:v>120</x:v>
      </x:c>
      <x:c r="F714" s="219" t="n">
        <x:v>0.9994791666666667</x:v>
      </x:c>
      <x:c r="G714" s="216" t="n">
        <x:v>710</x:v>
      </x:c>
      <x:c r="H714" s="216" t="str">
        <x:f>IF(G714&lt;='排名定義'!$B$5,"是","")</x:f>
        <x:v>是</x:v>
      </x:c>
      <x:c r="I714" s="216" t="n">
        <x:v>715</x:v>
      </x:c>
      <x:c r="J714" s="216" t="str">
        <x:f>IF(I714&lt;='排名定義'!$B$5,"是","")</x:f>
        <x:v>是</x:v>
      </x:c>
      <x:c r="K714" s="216" t="n">
        <x:v>542</x:v>
      </x:c>
      <x:c r="L714" s="216" t="str">
        <x:f>IF(K714&lt;='排名定義'!$B$5,"是","")</x:f>
        <x:v>是</x:v>
      </x:c>
      <x:c r="M714" s="216" t="n">
        <x:f>COUNTIF(H714:L714,"是")</x:f>
        <x:v>3</x:v>
      </x:c>
      <x:c r="N714" s="216" t="str">
        <x:v>三份皆未入選</x:v>
      </x:c>
      <x:c r="O714" s="221" t="n">
        <x:v>51.55833333333333</x:v>
      </x:c>
      <x:c r="P714" s="221" t="n">
        <x:v>46.608333333333334</x:v>
      </x:c>
      <x:c r="Q714" s="221" t="n">
        <x:v>4.95</x:v>
      </x:c>
      <x:c r="R714" s="221" t="n">
        <x:v>0.09600775820268305</x:v>
      </x:c>
      <x:c r="S714" s="221" t="n">
        <x:v>74.64516129032258</x:v>
      </x:c>
      <x:c r="T714" s="221" t="n">
        <x:v>70.25806451612904</x:v>
      </x:c>
      <x:c r="U714" s="221" t="n">
        <x:v>4.387096774193548</x:v>
      </x:c>
      <x:c r="V714" s="219" t="n">
        <x:v>0.07142857142857142</x:v>
      </x:c>
      <x:c r="W714" s="216" t="n">
        <x:v>18</x:v>
      </x:c>
      <x:c r="X714" s="223" t="n">
        <x:v>2340</x:v>
      </x:c>
      <x:c r="Y714" s="216" t="n">
        <x:v>36</x:v>
      </x:c>
    </x:row>
    <x:row r="715">
      <x:c r="A715" s="217" t="n">
        <x:v>1225</x:v>
      </x:c>
      <x:c r="B715" s="217" t="str">
        <x:v>二重國中</x:v>
      </x:c>
      <x:c r="C715" s="217" t="str">
        <x:v>三重區</x:v>
      </x:c>
      <x:c r="D715" s="217" t="n">
        <x:v>38</x:v>
      </x:c>
      <x:c r="E715" s="217" t="n">
        <x:v>120</x:v>
      </x:c>
      <x:c r="F715" s="218" t="n">
        <x:v>0.9994791666666667</x:v>
      </x:c>
      <x:c r="G715" s="217" t="n">
        <x:v>711</x:v>
      </x:c>
      <x:c r="H715" s="217" t="str">
        <x:f>IF(G715&lt;='排名定義'!$B$5,"是","")</x:f>
        <x:v>是</x:v>
      </x:c>
      <x:c r="I715" s="217" t="n">
        <x:v>709</x:v>
      </x:c>
      <x:c r="J715" s="217" t="str">
        <x:f>IF(I715&lt;='排名定義'!$B$5,"是","")</x:f>
        <x:v>是</x:v>
      </x:c>
      <x:c r="K715" s="217" t="n">
        <x:v>680</x:v>
      </x:c>
      <x:c r="L715" s="217" t="str">
        <x:f>IF(K715&lt;='排名定義'!$B$5,"是","")</x:f>
        <x:v>是</x:v>
      </x:c>
      <x:c r="M715" s="217" t="n">
        <x:f>COUNTIF(H715:L715,"是")</x:f>
        <x:v>3</x:v>
      </x:c>
      <x:c r="N715" s="217" t="str">
        <x:v>三份皆未入選</x:v>
      </x:c>
      <x:c r="O715" s="220" t="n">
        <x:v>51.525</x:v>
      </x:c>
      <x:c r="P715" s="220" t="n">
        <x:v>47.15833333333333</x:v>
      </x:c>
      <x:c r="Q715" s="220" t="n">
        <x:v>4.366666666666666</x:v>
      </x:c>
      <x:c r="R715" s="220" t="n">
        <x:v>0.08474850396247777</x:v>
      </x:c>
      <x:c r="S715" s="220" t="n">
        <x:v>71.19354838709677</x:v>
      </x:c>
      <x:c r="T715" s="220" t="n">
        <x:v>66.70967741935483</x:v>
      </x:c>
      <x:c r="U715" s="220" t="n">
        <x:v>4.483870967741935</x:v>
      </x:c>
      <x:c r="V715" s="218" t="n">
        <x:v>0.07142857142857142</x:v>
      </x:c>
      <x:c r="W715" s="217" t="n">
        <x:v>9</x:v>
      </x:c>
      <x:c r="X715" s="222" t="n">
        <x:v>1710</x:v>
      </x:c>
      <x:c r="Y715" s="217" t="n">
        <x:v>38</x:v>
      </x:c>
    </x:row>
    <x:row r="716">
      <x:c r="A716" s="216" t="n">
        <x:v>234</x:v>
      </x:c>
      <x:c r="B716" s="216" t="str">
        <x:v>幸福路678巷口</x:v>
      </x:c>
      <x:c r="C716" s="216" t="str">
        <x:v>新莊區</x:v>
      </x:c>
      <x:c r="D716" s="216" t="n">
        <x:v>13</x:v>
      </x:c>
      <x:c r="E716" s="216" t="n">
        <x:v>120</x:v>
      </x:c>
      <x:c r="F716" s="219" t="n">
        <x:v>0.9994791666666667</x:v>
      </x:c>
      <x:c r="G716" s="216" t="n">
        <x:v>712</x:v>
      </x:c>
      <x:c r="H716" s="216" t="str">
        <x:f>IF(G716&lt;='排名定義'!$B$5,"是","")</x:f>
        <x:v>是</x:v>
      </x:c>
      <x:c r="I716" s="216" t="n">
        <x:v>702</x:v>
      </x:c>
      <x:c r="J716" s="216" t="str">
        <x:f>IF(I716&lt;='排名定義'!$B$5,"是","")</x:f>
        <x:v>是</x:v>
      </x:c>
      <x:c r="K716" s="216" t="n">
        <x:v>793</x:v>
      </x:c>
      <x:c r="L716" s="216" t="str">
        <x:f>IF(K716&lt;='排名定義'!$B$5,"是","")</x:f>
        <x:v>是</x:v>
      </x:c>
      <x:c r="M716" s="216" t="n">
        <x:f>COUNTIF(H716:L716,"是")</x:f>
        <x:v>3</x:v>
      </x:c>
      <x:c r="N716" s="216" t="str">
        <x:v>三份皆未入選</x:v>
      </x:c>
      <x:c r="O716" s="221" t="n">
        <x:v>51.4</x:v>
      </x:c>
      <x:c r="P716" s="221" t="n">
        <x:v>47.4</x:v>
      </x:c>
      <x:c r="Q716" s="221" t="n">
        <x:v>4</x:v>
      </x:c>
      <x:c r="R716" s="221" t="n">
        <x:v>0.07782101167315175</x:v>
      </x:c>
      <x:c r="S716" s="221" t="n">
        <x:v>63.25806451612903</x:v>
      </x:c>
      <x:c r="T716" s="221" t="n">
        <x:v>59.935483870967744</x:v>
      </x:c>
      <x:c r="U716" s="221" t="n">
        <x:v>3.3225806451612905</x:v>
      </x:c>
      <x:c r="V716" s="219" t="n">
        <x:v>0.28110599078341014</x:v>
      </x:c>
      <x:c r="W716" s="216" t="n">
        <x:v>46</x:v>
      </x:c>
      <x:c r="X716" s="223" t="n">
        <x:v>6090</x:v>
      </x:c>
      <x:c r="Y716" s="216" t="n">
        <x:v>13</x:v>
      </x:c>
    </x:row>
    <x:row r="717">
      <x:c r="A717" s="217" t="n">
        <x:v>1289</x:v>
      </x:c>
      <x:c r="B717" s="217" t="str">
        <x:v>鳳吉四鳳七路口(捷士匯社區)</x:v>
      </x:c>
      <x:c r="C717" s="217" t="str">
        <x:v>鶯歌區</x:v>
      </x:c>
      <x:c r="D717" s="217" t="n">
        <x:v>40</x:v>
      </x:c>
      <x:c r="E717" s="217" t="n">
        <x:v>120</x:v>
      </x:c>
      <x:c r="F717" s="218" t="n">
        <x:v>0.9994791666666667</x:v>
      </x:c>
      <x:c r="G717" s="217" t="n">
        <x:v>713</x:v>
      </x:c>
      <x:c r="H717" s="217" t="str">
        <x:f>IF(G717&lt;='排名定義'!$B$5,"是","")</x:f>
        <x:v>是</x:v>
      </x:c>
      <x:c r="I717" s="217" t="n">
        <x:v>728</x:v>
      </x:c>
      <x:c r="J717" s="217" t="str">
        <x:f>IF(I717&lt;='排名定義'!$B$5,"是","")</x:f>
        <x:v>是</x:v>
      </x:c>
      <x:c r="K717" s="217" t="n">
        <x:v>440</x:v>
      </x:c>
      <x:c r="L717" s="217" t="str">
        <x:f>IF(K717&lt;='排名定義'!$B$5,"是","")</x:f>
        <x:v>是</x:v>
      </x:c>
      <x:c r="M717" s="217" t="n">
        <x:f>COUNTIF(H717:L717,"是")</x:f>
        <x:v>3</x:v>
      </x:c>
      <x:c r="N717" s="217" t="str">
        <x:v>三份皆未入選</x:v>
      </x:c>
      <x:c r="O717" s="220" t="n">
        <x:v>51.31666666666667</x:v>
      </x:c>
      <x:c r="P717" s="220" t="n">
        <x:v>45.84166666666667</x:v>
      </x:c>
      <x:c r="Q717" s="220" t="n">
        <x:v>5.475</x:v>
      </x:c>
      <x:c r="R717" s="220" t="n">
        <x:v>0.10669048392335173</x:v>
      </x:c>
      <x:c r="S717" s="220" t="n">
        <x:v>81.64516129032258</x:v>
      </x:c>
      <x:c r="T717" s="220" t="n">
        <x:v>74.51612903225806</x:v>
      </x:c>
      <x:c r="U717" s="220" t="n">
        <x:v>7.129032258064516</x:v>
      </x:c>
      <x:c r="V717" s="218" t="n">
        <x:v>0.01152073732718894</x:v>
      </x:c>
      <x:c r="W717" s="217" t="n">
        <x:v>1</x:v>
      </x:c>
      <x:c r="X717" s="222" t="n">
        <x:v>150</x:v>
      </x:c>
      <x:c r="Y717" s="217" t="n">
        <x:v>40</x:v>
      </x:c>
    </x:row>
    <x:row r="718">
      <x:c r="A718" s="216" t="n">
        <x:v>584</x:v>
      </x:c>
      <x:c r="B718" s="216" t="str">
        <x:v>民安西路88巷口</x:v>
      </x:c>
      <x:c r="C718" s="216" t="str">
        <x:v>新莊區</x:v>
      </x:c>
      <x:c r="D718" s="216" t="n">
        <x:v>18</x:v>
      </x:c>
      <x:c r="E718" s="216" t="n">
        <x:v>120</x:v>
      </x:c>
      <x:c r="F718" s="219" t="n">
        <x:v>0.9994791666666667</x:v>
      </x:c>
      <x:c r="G718" s="216" t="n">
        <x:v>714</x:v>
      </x:c>
      <x:c r="H718" s="216" t="str">
        <x:f>IF(G718&lt;='排名定義'!$B$5,"是","")</x:f>
        <x:v>是</x:v>
      </x:c>
      <x:c r="I718" s="216" t="n">
        <x:v>704</x:v>
      </x:c>
      <x:c r="J718" s="216" t="str">
        <x:f>IF(I718&lt;='排名定義'!$B$5,"是","")</x:f>
        <x:v>是</x:v>
      </x:c>
      <x:c r="K718" s="216" t="n">
        <x:v>808</x:v>
      </x:c>
      <x:c r="L718" s="216" t="str">
        <x:f>IF(K718&lt;='排名定義'!$B$5,"是","")</x:f>
        <x:v>是</x:v>
      </x:c>
      <x:c r="M718" s="216" t="n">
        <x:f>COUNTIF(H718:L718,"是")</x:f>
        <x:v>3</x:v>
      </x:c>
      <x:c r="N718" s="216" t="str">
        <x:v>三份皆未入選</x:v>
      </x:c>
      <x:c r="O718" s="221" t="n">
        <x:v>51.291666666666664</x:v>
      </x:c>
      <x:c r="P718" s="221" t="n">
        <x:v>47.325</x:v>
      </x:c>
      <x:c r="Q718" s="221" t="n">
        <x:v>3.966666666666667</x:v>
      </x:c>
      <x:c r="R718" s="221" t="n">
        <x:v>0.07733549959382616</x:v>
      </x:c>
      <x:c r="S718" s="221" t="n">
        <x:v>74.41935483870968</x:v>
      </x:c>
      <x:c r="T718" s="221" t="n">
        <x:v>71.38709677419355</x:v>
      </x:c>
      <x:c r="U718" s="221" t="n">
        <x:v>3.032258064516129</x:v>
      </x:c>
      <x:c r="V718" s="219" t="n">
        <x:v>0.12672811059907835</x:v>
      </x:c>
      <x:c r="W718" s="216" t="n">
        <x:v>18</x:v>
      </x:c>
      <x:c r="X718" s="223" t="n">
        <x:v>2460</x:v>
      </x:c>
      <x:c r="Y718" s="216" t="n">
        <x:v>18</x:v>
      </x:c>
    </x:row>
    <x:row r="719">
      <x:c r="A719" s="217" t="n">
        <x:v>246</x:v>
      </x:c>
      <x:c r="B719" s="217" t="str">
        <x:v>縣民民生路口</x:v>
      </x:c>
      <x:c r="C719" s="217" t="str">
        <x:v>板橋區</x:v>
      </x:c>
      <x:c r="D719" s="217" t="n">
        <x:v>13</x:v>
      </x:c>
      <x:c r="E719" s="217" t="n">
        <x:v>120</x:v>
      </x:c>
      <x:c r="F719" s="218" t="n">
        <x:v>0.9994791666666667</x:v>
      </x:c>
      <x:c r="G719" s="217" t="n">
        <x:v>715</x:v>
      </x:c>
      <x:c r="H719" s="217" t="str">
        <x:f>IF(G719&lt;='排名定義'!$B$5,"是","")</x:f>
        <x:v>是</x:v>
      </x:c>
      <x:c r="I719" s="217" t="n">
        <x:v>713</x:v>
      </x:c>
      <x:c r="J719" s="217" t="str">
        <x:f>IF(I719&lt;='排名定義'!$B$5,"是","")</x:f>
        <x:v>是</x:v>
      </x:c>
      <x:c r="K719" s="217" t="n">
        <x:v>650</x:v>
      </x:c>
      <x:c r="L719" s="217" t="str">
        <x:f>IF(K719&lt;='排名定義'!$B$5,"是","")</x:f>
        <x:v>是</x:v>
      </x:c>
      <x:c r="M719" s="217" t="n">
        <x:f>COUNTIF(H719:L719,"是")</x:f>
        <x:v>3</x:v>
      </x:c>
      <x:c r="N719" s="217" t="str">
        <x:v>三份皆未入選</x:v>
      </x:c>
      <x:c r="O719" s="220" t="n">
        <x:v>51.208333333333336</x:v>
      </x:c>
      <x:c r="P719" s="220" t="n">
        <x:v>46.74166666666667</x:v>
      </x:c>
      <x:c r="Q719" s="220" t="n">
        <x:v>4.466666666666667</x:v>
      </x:c>
      <x:c r="R719" s="220" t="n">
        <x:v>0.08722538649308381</x:v>
      </x:c>
      <x:c r="S719" s="220" t="n">
        <x:v>60.25806451612903</x:v>
      </x:c>
      <x:c r="T719" s="220" t="n">
        <x:v>57.25806451612903</x:v>
      </x:c>
      <x:c r="U719" s="220" t="n">
        <x:v>3</x:v>
      </x:c>
      <x:c r="V719" s="218" t="n">
        <x:v>0.3294930875576037</x:v>
      </x:c>
      <x:c r="W719" s="217" t="n">
        <x:v>77</x:v>
      </x:c>
      <x:c r="X719" s="222" t="n">
        <x:v>8520</x:v>
      </x:c>
      <x:c r="Y719" s="217" t="n">
        <x:v>13</x:v>
      </x:c>
    </x:row>
    <x:row r="720">
      <x:c r="A720" s="216" t="n">
        <x:v>1389</x:v>
      </x:c>
      <x:c r="B720" s="216" t="str">
        <x:v>輕軌漁人碼頭站</x:v>
      </x:c>
      <x:c r="C720" s="216" t="str">
        <x:v>淡水區</x:v>
      </x:c>
      <x:c r="D720" s="216" t="n">
        <x:v>45</x:v>
      </x:c>
      <x:c r="E720" s="216" t="n">
        <x:v>120</x:v>
      </x:c>
      <x:c r="F720" s="219" t="n">
        <x:v>0.9994791666666667</x:v>
      </x:c>
      <x:c r="G720" s="216" t="n">
        <x:v>716</x:v>
      </x:c>
      <x:c r="H720" s="216" t="str">
        <x:f>IF(G720&lt;='排名定義'!$B$5,"是","")</x:f>
        <x:v>是</x:v>
      </x:c>
      <x:c r="I720" s="216" t="n">
        <x:v>746</x:v>
      </x:c>
      <x:c r="J720" s="216" t="str">
        <x:f>IF(I720&lt;='排名定義'!$B$5,"是","")</x:f>
        <x:v>是</x:v>
      </x:c>
      <x:c r="K720" s="216" t="n">
        <x:v>324</x:v>
      </x:c>
      <x:c r="L720" s="216" t="str">
        <x:f>IF(K720&lt;='排名定義'!$B$5,"是","")</x:f>
        <x:v>是</x:v>
      </x:c>
      <x:c r="M720" s="216" t="n">
        <x:f>COUNTIF(H720:L720,"是")</x:f>
        <x:v>3</x:v>
      </x:c>
      <x:c r="N720" s="216" t="str">
        <x:v>僅大幅變動</x:v>
      </x:c>
      <x:c r="O720" s="221" t="n">
        <x:v>51.19166666666667</x:v>
      </x:c>
      <x:c r="P720" s="221" t="n">
        <x:v>45.025</x:v>
      </x:c>
      <x:c r="Q720" s="221" t="n">
        <x:v>6.166666666666667</x:v>
      </x:c>
      <x:c r="R720" s="221" t="n">
        <x:v>0.12046231482988767</x:v>
      </x:c>
      <x:c r="S720" s="221" t="n">
        <x:v>166.16129032258064</x:v>
      </x:c>
      <x:c r="T720" s="221" t="n">
        <x:v>155</x:v>
      </x:c>
      <x:c r="U720" s="221" t="n">
        <x:v>11.161290322580646</x:v>
      </x:c>
      <x:c r="V720" s="219" t="n">
        <x:v>0.02702702702702703</x:v>
      </x:c>
      <x:c r="W720" s="216" t="n">
        <x:v>6</x:v>
      </x:c>
      <x:c r="X720" s="223" t="n">
        <x:v>960</x:v>
      </x:c>
      <x:c r="Y720" s="216" t="n">
        <x:v>80</x:v>
      </x:c>
    </x:row>
    <x:row r="721">
      <x:c r="A721" s="217" t="n">
        <x:v>520</x:v>
      </x:c>
      <x:c r="B721" s="217" t="str">
        <x:v>信義路163巷口</x:v>
      </x:c>
      <x:c r="C721" s="217" t="str">
        <x:v>板橋區</x:v>
      </x:c>
      <x:c r="D721" s="217" t="n">
        <x:v>17</x:v>
      </x:c>
      <x:c r="E721" s="217" t="n">
        <x:v>120</x:v>
      </x:c>
      <x:c r="F721" s="218" t="n">
        <x:v>0.9994791666666667</x:v>
      </x:c>
      <x:c r="G721" s="217" t="n">
        <x:v>717</x:v>
      </x:c>
      <x:c r="H721" s="217" t="str">
        <x:f>IF(G721&lt;='排名定義'!$B$5,"是","")</x:f>
        <x:v>是</x:v>
      </x:c>
      <x:c r="I721" s="217" t="n">
        <x:v>696</x:v>
      </x:c>
      <x:c r="J721" s="217" t="str">
        <x:f>IF(I721&lt;='排名定義'!$B$5,"是","")</x:f>
        <x:v>是</x:v>
      </x:c>
      <x:c r="K721" s="217" t="n">
        <x:v>1032</x:v>
      </x:c>
      <x:c r="L721" s="217" t="str">
        <x:f>IF(K721&lt;='排名定義'!$B$5,"是","")</x:f>
        <x:v>是</x:v>
      </x:c>
      <x:c r="M721" s="217" t="n">
        <x:f>COUNTIF(H721:L721,"是")</x:f>
        <x:v>3</x:v>
      </x:c>
      <x:c r="N721" s="217" t="str">
        <x:v>三份皆未入選</x:v>
      </x:c>
      <x:c r="O721" s="220" t="n">
        <x:v>51.15833333333333</x:v>
      </x:c>
      <x:c r="P721" s="220" t="n">
        <x:v>47.791666666666664</x:v>
      </x:c>
      <x:c r="Q721" s="220" t="n">
        <x:v>3.3666666666666667</x:v>
      </x:c>
      <x:c r="R721" s="220" t="n">
        <x:v>0.06580876364228702</x:v>
      </x:c>
      <x:c r="S721" s="220" t="n">
        <x:v>72.7741935483871</x:v>
      </x:c>
      <x:c r="T721" s="220" t="n">
        <x:v>69.12903225806451</x:v>
      </x:c>
      <x:c r="U721" s="220" t="n">
        <x:v>3.6451612903225805</x:v>
      </x:c>
      <x:c r="V721" s="218" t="n">
        <x:v>0.06682027649769585</x:v>
      </x:c>
      <x:c r="W721" s="217" t="n">
        <x:v>13</x:v>
      </x:c>
      <x:c r="X721" s="222" t="n">
        <x:v>1890</x:v>
      </x:c>
      <x:c r="Y721" s="217" t="n">
        <x:v>17</x:v>
      </x:c>
    </x:row>
    <x:row r="722">
      <x:c r="A722" s="216" t="n">
        <x:v>993</x:v>
      </x:c>
      <x:c r="B722" s="216" t="str">
        <x:v>林口吉祥公園</x:v>
      </x:c>
      <x:c r="C722" s="216" t="str">
        <x:v>林口區</x:v>
      </x:c>
      <x:c r="D722" s="216" t="n">
        <x:v>29</x:v>
      </x:c>
      <x:c r="E722" s="216" t="n">
        <x:v>120</x:v>
      </x:c>
      <x:c r="F722" s="219" t="n">
        <x:v>0.9994791666666667</x:v>
      </x:c>
      <x:c r="G722" s="216" t="n">
        <x:v>718</x:v>
      </x:c>
      <x:c r="H722" s="216" t="str">
        <x:f>IF(G722&lt;='排名定義'!$B$5,"是","")</x:f>
        <x:v>是</x:v>
      </x:c>
      <x:c r="I722" s="216" t="n">
        <x:v>722</x:v>
      </x:c>
      <x:c r="J722" s="216" t="str">
        <x:f>IF(I722&lt;='排名定義'!$B$5,"是","")</x:f>
        <x:v>是</x:v>
      </x:c>
      <x:c r="K722" s="216" t="n">
        <x:v>550</x:v>
      </x:c>
      <x:c r="L722" s="216" t="str">
        <x:f>IF(K722&lt;='排名定義'!$B$5,"是","")</x:f>
        <x:v>是</x:v>
      </x:c>
      <x:c r="M722" s="216" t="n">
        <x:f>COUNTIF(H722:L722,"是")</x:f>
        <x:v>3</x:v>
      </x:c>
      <x:c r="N722" s="216" t="str">
        <x:v>三份皆未入選</x:v>
      </x:c>
      <x:c r="O722" s="221" t="n">
        <x:v>51.108333333333334</x:v>
      </x:c>
      <x:c r="P722" s="221" t="n">
        <x:v>46.2</x:v>
      </x:c>
      <x:c r="Q722" s="221" t="n">
        <x:v>4.908333333333333</x:v>
      </x:c>
      <x:c r="R722" s="221" t="n">
        <x:v>0.09603782814283385</x:v>
      </x:c>
      <x:c r="S722" s="221" t="n">
        <x:v>77.74193548387096</x:v>
      </x:c>
      <x:c r="T722" s="221" t="n">
        <x:v>73.51612903225806</x:v>
      </x:c>
      <x:c r="U722" s="221" t="n">
        <x:v>4.225806451612903</x:v>
      </x:c>
      <x:c r="V722" s="219" t="n">
        <x:v>0.027649769585253458</x:v>
      </x:c>
      <x:c r="W722" s="216" t="n">
        <x:v>2</x:v>
      </x:c>
      <x:c r="X722" s="223" t="n">
        <x:v>480</x:v>
      </x:c>
      <x:c r="Y722" s="216" t="n">
        <x:v>29</x:v>
      </x:c>
    </x:row>
    <x:row r="723">
      <x:c r="A723" s="217" t="n">
        <x:v>1018</x:v>
      </x:c>
      <x:c r="B723" s="217" t="str">
        <x:v>中華城林路口</x:v>
      </x:c>
      <x:c r="C723" s="217" t="str">
        <x:v>土城區</x:v>
      </x:c>
      <x:c r="D723" s="217" t="n">
        <x:v>30</x:v>
      </x:c>
      <x:c r="E723" s="217" t="n">
        <x:v>120</x:v>
      </x:c>
      <x:c r="F723" s="218" t="n">
        <x:v>0.9994791666666667</x:v>
      </x:c>
      <x:c r="G723" s="217" t="n">
        <x:v>719</x:v>
      </x:c>
      <x:c r="H723" s="217" t="str">
        <x:f>IF(G723&lt;='排名定義'!$B$5,"是","")</x:f>
        <x:v>是</x:v>
      </x:c>
      <x:c r="I723" s="217" t="n">
        <x:v>717</x:v>
      </x:c>
      <x:c r="J723" s="217" t="str">
        <x:f>IF(I723&lt;='排名定義'!$B$5,"是","")</x:f>
        <x:v>是</x:v>
      </x:c>
      <x:c r="K723" s="217" t="n">
        <x:v>602</x:v>
      </x:c>
      <x:c r="L723" s="217" t="str">
        <x:f>IF(K723&lt;='排名定義'!$B$5,"是","")</x:f>
        <x:v>是</x:v>
      </x:c>
      <x:c r="M723" s="217" t="n">
        <x:f>COUNTIF(H723:L723,"是")</x:f>
        <x:v>3</x:v>
      </x:c>
      <x:c r="N723" s="217" t="str">
        <x:v>三份皆未入選</x:v>
      </x:c>
      <x:c r="O723" s="220" t="n">
        <x:v>51.041666666666664</x:v>
      </x:c>
      <x:c r="P723" s="220" t="n">
        <x:v>46.36666666666667</x:v>
      </x:c>
      <x:c r="Q723" s="220" t="n">
        <x:v>4.675</x:v>
      </x:c>
      <x:c r="R723" s="220" t="n">
        <x:v>0.09159183673469387</x:v>
      </x:c>
      <x:c r="S723" s="220" t="n">
        <x:v>82</x:v>
      </x:c>
      <x:c r="T723" s="220" t="n">
        <x:v>77.41935483870968</x:v>
      </x:c>
      <x:c r="U723" s="220" t="n">
        <x:v>4.580645161290323</x:v>
      </x:c>
      <x:c r="V723" s="218" t="n">
        <x:v>0.03917050691244239</x:v>
      </x:c>
      <x:c r="W723" s="217" t="n">
        <x:v>6</x:v>
      </x:c>
      <x:c r="X723" s="222" t="n">
        <x:v>1170</x:v>
      </x:c>
      <x:c r="Y723" s="217" t="n">
        <x:v>30</x:v>
      </x:c>
    </x:row>
    <x:row r="724">
      <x:c r="A724" s="216" t="n">
        <x:v>1021</x:v>
      </x:c>
      <x:c r="B724" s="216" t="str">
        <x:v>十四張歷史建築園區(文記街)</x:v>
      </x:c>
      <x:c r="C724" s="216" t="str">
        <x:v>新店區</x:v>
      </x:c>
      <x:c r="D724" s="216" t="n">
        <x:v>49</x:v>
      </x:c>
      <x:c r="E724" s="216" t="n">
        <x:v>120</x:v>
      </x:c>
      <x:c r="F724" s="219" t="n">
        <x:v>0.9994791666666667</x:v>
      </x:c>
      <x:c r="G724" s="216" t="n">
        <x:v>720</x:v>
      </x:c>
      <x:c r="H724" s="216" t="str">
        <x:f>IF(G724&lt;='排名定義'!$B$5,"是","")</x:f>
        <x:v>是</x:v>
      </x:c>
      <x:c r="I724" s="216" t="n">
        <x:v>735</x:v>
      </x:c>
      <x:c r="J724" s="216" t="str">
        <x:f>IF(I724&lt;='排名定義'!$B$5,"是","")</x:f>
        <x:v>是</x:v>
      </x:c>
      <x:c r="K724" s="216" t="n">
        <x:v>417</x:v>
      </x:c>
      <x:c r="L724" s="216" t="str">
        <x:f>IF(K724&lt;='排名定義'!$B$5,"是","")</x:f>
        <x:v>是</x:v>
      </x:c>
      <x:c r="M724" s="216" t="n">
        <x:f>COUNTIF(H724:L724,"是")</x:f>
        <x:v>3</x:v>
      </x:c>
      <x:c r="N724" s="216" t="str">
        <x:v>三份皆未入選</x:v>
      </x:c>
      <x:c r="O724" s="221" t="n">
        <x:v>51.041666666666664</x:v>
      </x:c>
      <x:c r="P724" s="221" t="n">
        <x:v>45.45</x:v>
      </x:c>
      <x:c r="Q724" s="221" t="n">
        <x:v>5.591666666666667</x:v>
      </x:c>
      <x:c r="R724" s="221" t="n">
        <x:v>0.10955102040816327</x:v>
      </x:c>
      <x:c r="S724" s="221" t="n">
        <x:v>83.3225806451613</x:v>
      </x:c>
      <x:c r="T724" s="221" t="n">
        <x:v>79.51612903225806</x:v>
      </x:c>
      <x:c r="U724" s="221" t="n">
        <x:v>3.806451612903226</x:v>
      </x:c>
      <x:c r="V724" s="219" t="n">
        <x:v>0.059907834101382486</x:v>
      </x:c>
      <x:c r="W724" s="216" t="n">
        <x:v>15</x:v>
      </x:c>
      <x:c r="X724" s="223" t="n">
        <x:v>2220</x:v>
      </x:c>
      <x:c r="Y724" s="216" t="n">
        <x:v>49</x:v>
      </x:c>
    </x:row>
    <x:row r="725">
      <x:c r="A725" s="217" t="n">
        <x:v>1109</x:v>
      </x:c>
      <x:c r="B725" s="217" t="str">
        <x:v>永和自由街</x:v>
      </x:c>
      <x:c r="C725" s="217" t="str">
        <x:v>永和區</x:v>
      </x:c>
      <x:c r="D725" s="217" t="n">
        <x:v>32</x:v>
      </x:c>
      <x:c r="E725" s="217" t="n">
        <x:v>120</x:v>
      </x:c>
      <x:c r="F725" s="218" t="n">
        <x:v>0.9994791666666667</x:v>
      </x:c>
      <x:c r="G725" s="217" t="n">
        <x:v>721</x:v>
      </x:c>
      <x:c r="H725" s="217" t="str">
        <x:f>IF(G725&lt;='排名定義'!$B$5,"是","")</x:f>
        <x:v>是</x:v>
      </x:c>
      <x:c r="I725" s="217" t="n">
        <x:v>701</x:v>
      </x:c>
      <x:c r="J725" s="217" t="str">
        <x:f>IF(I725&lt;='排名定義'!$B$5,"是","")</x:f>
        <x:v>是</x:v>
      </x:c>
      <x:c r="K725" s="217" t="n">
        <x:v>935</x:v>
      </x:c>
      <x:c r="L725" s="217" t="str">
        <x:f>IF(K725&lt;='排名定義'!$B$5,"是","")</x:f>
        <x:v>是</x:v>
      </x:c>
      <x:c r="M725" s="217" t="n">
        <x:f>COUNTIF(H725:L725,"是")</x:f>
        <x:v>3</x:v>
      </x:c>
      <x:c r="N725" s="217" t="str">
        <x:v>三份皆未入選</x:v>
      </x:c>
      <x:c r="O725" s="220" t="n">
        <x:v>51.016666666666666</x:v>
      </x:c>
      <x:c r="P725" s="220" t="n">
        <x:v>47.40833333333333</x:v>
      </x:c>
      <x:c r="Q725" s="220" t="n">
        <x:v>3.6083333333333334</x:v>
      </x:c>
      <x:c r="R725" s="220" t="n">
        <x:v>0.07072852009147337</x:v>
      </x:c>
      <x:c r="S725" s="220" t="n">
        <x:v>81.16129032258064</x:v>
      </x:c>
      <x:c r="T725" s="220" t="n">
        <x:v>77.29032258064517</x:v>
      </x:c>
      <x:c r="U725" s="220" t="n">
        <x:v>3.870967741935484</x:v>
      </x:c>
      <x:c r="V725" s="218" t="n">
        <x:v>0.04608294930875576</x:v>
      </x:c>
      <x:c r="W725" s="217" t="n">
        <x:v>13</x:v>
      </x:c>
      <x:c r="X725" s="222" t="n">
        <x:v>1980</x:v>
      </x:c>
      <x:c r="Y725" s="217" t="n">
        <x:v>32</x:v>
      </x:c>
    </x:row>
    <x:row r="726">
      <x:c r="A726" s="216" t="n">
        <x:v>331</x:v>
      </x:c>
      <x:c r="B726" s="216" t="str">
        <x:v>佳和公園(中山路二段64巷7弄)</x:v>
      </x:c>
      <x:c r="C726" s="216" t="str">
        <x:v>中和區</x:v>
      </x:c>
      <x:c r="D726" s="216" t="n">
        <x:v>15</x:v>
      </x:c>
      <x:c r="E726" s="216" t="n">
        <x:v>120</x:v>
      </x:c>
      <x:c r="F726" s="219" t="n">
        <x:v>0.9994791666666667</x:v>
      </x:c>
      <x:c r="G726" s="216" t="n">
        <x:v>722</x:v>
      </x:c>
      <x:c r="H726" s="216" t="str">
        <x:f>IF(G726&lt;='排名定義'!$B$5,"是","")</x:f>
        <x:v>是</x:v>
      </x:c>
      <x:c r="I726" s="216" t="n">
        <x:v>707</x:v>
      </x:c>
      <x:c r="J726" s="216" t="str">
        <x:f>IF(I726&lt;='排名定義'!$B$5,"是","")</x:f>
        <x:v>是</x:v>
      </x:c>
      <x:c r="K726" s="216" t="n">
        <x:v>885</x:v>
      </x:c>
      <x:c r="L726" s="216" t="str">
        <x:f>IF(K726&lt;='排名定義'!$B$5,"是","")</x:f>
        <x:v>是</x:v>
      </x:c>
      <x:c r="M726" s="216" t="n">
        <x:f>COUNTIF(H726:L726,"是")</x:f>
        <x:v>3</x:v>
      </x:c>
      <x:c r="N726" s="216" t="str">
        <x:v>三份皆未入選</x:v>
      </x:c>
      <x:c r="O726" s="221" t="n">
        <x:v>50.983333333333334</x:v>
      </x:c>
      <x:c r="P726" s="221" t="n">
        <x:v>47.208333333333336</x:v>
      </x:c>
      <x:c r="Q726" s="221" t="n">
        <x:v>3.775</x:v>
      </x:c>
      <x:c r="R726" s="221" t="n">
        <x:v>0.07404380516508663</x:v>
      </x:c>
      <x:c r="S726" s="221" t="n">
        <x:v>71.93548387096774</x:v>
      </x:c>
      <x:c r="T726" s="221" t="n">
        <x:v>66.90322580645162</x:v>
      </x:c>
      <x:c r="U726" s="221" t="n">
        <x:v>5.032258064516129</x:v>
      </x:c>
      <x:c r="V726" s="219" t="n">
        <x:v>0.07603686635944701</x:v>
      </x:c>
      <x:c r="W726" s="216" t="n">
        <x:v>16</x:v>
      </x:c>
      <x:c r="X726" s="223" t="n">
        <x:v>2700</x:v>
      </x:c>
      <x:c r="Y726" s="216" t="n">
        <x:v>15</x:v>
      </x:c>
    </x:row>
    <x:row r="727">
      <x:c r="A727" s="217" t="n">
        <x:v>1131</x:v>
      </x:c>
      <x:c r="B727" s="217" t="str">
        <x:v>中央公園(莊園街)</x:v>
      </x:c>
      <x:c r="C727" s="217" t="str">
        <x:v>土城區</x:v>
      </x:c>
      <x:c r="D727" s="217" t="n">
        <x:v>33</x:v>
      </x:c>
      <x:c r="E727" s="217" t="n">
        <x:v>120</x:v>
      </x:c>
      <x:c r="F727" s="218" t="n">
        <x:v>0.9994791666666667</x:v>
      </x:c>
      <x:c r="G727" s="217" t="n">
        <x:v>723</x:v>
      </x:c>
      <x:c r="H727" s="217" t="str">
        <x:f>IF(G727&lt;='排名定義'!$B$5,"是","")</x:f>
        <x:v>是</x:v>
      </x:c>
      <x:c r="I727" s="217" t="n">
        <x:v>730</x:v>
      </x:c>
      <x:c r="J727" s="217" t="str">
        <x:f>IF(I727&lt;='排名定義'!$B$5,"是","")</x:f>
        <x:v>是</x:v>
      </x:c>
      <x:c r="K727" s="217" t="n">
        <x:v>475</x:v>
      </x:c>
      <x:c r="L727" s="217" t="str">
        <x:f>IF(K727&lt;='排名定義'!$B$5,"是","")</x:f>
        <x:v>是</x:v>
      </x:c>
      <x:c r="M727" s="217" t="n">
        <x:f>COUNTIF(H727:L727,"是")</x:f>
        <x:v>3</x:v>
      </x:c>
      <x:c r="N727" s="217" t="str">
        <x:v>三份皆未入選</x:v>
      </x:c>
      <x:c r="O727" s="220" t="n">
        <x:v>50.975</x:v>
      </x:c>
      <x:c r="P727" s="220" t="n">
        <x:v>45.7</x:v>
      </x:c>
      <x:c r="Q727" s="220" t="n">
        <x:v>5.275</x:v>
      </x:c>
      <x:c r="R727" s="220" t="n">
        <x:v>0.10348209906817067</x:v>
      </x:c>
      <x:c r="S727" s="220" t="n">
        <x:v>72.51612903225806</x:v>
      </x:c>
      <x:c r="T727" s="220" t="n">
        <x:v>67.74193548387096</x:v>
      </x:c>
      <x:c r="U727" s="220" t="n">
        <x:v>4.774193548387097</x:v>
      </x:c>
      <x:c r="V727" s="218" t="n">
        <x:v>0.059907834101382486</x:v>
      </x:c>
      <x:c r="W727" s="217" t="n">
        <x:v>16</x:v>
      </x:c>
      <x:c r="X727" s="222" t="n">
        <x:v>2190</x:v>
      </x:c>
      <x:c r="Y727" s="217" t="n">
        <x:v>33</x:v>
      </x:c>
    </x:row>
    <x:row r="728">
      <x:c r="A728" s="216" t="n">
        <x:v>1393</x:v>
      </x:c>
      <x:c r="B728" s="216" t="str">
        <x:v>昌平公園</x:v>
      </x:c>
      <x:c r="C728" s="216" t="str">
        <x:v>新莊區</x:v>
      </x:c>
      <x:c r="D728" s="216" t="n">
        <x:v>52</x:v>
      </x:c>
      <x:c r="E728" s="216" t="n">
        <x:v>120</x:v>
      </x:c>
      <x:c r="F728" s="219" t="n">
        <x:v>0.9994791666666667</x:v>
      </x:c>
      <x:c r="G728" s="216" t="n">
        <x:v>724</x:v>
      </x:c>
      <x:c r="H728" s="216" t="str">
        <x:f>IF(G728&lt;='排名定義'!$B$5,"是","")</x:f>
        <x:v>是</x:v>
      </x:c>
      <x:c r="I728" s="216" t="n">
        <x:v>726</x:v>
      </x:c>
      <x:c r="J728" s="216" t="str">
        <x:f>IF(I728&lt;='排名定義'!$B$5,"是","")</x:f>
        <x:v>是</x:v>
      </x:c>
      <x:c r="K728" s="216" t="n">
        <x:v>539</x:v>
      </x:c>
      <x:c r="L728" s="216" t="str">
        <x:f>IF(K728&lt;='排名定義'!$B$5,"是","")</x:f>
        <x:v>是</x:v>
      </x:c>
      <x:c r="M728" s="216" t="n">
        <x:f>COUNTIF(H728:L728,"是")</x:f>
        <x:v>3</x:v>
      </x:c>
      <x:c r="N728" s="216" t="str">
        <x:v>三份皆未入選</x:v>
      </x:c>
      <x:c r="O728" s="221" t="n">
        <x:v>50.975</x:v>
      </x:c>
      <x:c r="P728" s="221" t="n">
        <x:v>46.00833333333333</x:v>
      </x:c>
      <x:c r="Q728" s="221" t="n">
        <x:v>4.966666666666667</x:v>
      </x:c>
      <x:c r="R728" s="221" t="n">
        <x:v>0.09743338237698218</x:v>
      </x:c>
      <x:c r="S728" s="221" t="n">
        <x:v>74.3225806451613</x:v>
      </x:c>
      <x:c r="T728" s="221" t="n">
        <x:v>70.35483870967742</x:v>
      </x:c>
      <x:c r="U728" s="221" t="n">
        <x:v>3.967741935483871</x:v>
      </x:c>
      <x:c r="V728" s="219" t="n">
        <x:v>0.05069124423963134</x:v>
      </x:c>
      <x:c r="W728" s="216" t="n">
        <x:v>11</x:v>
      </x:c>
      <x:c r="X728" s="223" t="n">
        <x:v>1290</x:v>
      </x:c>
      <x:c r="Y728" s="216" t="n">
        <x:v>55</x:v>
      </x:c>
    </x:row>
    <x:row r="729">
      <x:c r="A729" s="217" t="n">
        <x:v>1010</x:v>
      </x:c>
      <x:c r="B729" s="217" t="str">
        <x:v>安康立體停車場</x:v>
      </x:c>
      <x:c r="C729" s="217" t="str">
        <x:v>新店區</x:v>
      </x:c>
      <x:c r="D729" s="217" t="n">
        <x:v>30</x:v>
      </x:c>
      <x:c r="E729" s="217" t="n">
        <x:v>120</x:v>
      </x:c>
      <x:c r="F729" s="218" t="n">
        <x:v>0.9994791666666667</x:v>
      </x:c>
      <x:c r="G729" s="217" t="n">
        <x:v>725</x:v>
      </x:c>
      <x:c r="H729" s="217" t="str">
        <x:f>IF(G729&lt;='排名定義'!$B$5,"是","")</x:f>
        <x:v>是</x:v>
      </x:c>
      <x:c r="I729" s="217" t="n">
        <x:v>724</x:v>
      </x:c>
      <x:c r="J729" s="217" t="str">
        <x:f>IF(I729&lt;='排名定義'!$B$5,"是","")</x:f>
        <x:v>是</x:v>
      </x:c>
      <x:c r="K729" s="217" t="n">
        <x:v>568</x:v>
      </x:c>
      <x:c r="L729" s="217" t="str">
        <x:f>IF(K729&lt;='排名定義'!$B$5,"是","")</x:f>
        <x:v>是</x:v>
      </x:c>
      <x:c r="M729" s="217" t="n">
        <x:f>COUNTIF(H729:L729,"是")</x:f>
        <x:v>3</x:v>
      </x:c>
      <x:c r="N729" s="217" t="str">
        <x:v>三份皆未入選</x:v>
      </x:c>
      <x:c r="O729" s="220" t="n">
        <x:v>50.96666666666667</x:v>
      </x:c>
      <x:c r="P729" s="220" t="n">
        <x:v>46.13333333333333</x:v>
      </x:c>
      <x:c r="Q729" s="220" t="n">
        <x:v>4.833333333333333</x:v>
      </x:c>
      <x:c r="R729" s="220" t="n">
        <x:v>0.09483322432962721</x:v>
      </x:c>
      <x:c r="S729" s="220" t="n">
        <x:v>76.70967741935483</x:v>
      </x:c>
      <x:c r="T729" s="220" t="n">
        <x:v>70.58064516129032</x:v>
      </x:c>
      <x:c r="U729" s="220" t="n">
        <x:v>6.129032258064516</x:v>
      </x:c>
      <x:c r="V729" s="218" t="n">
        <x:v>0.03225806451612903</x:v>
      </x:c>
      <x:c r="W729" s="217" t="n">
        <x:v>6</x:v>
      </x:c>
      <x:c r="X729" s="222" t="n">
        <x:v>750</x:v>
      </x:c>
      <x:c r="Y729" s="217" t="n">
        <x:v>30</x:v>
      </x:c>
    </x:row>
    <x:row r="730">
      <x:c r="A730" s="216" t="n">
        <x:v>165</x:v>
      </x:c>
      <x:c r="B730" s="216" t="str">
        <x:v>雙和公園</x:v>
      </x:c>
      <x:c r="C730" s="216" t="str">
        <x:v>永和區</x:v>
      </x:c>
      <x:c r="D730" s="216" t="n">
        <x:v>11</x:v>
      </x:c>
      <x:c r="E730" s="216" t="n">
        <x:v>120</x:v>
      </x:c>
      <x:c r="F730" s="219" t="n">
        <x:v>0.9994791666666667</x:v>
      </x:c>
      <x:c r="G730" s="216" t="n">
        <x:v>726</x:v>
      </x:c>
      <x:c r="H730" s="216" t="str">
        <x:f>IF(G730&lt;='排名定義'!$B$5,"是","")</x:f>
        <x:v>是</x:v>
      </x:c>
      <x:c r="I730" s="216" t="n">
        <x:v>710</x:v>
      </x:c>
      <x:c r="J730" s="216" t="str">
        <x:f>IF(I730&lt;='排名定義'!$B$5,"是","")</x:f>
        <x:v>是</x:v>
      </x:c>
      <x:c r="K730" s="216" t="n">
        <x:v>760</x:v>
      </x:c>
      <x:c r="L730" s="216" t="str">
        <x:f>IF(K730&lt;='排名定義'!$B$5,"是","")</x:f>
        <x:v>是</x:v>
      </x:c>
      <x:c r="M730" s="216" t="n">
        <x:f>COUNTIF(H730:L730,"是")</x:f>
        <x:v>3</x:v>
      </x:c>
      <x:c r="N730" s="216" t="str">
        <x:v>三份皆未入選</x:v>
      </x:c>
      <x:c r="O730" s="221" t="n">
        <x:v>50.958333333333336</x:v>
      </x:c>
      <x:c r="P730" s="221" t="n">
        <x:v>46.858333333333334</x:v>
      </x:c>
      <x:c r="Q730" s="221" t="n">
        <x:v>4.1</x:v>
      </x:c>
      <x:c r="R730" s="221" t="n">
        <x:v>0.08045789043336059</x:v>
      </x:c>
      <x:c r="S730" s="221" t="n">
        <x:v>68.54838709677419</x:v>
      </x:c>
      <x:c r="T730" s="221" t="n">
        <x:v>65.06451612903226</x:v>
      </x:c>
      <x:c r="U730" s="221" t="n">
        <x:v>3.4838709677419355</x:v>
      </x:c>
      <x:c r="V730" s="219" t="n">
        <x:v>0.11981566820276497</x:v>
      </x:c>
      <x:c r="W730" s="216" t="n">
        <x:v>29</x:v>
      </x:c>
      <x:c r="X730" s="223" t="n">
        <x:v>3720</x:v>
      </x:c>
      <x:c r="Y730" s="216" t="n">
        <x:v>11</x:v>
      </x:c>
    </x:row>
    <x:row r="731">
      <x:c r="A731" s="217" t="n">
        <x:v>1251</x:v>
      </x:c>
      <x:c r="B731" s="217" t="str">
        <x:v>三民民族路口</x:v>
      </x:c>
      <x:c r="C731" s="217" t="str">
        <x:v>蘆洲區</x:v>
      </x:c>
      <x:c r="D731" s="217" t="n">
        <x:v>40</x:v>
      </x:c>
      <x:c r="E731" s="217" t="n">
        <x:v>120</x:v>
      </x:c>
      <x:c r="F731" s="218" t="n">
        <x:v>0.9994791666666667</x:v>
      </x:c>
      <x:c r="G731" s="217" t="n">
        <x:v>727</x:v>
      </x:c>
      <x:c r="H731" s="217" t="str">
        <x:f>IF(G731&lt;='排名定義'!$B$5,"是","")</x:f>
        <x:v>是</x:v>
      </x:c>
      <x:c r="I731" s="217" t="n">
        <x:v>762</x:v>
      </x:c>
      <x:c r="J731" s="217" t="str">
        <x:f>IF(I731&lt;='排名定義'!$B$5,"是","")</x:f>
        <x:v>是</x:v>
      </x:c>
      <x:c r="K731" s="217" t="n">
        <x:v>278</x:v>
      </x:c>
      <x:c r="L731" s="217" t="str">
        <x:f>IF(K731&lt;='排名定義'!$B$5,"是","")</x:f>
        <x:v>是</x:v>
      </x:c>
      <x:c r="M731" s="217" t="n">
        <x:f>COUNTIF(H731:L731,"是")</x:f>
        <x:v>3</x:v>
      </x:c>
      <x:c r="N731" s="217" t="str">
        <x:v>僅大幅變動</x:v>
      </x:c>
      <x:c r="O731" s="220" t="n">
        <x:v>50.94166666666667</x:v>
      </x:c>
      <x:c r="P731" s="220" t="n">
        <x:v>44.40833333333333</x:v>
      </x:c>
      <x:c r="Q731" s="220" t="n">
        <x:v>6.533333333333333</x:v>
      </x:c>
      <x:c r="R731" s="220" t="n">
        <x:v>0.12825126778995583</x:v>
      </x:c>
      <x:c r="S731" s="220" t="n">
        <x:v>75.48387096774194</x:v>
      </x:c>
      <x:c r="T731" s="220" t="n">
        <x:v>70.58064516129032</x:v>
      </x:c>
      <x:c r="U731" s="220" t="n">
        <x:v>4.903225806451613</x:v>
      </x:c>
      <x:c r="V731" s="218" t="n">
        <x:v>0.02534562211981567</x:v>
      </x:c>
      <x:c r="W731" s="217" t="n">
        <x:v>11</x:v>
      </x:c>
      <x:c r="X731" s="222" t="n">
        <x:v>1110</x:v>
      </x:c>
      <x:c r="Y731" s="217" t="n">
        <x:v>40</x:v>
      </x:c>
    </x:row>
    <x:row r="732">
      <x:c r="A732" s="216" t="n">
        <x:v>853</x:v>
      </x:c>
      <x:c r="B732" s="216" t="str">
        <x:v>文化懷德街口</x:v>
      </x:c>
      <x:c r="C732" s="216" t="str">
        <x:v>板橋區</x:v>
      </x:c>
      <x:c r="D732" s="216" t="n">
        <x:v>24</x:v>
      </x:c>
      <x:c r="E732" s="216" t="n">
        <x:v>120</x:v>
      </x:c>
      <x:c r="F732" s="219" t="n">
        <x:v>0.9994791666666667</x:v>
      </x:c>
      <x:c r="G732" s="216" t="n">
        <x:v>728</x:v>
      </x:c>
      <x:c r="H732" s="216" t="str">
        <x:f>IF(G732&lt;='排名定義'!$B$5,"是","")</x:f>
        <x:v>是</x:v>
      </x:c>
      <x:c r="I732" s="216" t="n">
        <x:v>708</x:v>
      </x:c>
      <x:c r="J732" s="216" t="str">
        <x:f>IF(I732&lt;='排名定義'!$B$5,"是","")</x:f>
        <x:v>是</x:v>
      </x:c>
      <x:c r="K732" s="216" t="n">
        <x:v>964</x:v>
      </x:c>
      <x:c r="L732" s="216" t="str">
        <x:f>IF(K732&lt;='排名定義'!$B$5,"是","")</x:f>
        <x:v>是</x:v>
      </x:c>
      <x:c r="M732" s="216" t="n">
        <x:f>COUNTIF(H732:L732,"是")</x:f>
        <x:v>3</x:v>
      </x:c>
      <x:c r="N732" s="216" t="str">
        <x:v>三份皆未入選</x:v>
      </x:c>
      <x:c r="O732" s="221" t="n">
        <x:v>50.69166666666667</x:v>
      </x:c>
      <x:c r="P732" s="221" t="n">
        <x:v>47.166666666666664</x:v>
      </x:c>
      <x:c r="Q732" s="221" t="n">
        <x:v>3.525</x:v>
      </x:c>
      <x:c r="R732" s="221" t="n">
        <x:v>0.06953805687982903</x:v>
      </x:c>
      <x:c r="S732" s="221" t="n">
        <x:v>71.83870967741936</x:v>
      </x:c>
      <x:c r="T732" s="221" t="n">
        <x:v>69.2258064516129</x:v>
      </x:c>
      <x:c r="U732" s="221" t="n">
        <x:v>2.6129032258064515</x:v>
      </x:c>
      <x:c r="V732" s="219" t="n">
        <x:v>0.07373271889400922</x:v>
      </x:c>
      <x:c r="W732" s="216" t="n">
        <x:v>10</x:v>
      </x:c>
      <x:c r="X732" s="223" t="n">
        <x:v>2070</x:v>
      </x:c>
      <x:c r="Y732" s="216" t="n">
        <x:v>24</x:v>
      </x:c>
    </x:row>
    <x:row r="733">
      <x:c r="A733" s="217" t="n">
        <x:v>140</x:v>
      </x:c>
      <x:c r="B733" s="217" t="str">
        <x:v>三重社會福利服務中心</x:v>
      </x:c>
      <x:c r="C733" s="217" t="str">
        <x:v>三重區</x:v>
      </x:c>
      <x:c r="D733" s="217" t="n">
        <x:v>11</x:v>
      </x:c>
      <x:c r="E733" s="217" t="n">
        <x:v>120</x:v>
      </x:c>
      <x:c r="F733" s="218" t="n">
        <x:v>0.9994791666666667</x:v>
      </x:c>
      <x:c r="G733" s="217" t="n">
        <x:v>729</x:v>
      </x:c>
      <x:c r="H733" s="217" t="str">
        <x:f>IF(G733&lt;='排名定義'!$B$5,"是","")</x:f>
        <x:v>是</x:v>
      </x:c>
      <x:c r="I733" s="217" t="n">
        <x:v>706</x:v>
      </x:c>
      <x:c r="J733" s="217" t="str">
        <x:f>IF(I733&lt;='排名定義'!$B$5,"是","")</x:f>
        <x:v>是</x:v>
      </x:c>
      <x:c r="K733" s="217" t="n">
        <x:v>1021</x:v>
      </x:c>
      <x:c r="L733" s="217" t="str">
        <x:f>IF(K733&lt;='排名定義'!$B$5,"是","")</x:f>
        <x:v>是</x:v>
      </x:c>
      <x:c r="M733" s="217" t="n">
        <x:f>COUNTIF(H733:L733,"是")</x:f>
        <x:v>3</x:v>
      </x:c>
      <x:c r="N733" s="217" t="str">
        <x:v>三份皆未入選</x:v>
      </x:c>
      <x:c r="O733" s="220" t="n">
        <x:v>50.61666666666667</x:v>
      </x:c>
      <x:c r="P733" s="220" t="n">
        <x:v>47.225</x:v>
      </x:c>
      <x:c r="Q733" s="220" t="n">
        <x:v>3.3916666666666666</x:v>
      </x:c>
      <x:c r="R733" s="220" t="n">
        <x:v>0.06700691471847217</x:v>
      </x:c>
      <x:c r="S733" s="220" t="n">
        <x:v>63.225806451612904</x:v>
      </x:c>
      <x:c r="T733" s="220" t="n">
        <x:v>60.806451612903224</x:v>
      </x:c>
      <x:c r="U733" s="220" t="n">
        <x:v>2.4193548387096775</x:v>
      </x:c>
      <x:c r="V733" s="218" t="n">
        <x:v>0.1774193548387097</x:v>
      </x:c>
      <x:c r="W733" s="217" t="n">
        <x:v>48</x:v>
      </x:c>
      <x:c r="X733" s="222" t="n">
        <x:v>6690</x:v>
      </x:c>
      <x:c r="Y733" s="217" t="n">
        <x:v>11</x:v>
      </x:c>
    </x:row>
    <x:row r="734">
      <x:c r="A734" s="216" t="n">
        <x:v>328</x:v>
      </x:c>
      <x:c r="B734" s="216" t="str">
        <x:v>九芎街90巷口</x:v>
      </x:c>
      <x:c r="C734" s="216" t="str">
        <x:v>蘆洲區</x:v>
      </x:c>
      <x:c r="D734" s="216" t="n">
        <x:v>15</x:v>
      </x:c>
      <x:c r="E734" s="216" t="n">
        <x:v>120</x:v>
      </x:c>
      <x:c r="F734" s="219" t="n">
        <x:v>0.9994791666666667</x:v>
      </x:c>
      <x:c r="G734" s="216" t="n">
        <x:v>730</x:v>
      </x:c>
      <x:c r="H734" s="216" t="str">
        <x:f>IF(G734&lt;='排名定義'!$B$5,"是","")</x:f>
        <x:v>是</x:v>
      </x:c>
      <x:c r="I734" s="216" t="n">
        <x:v>705</x:v>
      </x:c>
      <x:c r="J734" s="216" t="str">
        <x:f>IF(I734&lt;='排名定義'!$B$5,"是","")</x:f>
        <x:v>是</x:v>
      </x:c>
      <x:c r="K734" s="216" t="n">
        <x:v>1064</x:v>
      </x:c>
      <x:c r="L734" s="216" t="str">
        <x:f>IF(K734&lt;='排名定義'!$B$5,"是","")</x:f>
        <x:v>是</x:v>
      </x:c>
      <x:c r="M734" s="216" t="n">
        <x:f>COUNTIF(H734:L734,"是")</x:f>
        <x:v>3</x:v>
      </x:c>
      <x:c r="N734" s="216" t="str">
        <x:v>三份皆未入選</x:v>
      </x:c>
      <x:c r="O734" s="221" t="n">
        <x:v>50.59166666666667</x:v>
      </x:c>
      <x:c r="P734" s="221" t="n">
        <x:v>47.28333333333333</x:v>
      </x:c>
      <x:c r="Q734" s="221" t="n">
        <x:v>3.308333333333333</x:v>
      </x:c>
      <x:c r="R734" s="221" t="n">
        <x:v>0.06539285126008895</x:v>
      </x:c>
      <x:c r="S734" s="221" t="n">
        <x:v>74.19354838709677</x:v>
      </x:c>
      <x:c r="T734" s="221" t="n">
        <x:v>70.38709677419355</x:v>
      </x:c>
      <x:c r="U734" s="221" t="n">
        <x:v>3.806451612903226</x:v>
      </x:c>
      <x:c r="V734" s="219" t="n">
        <x:v>0.1152073732718894</x:v>
      </x:c>
      <x:c r="W734" s="216" t="n">
        <x:v>21</x:v>
      </x:c>
      <x:c r="X734" s="223" t="n">
        <x:v>3120</x:v>
      </x:c>
      <x:c r="Y734" s="216" t="n">
        <x:v>15</x:v>
      </x:c>
    </x:row>
    <x:row r="735">
      <x:c r="A735" s="217" t="n">
        <x:v>967</x:v>
      </x:c>
      <x:c r="B735" s="217" t="str">
        <x:v>滬尾藝文休閒園區</x:v>
      </x:c>
      <x:c r="C735" s="217" t="str">
        <x:v>淡水區</x:v>
      </x:c>
      <x:c r="D735" s="217" t="n">
        <x:v>28</x:v>
      </x:c>
      <x:c r="E735" s="217" t="n">
        <x:v>120</x:v>
      </x:c>
      <x:c r="F735" s="218" t="n">
        <x:v>0.9994791666666667</x:v>
      </x:c>
      <x:c r="G735" s="217" t="n">
        <x:v>731</x:v>
      </x:c>
      <x:c r="H735" s="217" t="str">
        <x:f>IF(G735&lt;='排名定義'!$B$5,"是","")</x:f>
        <x:v>是</x:v>
      </x:c>
      <x:c r="I735" s="217" t="n">
        <x:v>744</x:v>
      </x:c>
      <x:c r="J735" s="217" t="str">
        <x:f>IF(I735&lt;='排名定義'!$B$5,"是","")</x:f>
        <x:v>是</x:v>
      </x:c>
      <x:c r="K735" s="217" t="n">
        <x:v>448</x:v>
      </x:c>
      <x:c r="L735" s="217" t="str">
        <x:f>IF(K735&lt;='排名定義'!$B$5,"是","")</x:f>
        <x:v>是</x:v>
      </x:c>
      <x:c r="M735" s="217" t="n">
        <x:f>COUNTIF(H735:L735,"是")</x:f>
        <x:v>3</x:v>
      </x:c>
      <x:c r="N735" s="217" t="str">
        <x:v>三份皆未入選</x:v>
      </x:c>
      <x:c r="O735" s="220" t="n">
        <x:v>50.516666666666666</x:v>
      </x:c>
      <x:c r="P735" s="220" t="n">
        <x:v>45.09166666666667</x:v>
      </x:c>
      <x:c r="Q735" s="220" t="n">
        <x:v>5.425</x:v>
      </x:c>
      <x:c r="R735" s="220" t="n">
        <x:v>0.10739030023094688</x:v>
      </x:c>
      <x:c r="S735" s="220" t="n">
        <x:v>104.93548387096774</x:v>
      </x:c>
      <x:c r="T735" s="220" t="n">
        <x:v>99.19354838709677</x:v>
      </x:c>
      <x:c r="U735" s="220" t="n">
        <x:v>5.741935483870968</x:v>
      </x:c>
      <x:c r="V735" s="218" t="n">
        <x:v>0.041474654377880185</x:v>
      </x:c>
      <x:c r="W735" s="217" t="n">
        <x:v>13</x:v>
      </x:c>
      <x:c r="X735" s="222" t="n">
        <x:v>1770</x:v>
      </x:c>
      <x:c r="Y735" s="217" t="n">
        <x:v>28</x:v>
      </x:c>
    </x:row>
    <x:row r="736">
      <x:c r="A736" s="216" t="n">
        <x:v>870</x:v>
      </x:c>
      <x:c r="B736" s="216" t="str">
        <x:v>五權公園地下停車場</x:v>
      </x:c>
      <x:c r="C736" s="216" t="str">
        <x:v>板橋區</x:v>
      </x:c>
      <x:c r="D736" s="216" t="n">
        <x:v>25</x:v>
      </x:c>
      <x:c r="E736" s="216" t="n">
        <x:v>120</x:v>
      </x:c>
      <x:c r="F736" s="219" t="n">
        <x:v>0.9994791666666667</x:v>
      </x:c>
      <x:c r="G736" s="216" t="n">
        <x:v>732</x:v>
      </x:c>
      <x:c r="H736" s="216" t="str">
        <x:f>IF(G736&lt;='排名定義'!$B$5,"是","")</x:f>
        <x:v>是</x:v>
      </x:c>
      <x:c r="I736" s="216" t="n">
        <x:v>718</x:v>
      </x:c>
      <x:c r="J736" s="216" t="str">
        <x:f>IF(I736&lt;='排名定義'!$B$5,"是","")</x:f>
        <x:v>是</x:v>
      </x:c>
      <x:c r="K736" s="216" t="n">
        <x:v>789</x:v>
      </x:c>
      <x:c r="L736" s="216" t="str">
        <x:f>IF(K736&lt;='排名定義'!$B$5,"是","")</x:f>
        <x:v>是</x:v>
      </x:c>
      <x:c r="M736" s="216" t="n">
        <x:f>COUNTIF(H736:L736,"是")</x:f>
        <x:v>3</x:v>
      </x:c>
      <x:c r="N736" s="216" t="str">
        <x:v>三份皆未入選</x:v>
      </x:c>
      <x:c r="O736" s="221" t="n">
        <x:v>50.36666666666667</x:v>
      </x:c>
      <x:c r="P736" s="221" t="n">
        <x:v>46.35</x:v>
      </x:c>
      <x:c r="Q736" s="221" t="n">
        <x:v>4.016666666666667</x:v>
      </x:c>
      <x:c r="R736" s="221" t="n">
        <x:v>0.07974851091992058</x:v>
      </x:c>
      <x:c r="S736" s="221" t="n">
        <x:v>72.45161290322581</x:v>
      </x:c>
      <x:c r="T736" s="221" t="n">
        <x:v>68.6774193548387</x:v>
      </x:c>
      <x:c r="U736" s="221" t="n">
        <x:v>3.774193548387097</x:v>
      </x:c>
      <x:c r="V736" s="219" t="n">
        <x:v>0.04608294930875576</x:v>
      </x:c>
      <x:c r="W736" s="216" t="n">
        <x:v>12</x:v>
      </x:c>
      <x:c r="X736" s="223" t="n">
        <x:v>1410</x:v>
      </x:c>
      <x:c r="Y736" s="216" t="n">
        <x:v>25</x:v>
      </x:c>
    </x:row>
    <x:row r="737">
      <x:c r="A737" s="217" t="n">
        <x:v>1532</x:v>
      </x:c>
      <x:c r="B737" s="217" t="str">
        <x:v>?寮公園</x:v>
      </x:c>
      <x:c r="C737" s="217" t="str">
        <x:v>樹林區</x:v>
      </x:c>
      <x:c r="D737" s="217" t="n">
        <x:v>12</x:v>
      </x:c>
      <x:c r="E737" s="217" t="n">
        <x:v>61</x:v>
      </x:c>
      <x:c r="F737" s="218" t="n">
        <x:v>0.9996584699453552</x:v>
      </x:c>
      <x:c r="G737" s="217" t="n">
        <x:v>733</x:v>
      </x:c>
      <x:c r="H737" s="217" t="str">
        <x:f>IF(G737&lt;='排名定義'!$B$5,"是","")</x:f>
        <x:v>是</x:v>
      </x:c>
      <x:c r="I737" s="217" t="n">
        <x:v>697</x:v>
      </x:c>
      <x:c r="J737" s="217" t="str">
        <x:f>IF(I737&lt;='排名定義'!$B$5,"是","")</x:f>
        <x:v>是</x:v>
      </x:c>
      <x:c r="K737" s="217" t="n">
        <x:v>1271</x:v>
      </x:c>
      <x:c r="L737" s="217" t="str">
        <x:f>IF(K737&lt;='排名定義'!$B$5,"是","")</x:f>
        <x:v>是</x:v>
      </x:c>
      <x:c r="M737" s="217" t="n">
        <x:f>COUNTIF(H737:L737,"是")</x:f>
        <x:v>3</x:v>
      </x:c>
      <x:c r="N737" s="217" t="str">
        <x:v>三份皆未入選</x:v>
      </x:c>
      <x:c r="O737" s="220" t="n">
        <x:v>50.36065573770492</x:v>
      </x:c>
      <x:c r="P737" s="220" t="n">
        <x:v>47.73770491803279</x:v>
      </x:c>
      <x:c r="Q737" s="220" t="n">
        <x:v>2.622950819672131</x:v>
      </x:c>
      <x:c r="R737" s="220" t="n">
        <x:v>0.052083333333333336</x:v>
      </x:c>
      <x:c r="S737" s="220" t="n">
        <x:v>45.83870967741935</x:v>
      </x:c>
      <x:c r="T737" s="220" t="n">
        <x:v>42.67741935483871</x:v>
      </x:c>
      <x:c r="U737" s="220" t="n">
        <x:v>3.161290322580645</x:v>
      </x:c>
      <x:c r="V737" s="218" t="n">
        <x:v>0.18433179723502305</x:v>
      </x:c>
      <x:c r="W737" s="217" t="n">
        <x:v>25</x:v>
      </x:c>
      <x:c r="X737" s="222" t="n">
        <x:v>3840</x:v>
      </x:c>
      <x:c r="Y737" s="217" t="n">
        <x:v>12</x:v>
      </x:c>
    </x:row>
    <x:row r="738">
      <x:c r="A738" s="216" t="n">
        <x:v>1219</x:v>
      </x:c>
      <x:c r="B738" s="216" t="str">
        <x:v>環河西新月一街口(新月天地社區)</x:v>
      </x:c>
      <x:c r="C738" s="216" t="str">
        <x:v>板橋區</x:v>
      </x:c>
      <x:c r="D738" s="216" t="n">
        <x:v>38</x:v>
      </x:c>
      <x:c r="E738" s="216" t="n">
        <x:v>120</x:v>
      </x:c>
      <x:c r="F738" s="219" t="n">
        <x:v>0.9994791666666667</x:v>
      </x:c>
      <x:c r="G738" s="216" t="n">
        <x:v>734</x:v>
      </x:c>
      <x:c r="H738" s="216" t="str">
        <x:f>IF(G738&lt;='排名定義'!$B$5,"是","")</x:f>
        <x:v>是</x:v>
      </x:c>
      <x:c r="I738" s="216" t="n">
        <x:v>737</x:v>
      </x:c>
      <x:c r="J738" s="216" t="str">
        <x:f>IF(I738&lt;='排名定義'!$B$5,"是","")</x:f>
        <x:v>是</x:v>
      </x:c>
      <x:c r="K738" s="216" t="n">
        <x:v>603</x:v>
      </x:c>
      <x:c r="L738" s="216" t="str">
        <x:f>IF(K738&lt;='排名定義'!$B$5,"是","")</x:f>
        <x:v>是</x:v>
      </x:c>
      <x:c r="M738" s="216" t="n">
        <x:f>COUNTIF(H738:L738,"是")</x:f>
        <x:v>3</x:v>
      </x:c>
      <x:c r="N738" s="216" t="str">
        <x:v>三份皆未入選</x:v>
      </x:c>
      <x:c r="O738" s="221" t="n">
        <x:v>50.041666666666664</x:v>
      </x:c>
      <x:c r="P738" s="221" t="n">
        <x:v>45.36666666666667</x:v>
      </x:c>
      <x:c r="Q738" s="221" t="n">
        <x:v>4.675</x:v>
      </x:c>
      <x:c r="R738" s="221" t="n">
        <x:v>0.09342214820982514</x:v>
      </x:c>
      <x:c r="S738" s="221" t="n">
        <x:v>80.16129032258064</x:v>
      </x:c>
      <x:c r="T738" s="221" t="n">
        <x:v>74.61290322580645</x:v>
      </x:c>
      <x:c r="U738" s="221" t="n">
        <x:v>5.548387096774194</x:v>
      </x:c>
      <x:c r="V738" s="219" t="n">
        <x:v>0.018433179723502304</x:v>
      </x:c>
      <x:c r="W738" s="216" t="n">
        <x:v>5</x:v>
      </x:c>
      <x:c r="X738" s="223" t="n">
        <x:v>720</x:v>
      </x:c>
      <x:c r="Y738" s="216" t="n">
        <x:v>38</x:v>
      </x:c>
    </x:row>
    <x:row r="739">
      <x:c r="A739" s="217" t="n">
        <x:v>1500</x:v>
      </x:c>
      <x:c r="B739" s="217" t="str">
        <x:v>青山國民中小學</x:v>
      </x:c>
      <x:c r="C739" s="217" t="str">
        <x:v>汐止區</x:v>
      </x:c>
      <x:c r="D739" s="217" t="n">
        <x:v>56</x:v>
      </x:c>
      <x:c r="E739" s="217" t="n">
        <x:v>120</x:v>
      </x:c>
      <x:c r="F739" s="218" t="n">
        <x:v>0.9994791666666667</x:v>
      </x:c>
      <x:c r="G739" s="217" t="n">
        <x:v>735</x:v>
      </x:c>
      <x:c r="H739" s="217" t="str">
        <x:f>IF(G739&lt;='排名定義'!$B$5,"是","")</x:f>
        <x:v>是</x:v>
      </x:c>
      <x:c r="I739" s="217" t="n">
        <x:v>754</x:v>
      </x:c>
      <x:c r="J739" s="217" t="str">
        <x:f>IF(I739&lt;='排名定義'!$B$5,"是","")</x:f>
        <x:v>是</x:v>
      </x:c>
      <x:c r="K739" s="217" t="n">
        <x:v>470</x:v>
      </x:c>
      <x:c r="L739" s="217" t="str">
        <x:f>IF(K739&lt;='排名定義'!$B$5,"是","")</x:f>
        <x:v>是</x:v>
      </x:c>
      <x:c r="M739" s="217" t="n">
        <x:f>COUNTIF(H739:L739,"是")</x:f>
        <x:v>3</x:v>
      </x:c>
      <x:c r="N739" s="217" t="str">
        <x:v>三份皆未入選</x:v>
      </x:c>
      <x:c r="O739" s="220" t="n">
        <x:v>49.96666666666667</x:v>
      </x:c>
      <x:c r="P739" s="220" t="n">
        <x:v>44.666666666666664</x:v>
      </x:c>
      <x:c r="Q739" s="220" t="n">
        <x:v>5.3</x:v>
      </x:c>
      <x:c r="R739" s="220" t="n">
        <x:v>0.10607071380920614</x:v>
      </x:c>
      <x:c r="S739" s="220" t="n">
        <x:v>80.25806451612904</x:v>
      </x:c>
      <x:c r="T739" s="220" t="n">
        <x:v>75.64516129032258</x:v>
      </x:c>
      <x:c r="U739" s="220" t="n">
        <x:v>4.612903225806452</x:v>
      </x:c>
      <x:c r="V739" s="218" t="n">
        <x:v>0.041474654377880185</x:v>
      </x:c>
      <x:c r="W739" s="217" t="n">
        <x:v>6</x:v>
      </x:c>
      <x:c r="X739" s="222" t="n">
        <x:v>930</x:v>
      </x:c>
      <x:c r="Y739" s="217" t="n">
        <x:v>56</x:v>
      </x:c>
    </x:row>
    <x:row r="740">
      <x:c r="A740" s="216" t="n">
        <x:v>555</x:v>
      </x:c>
      <x:c r="B740" s="216" t="str">
        <x:v>三和龍門路口</x:v>
      </x:c>
      <x:c r="C740" s="216" t="str">
        <x:v>三重區</x:v>
      </x:c>
      <x:c r="D740" s="216" t="n">
        <x:v>18</x:v>
      </x:c>
      <x:c r="E740" s="216" t="n">
        <x:v>120</x:v>
      </x:c>
      <x:c r="F740" s="219" t="n">
        <x:v>0.9994791666666667</x:v>
      </x:c>
      <x:c r="G740" s="216" t="n">
        <x:v>736</x:v>
      </x:c>
      <x:c r="H740" s="216" t="str">
        <x:f>IF(G740&lt;='排名定義'!$B$5,"是","")</x:f>
        <x:v>是</x:v>
      </x:c>
      <x:c r="I740" s="216" t="n">
        <x:v>725</x:v>
      </x:c>
      <x:c r="J740" s="216" t="str">
        <x:f>IF(I740&lt;='排名定義'!$B$5,"是","")</x:f>
        <x:v>是</x:v>
      </x:c>
      <x:c r="K740" s="216" t="n">
        <x:v>855</x:v>
      </x:c>
      <x:c r="L740" s="216" t="str">
        <x:f>IF(K740&lt;='排名定義'!$B$5,"是","")</x:f>
        <x:v>是</x:v>
      </x:c>
      <x:c r="M740" s="216" t="n">
        <x:f>COUNTIF(H740:L740,"是")</x:f>
        <x:v>3</x:v>
      </x:c>
      <x:c r="N740" s="216" t="str">
        <x:v>三份皆未入選</x:v>
      </x:c>
      <x:c r="O740" s="221" t="n">
        <x:v>49.891666666666666</x:v>
      </x:c>
      <x:c r="P740" s="221" t="n">
        <x:v>46.05</x:v>
      </x:c>
      <x:c r="Q740" s="221" t="n">
        <x:v>3.841666666666667</x:v>
      </x:c>
      <x:c r="R740" s="221" t="n">
        <x:v>0.07700016702856188</x:v>
      </x:c>
      <x:c r="S740" s="221" t="n">
        <x:v>75.70967741935483</x:v>
      </x:c>
      <x:c r="T740" s="221" t="n">
        <x:v>72.19354838709677</x:v>
      </x:c>
      <x:c r="U740" s="221" t="n">
        <x:v>3.5161290322580645</x:v>
      </x:c>
      <x:c r="V740" s="219" t="n">
        <x:v>0.059907834101382486</x:v>
      </x:c>
      <x:c r="W740" s="216" t="n">
        <x:v>38</x:v>
      </x:c>
      <x:c r="X740" s="223" t="n">
        <x:v>4830</x:v>
      </x:c>
      <x:c r="Y740" s="216" t="n">
        <x:v>18</x:v>
      </x:c>
    </x:row>
    <x:row r="741">
      <x:c r="A741" s="217" t="n">
        <x:v>427</x:v>
      </x:c>
      <x:c r="B741" s="217" t="str">
        <x:v>新民街120巷</x:v>
      </x:c>
      <x:c r="C741" s="217" t="str">
        <x:v>淡水區</x:v>
      </x:c>
      <x:c r="D741" s="217" t="n">
        <x:v>15</x:v>
      </x:c>
      <x:c r="E741" s="217" t="n">
        <x:v>120</x:v>
      </x:c>
      <x:c r="F741" s="218" t="n">
        <x:v>0.9994791666666667</x:v>
      </x:c>
      <x:c r="G741" s="217" t="n">
        <x:v>737</x:v>
      </x:c>
      <x:c r="H741" s="217" t="str">
        <x:f>IF(G741&lt;='排名定義'!$B$5,"是","")</x:f>
        <x:v>是</x:v>
      </x:c>
      <x:c r="I741" s="217" t="n">
        <x:v>733</x:v>
      </x:c>
      <x:c r="J741" s="217" t="str">
        <x:f>IF(I741&lt;='排名定義'!$B$5,"是","")</x:f>
        <x:v>是</x:v>
      </x:c>
      <x:c r="K741" s="217" t="n">
        <x:v>679</x:v>
      </x:c>
      <x:c r="L741" s="217" t="str">
        <x:f>IF(K741&lt;='排名定義'!$B$5,"是","")</x:f>
        <x:v>是</x:v>
      </x:c>
      <x:c r="M741" s="217" t="n">
        <x:f>COUNTIF(H741:L741,"是")</x:f>
        <x:v>3</x:v>
      </x:c>
      <x:c r="N741" s="217" t="str">
        <x:v>三份皆未入選</x:v>
      </x:c>
      <x:c r="O741" s="220" t="n">
        <x:v>49.85</x:v>
      </x:c>
      <x:c r="P741" s="220" t="n">
        <x:v>45.483333333333334</x:v>
      </x:c>
      <x:c r="Q741" s="220" t="n">
        <x:v>4.366666666666666</x:v>
      </x:c>
      <x:c r="R741" s="220" t="n">
        <x:v>0.08759612169842862</x:v>
      </x:c>
      <x:c r="S741" s="220" t="n">
        <x:v>68.61290322580645</x:v>
      </x:c>
      <x:c r="T741" s="220" t="n">
        <x:v>65.87096774193549</x:v>
      </x:c>
      <x:c r="U741" s="220" t="n">
        <x:v>2.7419354838709675</x:v>
      </x:c>
      <x:c r="V741" s="218" t="n">
        <x:v>0.20967741935483872</x:v>
      </x:c>
      <x:c r="W741" s="217" t="n">
        <x:v>49</x:v>
      </x:c>
      <x:c r="X741" s="222" t="n">
        <x:v>7200</x:v>
      </x:c>
      <x:c r="Y741" s="217" t="n">
        <x:v>15</x:v>
      </x:c>
    </x:row>
    <x:row r="742">
      <x:c r="A742" s="216" t="n">
        <x:v>268</x:v>
      </x:c>
      <x:c r="B742" s="216" t="str">
        <x:v>台練橋</x:v>
      </x:c>
      <x:c r="C742" s="216" t="str">
        <x:v>汐止區</x:v>
      </x:c>
      <x:c r="D742" s="216" t="n">
        <x:v>14</x:v>
      </x:c>
      <x:c r="E742" s="216" t="n">
        <x:v>120</x:v>
      </x:c>
      <x:c r="F742" s="219" t="n">
        <x:v>0.9994791666666667</x:v>
      </x:c>
      <x:c r="G742" s="216" t="n">
        <x:v>738</x:v>
      </x:c>
      <x:c r="H742" s="216" t="str">
        <x:f>IF(G742&lt;='排名定義'!$B$5,"是","")</x:f>
        <x:v>是</x:v>
      </x:c>
      <x:c r="I742" s="216" t="n">
        <x:v>732</x:v>
      </x:c>
      <x:c r="J742" s="216" t="str">
        <x:f>IF(I742&lt;='排名定義'!$B$5,"是","")</x:f>
        <x:v>是</x:v>
      </x:c>
      <x:c r="K742" s="216" t="n">
        <x:v>738</x:v>
      </x:c>
      <x:c r="L742" s="216" t="str">
        <x:f>IF(K742&lt;='排名定義'!$B$5,"是","")</x:f>
        <x:v>是</x:v>
      </x:c>
      <x:c r="M742" s="216" t="n">
        <x:f>COUNTIF(H742:L742,"是")</x:f>
        <x:v>3</x:v>
      </x:c>
      <x:c r="N742" s="216" t="str">
        <x:v>三份皆未入選</x:v>
      </x:c>
      <x:c r="O742" s="221" t="n">
        <x:v>49.81666666666667</x:v>
      </x:c>
      <x:c r="P742" s="221" t="n">
        <x:v>45.625</x:v>
      </x:c>
      <x:c r="Q742" s="221" t="n">
        <x:v>4.191666666666666</x:v>
      </x:c>
      <x:c r="R742" s="221" t="n">
        <x:v>0.08414185346269655</x:v>
      </x:c>
      <x:c r="S742" s="221" t="n">
        <x:v>72.2258064516129</x:v>
      </x:c>
      <x:c r="T742" s="221" t="n">
        <x:v>66.74193548387096</x:v>
      </x:c>
      <x:c r="U742" s="221" t="n">
        <x:v>5.483870967741935</x:v>
      </x:c>
      <x:c r="V742" s="219" t="n">
        <x:v>0.10599078341013825</x:v>
      </x:c>
      <x:c r="W742" s="216" t="n">
        <x:v>18</x:v>
      </x:c>
      <x:c r="X742" s="223" t="n">
        <x:v>2850</x:v>
      </x:c>
      <x:c r="Y742" s="216" t="n">
        <x:v>14</x:v>
      </x:c>
    </x:row>
    <x:row r="743">
      <x:c r="A743" s="217" t="n">
        <x:v>1066</x:v>
      </x:c>
      <x:c r="B743" s="217" t="str">
        <x:v>立德公園</x:v>
      </x:c>
      <x:c r="C743" s="217" t="str">
        <x:v>林口區</x:v>
      </x:c>
      <x:c r="D743" s="217" t="n">
        <x:v>30</x:v>
      </x:c>
      <x:c r="E743" s="217" t="n">
        <x:v>120</x:v>
      </x:c>
      <x:c r="F743" s="218" t="n">
        <x:v>0.9994791666666667</x:v>
      </x:c>
      <x:c r="G743" s="217" t="n">
        <x:v>739</x:v>
      </x:c>
      <x:c r="H743" s="217" t="str">
        <x:f>IF(G743&lt;='排名定義'!$B$5,"是","")</x:f>
        <x:v>是</x:v>
      </x:c>
      <x:c r="I743" s="217" t="n">
        <x:v>741</x:v>
      </x:c>
      <x:c r="J743" s="217" t="str">
        <x:f>IF(I743&lt;='排名定義'!$B$5,"是","")</x:f>
        <x:v>是</x:v>
      </x:c>
      <x:c r="K743" s="217" t="n">
        <x:v>655</x:v>
      </x:c>
      <x:c r="L743" s="217" t="str">
        <x:f>IF(K743&lt;='排名定義'!$B$5,"是","")</x:f>
        <x:v>是</x:v>
      </x:c>
      <x:c r="M743" s="217" t="n">
        <x:f>COUNTIF(H743:L743,"是")</x:f>
        <x:v>3</x:v>
      </x:c>
      <x:c r="N743" s="217" t="str">
        <x:v>三份皆未入選</x:v>
      </x:c>
      <x:c r="O743" s="220" t="n">
        <x:v>49.61666666666667</x:v>
      </x:c>
      <x:c r="P743" s="220" t="n">
        <x:v>45.15833333333333</x:v>
      </x:c>
      <x:c r="Q743" s="220" t="n">
        <x:v>4.458333333333333</x:v>
      </x:c>
      <x:c r="R743" s="220" t="n">
        <x:v>0.0898555592878737</x:v>
      </x:c>
      <x:c r="S743" s="220" t="n">
        <x:v>76.93548387096774</x:v>
      </x:c>
      <x:c r="T743" s="220" t="n">
        <x:v>71.12903225806451</x:v>
      </x:c>
      <x:c r="U743" s="220" t="n">
        <x:v>5.806451612903226</x:v>
      </x:c>
      <x:c r="V743" s="218" t="n">
        <x:v>0.002304147465437788</x:v>
      </x:c>
      <x:c r="W743" s="217" t="n">
        <x:v>0</x:v>
      </x:c>
      <x:c r="X743" s="222" t="n">
        <x:v>210</x:v>
      </x:c>
      <x:c r="Y743" s="217" t="n">
        <x:v>42</x:v>
      </x:c>
    </x:row>
    <x:row r="744">
      <x:c r="A744" s="216" t="n">
        <x:v>1113</x:v>
      </x:c>
      <x:c r="B744" s="216" t="str">
        <x:v>山北公園</x:v>
      </x:c>
      <x:c r="C744" s="216" t="str">
        <x:v>中和區</x:v>
      </x:c>
      <x:c r="D744" s="216" t="n">
        <x:v>32</x:v>
      </x:c>
      <x:c r="E744" s="216" t="n">
        <x:v>120</x:v>
      </x:c>
      <x:c r="F744" s="219" t="n">
        <x:v>0.9994791666666667</x:v>
      </x:c>
      <x:c r="G744" s="216" t="n">
        <x:v>740</x:v>
      </x:c>
      <x:c r="H744" s="216" t="str">
        <x:f>IF(G744&lt;='排名定義'!$B$5,"是","")</x:f>
        <x:v>是</x:v>
      </x:c>
      <x:c r="I744" s="216" t="n">
        <x:v>765</x:v>
      </x:c>
      <x:c r="J744" s="216" t="str">
        <x:f>IF(I744&lt;='排名定義'!$B$5,"是","")</x:f>
        <x:v>是</x:v>
      </x:c>
      <x:c r="K744" s="216" t="n">
        <x:v>473</x:v>
      </x:c>
      <x:c r="L744" s="216" t="str">
        <x:f>IF(K744&lt;='排名定義'!$B$5,"是","")</x:f>
        <x:v>是</x:v>
      </x:c>
      <x:c r="M744" s="216" t="n">
        <x:f>COUNTIF(H744:L744,"是")</x:f>
        <x:v>3</x:v>
      </x:c>
      <x:c r="N744" s="216" t="str">
        <x:v>三份皆未入選</x:v>
      </x:c>
      <x:c r="O744" s="221" t="n">
        <x:v>49.59166666666667</x:v>
      </x:c>
      <x:c r="P744" s="221" t="n">
        <x:v>44.30833333333333</x:v>
      </x:c>
      <x:c r="Q744" s="221" t="n">
        <x:v>5.283333333333333</x:v>
      </x:c>
      <x:c r="R744" s="221" t="n">
        <x:v>0.10653671651823222</x:v>
      </x:c>
      <x:c r="S744" s="221" t="n">
        <x:v>75.90322580645162</x:v>
      </x:c>
      <x:c r="T744" s="221" t="n">
        <x:v>71.96774193548387</x:v>
      </x:c>
      <x:c r="U744" s="221" t="n">
        <x:v>3.935483870967742</x:v>
      </x:c>
      <x:c r="V744" s="219" t="n">
        <x:v>0.04377880184331797</x:v>
      </x:c>
      <x:c r="W744" s="216" t="n">
        <x:v>16</x:v>
      </x:c>
      <x:c r="X744" s="223" t="n">
        <x:v>1860</x:v>
      </x:c>
      <x:c r="Y744" s="216" t="n">
        <x:v>32</x:v>
      </x:c>
    </x:row>
    <x:row r="745">
      <x:c r="A745" s="217" t="n">
        <x:v>1461</x:v>
      </x:c>
      <x:c r="B745" s="217" t="str">
        <x:v>崑崙活力廣場</x:v>
      </x:c>
      <x:c r="C745" s="217" t="str">
        <x:v>板橋區</x:v>
      </x:c>
      <x:c r="D745" s="217" t="n">
        <x:v>52</x:v>
      </x:c>
      <x:c r="E745" s="217" t="n">
        <x:v>120</x:v>
      </x:c>
      <x:c r="F745" s="218" t="n">
        <x:v>0.9994791666666667</x:v>
      </x:c>
      <x:c r="G745" s="217" t="n">
        <x:v>741</x:v>
      </x:c>
      <x:c r="H745" s="217" t="str">
        <x:f>IF(G745&lt;='排名定義'!$B$5,"是","")</x:f>
        <x:v>是</x:v>
      </x:c>
      <x:c r="I745" s="217" t="n">
        <x:v>738</x:v>
      </x:c>
      <x:c r="J745" s="217" t="str">
        <x:f>IF(I745&lt;='排名定義'!$B$5,"是","")</x:f>
        <x:v>是</x:v>
      </x:c>
      <x:c r="K745" s="217" t="n">
        <x:v>722</x:v>
      </x:c>
      <x:c r="L745" s="217" t="str">
        <x:f>IF(K745&lt;='排名定義'!$B$5,"是","")</x:f>
        <x:v>是</x:v>
      </x:c>
      <x:c r="M745" s="217" t="n">
        <x:f>COUNTIF(H745:L745,"是")</x:f>
        <x:v>3</x:v>
      </x:c>
      <x:c r="N745" s="217" t="str">
        <x:v>三份皆未入選</x:v>
      </x:c>
      <x:c r="O745" s="220" t="n">
        <x:v>49.583333333333336</x:v>
      </x:c>
      <x:c r="P745" s="220" t="n">
        <x:v>45.333333333333336</x:v>
      </x:c>
      <x:c r="Q745" s="220" t="n">
        <x:v>4.25</x:v>
      </x:c>
      <x:c r="R745" s="220" t="n">
        <x:v>0.08571428571428572</x:v>
      </x:c>
      <x:c r="S745" s="220" t="n">
        <x:v>65.2258064516129</x:v>
      </x:c>
      <x:c r="T745" s="220" t="n">
        <x:v>61.354838709677416</x:v>
      </x:c>
      <x:c r="U745" s="220" t="n">
        <x:v>3.870967741935484</x:v>
      </x:c>
      <x:c r="V745" s="218" t="n">
        <x:v>0.2534562211981567</x:v>
      </x:c>
      <x:c r="W745" s="217" t="n">
        <x:v>3</x:v>
      </x:c>
      <x:c r="X745" s="222" t="n">
        <x:v>10230</x:v>
      </x:c>
      <x:c r="Y745" s="217" t="n">
        <x:v>52</x:v>
      </x:c>
    </x:row>
    <x:row r="746">
      <x:c r="A746" s="216" t="n">
        <x:v>1480</x:v>
      </x:c>
      <x:c r="B746" s="216" t="str">
        <x:v>金城裕民路口(中正國中)</x:v>
      </x:c>
      <x:c r="C746" s="216" t="str">
        <x:v>土城區</x:v>
      </x:c>
      <x:c r="D746" s="216" t="n">
        <x:v>54</x:v>
      </x:c>
      <x:c r="E746" s="216" t="n">
        <x:v>120</x:v>
      </x:c>
      <x:c r="F746" s="219" t="n">
        <x:v>0.9994791666666667</x:v>
      </x:c>
      <x:c r="G746" s="216" t="n">
        <x:v>742</x:v>
      </x:c>
      <x:c r="H746" s="216" t="str">
        <x:f>IF(G746&lt;='排名定義'!$B$5,"是","")</x:f>
        <x:v>是</x:v>
      </x:c>
      <x:c r="I746" s="216" t="n">
        <x:v>731</x:v>
      </x:c>
      <x:c r="J746" s="216" t="str">
        <x:f>IF(I746&lt;='排名定義'!$B$5,"是","")</x:f>
        <x:v>是</x:v>
      </x:c>
      <x:c r="K746" s="216" t="n">
        <x:v>823</x:v>
      </x:c>
      <x:c r="L746" s="216" t="str">
        <x:f>IF(K746&lt;='排名定義'!$B$5,"是","")</x:f>
        <x:v>是</x:v>
      </x:c>
      <x:c r="M746" s="216" t="n">
        <x:f>COUNTIF(H746:L746,"是")</x:f>
        <x:v>3</x:v>
      </x:c>
      <x:c r="N746" s="216" t="str">
        <x:v>三份皆未入選</x:v>
      </x:c>
      <x:c r="O746" s="221" t="n">
        <x:v>49.583333333333336</x:v>
      </x:c>
      <x:c r="P746" s="221" t="n">
        <x:v>45.641666666666666</x:v>
      </x:c>
      <x:c r="Q746" s="221" t="n">
        <x:v>3.941666666666667</x:v>
      </x:c>
      <x:c r="R746" s="221" t="n">
        <x:v>0.07949579831932774</x:v>
      </x:c>
      <x:c r="S746" s="221" t="n">
        <x:v>72.16129032258064</x:v>
      </x:c>
      <x:c r="T746" s="221" t="n">
        <x:v>67.70967741935483</x:v>
      </x:c>
      <x:c r="U746" s="221" t="n">
        <x:v>4.451612903225806</x:v>
      </x:c>
      <x:c r="V746" s="219" t="n">
        <x:v>0.09216589861751152</x:v>
      </x:c>
      <x:c r="W746" s="216" t="n">
        <x:v>22</x:v>
      </x:c>
      <x:c r="X746" s="223" t="n">
        <x:v>3120</x:v>
      </x:c>
      <x:c r="Y746" s="216" t="n">
        <x:v>51</x:v>
      </x:c>
    </x:row>
    <x:row r="747">
      <x:c r="A747" s="217" t="n">
        <x:v>1174</x:v>
      </x:c>
      <x:c r="B747" s="217" t="str">
        <x:v>仁化文新路口</x:v>
      </x:c>
      <x:c r="C747" s="217" t="str">
        <x:v>板橋區</x:v>
      </x:c>
      <x:c r="D747" s="217" t="n">
        <x:v>36</x:v>
      </x:c>
      <x:c r="E747" s="217" t="n">
        <x:v>120</x:v>
      </x:c>
      <x:c r="F747" s="218" t="n">
        <x:v>0.9994791666666667</x:v>
      </x:c>
      <x:c r="G747" s="217" t="n">
        <x:v>743</x:v>
      </x:c>
      <x:c r="H747" s="217" t="str">
        <x:f>IF(G747&lt;='排名定義'!$B$5,"是","")</x:f>
        <x:v>是</x:v>
      </x:c>
      <x:c r="I747" s="217" t="n">
        <x:v>753</x:v>
      </x:c>
      <x:c r="J747" s="217" t="str">
        <x:f>IF(I747&lt;='排名定義'!$B$5,"是","")</x:f>
        <x:v>是</x:v>
      </x:c>
      <x:c r="K747" s="217" t="n">
        <x:v>583</x:v>
      </x:c>
      <x:c r="L747" s="217" t="str">
        <x:f>IF(K747&lt;='排名定義'!$B$5,"是","")</x:f>
        <x:v>是</x:v>
      </x:c>
      <x:c r="M747" s="217" t="n">
        <x:f>COUNTIF(H747:L747,"是")</x:f>
        <x:v>3</x:v>
      </x:c>
      <x:c r="N747" s="217" t="str">
        <x:v>三份皆未入選</x:v>
      </x:c>
      <x:c r="O747" s="220" t="n">
        <x:v>49.49166666666667</x:v>
      </x:c>
      <x:c r="P747" s="220" t="n">
        <x:v>44.71666666666667</x:v>
      </x:c>
      <x:c r="Q747" s="220" t="n">
        <x:v>4.775</x:v>
      </x:c>
      <x:c r="R747" s="220" t="n">
        <x:v>0.09648088903855868</x:v>
      </x:c>
      <x:c r="S747" s="220" t="n">
        <x:v>67.61290322580645</x:v>
      </x:c>
      <x:c r="T747" s="220" t="n">
        <x:v>63.83870967741935</x:v>
      </x:c>
      <x:c r="U747" s="220" t="n">
        <x:v>3.774193548387097</x:v>
      </x:c>
      <x:c r="V747" s="218" t="n">
        <x:v>0.11981566820276497</x:v>
      </x:c>
      <x:c r="W747" s="217" t="n">
        <x:v>28</x:v>
      </x:c>
      <x:c r="X747" s="222" t="n">
        <x:v>3210</x:v>
      </x:c>
      <x:c r="Y747" s="217" t="n">
        <x:v>36</x:v>
      </x:c>
    </x:row>
    <x:row r="748">
      <x:c r="A748" s="216" t="n">
        <x:v>1062</x:v>
      </x:c>
      <x:c r="B748" s="216" t="str">
        <x:v>樟樹一山光路口</x:v>
      </x:c>
      <x:c r="C748" s="216" t="str">
        <x:v>汐止區</x:v>
      </x:c>
      <x:c r="D748" s="216" t="n">
        <x:v>30</x:v>
      </x:c>
      <x:c r="E748" s="216" t="n">
        <x:v>120</x:v>
      </x:c>
      <x:c r="F748" s="219" t="n">
        <x:v>0.9994791666666667</x:v>
      </x:c>
      <x:c r="G748" s="216" t="n">
        <x:v>744</x:v>
      </x:c>
      <x:c r="H748" s="216" t="str">
        <x:f>IF(G748&lt;='排名定義'!$B$5,"是","")</x:f>
        <x:v>是</x:v>
      </x:c>
      <x:c r="I748" s="216" t="n">
        <x:v>770</x:v>
      </x:c>
      <x:c r="J748" s="216" t="str">
        <x:f>IF(I748&lt;='排名定義'!$B$5,"是","")</x:f>
        <x:v>是</x:v>
      </x:c>
      <x:c r="K748" s="216" t="n">
        <x:v>462</x:v>
      </x:c>
      <x:c r="L748" s="216" t="str">
        <x:f>IF(K748&lt;='排名定義'!$B$5,"是","")</x:f>
        <x:v>是</x:v>
      </x:c>
      <x:c r="M748" s="216" t="n">
        <x:f>COUNTIF(H748:L748,"是")</x:f>
        <x:v>3</x:v>
      </x:c>
      <x:c r="N748" s="216" t="str">
        <x:v>三份皆未入選</x:v>
      </x:c>
      <x:c r="O748" s="221" t="n">
        <x:v>49.458333333333336</x:v>
      </x:c>
      <x:c r="P748" s="221" t="n">
        <x:v>44.141666666666666</x:v>
      </x:c>
      <x:c r="Q748" s="221" t="n">
        <x:v>5.316666666666666</x:v>
      </x:c>
      <x:c r="R748" s="221" t="n">
        <x:v>0.10749789385004212</x:v>
      </x:c>
      <x:c r="S748" s="221" t="n">
        <x:v>77.09677419354838</x:v>
      </x:c>
      <x:c r="T748" s="221" t="n">
        <x:v>72.80645161290323</x:v>
      </x:c>
      <x:c r="U748" s="221" t="n">
        <x:v>4.290322580645161</x:v>
      </x:c>
      <x:c r="V748" s="219" t="n">
        <x:v>0.01152073732718894</x:v>
      </x:c>
      <x:c r="W748" s="216" t="n">
        <x:v>4</x:v>
      </x:c>
      <x:c r="X748" s="223" t="n">
        <x:v>480</x:v>
      </x:c>
      <x:c r="Y748" s="216" t="n">
        <x:v>30</x:v>
      </x:c>
    </x:row>
    <x:row r="749">
      <x:c r="A749" s="217" t="n">
        <x:v>101</x:v>
      </x:c>
      <x:c r="B749" s="217" t="str">
        <x:v>中華電信學院</x:v>
      </x:c>
      <x:c r="C749" s="217" t="str">
        <x:v>板橋區</x:v>
      </x:c>
      <x:c r="D749" s="217" t="n">
        <x:v>9</x:v>
      </x:c>
      <x:c r="E749" s="217" t="n">
        <x:v>120</x:v>
      </x:c>
      <x:c r="F749" s="218" t="n">
        <x:v>0.9994791666666667</x:v>
      </x:c>
      <x:c r="G749" s="217" t="n">
        <x:v>745</x:v>
      </x:c>
      <x:c r="H749" s="217" t="str">
        <x:f>IF(G749&lt;='排名定義'!$B$5,"是","")</x:f>
        <x:v>是</x:v>
      </x:c>
      <x:c r="I749" s="217" t="n">
        <x:v>727</x:v>
      </x:c>
      <x:c r="J749" s="217" t="str">
        <x:f>IF(I749&lt;='排名定義'!$B$5,"是","")</x:f>
        <x:v>是</x:v>
      </x:c>
      <x:c r="K749" s="217" t="n">
        <x:v>987</x:v>
      </x:c>
      <x:c r="L749" s="217" t="str">
        <x:f>IF(K749&lt;='排名定義'!$B$5,"是","")</x:f>
        <x:v>是</x:v>
      </x:c>
      <x:c r="M749" s="217" t="n">
        <x:f>COUNTIF(H749:L749,"是")</x:f>
        <x:v>3</x:v>
      </x:c>
      <x:c r="N749" s="217" t="str">
        <x:v>三份皆未入選</x:v>
      </x:c>
      <x:c r="O749" s="220" t="n">
        <x:v>49.36666666666667</x:v>
      </x:c>
      <x:c r="P749" s="220" t="n">
        <x:v>45.9</x:v>
      </x:c>
      <x:c r="Q749" s="220" t="n">
        <x:v>3.466666666666667</x:v>
      </x:c>
      <x:c r="R749" s="220" t="n">
        <x:v>0.07022282241728561</x:v>
      </x:c>
      <x:c r="S749" s="220" t="n">
        <x:v>63.87096774193548</x:v>
      </x:c>
      <x:c r="T749" s="220" t="n">
        <x:v>59.96774193548387</x:v>
      </x:c>
      <x:c r="U749" s="220" t="n">
        <x:v>3.903225806451613</x:v>
      </x:c>
      <x:c r="V749" s="218" t="n">
        <x:v>0.2534562211981567</x:v>
      </x:c>
      <x:c r="W749" s="217" t="n">
        <x:v>59</x:v>
      </x:c>
      <x:c r="X749" s="222" t="n">
        <x:v>7440</x:v>
      </x:c>
      <x:c r="Y749" s="217" t="n">
        <x:v>9</x:v>
      </x:c>
    </x:row>
    <x:row r="750">
      <x:c r="A750" s="216" t="n">
        <x:v>920</x:v>
      </x:c>
      <x:c r="B750" s="216" t="str">
        <x:v>三多國小</x:v>
      </x:c>
      <x:c r="C750" s="216" t="str">
        <x:v>樹林區</x:v>
      </x:c>
      <x:c r="D750" s="216" t="n">
        <x:v>26</x:v>
      </x:c>
      <x:c r="E750" s="216" t="n">
        <x:v>120</x:v>
      </x:c>
      <x:c r="F750" s="219" t="n">
        <x:v>0.9994791666666667</x:v>
      </x:c>
      <x:c r="G750" s="216" t="n">
        <x:v>746</x:v>
      </x:c>
      <x:c r="H750" s="216" t="str">
        <x:f>IF(G750&lt;='排名定義'!$B$5,"是","")</x:f>
        <x:v>是</x:v>
      </x:c>
      <x:c r="I750" s="216" t="n">
        <x:v>748</x:v>
      </x:c>
      <x:c r="J750" s="216" t="str">
        <x:f>IF(I750&lt;='排名定義'!$B$5,"是","")</x:f>
        <x:v>是</x:v>
      </x:c>
      <x:c r="K750" s="216" t="n">
        <x:v>671</x:v>
      </x:c>
      <x:c r="L750" s="216" t="str">
        <x:f>IF(K750&lt;='排名定義'!$B$5,"是","")</x:f>
        <x:v>是</x:v>
      </x:c>
      <x:c r="M750" s="216" t="n">
        <x:f>COUNTIF(H750:L750,"是")</x:f>
        <x:v>3</x:v>
      </x:c>
      <x:c r="N750" s="216" t="str">
        <x:v>三份皆未入選</x:v>
      </x:c>
      <x:c r="O750" s="221" t="n">
        <x:v>49.333333333333336</x:v>
      </x:c>
      <x:c r="P750" s="221" t="n">
        <x:v>44.93333333333333</x:v>
      </x:c>
      <x:c r="Q750" s="221" t="n">
        <x:v>4.4</x:v>
      </x:c>
      <x:c r="R750" s="221" t="n">
        <x:v>0.0891891891891892</x:v>
      </x:c>
      <x:c r="S750" s="221" t="n">
        <x:v>65.2258064516129</x:v>
      </x:c>
      <x:c r="T750" s="221" t="n">
        <x:v>61.96774193548387</x:v>
      </x:c>
      <x:c r="U750" s="221" t="n">
        <x:v>3.2580645161290325</x:v>
      </x:c>
      <x:c r="V750" s="219" t="n">
        <x:v>0.06682027649769585</x:v>
      </x:c>
      <x:c r="W750" s="216" t="n">
        <x:v>13</x:v>
      </x:c>
      <x:c r="X750" s="223" t="n">
        <x:v>1500</x:v>
      </x:c>
      <x:c r="Y750" s="216" t="n">
        <x:v>26</x:v>
      </x:c>
    </x:row>
    <x:row r="751">
      <x:c r="A751" s="217" t="n">
        <x:v>888</x:v>
      </x:c>
      <x:c r="B751" s="217" t="str">
        <x:v>輕軌新市一路站</x:v>
      </x:c>
      <x:c r="C751" s="217" t="str">
        <x:v>淡水區</x:v>
      </x:c>
      <x:c r="D751" s="217" t="n">
        <x:v>25</x:v>
      </x:c>
      <x:c r="E751" s="217" t="n">
        <x:v>120</x:v>
      </x:c>
      <x:c r="F751" s="218" t="n">
        <x:v>0.9994791666666667</x:v>
      </x:c>
      <x:c r="G751" s="217" t="n">
        <x:v>747</x:v>
      </x:c>
      <x:c r="H751" s="217" t="str">
        <x:f>IF(G751&lt;='排名定義'!$B$5,"是","")</x:f>
        <x:v>是</x:v>
      </x:c>
      <x:c r="I751" s="217" t="n">
        <x:v>777</x:v>
      </x:c>
      <x:c r="J751" s="217" t="str">
        <x:f>IF(I751&lt;='排名定義'!$B$5,"是","")</x:f>
        <x:v>是</x:v>
      </x:c>
      <x:c r="K751" s="217" t="n">
        <x:v>445</x:v>
      </x:c>
      <x:c r="L751" s="217" t="str">
        <x:f>IF(K751&lt;='排名定義'!$B$5,"是","")</x:f>
        <x:v>是</x:v>
      </x:c>
      <x:c r="M751" s="217" t="n">
        <x:f>COUNTIF(H751:L751,"是")</x:f>
        <x:v>3</x:v>
      </x:c>
      <x:c r="N751" s="217" t="str">
        <x:v>三份皆未入選</x:v>
      </x:c>
      <x:c r="O751" s="220" t="n">
        <x:v>49.3</x:v>
      </x:c>
      <x:c r="P751" s="220" t="n">
        <x:v>43.875</x:v>
      </x:c>
      <x:c r="Q751" s="220" t="n">
        <x:v>5.425</x:v>
      </x:c>
      <x:c r="R751" s="220" t="n">
        <x:v>0.11004056795131846</x:v>
      </x:c>
      <x:c r="S751" s="220" t="n">
        <x:v>65.19354838709677</x:v>
      </x:c>
      <x:c r="T751" s="220" t="n">
        <x:v>60.54838709677419</x:v>
      </x:c>
      <x:c r="U751" s="220" t="n">
        <x:v>4.645161290322581</x:v>
      </x:c>
      <x:c r="V751" s="218" t="n">
        <x:v>0.1543778801843318</x:v>
      </x:c>
      <x:c r="W751" s="217" t="n">
        <x:v>36</x:v>
      </x:c>
      <x:c r="X751" s="222" t="n">
        <x:v>4290</x:v>
      </x:c>
      <x:c r="Y751" s="217" t="n">
        <x:v>25</x:v>
      </x:c>
    </x:row>
    <x:row r="752">
      <x:c r="A752" s="216" t="n">
        <x:v>238</x:v>
      </x:c>
      <x:c r="B752" s="216" t="str">
        <x:v>林口區停三停車場</x:v>
      </x:c>
      <x:c r="C752" s="216" t="str">
        <x:v>林口區</x:v>
      </x:c>
      <x:c r="D752" s="216" t="n">
        <x:v>13</x:v>
      </x:c>
      <x:c r="E752" s="216" t="n">
        <x:v>120</x:v>
      </x:c>
      <x:c r="F752" s="219" t="n">
        <x:v>0.9994791666666667</x:v>
      </x:c>
      <x:c r="G752" s="216" t="n">
        <x:v>748</x:v>
      </x:c>
      <x:c r="H752" s="216" t="str">
        <x:f>IF(G752&lt;='排名定義'!$B$5,"是","")</x:f>
        <x:v>是</x:v>
      </x:c>
      <x:c r="I752" s="216" t="n">
        <x:v>721</x:v>
      </x:c>
      <x:c r="J752" s="216" t="str">
        <x:f>IF(I752&lt;='排名定義'!$B$5,"是","")</x:f>
        <x:v>是</x:v>
      </x:c>
      <x:c r="K752" s="216" t="n">
        <x:v>1141</x:v>
      </x:c>
      <x:c r="L752" s="216" t="str">
        <x:f>IF(K752&lt;='排名定義'!$B$5,"是","")</x:f>
        <x:v>是</x:v>
      </x:c>
      <x:c r="M752" s="216" t="n">
        <x:f>COUNTIF(H752:L752,"是")</x:f>
        <x:v>3</x:v>
      </x:c>
      <x:c r="N752" s="216" t="str">
        <x:v>三份皆未入選</x:v>
      </x:c>
      <x:c r="O752" s="221" t="n">
        <x:v>49.291666666666664</x:v>
      </x:c>
      <x:c r="P752" s="221" t="n">
        <x:v>46.208333333333336</x:v>
      </x:c>
      <x:c r="Q752" s="221" t="n">
        <x:v>3.0833333333333335</x:v>
      </x:c>
      <x:c r="R752" s="221" t="n">
        <x:v>0.06255283178360102</x:v>
      </x:c>
      <x:c r="S752" s="221" t="n">
        <x:v>72.90322580645162</x:v>
      </x:c>
      <x:c r="T752" s="221" t="n">
        <x:v>68.96774193548387</x:v>
      </x:c>
      <x:c r="U752" s="221" t="n">
        <x:v>3.935483870967742</x:v>
      </x:c>
      <x:c r="V752" s="219" t="n">
        <x:v>0.07142857142857142</x:v>
      </x:c>
      <x:c r="W752" s="216" t="n">
        <x:v>13</x:v>
      </x:c>
      <x:c r="X752" s="223" t="n">
        <x:v>2250</x:v>
      </x:c>
      <x:c r="Y752" s="216" t="n">
        <x:v>13</x:v>
      </x:c>
    </x:row>
    <x:row r="753">
      <x:c r="A753" s="217" t="n">
        <x:v>549</x:v>
      </x:c>
      <x:c r="B753" s="217" t="str">
        <x:v>裕民路55巷</x:v>
      </x:c>
      <x:c r="C753" s="217" t="str">
        <x:v>土城區</x:v>
      </x:c>
      <x:c r="D753" s="217" t="n">
        <x:v>17</x:v>
      </x:c>
      <x:c r="E753" s="217" t="n">
        <x:v>120</x:v>
      </x:c>
      <x:c r="F753" s="218" t="n">
        <x:v>0.9994791666666667</x:v>
      </x:c>
      <x:c r="G753" s="217" t="n">
        <x:v>749</x:v>
      </x:c>
      <x:c r="H753" s="217" t="str">
        <x:f>IF(G753&lt;='排名定義'!$B$5,"是","")</x:f>
        <x:v>是</x:v>
      </x:c>
      <x:c r="I753" s="217" t="n">
        <x:v>750</x:v>
      </x:c>
      <x:c r="J753" s="217" t="str">
        <x:f>IF(I753&lt;='排名定義'!$B$5,"是","")</x:f>
        <x:v>是</x:v>
      </x:c>
      <x:c r="K753" s="217" t="n">
        <x:v>683</x:v>
      </x:c>
      <x:c r="L753" s="217" t="str">
        <x:f>IF(K753&lt;='排名定義'!$B$5,"是","")</x:f>
        <x:v>是</x:v>
      </x:c>
      <x:c r="M753" s="217" t="n">
        <x:f>COUNTIF(H753:L753,"是")</x:f>
        <x:v>3</x:v>
      </x:c>
      <x:c r="N753" s="217" t="str">
        <x:v>三份皆未入選</x:v>
      </x:c>
      <x:c r="O753" s="220" t="n">
        <x:v>49.166666666666664</x:v>
      </x:c>
      <x:c r="P753" s="220" t="n">
        <x:v>44.80833333333333</x:v>
      </x:c>
      <x:c r="Q753" s="220" t="n">
        <x:v>4.358333333333333</x:v>
      </x:c>
      <x:c r="R753" s="220" t="n">
        <x:v>0.08864406779661017</x:v>
      </x:c>
      <x:c r="S753" s="220" t="n">
        <x:v>68.70967741935483</x:v>
      </x:c>
      <x:c r="T753" s="220" t="n">
        <x:v>64.93548387096774</x:v>
      </x:c>
      <x:c r="U753" s="220" t="n">
        <x:v>3.774193548387097</x:v>
      </x:c>
      <x:c r="V753" s="218" t="n">
        <x:v>0.1497695852534562</x:v>
      </x:c>
      <x:c r="W753" s="217" t="n">
        <x:v>25</x:v>
      </x:c>
      <x:c r="X753" s="222" t="n">
        <x:v>4350</x:v>
      </x:c>
      <x:c r="Y753" s="217" t="n">
        <x:v>17</x:v>
      </x:c>
    </x:row>
    <x:row r="754">
      <x:c r="A754" s="216" t="n">
        <x:v>940</x:v>
      </x:c>
      <x:c r="B754" s="216" t="str">
        <x:v>文化三路一段203號前</x:v>
      </x:c>
      <x:c r="C754" s="216" t="str">
        <x:v>林口區</x:v>
      </x:c>
      <x:c r="D754" s="216" t="n">
        <x:v>27</x:v>
      </x:c>
      <x:c r="E754" s="216" t="n">
        <x:v>120</x:v>
      </x:c>
      <x:c r="F754" s="219" t="n">
        <x:v>0.9994791666666667</x:v>
      </x:c>
      <x:c r="G754" s="216" t="n">
        <x:v>750</x:v>
      </x:c>
      <x:c r="H754" s="216" t="str">
        <x:f>IF(G754&lt;='排名定義'!$B$5,"是","")</x:f>
        <x:v>是</x:v>
      </x:c>
      <x:c r="I754" s="216" t="n">
        <x:v>745</x:v>
      </x:c>
      <x:c r="J754" s="216" t="str">
        <x:f>IF(I754&lt;='排名定義'!$B$5,"是","")</x:f>
        <x:v>是</x:v>
      </x:c>
      <x:c r="K754" s="216" t="n">
        <x:v>753</x:v>
      </x:c>
      <x:c r="L754" s="216" t="str">
        <x:f>IF(K754&lt;='排名定義'!$B$5,"是","")</x:f>
        <x:v>是</x:v>
      </x:c>
      <x:c r="M754" s="216" t="n">
        <x:f>COUNTIF(H754:L754,"是")</x:f>
        <x:v>3</x:v>
      </x:c>
      <x:c r="N754" s="216" t="str">
        <x:v>三份皆未入選</x:v>
      </x:c>
      <x:c r="O754" s="221" t="n">
        <x:v>49.15833333333333</x:v>
      </x:c>
      <x:c r="P754" s="221" t="n">
        <x:v>45.03333333333333</x:v>
      </x:c>
      <x:c r="Q754" s="221" t="n">
        <x:v>4.125</x:v>
      </x:c>
      <x:c r="R754" s="221" t="n">
        <x:v>0.08391252754704187</x:v>
      </x:c>
      <x:c r="S754" s="221" t="n">
        <x:v>78.93548387096774</x:v>
      </x:c>
      <x:c r="T754" s="221" t="n">
        <x:v>73.83870967741936</x:v>
      </x:c>
      <x:c r="U754" s="221" t="n">
        <x:v>5.096774193548387</x:v>
      </x:c>
      <x:c r="V754" s="219" t="n">
        <x:v>0.04377880184331797</x:v>
      </x:c>
      <x:c r="W754" s="216" t="n">
        <x:v>18</x:v>
      </x:c>
      <x:c r="X754" s="223" t="n">
        <x:v>1950</x:v>
      </x:c>
      <x:c r="Y754" s="216" t="n">
        <x:v>27</x:v>
      </x:c>
    </x:row>
    <x:row r="755">
      <x:c r="A755" s="217" t="n">
        <x:v>1286</x:v>
      </x:c>
      <x:c r="B755" s="217" t="str">
        <x:v>金城忠義路口</x:v>
      </x:c>
      <x:c r="C755" s="217" t="str">
        <x:v>土城區</x:v>
      </x:c>
      <x:c r="D755" s="217" t="n">
        <x:v>40</x:v>
      </x:c>
      <x:c r="E755" s="217" t="n">
        <x:v>120</x:v>
      </x:c>
      <x:c r="F755" s="218" t="n">
        <x:v>0.9994791666666667</x:v>
      </x:c>
      <x:c r="G755" s="217" t="n">
        <x:v>751</x:v>
      </x:c>
      <x:c r="H755" s="217" t="str">
        <x:f>IF(G755&lt;='排名定義'!$B$5,"是","")</x:f>
        <x:v>是</x:v>
      </x:c>
      <x:c r="I755" s="217" t="n">
        <x:v>755</x:v>
      </x:c>
      <x:c r="J755" s="217" t="str">
        <x:f>IF(I755&lt;='排名定義'!$B$5,"是","")</x:f>
        <x:v>是</x:v>
      </x:c>
      <x:c r="K755" s="217" t="n">
        <x:v>656</x:v>
      </x:c>
      <x:c r="L755" s="217" t="str">
        <x:f>IF(K755&lt;='排名定義'!$B$5,"是","")</x:f>
        <x:v>是</x:v>
      </x:c>
      <x:c r="M755" s="217" t="n">
        <x:f>COUNTIF(H755:L755,"是")</x:f>
        <x:v>3</x:v>
      </x:c>
      <x:c r="N755" s="217" t="str">
        <x:v>三份皆未入選</x:v>
      </x:c>
      <x:c r="O755" s="220" t="n">
        <x:v>49.1</x:v>
      </x:c>
      <x:c r="P755" s="220" t="n">
        <x:v>44.641666666666666</x:v>
      </x:c>
      <x:c r="Q755" s="220" t="n">
        <x:v>4.458333333333333</x:v>
      </x:c>
      <x:c r="R755" s="220" t="n">
        <x:v>0.09080108621860149</x:v>
      </x:c>
      <x:c r="S755" s="220" t="n">
        <x:v>77.09677419354838</x:v>
      </x:c>
      <x:c r="T755" s="220" t="n">
        <x:v>73.03225806451613</x:v>
      </x:c>
      <x:c r="U755" s="220" t="n">
        <x:v>4.064516129032258</x:v>
      </x:c>
      <x:c r="V755" s="218" t="n">
        <x:v>0.002304147465437788</x:v>
      </x:c>
      <x:c r="W755" s="217" t="n">
        <x:v>0</x:v>
      </x:c>
      <x:c r="X755" s="222" t="n">
        <x:v>30</x:v>
      </x:c>
      <x:c r="Y755" s="217" t="n">
        <x:v>40</x:v>
      </x:c>
    </x:row>
    <x:row r="756">
      <x:c r="A756" s="216" t="n">
        <x:v>821</x:v>
      </x:c>
      <x:c r="B756" s="216" t="str">
        <x:v>臺北大學公共事務大樓(法商大道)</x:v>
      </x:c>
      <x:c r="C756" s="216" t="str">
        <x:v>三峽區</x:v>
      </x:c>
      <x:c r="D756" s="216" t="n">
        <x:v>22</x:v>
      </x:c>
      <x:c r="E756" s="216" t="n">
        <x:v>120</x:v>
      </x:c>
      <x:c r="F756" s="219" t="n">
        <x:v>0.9994791666666667</x:v>
      </x:c>
      <x:c r="G756" s="216" t="n">
        <x:v>752</x:v>
      </x:c>
      <x:c r="H756" s="216" t="str">
        <x:f>IF(G756&lt;='排名定義'!$B$5,"是","")</x:f>
        <x:v>是</x:v>
      </x:c>
      <x:c r="I756" s="216" t="n">
        <x:v>764</x:v>
      </x:c>
      <x:c r="J756" s="216" t="str">
        <x:f>IF(I756&lt;='排名定義'!$B$5,"是","")</x:f>
        <x:v>是</x:v>
      </x:c>
      <x:c r="K756" s="216" t="n">
        <x:v>595</x:v>
      </x:c>
      <x:c r="L756" s="216" t="str">
        <x:f>IF(K756&lt;='排名定義'!$B$5,"是","")</x:f>
        <x:v>是</x:v>
      </x:c>
      <x:c r="M756" s="216" t="n">
        <x:f>COUNTIF(H756:L756,"是")</x:f>
        <x:v>3</x:v>
      </x:c>
      <x:c r="N756" s="216" t="str">
        <x:v>三份皆未入選</x:v>
      </x:c>
      <x:c r="O756" s="221" t="n">
        <x:v>49.09166666666667</x:v>
      </x:c>
      <x:c r="P756" s="221" t="n">
        <x:v>44.36666666666667</x:v>
      </x:c>
      <x:c r="Q756" s="221" t="n">
        <x:v>4.725</x:v>
      </x:c>
      <x:c r="R756" s="221" t="n">
        <x:v>0.09624851468341537</x:v>
      </x:c>
      <x:c r="S756" s="221" t="n">
        <x:v>100.09677419354838</x:v>
      </x:c>
      <x:c r="T756" s="221" t="n">
        <x:v>94.64516129032258</x:v>
      </x:c>
      <x:c r="U756" s="221" t="n">
        <x:v>5.451612903225806</x:v>
      </x:c>
      <x:c r="V756" s="219" t="n">
        <x:v>0.016129032258064516</x:v>
      </x:c>
      <x:c r="W756" s="216" t="n">
        <x:v>3</x:v>
      </x:c>
      <x:c r="X756" s="223" t="n">
        <x:v>630</x:v>
      </x:c>
      <x:c r="Y756" s="216" t="n">
        <x:v>44</x:v>
      </x:c>
    </x:row>
    <x:row r="757">
      <x:c r="A757" s="217" t="n">
        <x:v>972</x:v>
      </x:c>
      <x:c r="B757" s="217" t="str">
        <x:v>三重忠孝公園</x:v>
      </x:c>
      <x:c r="C757" s="217" t="str">
        <x:v>三重區</x:v>
      </x:c>
      <x:c r="D757" s="217" t="n">
        <x:v>28</x:v>
      </x:c>
      <x:c r="E757" s="217" t="n">
        <x:v>120</x:v>
      </x:c>
      <x:c r="F757" s="218" t="n">
        <x:v>0.9994791666666667</x:v>
      </x:c>
      <x:c r="G757" s="217" t="n">
        <x:v>753</x:v>
      </x:c>
      <x:c r="H757" s="217" t="str">
        <x:f>IF(G757&lt;='排名定義'!$B$5,"是","")</x:f>
        <x:v>是</x:v>
      </x:c>
      <x:c r="I757" s="217" t="n">
        <x:v>756</x:v>
      </x:c>
      <x:c r="J757" s="217" t="str">
        <x:f>IF(I757&lt;='排名定義'!$B$5,"是","")</x:f>
        <x:v>是</x:v>
      </x:c>
      <x:c r="K757" s="217" t="n">
        <x:v>652</x:v>
      </x:c>
      <x:c r="L757" s="217" t="str">
        <x:f>IF(K757&lt;='排名定義'!$B$5,"是","")</x:f>
        <x:v>是</x:v>
      </x:c>
      <x:c r="M757" s="217" t="n">
        <x:f>COUNTIF(H757:L757,"是")</x:f>
        <x:v>3</x:v>
      </x:c>
      <x:c r="N757" s="217" t="str">
        <x:v>三份皆未入選</x:v>
      </x:c>
      <x:c r="O757" s="220" t="n">
        <x:v>49.05833333333333</x:v>
      </x:c>
      <x:c r="P757" s="220" t="n">
        <x:v>44.59166666666667</x:v>
      </x:c>
      <x:c r="Q757" s="220" t="n">
        <x:v>4.466666666666667</x:v>
      </x:c>
      <x:c r="R757" s="220" t="n">
        <x:v>0.09104807202310175</x:v>
      </x:c>
      <x:c r="S757" s="220" t="n">
        <x:v>64.7741935483871</x:v>
      </x:c>
      <x:c r="T757" s="220" t="n">
        <x:v>60.064516129032256</x:v>
      </x:c>
      <x:c r="U757" s="220" t="n">
        <x:v>4.709677419354839</x:v>
      </x:c>
      <x:c r="V757" s="218" t="n">
        <x:v>0.07834101382488479</x:v>
      </x:c>
      <x:c r="W757" s="217" t="n">
        <x:v>13</x:v>
      </x:c>
      <x:c r="X757" s="222" t="n">
        <x:v>1590</x:v>
      </x:c>
      <x:c r="Y757" s="217" t="n">
        <x:v>28</x:v>
      </x:c>
    </x:row>
    <x:row r="758">
      <x:c r="A758" s="216" t="n">
        <x:v>1014</x:v>
      </x:c>
      <x:c r="B758" s="216" t="str">
        <x:v>華城橋（康寧街61巷）</x:v>
      </x:c>
      <x:c r="C758" s="216" t="str">
        <x:v>汐止區</x:v>
      </x:c>
      <x:c r="D758" s="216" t="n">
        <x:v>30</x:v>
      </x:c>
      <x:c r="E758" s="216" t="n">
        <x:v>120</x:v>
      </x:c>
      <x:c r="F758" s="219" t="n">
        <x:v>0.9994791666666667</x:v>
      </x:c>
      <x:c r="G758" s="216" t="n">
        <x:v>754</x:v>
      </x:c>
      <x:c r="H758" s="216" t="str">
        <x:f>IF(G758&lt;='排名定義'!$B$5,"是","")</x:f>
        <x:v>是</x:v>
      </x:c>
      <x:c r="I758" s="216" t="n">
        <x:v>758</x:v>
      </x:c>
      <x:c r="J758" s="216" t="str">
        <x:f>IF(I758&lt;='排名定義'!$B$5,"是","")</x:f>
        <x:v>是</x:v>
      </x:c>
      <x:c r="K758" s="216" t="n">
        <x:v>653</x:v>
      </x:c>
      <x:c r="L758" s="216" t="str">
        <x:f>IF(K758&lt;='排名定義'!$B$5,"是","")</x:f>
        <x:v>是</x:v>
      </x:c>
      <x:c r="M758" s="216" t="n">
        <x:f>COUNTIF(H758:L758,"是")</x:f>
        <x:v>3</x:v>
      </x:c>
      <x:c r="N758" s="216" t="str">
        <x:v>三份皆未入選</x:v>
      </x:c>
      <x:c r="O758" s="221" t="n">
        <x:v>49.00833333333333</x:v>
      </x:c>
      <x:c r="P758" s="221" t="n">
        <x:v>44.541666666666664</x:v>
      </x:c>
      <x:c r="Q758" s="221" t="n">
        <x:v>4.466666666666667</x:v>
      </x:c>
      <x:c r="R758" s="221" t="n">
        <x:v>0.09114096242135691</x:v>
      </x:c>
      <x:c r="S758" s="221" t="n">
        <x:v>68.06451612903226</x:v>
      </x:c>
      <x:c r="T758" s="221" t="n">
        <x:v>64.58064516129032</x:v>
      </x:c>
      <x:c r="U758" s="221" t="n">
        <x:v>3.4838709677419355</x:v>
      </x:c>
      <x:c r="V758" s="219" t="n">
        <x:v>0.03456221198156682</x:v>
      </x:c>
      <x:c r="W758" s="216" t="n">
        <x:v>10</x:v>
      </x:c>
      <x:c r="X758" s="223" t="n">
        <x:v>1200</x:v>
      </x:c>
      <x:c r="Y758" s="216" t="n">
        <x:v>30</x:v>
      </x:c>
    </x:row>
    <x:row r="759">
      <x:c r="A759" s="217" t="n">
        <x:v>1094</x:v>
      </x:c>
      <x:c r="B759" s="217" t="str">
        <x:v>南興公園</x:v>
      </x:c>
      <x:c r="C759" s="217" t="str">
        <x:v>汐止區</x:v>
      </x:c>
      <x:c r="D759" s="217" t="n">
        <x:v>32</x:v>
      </x:c>
      <x:c r="E759" s="217" t="n">
        <x:v>120</x:v>
      </x:c>
      <x:c r="F759" s="218" t="n">
        <x:v>0.9994791666666667</x:v>
      </x:c>
      <x:c r="G759" s="217" t="n">
        <x:v>755</x:v>
      </x:c>
      <x:c r="H759" s="217" t="str">
        <x:f>IF(G759&lt;='排名定義'!$B$5,"是","")</x:f>
        <x:v>是</x:v>
      </x:c>
      <x:c r="I759" s="217" t="n">
        <x:v>752</x:v>
      </x:c>
      <x:c r="J759" s="217" t="str">
        <x:f>IF(I759&lt;='排名定義'!$B$5,"是","")</x:f>
        <x:v>是</x:v>
      </x:c>
      <x:c r="K759" s="217" t="n">
        <x:v>713</x:v>
      </x:c>
      <x:c r="L759" s="217" t="str">
        <x:f>IF(K759&lt;='排名定義'!$B$5,"是","")</x:f>
        <x:v>是</x:v>
      </x:c>
      <x:c r="M759" s="217" t="n">
        <x:f>COUNTIF(H759:L759,"是")</x:f>
        <x:v>3</x:v>
      </x:c>
      <x:c r="N759" s="217" t="str">
        <x:v>三份皆未入選</x:v>
      </x:c>
      <x:c r="O759" s="220" t="n">
        <x:v>48.99166666666667</x:v>
      </x:c>
      <x:c r="P759" s="220" t="n">
        <x:v>44.725</x:v>
      </x:c>
      <x:c r="Q759" s="220" t="n">
        <x:v>4.266666666666667</x:v>
      </x:c>
      <x:c r="R759" s="220" t="n">
        <x:v>0.08708964109542439</x:v>
      </x:c>
      <x:c r="S759" s="220" t="n">
        <x:v>62.70967741935484</x:v>
      </x:c>
      <x:c r="T759" s="220" t="n">
        <x:v>60.16129032258065</x:v>
      </x:c>
      <x:c r="U759" s="220" t="n">
        <x:v>2.5483870967741935</x:v>
      </x:c>
      <x:c r="V759" s="218" t="n">
        <x:v>0.07603686635944701</x:v>
      </x:c>
      <x:c r="W759" s="217" t="n">
        <x:v>16</x:v>
      </x:c>
      <x:c r="X759" s="222" t="n">
        <x:v>2280</x:v>
      </x:c>
      <x:c r="Y759" s="217" t="n">
        <x:v>32</x:v>
      </x:c>
    </x:row>
    <x:row r="760">
      <x:c r="A760" s="216" t="n">
        <x:v>996</x:v>
      </x:c>
      <x:c r="B760" s="216" t="str">
        <x:v>金龍國小</x:v>
      </x:c>
      <x:c r="C760" s="216" t="str">
        <x:v>汐止區</x:v>
      </x:c>
      <x:c r="D760" s="216" t="n">
        <x:v>29</x:v>
      </x:c>
      <x:c r="E760" s="216" t="n">
        <x:v>120</x:v>
      </x:c>
      <x:c r="F760" s="219" t="n">
        <x:v>0.9994791666666667</x:v>
      </x:c>
      <x:c r="G760" s="216" t="n">
        <x:v>756</x:v>
      </x:c>
      <x:c r="H760" s="216" t="str">
        <x:f>IF(G760&lt;='排名定義'!$B$5,"是","")</x:f>
        <x:v>是</x:v>
      </x:c>
      <x:c r="I760" s="216" t="n">
        <x:v>760</x:v>
      </x:c>
      <x:c r="J760" s="216" t="str">
        <x:f>IF(I760&lt;='排名定義'!$B$5,"是","")</x:f>
        <x:v>是</x:v>
      </x:c>
      <x:c r="K760" s="216" t="n">
        <x:v>659</x:v>
      </x:c>
      <x:c r="L760" s="216" t="str">
        <x:f>IF(K760&lt;='排名定義'!$B$5,"是","")</x:f>
        <x:v>是</x:v>
      </x:c>
      <x:c r="M760" s="216" t="n">
        <x:f>COUNTIF(H760:L760,"是")</x:f>
        <x:v>3</x:v>
      </x:c>
      <x:c r="N760" s="216" t="str">
        <x:v>三份皆未入選</x:v>
      </x:c>
      <x:c r="O760" s="221" t="n">
        <x:v>48.94166666666667</x:v>
      </x:c>
      <x:c r="P760" s="221" t="n">
        <x:v>44.49166666666667</x:v>
      </x:c>
      <x:c r="Q760" s="221" t="n">
        <x:v>4.45</x:v>
      </x:c>
      <x:c r="R760" s="221" t="n">
        <x:v>0.09092457006640559</x:v>
      </x:c>
      <x:c r="S760" s="221" t="n">
        <x:v>71.93548387096774</x:v>
      </x:c>
      <x:c r="T760" s="221" t="n">
        <x:v>66.2258064516129</x:v>
      </x:c>
      <x:c r="U760" s="221" t="n">
        <x:v>5.709677419354839</x:v>
      </x:c>
      <x:c r="V760" s="219" t="n">
        <x:v>0.013824884792626729</x:v>
      </x:c>
      <x:c r="W760" s="216" t="n">
        <x:v>1</x:v>
      </x:c>
      <x:c r="X760" s="223" t="n">
        <x:v>270</x:v>
      </x:c>
      <x:c r="Y760" s="216" t="n">
        <x:v>29</x:v>
      </x:c>
    </x:row>
    <x:row r="761">
      <x:c r="A761" s="217" t="n">
        <x:v>317</x:v>
      </x:c>
      <x:c r="B761" s="217" t="str">
        <x:v>三重重陽公園</x:v>
      </x:c>
      <x:c r="C761" s="217" t="str">
        <x:v>三重區</x:v>
      </x:c>
      <x:c r="D761" s="217" t="n">
        <x:v>15</x:v>
      </x:c>
      <x:c r="E761" s="217" t="n">
        <x:v>120</x:v>
      </x:c>
      <x:c r="F761" s="218" t="n">
        <x:v>0.9994791666666667</x:v>
      </x:c>
      <x:c r="G761" s="217" t="n">
        <x:v>757</x:v>
      </x:c>
      <x:c r="H761" s="217" t="str">
        <x:f>IF(G761&lt;='排名定義'!$B$5,"是","")</x:f>
        <x:v>是</x:v>
      </x:c>
      <x:c r="I761" s="217" t="n">
        <x:v>739</x:v>
      </x:c>
      <x:c r="J761" s="217" t="str">
        <x:f>IF(I761&lt;='排名定義'!$B$5,"是","")</x:f>
        <x:v>是</x:v>
      </x:c>
      <x:c r="K761" s="217" t="n">
        <x:v>938</x:v>
      </x:c>
      <x:c r="L761" s="217" t="str">
        <x:f>IF(K761&lt;='排名定義'!$B$5,"是","")</x:f>
        <x:v>是</x:v>
      </x:c>
      <x:c r="M761" s="217" t="n">
        <x:f>COUNTIF(H761:L761,"是")</x:f>
        <x:v>3</x:v>
      </x:c>
      <x:c r="N761" s="217" t="str">
        <x:v>三份皆未入選</x:v>
      </x:c>
      <x:c r="O761" s="220" t="n">
        <x:v>48.90833333333333</x:v>
      </x:c>
      <x:c r="P761" s="220" t="n">
        <x:v>45.30833333333333</x:v>
      </x:c>
      <x:c r="Q761" s="220" t="n">
        <x:v>3.6</x:v>
      </x:c>
      <x:c r="R761" s="220" t="n">
        <x:v>0.07360708808996422</x:v>
      </x:c>
      <x:c r="S761" s="220" t="n">
        <x:v>69.3225806451613</x:v>
      </x:c>
      <x:c r="T761" s="220" t="n">
        <x:v>66.54838709677419</x:v>
      </x:c>
      <x:c r="U761" s="220" t="n">
        <x:v>2.774193548387097</x:v>
      </x:c>
      <x:c r="V761" s="218" t="n">
        <x:v>0.16589861751152074</x:v>
      </x:c>
      <x:c r="W761" s="217" t="n">
        <x:v>34</x:v>
      </x:c>
      <x:c r="X761" s="222" t="n">
        <x:v>4680</x:v>
      </x:c>
      <x:c r="Y761" s="217" t="n">
        <x:v>15</x:v>
      </x:c>
    </x:row>
    <x:row r="762">
      <x:c r="A762" s="216" t="n">
        <x:v>1020</x:v>
      </x:c>
      <x:c r="B762" s="216" t="str">
        <x:v>八里福朋喜來登酒店</x:v>
      </x:c>
      <x:c r="C762" s="216" t="str">
        <x:v>八里區</x:v>
      </x:c>
      <x:c r="D762" s="216" t="n">
        <x:v>30</x:v>
      </x:c>
      <x:c r="E762" s="216" t="n">
        <x:v>120</x:v>
      </x:c>
      <x:c r="F762" s="219" t="n">
        <x:v>0.9994791666666667</x:v>
      </x:c>
      <x:c r="G762" s="216" t="n">
        <x:v>758</x:v>
      </x:c>
      <x:c r="H762" s="216" t="str">
        <x:f>IF(G762&lt;='排名定義'!$B$5,"是","")</x:f>
        <x:v>是</x:v>
      </x:c>
      <x:c r="I762" s="216" t="n">
        <x:v>784</x:v>
      </x:c>
      <x:c r="J762" s="216" t="str">
        <x:f>IF(I762&lt;='排名定義'!$B$5,"是","")</x:f>
        <x:v>是</x:v>
      </x:c>
      <x:c r="K762" s="216" t="n">
        <x:v>452</x:v>
      </x:c>
      <x:c r="L762" s="216" t="str">
        <x:f>IF(K762&lt;='排名定義'!$B$5,"是","")</x:f>
        <x:v>是</x:v>
      </x:c>
      <x:c r="M762" s="216" t="n">
        <x:f>COUNTIF(H762:L762,"是")</x:f>
        <x:v>3</x:v>
      </x:c>
      <x:c r="N762" s="216" t="str">
        <x:v>三份皆未入選</x:v>
      </x:c>
      <x:c r="O762" s="221" t="n">
        <x:v>48.875</x:v>
      </x:c>
      <x:c r="P762" s="221" t="n">
        <x:v>43.46666666666667</x:v>
      </x:c>
      <x:c r="Q762" s="221" t="n">
        <x:v>5.408333333333333</x:v>
      </x:c>
      <x:c r="R762" s="221" t="n">
        <x:v>0.11065643648763854</x:v>
      </x:c>
      <x:c r="S762" s="221" t="n">
        <x:v>100.7741935483871</x:v>
      </x:c>
      <x:c r="T762" s="221" t="n">
        <x:v>94.80645161290323</x:v>
      </x:c>
      <x:c r="U762" s="221" t="n">
        <x:v>5.967741935483871</x:v>
      </x:c>
      <x:c r="V762" s="219" t="n">
        <x:v>0.020737327188940093</x:v>
      </x:c>
      <x:c r="W762" s="216" t="n">
        <x:v>6</x:v>
      </x:c>
      <x:c r="X762" s="223" t="n">
        <x:v>1380</x:v>
      </x:c>
      <x:c r="Y762" s="216" t="n">
        <x:v>30</x:v>
      </x:c>
    </x:row>
    <x:row r="763">
      <x:c r="A763" s="217" t="n">
        <x:v>786</x:v>
      </x:c>
      <x:c r="B763" s="217" t="str">
        <x:v>新民街一段(台北灣社區)</x:v>
      </x:c>
      <x:c r="C763" s="217" t="str">
        <x:v>淡水區</x:v>
      </x:c>
      <x:c r="D763" s="217" t="n">
        <x:v>21</x:v>
      </x:c>
      <x:c r="E763" s="217" t="n">
        <x:v>120</x:v>
      </x:c>
      <x:c r="F763" s="218" t="n">
        <x:v>0.9994791666666667</x:v>
      </x:c>
      <x:c r="G763" s="217" t="n">
        <x:v>759</x:v>
      </x:c>
      <x:c r="H763" s="217" t="str">
        <x:f>IF(G763&lt;='排名定義'!$B$5,"是","")</x:f>
        <x:v>是</x:v>
      </x:c>
      <x:c r="I763" s="217" t="n">
        <x:v>751</x:v>
      </x:c>
      <x:c r="J763" s="217" t="str">
        <x:f>IF(I763&lt;='排名定義'!$B$5,"是","")</x:f>
        <x:v>是</x:v>
      </x:c>
      <x:c r="K763" s="217" t="n">
        <x:v>776</x:v>
      </x:c>
      <x:c r="L763" s="217" t="str">
        <x:f>IF(K763&lt;='排名定義'!$B$5,"是","")</x:f>
        <x:v>是</x:v>
      </x:c>
      <x:c r="M763" s="217" t="n">
        <x:f>COUNTIF(H763:L763,"是")</x:f>
        <x:v>3</x:v>
      </x:c>
      <x:c r="N763" s="217" t="str">
        <x:v>三份皆未入選</x:v>
      </x:c>
      <x:c r="O763" s="220" t="n">
        <x:v>48.825</x:v>
      </x:c>
      <x:c r="P763" s="220" t="n">
        <x:v>44.75</x:v>
      </x:c>
      <x:c r="Q763" s="220" t="n">
        <x:v>4.075</x:v>
      </x:c>
      <x:c r="R763" s="220" t="n">
        <x:v>0.08346134152585766</x:v>
      </x:c>
      <x:c r="S763" s="220" t="n">
        <x:v>72.80645161290323</x:v>
      </x:c>
      <x:c r="T763" s="220" t="n">
        <x:v>69.16129032258064</x:v>
      </x:c>
      <x:c r="U763" s="220" t="n">
        <x:v>3.6451612903225805</x:v>
      </x:c>
      <x:c r="V763" s="218" t="n">
        <x:v>0.041474654377880185</x:v>
      </x:c>
      <x:c r="W763" s="217" t="n">
        <x:v>15</x:v>
      </x:c>
      <x:c r="X763" s="222" t="n">
        <x:v>2070</x:v>
      </x:c>
      <x:c r="Y763" s="217" t="n">
        <x:v>21</x:v>
      </x:c>
    </x:row>
    <x:row r="764">
      <x:c r="A764" s="216" t="n">
        <x:v>938</x:v>
      </x:c>
      <x:c r="B764" s="216" t="str">
        <x:v>安溪國小</x:v>
      </x:c>
      <x:c r="C764" s="216" t="str">
        <x:v>三峽區</x:v>
      </x:c>
      <x:c r="D764" s="216" t="n">
        <x:v>27</x:v>
      </x:c>
      <x:c r="E764" s="216" t="n">
        <x:v>120</x:v>
      </x:c>
      <x:c r="F764" s="219" t="n">
        <x:v>0.9994791666666667</x:v>
      </x:c>
      <x:c r="G764" s="216" t="n">
        <x:v>760</x:v>
      </x:c>
      <x:c r="H764" s="216" t="str">
        <x:f>IF(G764&lt;='排名定義'!$B$5,"是","")</x:f>
        <x:v>是</x:v>
      </x:c>
      <x:c r="I764" s="216" t="n">
        <x:v>759</x:v>
      </x:c>
      <x:c r="J764" s="216" t="str">
        <x:f>IF(I764&lt;='排名定義'!$B$5,"是","")</x:f>
        <x:v>是</x:v>
      </x:c>
      <x:c r="K764" s="216" t="n">
        <x:v>711</x:v>
      </x:c>
      <x:c r="L764" s="216" t="str">
        <x:f>IF(K764&lt;='排名定義'!$B$5,"是","")</x:f>
        <x:v>是</x:v>
      </x:c>
      <x:c r="M764" s="216" t="n">
        <x:f>COUNTIF(H764:L764,"是")</x:f>
        <x:v>3</x:v>
      </x:c>
      <x:c r="N764" s="216" t="str">
        <x:v>三份皆未入選</x:v>
      </x:c>
      <x:c r="O764" s="221" t="n">
        <x:v>48.80833333333333</x:v>
      </x:c>
      <x:c r="P764" s="221" t="n">
        <x:v>44.53333333333333</x:v>
      </x:c>
      <x:c r="Q764" s="221" t="n">
        <x:v>4.275</x:v>
      </x:c>
      <x:c r="R764" s="221" t="n">
        <x:v>0.0875875021341984</x:v>
      </x:c>
      <x:c r="S764" s="221" t="n">
        <x:v>79.3225806451613</x:v>
      </x:c>
      <x:c r="T764" s="221" t="n">
        <x:v>73.87096774193549</x:v>
      </x:c>
      <x:c r="U764" s="221" t="n">
        <x:v>5.451612903225806</x:v>
      </x:c>
      <x:c r="V764" s="219" t="n">
        <x:v>0.027649769585253458</x:v>
      </x:c>
      <x:c r="W764" s="216" t="n">
        <x:v>4</x:v>
      </x:c>
      <x:c r="X764" s="223" t="n">
        <x:v>570</x:v>
      </x:c>
      <x:c r="Y764" s="216" t="n">
        <x:v>28</x:v>
      </x:c>
    </x:row>
    <x:row r="765">
      <x:c r="A765" s="217" t="n">
        <x:v>1204</x:v>
      </x:c>
      <x:c r="B765" s="217" t="str">
        <x:v>頭前運動公園</x:v>
      </x:c>
      <x:c r="C765" s="217" t="str">
        <x:v>新莊區</x:v>
      </x:c>
      <x:c r="D765" s="217" t="n">
        <x:v>60</x:v>
      </x:c>
      <x:c r="E765" s="217" t="n">
        <x:v>120</x:v>
      </x:c>
      <x:c r="F765" s="218" t="n">
        <x:v>0.9994791666666667</x:v>
      </x:c>
      <x:c r="G765" s="217" t="n">
        <x:v>761</x:v>
      </x:c>
      <x:c r="H765" s="217" t="str">
        <x:f>IF(G765&lt;='排名定義'!$B$5,"是","")</x:f>
        <x:v>是</x:v>
      </x:c>
      <x:c r="I765" s="217" t="n">
        <x:v>743</x:v>
      </x:c>
      <x:c r="J765" s="217" t="str">
        <x:f>IF(I765&lt;='排名定義'!$B$5,"是","")</x:f>
        <x:v>是</x:v>
      </x:c>
      <x:c r="K765" s="217" t="n">
        <x:v>918</x:v>
      </x:c>
      <x:c r="L765" s="217" t="str">
        <x:f>IF(K765&lt;='排名定義'!$B$5,"是","")</x:f>
        <x:v>是</x:v>
      </x:c>
      <x:c r="M765" s="217" t="n">
        <x:f>COUNTIF(H765:L765,"是")</x:f>
        <x:v>3</x:v>
      </x:c>
      <x:c r="N765" s="217" t="str">
        <x:v>三份皆未入選</x:v>
      </x:c>
      <x:c r="O765" s="220" t="n">
        <x:v>48.766666666666666</x:v>
      </x:c>
      <x:c r="P765" s="220" t="n">
        <x:v>45.1</x:v>
      </x:c>
      <x:c r="Q765" s="220" t="n">
        <x:v>3.6666666666666665</x:v>
      </x:c>
      <x:c r="R765" s="220" t="n">
        <x:v>0.07518796992481203</x:v>
      </x:c>
      <x:c r="S765" s="220" t="n">
        <x:v>76.41935483870968</x:v>
      </x:c>
      <x:c r="T765" s="220" t="n">
        <x:v>72.29032258064517</x:v>
      </x:c>
      <x:c r="U765" s="220" t="n">
        <x:v>4.129032258064516</x:v>
      </x:c>
      <x:c r="V765" s="218" t="n">
        <x:v>0.07834101382488479</x:v>
      </x:c>
      <x:c r="W765" s="217" t="n">
        <x:v>17</x:v>
      </x:c>
      <x:c r="X765" s="222" t="n">
        <x:v>2280</x:v>
      </x:c>
      <x:c r="Y765" s="217" t="n">
        <x:v>60</x:v>
      </x:c>
    </x:row>
    <x:row r="766">
      <x:c r="A766" s="216" t="n">
        <x:v>640</x:v>
      </x:c>
      <x:c r="B766" s="216" t="str">
        <x:v>十四張歷史公園(北側)</x:v>
      </x:c>
      <x:c r="C766" s="216" t="str">
        <x:v>新店區</x:v>
      </x:c>
      <x:c r="D766" s="216" t="n">
        <x:v>24</x:v>
      </x:c>
      <x:c r="E766" s="216" t="n">
        <x:v>120</x:v>
      </x:c>
      <x:c r="F766" s="219" t="n">
        <x:v>0.9994791666666667</x:v>
      </x:c>
      <x:c r="G766" s="216" t="n">
        <x:v>762</x:v>
      </x:c>
      <x:c r="H766" s="216" t="str">
        <x:f>IF(G766&lt;='排名定義'!$B$5,"是","")</x:f>
        <x:v>是</x:v>
      </x:c>
      <x:c r="I766" s="216" t="n">
        <x:v>761</x:v>
      </x:c>
      <x:c r="J766" s="216" t="str">
        <x:f>IF(I766&lt;='排名定義'!$B$5,"是","")</x:f>
        <x:v>是</x:v>
      </x:c>
      <x:c r="K766" s="216" t="n">
        <x:v>707</x:v>
      </x:c>
      <x:c r="L766" s="216" t="str">
        <x:f>IF(K766&lt;='排名定義'!$B$5,"是","")</x:f>
        <x:v>是</x:v>
      </x:c>
      <x:c r="M766" s="216" t="n">
        <x:f>COUNTIF(H766:L766,"是")</x:f>
        <x:v>3</x:v>
      </x:c>
      <x:c r="N766" s="216" t="str">
        <x:v>三份皆未入選</x:v>
      </x:c>
      <x:c r="O766" s="221" t="n">
        <x:v>48.69166666666667</x:v>
      </x:c>
      <x:c r="P766" s="221" t="n">
        <x:v>44.40833333333333</x:v>
      </x:c>
      <x:c r="Q766" s="221" t="n">
        <x:v>4.283333333333333</x:v>
      </x:c>
      <x:c r="R766" s="221" t="n">
        <x:v>0.0879685093274003</x:v>
      </x:c>
      <x:c r="S766" s="221" t="n">
        <x:v>73.74193548387096</x:v>
      </x:c>
      <x:c r="T766" s="221" t="n">
        <x:v>69.83870967741936</x:v>
      </x:c>
      <x:c r="U766" s="221" t="n">
        <x:v>3.903225806451613</x:v>
      </x:c>
      <x:c r="V766" s="219" t="n">
        <x:v>0.08986175115207373</x:v>
      </x:c>
      <x:c r="W766" s="216" t="n">
        <x:v>17</x:v>
      </x:c>
      <x:c r="X766" s="223" t="n">
        <x:v>2580</x:v>
      </x:c>
      <x:c r="Y766" s="216" t="n">
        <x:v>24</x:v>
      </x:c>
    </x:row>
    <x:row r="767">
      <x:c r="A767" s="217" t="n">
        <x:v>274</x:v>
      </x:c>
      <x:c r="B767" s="217" t="str">
        <x:v>新鳳公園</x:v>
      </x:c>
      <x:c r="C767" s="217" t="str">
        <x:v>鶯歌區</x:v>
      </x:c>
      <x:c r="D767" s="217" t="n">
        <x:v>14</x:v>
      </x:c>
      <x:c r="E767" s="217" t="n">
        <x:v>120</x:v>
      </x:c>
      <x:c r="F767" s="218" t="n">
        <x:v>0.9994791666666667</x:v>
      </x:c>
      <x:c r="G767" s="217" t="n">
        <x:v>763</x:v>
      </x:c>
      <x:c r="H767" s="217" t="str">
        <x:f>IF(G767&lt;='排名定義'!$B$5,"是","")</x:f>
        <x:v>是</x:v>
      </x:c>
      <x:c r="I767" s="217" t="n">
        <x:v>742</x:v>
      </x:c>
      <x:c r="J767" s="217" t="str">
        <x:f>IF(I767&lt;='排名定義'!$B$5,"是","")</x:f>
        <x:v>是</x:v>
      </x:c>
      <x:c r="K767" s="217" t="n">
        <x:v>967</x:v>
      </x:c>
      <x:c r="L767" s="217" t="str">
        <x:f>IF(K767&lt;='排名定義'!$B$5,"是","")</x:f>
        <x:v>是</x:v>
      </x:c>
      <x:c r="M767" s="217" t="n">
        <x:f>COUNTIF(H767:L767,"是")</x:f>
        <x:v>3</x:v>
      </x:c>
      <x:c r="N767" s="217" t="str">
        <x:v>三份皆未入選</x:v>
      </x:c>
      <x:c r="O767" s="220" t="n">
        <x:v>48.641666666666666</x:v>
      </x:c>
      <x:c r="P767" s="220" t="n">
        <x:v>45.125</x:v>
      </x:c>
      <x:c r="Q767" s="220" t="n">
        <x:v>3.5166666666666666</x:v>
      </x:c>
      <x:c r="R767" s="220" t="n">
        <x:v>0.07229741305465136</x:v>
      </x:c>
      <x:c r="S767" s="220" t="n">
        <x:v>75.74193548387096</x:v>
      </x:c>
      <x:c r="T767" s="220" t="n">
        <x:v>72.03225806451613</x:v>
      </x:c>
      <x:c r="U767" s="220" t="n">
        <x:v>3.7096774193548385</x:v>
      </x:c>
      <x:c r="V767" s="218" t="n">
        <x:v>0.08064516129032258</x:v>
      </x:c>
      <x:c r="W767" s="217" t="n">
        <x:v>14</x:v>
      </x:c>
      <x:c r="X767" s="222" t="n">
        <x:v>2280</x:v>
      </x:c>
      <x:c r="Y767" s="217" t="n">
        <x:v>14</x:v>
      </x:c>
    </x:row>
    <x:row r="768">
      <x:c r="A768" s="216" t="n">
        <x:v>1057</x:v>
      </x:c>
      <x:c r="B768" s="216" t="str">
        <x:v>廣福公園</x:v>
      </x:c>
      <x:c r="C768" s="216" t="str">
        <x:v>板橋區</x:v>
      </x:c>
      <x:c r="D768" s="216" t="n">
        <x:v>30</x:v>
      </x:c>
      <x:c r="E768" s="216" t="n">
        <x:v>120</x:v>
      </x:c>
      <x:c r="F768" s="219" t="n">
        <x:v>0.9994791666666667</x:v>
      </x:c>
      <x:c r="G768" s="216" t="n">
        <x:v>764</x:v>
      </x:c>
      <x:c r="H768" s="216" t="str">
        <x:f>IF(G768&lt;='排名定義'!$B$5,"是","")</x:f>
        <x:v>是</x:v>
      </x:c>
      <x:c r="I768" s="216" t="n">
        <x:v>767</x:v>
      </x:c>
      <x:c r="J768" s="216" t="str">
        <x:f>IF(I768&lt;='排名定義'!$B$5,"是","")</x:f>
        <x:v>是</x:v>
      </x:c>
      <x:c r="K768" s="216" t="n">
        <x:v>691</x:v>
      </x:c>
      <x:c r="L768" s="216" t="str">
        <x:f>IF(K768&lt;='排名定義'!$B$5,"是","")</x:f>
        <x:v>是</x:v>
      </x:c>
      <x:c r="M768" s="216" t="n">
        <x:f>COUNTIF(H768:L768,"是")</x:f>
        <x:v>3</x:v>
      </x:c>
      <x:c r="N768" s="216" t="str">
        <x:v>三份皆未入選</x:v>
      </x:c>
      <x:c r="O768" s="221" t="n">
        <x:v>48.63333333333333</x:v>
      </x:c>
      <x:c r="P768" s="221" t="n">
        <x:v>44.291666666666664</x:v>
      </x:c>
      <x:c r="Q768" s="221" t="n">
        <x:v>4.341666666666667</x:v>
      </x:c>
      <x:c r="R768" s="221" t="n">
        <x:v>0.08927347498286498</x:v>
      </x:c>
      <x:c r="S768" s="221" t="n">
        <x:v>69.61290322580645</x:v>
      </x:c>
      <x:c r="T768" s="221" t="n">
        <x:v>65.87096774193549</x:v>
      </x:c>
      <x:c r="U768" s="221" t="n">
        <x:v>3.7419354838709675</x:v>
      </x:c>
      <x:c r="V768" s="219" t="n">
        <x:v>0.027649769585253458</x:v>
      </x:c>
      <x:c r="W768" s="216" t="n">
        <x:v>6</x:v>
      </x:c>
      <x:c r="X768" s="223" t="n">
        <x:v>1080</x:v>
      </x:c>
      <x:c r="Y768" s="216" t="n">
        <x:v>30</x:v>
      </x:c>
    </x:row>
    <x:row r="769">
      <x:c r="A769" s="217" t="n">
        <x:v>1028</x:v>
      </x:c>
      <x:c r="B769" s="217" t="str">
        <x:v>振義里公園</x:v>
      </x:c>
      <x:c r="C769" s="217" t="str">
        <x:v>板橋區</x:v>
      </x:c>
      <x:c r="D769" s="217" t="n">
        <x:v>30</x:v>
      </x:c>
      <x:c r="E769" s="217" t="n">
        <x:v>120</x:v>
      </x:c>
      <x:c r="F769" s="218" t="n">
        <x:v>0.9994791666666667</x:v>
      </x:c>
      <x:c r="G769" s="217" t="n">
        <x:v>765</x:v>
      </x:c>
      <x:c r="H769" s="217" t="str">
        <x:f>IF(G769&lt;='排名定義'!$B$5,"是","")</x:f>
        <x:v>是</x:v>
      </x:c>
      <x:c r="I769" s="217" t="n">
        <x:v>782</x:v>
      </x:c>
      <x:c r="J769" s="217" t="str">
        <x:f>IF(I769&lt;='排名定義'!$B$5,"是","")</x:f>
        <x:v>是</x:v>
      </x:c>
      <x:c r="K769" s="217" t="n">
        <x:v>520</x:v>
      </x:c>
      <x:c r="L769" s="217" t="str">
        <x:f>IF(K769&lt;='排名定義'!$B$5,"是","")</x:f>
        <x:v>是</x:v>
      </x:c>
      <x:c r="M769" s="217" t="n">
        <x:f>COUNTIF(H769:L769,"是")</x:f>
        <x:v>3</x:v>
      </x:c>
      <x:c r="N769" s="217" t="str">
        <x:v>三份皆未入選</x:v>
      </x:c>
      <x:c r="O769" s="220" t="n">
        <x:v>48.625</x:v>
      </x:c>
      <x:c r="P769" s="220" t="n">
        <x:v>43.55833333333333</x:v>
      </x:c>
      <x:c r="Q769" s="220" t="n">
        <x:v>5.066666666666666</x:v>
      </x:c>
      <x:c r="R769" s="220" t="n">
        <x:v>0.10419880034275922</x:v>
      </x:c>
      <x:c r="S769" s="220" t="n">
        <x:v>71.16129032258064</x:v>
      </x:c>
      <x:c r="T769" s="220" t="n">
        <x:v>67.51612903225806</x:v>
      </x:c>
      <x:c r="U769" s="220" t="n">
        <x:v>3.6451612903225805</x:v>
      </x:c>
      <x:c r="V769" s="218" t="n">
        <x:v>0.0944700460829493</x:v>
      </x:c>
      <x:c r="W769" s="217" t="n">
        <x:v>20</x:v>
      </x:c>
      <x:c r="X769" s="222" t="n">
        <x:v>2460</x:v>
      </x:c>
      <x:c r="Y769" s="217" t="n">
        <x:v>30</x:v>
      </x:c>
    </x:row>
    <x:row r="770">
      <x:c r="A770" s="216" t="n">
        <x:v>903</x:v>
      </x:c>
      <x:c r="B770" s="216" t="str">
        <x:v>井泉公園</x:v>
      </x:c>
      <x:c r="C770" s="216" t="str">
        <x:v>林口區</x:v>
      </x:c>
      <x:c r="D770" s="216" t="n">
        <x:v>25</x:v>
      </x:c>
      <x:c r="E770" s="216" t="n">
        <x:v>120</x:v>
      </x:c>
      <x:c r="F770" s="219" t="n">
        <x:v>0.9994791666666667</x:v>
      </x:c>
      <x:c r="G770" s="216" t="n">
        <x:v>766</x:v>
      </x:c>
      <x:c r="H770" s="216" t="str">
        <x:f>IF(G770&lt;='排名定義'!$B$5,"是","")</x:f>
        <x:v>是</x:v>
      </x:c>
      <x:c r="I770" s="216" t="n">
        <x:v>773</x:v>
      </x:c>
      <x:c r="J770" s="216" t="str">
        <x:f>IF(I770&lt;='排名定義'!$B$5,"是","")</x:f>
        <x:v>是</x:v>
      </x:c>
      <x:c r="K770" s="216" t="n">
        <x:v>637</x:v>
      </x:c>
      <x:c r="L770" s="216" t="str">
        <x:f>IF(K770&lt;='排名定義'!$B$5,"是","")</x:f>
        <x:v>是</x:v>
      </x:c>
      <x:c r="M770" s="216" t="n">
        <x:f>COUNTIF(H770:L770,"是")</x:f>
        <x:v>3</x:v>
      </x:c>
      <x:c r="N770" s="216" t="str">
        <x:v>三份皆未入選</x:v>
      </x:c>
      <x:c r="O770" s="221" t="n">
        <x:v>48.575</x:v>
      </x:c>
      <x:c r="P770" s="221" t="n">
        <x:v>44.05833333333333</x:v>
      </x:c>
      <x:c r="Q770" s="221" t="n">
        <x:v>4.516666666666667</x:v>
      </x:c>
      <x:c r="R770" s="221" t="n">
        <x:v>0.09298335906673529</x:v>
      </x:c>
      <x:c r="S770" s="221" t="n">
        <x:v>71.09677419354838</x:v>
      </x:c>
      <x:c r="T770" s="221" t="n">
        <x:v>66.74193548387096</x:v>
      </x:c>
      <x:c r="U770" s="221" t="n">
        <x:v>4.354838709677419</x:v>
      </x:c>
      <x:c r="V770" s="219" t="n">
        <x:v>0.020737327188940093</x:v>
      </x:c>
      <x:c r="W770" s="216" t="n">
        <x:v>2</x:v>
      </x:c>
      <x:c r="X770" s="223" t="n">
        <x:v>600</x:v>
      </x:c>
      <x:c r="Y770" s="216" t="n">
        <x:v>25</x:v>
      </x:c>
    </x:row>
    <x:row r="771">
      <x:c r="A771" s="217" t="n">
        <x:v>282</x:v>
      </x:c>
      <x:c r="B771" s="217" t="str">
        <x:v>玫瑰公園</x:v>
      </x:c>
      <x:c r="C771" s="217" t="str">
        <x:v>板橋區</x:v>
      </x:c>
      <x:c r="D771" s="217" t="n">
        <x:v>14</x:v>
      </x:c>
      <x:c r="E771" s="217" t="n">
        <x:v>120</x:v>
      </x:c>
      <x:c r="F771" s="218" t="n">
        <x:v>0.9994791666666667</x:v>
      </x:c>
      <x:c r="G771" s="217" t="n">
        <x:v>767</x:v>
      </x:c>
      <x:c r="H771" s="217" t="str">
        <x:f>IF(G771&lt;='排名定義'!$B$5,"是","")</x:f>
        <x:v>是</x:v>
      </x:c>
      <x:c r="I771" s="217" t="n">
        <x:v>740</x:v>
      </x:c>
      <x:c r="J771" s="217" t="str">
        <x:f>IF(I771&lt;='排名定義'!$B$5,"是","")</x:f>
        <x:v>是</x:v>
      </x:c>
      <x:c r="K771" s="217" t="n">
        <x:v>1067</x:v>
      </x:c>
      <x:c r="L771" s="217" t="str">
        <x:f>IF(K771&lt;='排名定義'!$B$5,"是","")</x:f>
        <x:v>是</x:v>
      </x:c>
      <x:c r="M771" s="217" t="n">
        <x:f>COUNTIF(H771:L771,"是")</x:f>
        <x:v>3</x:v>
      </x:c>
      <x:c r="N771" s="217" t="str">
        <x:v>三份皆未入選</x:v>
      </x:c>
      <x:c r="O771" s="220" t="n">
        <x:v>48.55833333333333</x:v>
      </x:c>
      <x:c r="P771" s="220" t="n">
        <x:v>45.25833333333333</x:v>
      </x:c>
      <x:c r="Q771" s="220" t="n">
        <x:v>3.3</x:v>
      </x:c>
      <x:c r="R771" s="220" t="n">
        <x:v>0.06795949888450317</x:v>
      </x:c>
      <x:c r="S771" s="220" t="n">
        <x:v>66.25806451612904</x:v>
      </x:c>
      <x:c r="T771" s="220" t="n">
        <x:v>62.67741935483871</x:v>
      </x:c>
      <x:c r="U771" s="220" t="n">
        <x:v>3.5806451612903225</x:v>
      </x:c>
      <x:c r="V771" s="218" t="n">
        <x:v>0.0967741935483871</x:v>
      </x:c>
      <x:c r="W771" s="217" t="n">
        <x:v>25</x:v>
      </x:c>
      <x:c r="X771" s="222" t="n">
        <x:v>3360</x:v>
      </x:c>
      <x:c r="Y771" s="217" t="n">
        <x:v>14</x:v>
      </x:c>
    </x:row>
    <x:row r="772">
      <x:c r="A772" s="216" t="n">
        <x:v>473</x:v>
      </x:c>
      <x:c r="B772" s="216" t="str">
        <x:v>介壽街/文化路一段188巷9弄口</x:v>
      </x:c>
      <x:c r="C772" s="216" t="str">
        <x:v>板橋區</x:v>
      </x:c>
      <x:c r="D772" s="216" t="n">
        <x:v>16</x:v>
      </x:c>
      <x:c r="E772" s="216" t="n">
        <x:v>120</x:v>
      </x:c>
      <x:c r="F772" s="219" t="n">
        <x:v>0.9994791666666667</x:v>
      </x:c>
      <x:c r="G772" s="216" t="n">
        <x:v>768</x:v>
      </x:c>
      <x:c r="H772" s="216" t="str">
        <x:f>IF(G772&lt;='排名定義'!$B$5,"是","")</x:f>
        <x:v>是</x:v>
      </x:c>
      <x:c r="I772" s="216" t="n">
        <x:v>747</x:v>
      </x:c>
      <x:c r="J772" s="216" t="str">
        <x:f>IF(I772&lt;='排名定義'!$B$5,"是","")</x:f>
        <x:v>是</x:v>
      </x:c>
      <x:c r="K772" s="216" t="n">
        <x:v>952</x:v>
      </x:c>
      <x:c r="L772" s="216" t="str">
        <x:f>IF(K772&lt;='排名定義'!$B$5,"是","")</x:f>
        <x:v>是</x:v>
      </x:c>
      <x:c r="M772" s="216" t="n">
        <x:f>COUNTIF(H772:L772,"是")</x:f>
        <x:v>3</x:v>
      </x:c>
      <x:c r="N772" s="216" t="str">
        <x:v>三份皆未入選</x:v>
      </x:c>
      <x:c r="O772" s="221" t="n">
        <x:v>48.541666666666664</x:v>
      </x:c>
      <x:c r="P772" s="221" t="n">
        <x:v>44.975</x:v>
      </x:c>
      <x:c r="Q772" s="221" t="n">
        <x:v>3.566666666666667</x:v>
      </x:c>
      <x:c r="R772" s="221" t="n">
        <x:v>0.07347639484978541</x:v>
      </x:c>
      <x:c r="S772" s="221" t="n">
        <x:v>69.80645161290323</x:v>
      </x:c>
      <x:c r="T772" s="221" t="n">
        <x:v>66.58064516129032</x:v>
      </x:c>
      <x:c r="U772" s="221" t="n">
        <x:v>3.225806451612903</x:v>
      </x:c>
      <x:c r="V772" s="219" t="n">
        <x:v>0.14746543778801843</x:v>
      </x:c>
      <x:c r="W772" s="216" t="n">
        <x:v>27</x:v>
      </x:c>
      <x:c r="X772" s="223" t="n">
        <x:v>4830</x:v>
      </x:c>
      <x:c r="Y772" s="216" t="n">
        <x:v>16</x:v>
      </x:c>
    </x:row>
    <x:row r="773">
      <x:c r="A773" s="217" t="n">
        <x:v>210</x:v>
      </x:c>
      <x:c r="B773" s="217" t="str">
        <x:v>捷運永寧站(4號出口)</x:v>
      </x:c>
      <x:c r="C773" s="217" t="str">
        <x:v>土城區</x:v>
      </x:c>
      <x:c r="D773" s="217" t="n">
        <x:v>12</x:v>
      </x:c>
      <x:c r="E773" s="217" t="n">
        <x:v>120</x:v>
      </x:c>
      <x:c r="F773" s="218" t="n">
        <x:v>0.9994791666666667</x:v>
      </x:c>
      <x:c r="G773" s="217" t="n">
        <x:v>769</x:v>
      </x:c>
      <x:c r="H773" s="217" t="str">
        <x:f>IF(G773&lt;='排名定義'!$B$5,"是","")</x:f>
        <x:v>是</x:v>
      </x:c>
      <x:c r="I773" s="217" t="n">
        <x:v>757</x:v>
      </x:c>
      <x:c r="J773" s="217" t="str">
        <x:f>IF(I773&lt;='排名定義'!$B$5,"是","")</x:f>
        <x:v>是</x:v>
      </x:c>
      <x:c r="K773" s="217" t="n">
        <x:v>834</x:v>
      </x:c>
      <x:c r="L773" s="217" t="str">
        <x:f>IF(K773&lt;='排名定義'!$B$5,"是","")</x:f>
        <x:v>是</x:v>
      </x:c>
      <x:c r="M773" s="217" t="n">
        <x:f>COUNTIF(H773:L773,"是")</x:f>
        <x:v>3</x:v>
      </x:c>
      <x:c r="N773" s="217" t="str">
        <x:v>三份皆未入選</x:v>
      </x:c>
      <x:c r="O773" s="220" t="n">
        <x:v>48.45</x:v>
      </x:c>
      <x:c r="P773" s="220" t="n">
        <x:v>44.55</x:v>
      </x:c>
      <x:c r="Q773" s="220" t="n">
        <x:v>3.9</x:v>
      </x:c>
      <x:c r="R773" s="220" t="n">
        <x:v>0.0804953560371517</x:v>
      </x:c>
      <x:c r="S773" s="220" t="n">
        <x:v>64.93548387096774</x:v>
      </x:c>
      <x:c r="T773" s="220" t="n">
        <x:v>60.74193548387097</x:v>
      </x:c>
      <x:c r="U773" s="220" t="n">
        <x:v>4.193548387096774</x:v>
      </x:c>
      <x:c r="V773" s="218" t="n">
        <x:v>0.10368663594470046</x:v>
      </x:c>
      <x:c r="W773" s="217" t="n">
        <x:v>30</x:v>
      </x:c>
      <x:c r="X773" s="222" t="n">
        <x:v>4050</x:v>
      </x:c>
      <x:c r="Y773" s="217" t="n">
        <x:v>12</x:v>
      </x:c>
    </x:row>
    <x:row r="774">
      <x:c r="A774" s="216" t="n">
        <x:v>984</x:v>
      </x:c>
      <x:c r="B774" s="216" t="str">
        <x:v>豐年國小</x:v>
      </x:c>
      <x:c r="C774" s="216" t="str">
        <x:v>新莊區</x:v>
      </x:c>
      <x:c r="D774" s="216" t="n">
        <x:v>28</x:v>
      </x:c>
      <x:c r="E774" s="216" t="n">
        <x:v>120</x:v>
      </x:c>
      <x:c r="F774" s="219" t="n">
        <x:v>0.9994791666666667</x:v>
      </x:c>
      <x:c r="G774" s="216" t="n">
        <x:v>770</x:v>
      </x:c>
      <x:c r="H774" s="216" t="str">
        <x:f>IF(G774&lt;='排名定義'!$B$5,"是","")</x:f>
        <x:v>是</x:v>
      </x:c>
      <x:c r="I774" s="216" t="n">
        <x:v>775</x:v>
      </x:c>
      <x:c r="J774" s="216" t="str">
        <x:f>IF(I774&lt;='排名定義'!$B$5,"是","")</x:f>
        <x:v>是</x:v>
      </x:c>
      <x:c r="K774" s="216" t="n">
        <x:v>660</x:v>
      </x:c>
      <x:c r="L774" s="216" t="str">
        <x:f>IF(K774&lt;='排名定義'!$B$5,"是","")</x:f>
        <x:v>是</x:v>
      </x:c>
      <x:c r="M774" s="216" t="n">
        <x:f>COUNTIF(H774:L774,"是")</x:f>
        <x:v>3</x:v>
      </x:c>
      <x:c r="N774" s="216" t="str">
        <x:v>三份皆未入選</x:v>
      </x:c>
      <x:c r="O774" s="221" t="n">
        <x:v>48.43333333333333</x:v>
      </x:c>
      <x:c r="P774" s="221" t="n">
        <x:v>44</x:v>
      </x:c>
      <x:c r="Q774" s="221" t="n">
        <x:v>4.433333333333334</x:v>
      </x:c>
      <x:c r="R774" s="221" t="n">
        <x:v>0.09153475567790778</x:v>
      </x:c>
      <x:c r="S774" s="221" t="n">
        <x:v>68.6774193548387</x:v>
      </x:c>
      <x:c r="T774" s="221" t="n">
        <x:v>65.12903225806451</x:v>
      </x:c>
      <x:c r="U774" s="221" t="n">
        <x:v>3.5483870967741935</x:v>
      </x:c>
      <x:c r="V774" s="219" t="n">
        <x:v>0.03225806451612903</x:v>
      </x:c>
      <x:c r="W774" s="216" t="n">
        <x:v>4</x:v>
      </x:c>
      <x:c r="X774" s="223" t="n">
        <x:v>780</x:v>
      </x:c>
      <x:c r="Y774" s="216" t="n">
        <x:v>28</x:v>
      </x:c>
    </x:row>
    <x:row r="775">
      <x:c r="A775" s="217" t="n">
        <x:v>1194</x:v>
      </x:c>
      <x:c r="B775" s="217" t="str">
        <x:v>新和活動中心</x:v>
      </x:c>
      <x:c r="C775" s="217" t="str">
        <x:v>新店區</x:v>
      </x:c>
      <x:c r="D775" s="217" t="n">
        <x:v>37</x:v>
      </x:c>
      <x:c r="E775" s="217" t="n">
        <x:v>120</x:v>
      </x:c>
      <x:c r="F775" s="218" t="n">
        <x:v>0.9994791666666667</x:v>
      </x:c>
      <x:c r="G775" s="217" t="n">
        <x:v>771</x:v>
      </x:c>
      <x:c r="H775" s="217" t="str">
        <x:f>IF(G775&lt;='排名定義'!$B$5,"是","")</x:f>
        <x:v>是</x:v>
      </x:c>
      <x:c r="I775" s="217" t="n">
        <x:v>783</x:v>
      </x:c>
      <x:c r="J775" s="217" t="str">
        <x:f>IF(I775&lt;='排名定義'!$B$5,"是","")</x:f>
        <x:v>是</x:v>
      </x:c>
      <x:c r="K775" s="217" t="n">
        <x:v>566</x:v>
      </x:c>
      <x:c r="L775" s="217" t="str">
        <x:f>IF(K775&lt;='排名定義'!$B$5,"是","")</x:f>
        <x:v>是</x:v>
      </x:c>
      <x:c r="M775" s="217" t="n">
        <x:f>COUNTIF(H775:L775,"是")</x:f>
        <x:v>3</x:v>
      </x:c>
      <x:c r="N775" s="217" t="str">
        <x:v>三份皆未入選</x:v>
      </x:c>
      <x:c r="O775" s="220" t="n">
        <x:v>48.333333333333336</x:v>
      </x:c>
      <x:c r="P775" s="220" t="n">
        <x:v>43.49166666666667</x:v>
      </x:c>
      <x:c r="Q775" s="220" t="n">
        <x:v>4.841666666666667</x:v>
      </x:c>
      <x:c r="R775" s="220" t="n">
        <x:v>0.10017241379310345</x:v>
      </x:c>
      <x:c r="S775" s="220" t="n">
        <x:v>72.09677419354838</x:v>
      </x:c>
      <x:c r="T775" s="220" t="n">
        <x:v>67.61290322580645</x:v>
      </x:c>
      <x:c r="U775" s="220" t="n">
        <x:v>4.483870967741935</x:v>
      </x:c>
      <x:c r="V775" s="218" t="n">
        <x:v>0.009216589861751152</x:v>
      </x:c>
      <x:c r="W775" s="217" t="n">
        <x:v>2</x:v>
      </x:c>
      <x:c r="X775" s="222" t="n">
        <x:v>240</x:v>
      </x:c>
      <x:c r="Y775" s="217" t="n">
        <x:v>37</x:v>
      </x:c>
    </x:row>
    <x:row r="776">
      <x:c r="A776" s="216" t="n">
        <x:v>1114</x:v>
      </x:c>
      <x:c r="B776" s="216" t="str">
        <x:v>水漾成功一街口</x:v>
      </x:c>
      <x:c r="C776" s="216" t="str">
        <x:v>三重區</x:v>
      </x:c>
      <x:c r="D776" s="216" t="n">
        <x:v>32</x:v>
      </x:c>
      <x:c r="E776" s="216" t="n">
        <x:v>120</x:v>
      </x:c>
      <x:c r="F776" s="219" t="n">
        <x:v>0.9994791666666667</x:v>
      </x:c>
      <x:c r="G776" s="216" t="n">
        <x:v>772</x:v>
      </x:c>
      <x:c r="H776" s="216" t="str">
        <x:f>IF(G776&lt;='排名定義'!$B$5,"是","")</x:f>
        <x:v>是</x:v>
      </x:c>
      <x:c r="I776" s="216" t="n">
        <x:v>792</x:v>
      </x:c>
      <x:c r="J776" s="216" t="str">
        <x:f>IF(I776&lt;='排名定義'!$B$5,"是","")</x:f>
        <x:v>是</x:v>
      </x:c>
      <x:c r="K776" s="216" t="n">
        <x:v>551</x:v>
      </x:c>
      <x:c r="L776" s="216" t="str">
        <x:f>IF(K776&lt;='排名定義'!$B$5,"是","")</x:f>
        <x:v>是</x:v>
      </x:c>
      <x:c r="M776" s="216" t="n">
        <x:f>COUNTIF(H776:L776,"是")</x:f>
        <x:v>3</x:v>
      </x:c>
      <x:c r="N776" s="216" t="str">
        <x:v>三份皆未入選</x:v>
      </x:c>
      <x:c r="O776" s="221" t="n">
        <x:v>48.2</x:v>
      </x:c>
      <x:c r="P776" s="221" t="n">
        <x:v>43.291666666666664</x:v>
      </x:c>
      <x:c r="Q776" s="221" t="n">
        <x:v>4.908333333333333</x:v>
      </x:c>
      <x:c r="R776" s="221" t="n">
        <x:v>0.1018326417704011</x:v>
      </x:c>
      <x:c r="S776" s="221" t="n">
        <x:v>72.90322580645162</x:v>
      </x:c>
      <x:c r="T776" s="221" t="n">
        <x:v>69.3225806451613</x:v>
      </x:c>
      <x:c r="U776" s="221" t="n">
        <x:v>3.5806451612903225</x:v>
      </x:c>
      <x:c r="V776" s="219" t="n">
        <x:v>0.0944700460829493</x:v>
      </x:c>
      <x:c r="W776" s="216" t="n">
        <x:v>13</x:v>
      </x:c>
      <x:c r="X776" s="223" t="n">
        <x:v>1980</x:v>
      </x:c>
      <x:c r="Y776" s="216" t="n">
        <x:v>32</x:v>
      </x:c>
    </x:row>
    <x:row r="777">
      <x:c r="A777" s="217" t="n">
        <x:v>1130</x:v>
      </x:c>
      <x:c r="B777" s="217" t="str">
        <x:v>雍和科學園區</x:v>
      </x:c>
      <x:c r="C777" s="217" t="str">
        <x:v>汐止區</x:v>
      </x:c>
      <x:c r="D777" s="217" t="n">
        <x:v>33</x:v>
      </x:c>
      <x:c r="E777" s="217" t="n">
        <x:v>120</x:v>
      </x:c>
      <x:c r="F777" s="218" t="n">
        <x:v>0.9994791666666667</x:v>
      </x:c>
      <x:c r="G777" s="217" t="n">
        <x:v>773</x:v>
      </x:c>
      <x:c r="H777" s="217" t="str">
        <x:f>IF(G777&lt;='排名定義'!$B$5,"是","")</x:f>
        <x:v>是</x:v>
      </x:c>
      <x:c r="I777" s="217" t="n">
        <x:v>785</x:v>
      </x:c>
      <x:c r="J777" s="217" t="str">
        <x:f>IF(I777&lt;='排名定義'!$B$5,"是","")</x:f>
        <x:v>是</x:v>
      </x:c>
      <x:c r="K777" s="217" t="n">
        <x:v>611</x:v>
      </x:c>
      <x:c r="L777" s="217" t="str">
        <x:f>IF(K777&lt;='排名定義'!$B$5,"是","")</x:f>
        <x:v>是</x:v>
      </x:c>
      <x:c r="M777" s="217" t="n">
        <x:f>COUNTIF(H777:L777,"是")</x:f>
        <x:v>3</x:v>
      </x:c>
      <x:c r="N777" s="217" t="str">
        <x:v>三份皆未入選</x:v>
      </x:c>
      <x:c r="O777" s="220" t="n">
        <x:v>48.11666666666667</x:v>
      </x:c>
      <x:c r="P777" s="220" t="n">
        <x:v>43.458333333333336</x:v>
      </x:c>
      <x:c r="Q777" s="220" t="n">
        <x:v>4.658333333333333</x:v>
      </x:c>
      <x:c r="R777" s="220" t="n">
        <x:v>0.09681330100450294</x:v>
      </x:c>
      <x:c r="S777" s="220" t="n">
        <x:v>103.16129032258064</x:v>
      </x:c>
      <x:c r="T777" s="220" t="n">
        <x:v>97</x:v>
      </x:c>
      <x:c r="U777" s="220" t="n">
        <x:v>6.161290322580645</x:v>
      </x:c>
      <x:c r="V777" s="218" t="n">
        <x:v>0.055299539170506916</x:v>
      </x:c>
      <x:c r="W777" s="217" t="n">
        <x:v>11</x:v>
      </x:c>
      <x:c r="X777" s="222" t="n">
        <x:v>1860</x:v>
      </x:c>
      <x:c r="Y777" s="217" t="n">
        <x:v>33</x:v>
      </x:c>
    </x:row>
    <x:row r="778">
      <x:c r="A778" s="216" t="n">
        <x:v>572</x:v>
      </x:c>
      <x:c r="B778" s="216" t="str">
        <x:v>師大林口校區行政大樓</x:v>
      </x:c>
      <x:c r="C778" s="216" t="str">
        <x:v>林口區</x:v>
      </x:c>
      <x:c r="D778" s="216" t="n">
        <x:v>18</x:v>
      </x:c>
      <x:c r="E778" s="216" t="n">
        <x:v>120</x:v>
      </x:c>
      <x:c r="F778" s="219" t="n">
        <x:v>0.9994791666666667</x:v>
      </x:c>
      <x:c r="G778" s="216" t="n">
        <x:v>774</x:v>
      </x:c>
      <x:c r="H778" s="216" t="str">
        <x:f>IF(G778&lt;='排名定義'!$B$5,"是","")</x:f>
        <x:v>是</x:v>
      </x:c>
      <x:c r="I778" s="216" t="n">
        <x:v>776</x:v>
      </x:c>
      <x:c r="J778" s="216" t="str">
        <x:f>IF(I778&lt;='排名定義'!$B$5,"是","")</x:f>
        <x:v>是</x:v>
      </x:c>
      <x:c r="K778" s="216" t="n">
        <x:v>731</x:v>
      </x:c>
      <x:c r="L778" s="216" t="str">
        <x:f>IF(K778&lt;='排名定義'!$B$5,"是","")</x:f>
        <x:v>是</x:v>
      </x:c>
      <x:c r="M778" s="216" t="n">
        <x:f>COUNTIF(H778:L778,"是")</x:f>
        <x:v>3</x:v>
      </x:c>
      <x:c r="N778" s="216" t="str">
        <x:v>三份皆未入選</x:v>
      </x:c>
      <x:c r="O778" s="221" t="n">
        <x:v>48.09166666666667</x:v>
      </x:c>
      <x:c r="P778" s="221" t="n">
        <x:v>43.891666666666666</x:v>
      </x:c>
      <x:c r="Q778" s="221" t="n">
        <x:v>4.2</x:v>
      </x:c>
      <x:c r="R778" s="221" t="n">
        <x:v>0.08733321781320395</x:v>
      </x:c>
      <x:c r="S778" s="221" t="n">
        <x:v>65.35483870967742</x:v>
      </x:c>
      <x:c r="T778" s="221" t="n">
        <x:v>61.935483870967744</x:v>
      </x:c>
      <x:c r="U778" s="221" t="n">
        <x:v>3.4193548387096775</x:v>
      </x:c>
      <x:c r="V778" s="219" t="n">
        <x:v>0.16129032258064516</x:v>
      </x:c>
      <x:c r="W778" s="216" t="n">
        <x:v>29</x:v>
      </x:c>
      <x:c r="X778" s="223" t="n">
        <x:v>3840</x:v>
      </x:c>
      <x:c r="Y778" s="216" t="n">
        <x:v>18</x:v>
      </x:c>
    </x:row>
    <x:row r="779">
      <x:c r="A779" s="217" t="n">
        <x:v>987</x:v>
      </x:c>
      <x:c r="B779" s="217" t="str">
        <x:v>新市國小</x:v>
      </x:c>
      <x:c r="C779" s="217" t="str">
        <x:v>淡水區</x:v>
      </x:c>
      <x:c r="D779" s="217" t="n">
        <x:v>29</x:v>
      </x:c>
      <x:c r="E779" s="217" t="n">
        <x:v>120</x:v>
      </x:c>
      <x:c r="F779" s="218" t="n">
        <x:v>0.9994791666666667</x:v>
      </x:c>
      <x:c r="G779" s="217" t="n">
        <x:v>775</x:v>
      </x:c>
      <x:c r="H779" s="217" t="str">
        <x:f>IF(G779&lt;='排名定義'!$B$5,"是","")</x:f>
        <x:v>是</x:v>
      </x:c>
      <x:c r="I779" s="217" t="n">
        <x:v>781</x:v>
      </x:c>
      <x:c r="J779" s="217" t="str">
        <x:f>IF(I779&lt;='排名定義'!$B$5,"是","")</x:f>
        <x:v>是</x:v>
      </x:c>
      <x:c r="K779" s="217" t="n">
        <x:v>661</x:v>
      </x:c>
      <x:c r="L779" s="217" t="str">
        <x:f>IF(K779&lt;='排名定義'!$B$5,"是","")</x:f>
        <x:v>是</x:v>
      </x:c>
      <x:c r="M779" s="217" t="n">
        <x:f>COUNTIF(H779:L779,"是")</x:f>
        <x:v>3</x:v>
      </x:c>
      <x:c r="N779" s="217" t="str">
        <x:v>三份皆未入選</x:v>
      </x:c>
      <x:c r="O779" s="220" t="n">
        <x:v>48.016666666666666</x:v>
      </x:c>
      <x:c r="P779" s="220" t="n">
        <x:v>43.583333333333336</x:v>
      </x:c>
      <x:c r="Q779" s="220" t="n">
        <x:v>4.433333333333334</x:v>
      </x:c>
      <x:c r="R779" s="220" t="n">
        <x:v>0.09232905241235682</x:v>
      </x:c>
      <x:c r="S779" s="220" t="n">
        <x:v>71.38709677419355</x:v>
      </x:c>
      <x:c r="T779" s="220" t="n">
        <x:v>66.80645161290323</x:v>
      </x:c>
      <x:c r="U779" s="220" t="n">
        <x:v>4.580645161290323</x:v>
      </x:c>
      <x:c r="V779" s="218" t="n">
        <x:v>0.07373271889400922</x:v>
      </x:c>
      <x:c r="W779" s="217" t="n">
        <x:v>12</x:v>
      </x:c>
      <x:c r="X779" s="222" t="n">
        <x:v>1590</x:v>
      </x:c>
      <x:c r="Y779" s="217" t="n">
        <x:v>29</x:v>
      </x:c>
    </x:row>
    <x:row r="780">
      <x:c r="A780" s="216" t="n">
        <x:v>1072</x:v>
      </x:c>
      <x:c r="B780" s="216" t="str">
        <x:v>鴨母港抽水站</x:v>
      </x:c>
      <x:c r="C780" s="216" t="str">
        <x:v>蘆洲區</x:v>
      </x:c>
      <x:c r="D780" s="216" t="n">
        <x:v>30</x:v>
      </x:c>
      <x:c r="E780" s="216" t="n">
        <x:v>120</x:v>
      </x:c>
      <x:c r="F780" s="219" t="n">
        <x:v>0.9994791666666667</x:v>
      </x:c>
      <x:c r="G780" s="216" t="n">
        <x:v>776</x:v>
      </x:c>
      <x:c r="H780" s="216" t="str">
        <x:f>IF(G780&lt;='排名定義'!$B$5,"是","")</x:f>
        <x:v>是</x:v>
      </x:c>
      <x:c r="I780" s="216" t="n">
        <x:v>768</x:v>
      </x:c>
      <x:c r="J780" s="216" t="str">
        <x:f>IF(I780&lt;='排名定義'!$B$5,"是","")</x:f>
        <x:v>是</x:v>
      </x:c>
      <x:c r="K780" s="216" t="n">
        <x:v>871</x:v>
      </x:c>
      <x:c r="L780" s="216" t="str">
        <x:f>IF(K780&lt;='排名定義'!$B$5,"是","")</x:f>
        <x:v>是</x:v>
      </x:c>
      <x:c r="M780" s="216" t="n">
        <x:f>COUNTIF(H780:L780,"是")</x:f>
        <x:v>3</x:v>
      </x:c>
      <x:c r="N780" s="216" t="str">
        <x:v>三份皆未入選</x:v>
      </x:c>
      <x:c r="O780" s="221" t="n">
        <x:v>48.016666666666666</x:v>
      </x:c>
      <x:c r="P780" s="221" t="n">
        <x:v>44.208333333333336</x:v>
      </x:c>
      <x:c r="Q780" s="221" t="n">
        <x:v>3.808333333333333</x:v>
      </x:c>
      <x:c r="R780" s="221" t="n">
        <x:v>0.0793127386324193</x:v>
      </x:c>
      <x:c r="S780" s="221" t="n">
        <x:v>67.35483870967742</x:v>
      </x:c>
      <x:c r="T780" s="221" t="n">
        <x:v>62.54838709677419</x:v>
      </x:c>
      <x:c r="U780" s="221" t="n">
        <x:v>4.806451612903226</x:v>
      </x:c>
      <x:c r="V780" s="219" t="n">
        <x:v>0</x:v>
      </x:c>
      <x:c r="W780" s="216" t="n">
        <x:v>0</x:v>
      </x:c>
      <x:c r="X780" s="223" t="n">
        <x:v>0</x:v>
      </x:c>
      <x:c r="Y780" s="216" t="n">
        <x:v>30</x:v>
      </x:c>
    </x:row>
    <x:row r="781">
      <x:c r="A781" s="217" t="n">
        <x:v>847</x:v>
      </x:c>
      <x:c r="B781" s="217" t="str">
        <x:v>中央路三段281巷</x:v>
      </x:c>
      <x:c r="C781" s="217" t="str">
        <x:v>土城區</x:v>
      </x:c>
      <x:c r="D781" s="217" t="n">
        <x:v>24</x:v>
      </x:c>
      <x:c r="E781" s="217" t="n">
        <x:v>120</x:v>
      </x:c>
      <x:c r="F781" s="218" t="n">
        <x:v>0.9994791666666667</x:v>
      </x:c>
      <x:c r="G781" s="217" t="n">
        <x:v>777</x:v>
      </x:c>
      <x:c r="H781" s="217" t="str">
        <x:f>IF(G781&lt;='排名定義'!$B$5,"是","")</x:f>
        <x:v>是</x:v>
      </x:c>
      <x:c r="I781" s="217" t="n">
        <x:v>779</x:v>
      </x:c>
      <x:c r="J781" s="217" t="str">
        <x:f>IF(I781&lt;='排名定義'!$B$5,"是","")</x:f>
        <x:v>是</x:v>
      </x:c>
      <x:c r="K781" s="217" t="n">
        <x:v>710</x:v>
      </x:c>
      <x:c r="L781" s="217" t="str">
        <x:f>IF(K781&lt;='排名定義'!$B$5,"是","")</x:f>
        <x:v>是</x:v>
      </x:c>
      <x:c r="M781" s="217" t="n">
        <x:f>COUNTIF(H781:L781,"是")</x:f>
        <x:v>3</x:v>
      </x:c>
      <x:c r="N781" s="217" t="str">
        <x:v>三份皆未入選</x:v>
      </x:c>
      <x:c r="O781" s="220" t="n">
        <x:v>47.983333333333334</x:v>
      </x:c>
      <x:c r="P781" s="220" t="n">
        <x:v>43.708333333333336</x:v>
      </x:c>
      <x:c r="Q781" s="220" t="n">
        <x:v>4.275</x:v>
      </x:c>
      <x:c r="R781" s="220" t="n">
        <x:v>0.08909343522056269</x:v>
      </x:c>
      <x:c r="S781" s="220" t="n">
        <x:v>66.93548387096774</x:v>
      </x:c>
      <x:c r="T781" s="220" t="n">
        <x:v>63.903225806451616</x:v>
      </x:c>
      <x:c r="U781" s="220" t="n">
        <x:v>3.032258064516129</x:v>
      </x:c>
      <x:c r="V781" s="218" t="n">
        <x:v>0.11059907834101383</x:v>
      </x:c>
      <x:c r="W781" s="217" t="n">
        <x:v>21</x:v>
      </x:c>
      <x:c r="X781" s="222" t="n">
        <x:v>2670</x:v>
      </x:c>
      <x:c r="Y781" s="217" t="n">
        <x:v>24</x:v>
      </x:c>
    </x:row>
    <x:row r="782">
      <x:c r="A782" s="216" t="n">
        <x:v>193</x:v>
      </x:c>
      <x:c r="B782" s="216" t="str">
        <x:v>永貞水源街口</x:v>
      </x:c>
      <x:c r="C782" s="216" t="str">
        <x:v>永和區</x:v>
      </x:c>
      <x:c r="D782" s="216" t="n">
        <x:v>12</x:v>
      </x:c>
      <x:c r="E782" s="216" t="n">
        <x:v>120</x:v>
      </x:c>
      <x:c r="F782" s="219" t="n">
        <x:v>0.9994791666666667</x:v>
      </x:c>
      <x:c r="G782" s="216" t="n">
        <x:v>778</x:v>
      </x:c>
      <x:c r="H782" s="216" t="str">
        <x:f>IF(G782&lt;='排名定義'!$B$5,"是","")</x:f>
        <x:v>是</x:v>
      </x:c>
      <x:c r="I782" s="216" t="n">
        <x:v>736</x:v>
      </x:c>
      <x:c r="J782" s="216" t="str">
        <x:f>IF(I782&lt;='排名定義'!$B$5,"是","")</x:f>
        <x:v>是</x:v>
      </x:c>
      <x:c r="K782" s="216" t="n">
        <x:v>1291</x:v>
      </x:c>
      <x:c r="L782" s="216" t="str">
        <x:f>IF(K782&lt;='排名定義'!$B$5,"是","")</x:f>
        <x:v>是</x:v>
      </x:c>
      <x:c r="M782" s="216" t="n">
        <x:f>COUNTIF(H782:L782,"是")</x:f>
        <x:v>3</x:v>
      </x:c>
      <x:c r="N782" s="216" t="str">
        <x:v>三份皆未入選</x:v>
      </x:c>
      <x:c r="O782" s="221" t="n">
        <x:v>47.916666666666664</x:v>
      </x:c>
      <x:c r="P782" s="221" t="n">
        <x:v>45.391666666666666</x:v>
      </x:c>
      <x:c r="Q782" s="221" t="n">
        <x:v>2.525</x:v>
      </x:c>
      <x:c r="R782" s="221" t="n">
        <x:v>0.052695652173913046</x:v>
      </x:c>
      <x:c r="S782" s="221" t="n">
        <x:v>67.80645161290323</x:v>
      </x:c>
      <x:c r="T782" s="221" t="n">
        <x:v>65.06451612903226</x:v>
      </x:c>
      <x:c r="U782" s="221" t="n">
        <x:v>2.7419354838709675</x:v>
      </x:c>
      <x:c r="V782" s="219" t="n">
        <x:v>0.08064516129032258</x:v>
      </x:c>
      <x:c r="W782" s="216" t="n">
        <x:v>16</x:v>
      </x:c>
      <x:c r="X782" s="223" t="n">
        <x:v>2730</x:v>
      </x:c>
      <x:c r="Y782" s="216" t="n">
        <x:v>12</x:v>
      </x:c>
    </x:row>
    <x:row r="783">
      <x:c r="A783" s="217" t="n">
        <x:v>1285</x:v>
      </x:c>
      <x:c r="B783" s="217" t="str">
        <x:v>重新路五段(心天匯社區)</x:v>
      </x:c>
      <x:c r="C783" s="217" t="str">
        <x:v>三重區</x:v>
      </x:c>
      <x:c r="D783" s="217" t="n">
        <x:v>40</x:v>
      </x:c>
      <x:c r="E783" s="217" t="n">
        <x:v>120</x:v>
      </x:c>
      <x:c r="F783" s="218" t="n">
        <x:v>0.9994791666666667</x:v>
      </x:c>
      <x:c r="G783" s="217" t="n">
        <x:v>779</x:v>
      </x:c>
      <x:c r="H783" s="217" t="str">
        <x:f>IF(G783&lt;='排名定義'!$B$5,"是","")</x:f>
        <x:v>是</x:v>
      </x:c>
      <x:c r="I783" s="217" t="n">
        <x:v>799</x:v>
      </x:c>
      <x:c r="J783" s="217" t="str">
        <x:f>IF(I783&lt;='排名定義'!$B$5,"是","")</x:f>
        <x:v>是</x:v>
      </x:c>
      <x:c r="K783" s="217" t="n">
        <x:v>561</x:v>
      </x:c>
      <x:c r="L783" s="217" t="str">
        <x:f>IF(K783&lt;='排名定義'!$B$5,"是","")</x:f>
        <x:v>是</x:v>
      </x:c>
      <x:c r="M783" s="217" t="n">
        <x:f>COUNTIF(H783:L783,"是")</x:f>
        <x:v>3</x:v>
      </x:c>
      <x:c r="N783" s="217" t="str">
        <x:v>三份皆未入選</x:v>
      </x:c>
      <x:c r="O783" s="220" t="n">
        <x:v>47.875</x:v>
      </x:c>
      <x:c r="P783" s="220" t="n">
        <x:v>43</x:v>
      </x:c>
      <x:c r="Q783" s="220" t="n">
        <x:v>4.875</x:v>
      </x:c>
      <x:c r="R783" s="220" t="n">
        <x:v>0.10182767624020887</x:v>
      </x:c>
      <x:c r="S783" s="220" t="n">
        <x:v>71.2258064516129</x:v>
      </x:c>
      <x:c r="T783" s="220" t="n">
        <x:v>66.29032258064517</x:v>
      </x:c>
      <x:c r="U783" s="220" t="n">
        <x:v>4.935483870967742</x:v>
      </x:c>
      <x:c r="V783" s="218" t="n">
        <x:v>0.08525345622119816</x:v>
      </x:c>
      <x:c r="W783" s="217" t="n">
        <x:v>22</x:v>
      </x:c>
      <x:c r="X783" s="222" t="n">
        <x:v>2700</x:v>
      </x:c>
      <x:c r="Y783" s="217" t="n">
        <x:v>40</x:v>
      </x:c>
    </x:row>
    <x:row r="784">
      <x:c r="A784" s="216" t="n">
        <x:v>538</x:v>
      </x:c>
      <x:c r="B784" s="216" t="str">
        <x:v>蘆洲兒四公園</x:v>
      </x:c>
      <x:c r="C784" s="216" t="str">
        <x:v>蘆洲區</x:v>
      </x:c>
      <x:c r="D784" s="216" t="n">
        <x:v>17</x:v>
      </x:c>
      <x:c r="E784" s="216" t="n">
        <x:v>120</x:v>
      </x:c>
      <x:c r="F784" s="219" t="n">
        <x:v>0.9994791666666667</x:v>
      </x:c>
      <x:c r="G784" s="216" t="n">
        <x:v>780</x:v>
      </x:c>
      <x:c r="H784" s="216" t="str">
        <x:f>IF(G784&lt;='排名定義'!$B$5,"是","")</x:f>
        <x:v>是</x:v>
      </x:c>
      <x:c r="I784" s="216" t="n">
        <x:v>778</x:v>
      </x:c>
      <x:c r="J784" s="216" t="str">
        <x:f>IF(I784&lt;='排名定義'!$B$5,"是","")</x:f>
        <x:v>是</x:v>
      </x:c>
      <x:c r="K784" s="216" t="n">
        <x:v>807</x:v>
      </x:c>
      <x:c r="L784" s="216" t="str">
        <x:f>IF(K784&lt;='排名定義'!$B$5,"是","")</x:f>
        <x:v>是</x:v>
      </x:c>
      <x:c r="M784" s="216" t="n">
        <x:f>COUNTIF(H784:L784,"是")</x:f>
        <x:v>3</x:v>
      </x:c>
      <x:c r="N784" s="216" t="str">
        <x:v>三份皆未入選</x:v>
      </x:c>
      <x:c r="O784" s="221" t="n">
        <x:v>47.80833333333333</x:v>
      </x:c>
      <x:c r="P784" s="221" t="n">
        <x:v>43.84166666666667</x:v>
      </x:c>
      <x:c r="Q784" s="221" t="n">
        <x:v>3.966666666666667</x:v>
      </x:c>
      <x:c r="R784" s="221" t="n">
        <x:v>0.08297019348091338</x:v>
      </x:c>
      <x:c r="S784" s="221" t="n">
        <x:v>60.83870967741935</x:v>
      </x:c>
      <x:c r="T784" s="221" t="n">
        <x:v>56.064516129032256</x:v>
      </x:c>
      <x:c r="U784" s="221" t="n">
        <x:v>4.774193548387097</x:v>
      </x:c>
      <x:c r="V784" s="219" t="n">
        <x:v>0.08294930875576037</x:v>
      </x:c>
      <x:c r="W784" s="216" t="n">
        <x:v>24</x:v>
      </x:c>
      <x:c r="X784" s="223" t="n">
        <x:v>2580</x:v>
      </x:c>
      <x:c r="Y784" s="216" t="n">
        <x:v>17</x:v>
      </x:c>
    </x:row>
    <x:row r="785">
      <x:c r="A785" s="217" t="n">
        <x:v>999</x:v>
      </x:c>
      <x:c r="B785" s="217" t="str">
        <x:v>尖山公園</x:v>
      </x:c>
      <x:c r="C785" s="217" t="str">
        <x:v>鶯歌區</x:v>
      </x:c>
      <x:c r="D785" s="217" t="n">
        <x:v>29</x:v>
      </x:c>
      <x:c r="E785" s="217" t="n">
        <x:v>120</x:v>
      </x:c>
      <x:c r="F785" s="218" t="n">
        <x:v>0.9994791666666667</x:v>
      </x:c>
      <x:c r="G785" s="217" t="n">
        <x:v>781</x:v>
      </x:c>
      <x:c r="H785" s="217" t="str">
        <x:f>IF(G785&lt;='排名定義'!$B$5,"是","")</x:f>
        <x:v>是</x:v>
      </x:c>
      <x:c r="I785" s="217" t="n">
        <x:v>793</x:v>
      </x:c>
      <x:c r="J785" s="217" t="str">
        <x:f>IF(I785&lt;='排名定義'!$B$5,"是","")</x:f>
        <x:v>是</x:v>
      </x:c>
      <x:c r="K785" s="217" t="n">
        <x:v>639</x:v>
      </x:c>
      <x:c r="L785" s="217" t="str">
        <x:f>IF(K785&lt;='排名定義'!$B$5,"是","")</x:f>
        <x:v>是</x:v>
      </x:c>
      <x:c r="M785" s="217" t="n">
        <x:f>COUNTIF(H785:L785,"是")</x:f>
        <x:v>3</x:v>
      </x:c>
      <x:c r="N785" s="217" t="str">
        <x:v>三份皆未入選</x:v>
      </x:c>
      <x:c r="O785" s="220" t="n">
        <x:v>47.791666666666664</x:v>
      </x:c>
      <x:c r="P785" s="220" t="n">
        <x:v>43.28333333333333</x:v>
      </x:c>
      <x:c r="Q785" s="220" t="n">
        <x:v>4.508333333333334</x:v>
      </x:c>
      <x:c r="R785" s="220" t="n">
        <x:v>0.0943330427201395</x:v>
      </x:c>
      <x:c r="S785" s="220" t="n">
        <x:v>75.70967741935483</x:v>
      </x:c>
      <x:c r="T785" s="220" t="n">
        <x:v>71.61290322580645</x:v>
      </x:c>
      <x:c r="U785" s="220" t="n">
        <x:v>4.096774193548387</x:v>
      </x:c>
      <x:c r="V785" s="218" t="n">
        <x:v>0.01152073732718894</x:v>
      </x:c>
      <x:c r="W785" s="217" t="n">
        <x:v>1</x:v>
      </x:c>
      <x:c r="X785" s="222" t="n">
        <x:v>210</x:v>
      </x:c>
      <x:c r="Y785" s="217" t="n">
        <x:v>29</x:v>
      </x:c>
    </x:row>
    <x:row r="786">
      <x:c r="A786" s="216" t="n">
        <x:v>670</x:v>
      </x:c>
      <x:c r="B786" s="216" t="str">
        <x:v>民生親子公園</x:v>
      </x:c>
      <x:c r="C786" s="216" t="str">
        <x:v>樹林區</x:v>
      </x:c>
      <x:c r="D786" s="216" t="n">
        <x:v>20</x:v>
      </x:c>
      <x:c r="E786" s="216" t="n">
        <x:v>120</x:v>
      </x:c>
      <x:c r="F786" s="219" t="n">
        <x:v>0.9994791666666667</x:v>
      </x:c>
      <x:c r="G786" s="216" t="n">
        <x:v>782</x:v>
      </x:c>
      <x:c r="H786" s="216" t="str">
        <x:f>IF(G786&lt;='排名定義'!$B$5,"是","")</x:f>
        <x:v>是</x:v>
      </x:c>
      <x:c r="I786" s="216" t="n">
        <x:v>766</x:v>
      </x:c>
      <x:c r="J786" s="216" t="str">
        <x:f>IF(I786&lt;='排名定義'!$B$5,"是","")</x:f>
        <x:v>是</x:v>
      </x:c>
      <x:c r="K786" s="216" t="n">
        <x:v>1003</x:v>
      </x:c>
      <x:c r="L786" s="216" t="str">
        <x:f>IF(K786&lt;='排名定義'!$B$5,"是","")</x:f>
        <x:v>是</x:v>
      </x:c>
      <x:c r="M786" s="216" t="n">
        <x:f>COUNTIF(H786:L786,"是")</x:f>
        <x:v>3</x:v>
      </x:c>
      <x:c r="N786" s="216" t="str">
        <x:v>三份皆未入選</x:v>
      </x:c>
      <x:c r="O786" s="221" t="n">
        <x:v>47.725</x:v>
      </x:c>
      <x:c r="P786" s="221" t="n">
        <x:v>44.291666666666664</x:v>
      </x:c>
      <x:c r="Q786" s="221" t="n">
        <x:v>3.433333333333333</x:v>
      </x:c>
      <x:c r="R786" s="221" t="n">
        <x:v>0.07193993364763401</x:v>
      </x:c>
      <x:c r="S786" s="221" t="n">
        <x:v>71</x:v>
      </x:c>
      <x:c r="T786" s="221" t="n">
        <x:v>68.38709677419355</x:v>
      </x:c>
      <x:c r="U786" s="221" t="n">
        <x:v>2.6129032258064515</x:v>
      </x:c>
      <x:c r="V786" s="219" t="n">
        <x:v>0.07142857142857142</x:v>
      </x:c>
      <x:c r="W786" s="216" t="n">
        <x:v>36</x:v>
      </x:c>
      <x:c r="X786" s="223" t="n">
        <x:v>4770</x:v>
      </x:c>
      <x:c r="Y786" s="216" t="n">
        <x:v>20</x:v>
      </x:c>
    </x:row>
    <x:row r="787">
      <x:c r="A787" s="217" t="n">
        <x:v>496</x:v>
      </x:c>
      <x:c r="B787" s="217" t="str">
        <x:v>西林簡易籃球場</x:v>
      </x:c>
      <x:c r="C787" s="217" t="str">
        <x:v>林口區</x:v>
      </x:c>
      <x:c r="D787" s="217" t="n">
        <x:v>16</x:v>
      </x:c>
      <x:c r="E787" s="217" t="n">
        <x:v>120</x:v>
      </x:c>
      <x:c r="F787" s="218" t="n">
        <x:v>0.9994791666666667</x:v>
      </x:c>
      <x:c r="G787" s="217" t="n">
        <x:v>783</x:v>
      </x:c>
      <x:c r="H787" s="217" t="str">
        <x:f>IF(G787&lt;='排名定義'!$B$5,"是","")</x:f>
        <x:v>是</x:v>
      </x:c>
      <x:c r="I787" s="217" t="n">
        <x:v>780</x:v>
      </x:c>
      <x:c r="J787" s="217" t="str">
        <x:f>IF(I787&lt;='排名定義'!$B$5,"是","")</x:f>
        <x:v>是</x:v>
      </x:c>
      <x:c r="K787" s="217" t="n">
        <x:v>794</x:v>
      </x:c>
      <x:c r="L787" s="217" t="str">
        <x:f>IF(K787&lt;='排名定義'!$B$5,"是","")</x:f>
        <x:v>是</x:v>
      </x:c>
      <x:c r="M787" s="217" t="n">
        <x:f>COUNTIF(H787:L787,"是")</x:f>
        <x:v>3</x:v>
      </x:c>
      <x:c r="N787" s="217" t="str">
        <x:v>三份皆未入選</x:v>
      </x:c>
      <x:c r="O787" s="220" t="n">
        <x:v>47.666666666666664</x:v>
      </x:c>
      <x:c r="P787" s="220" t="n">
        <x:v>43.666666666666664</x:v>
      </x:c>
      <x:c r="Q787" s="220" t="n">
        <x:v>4</x:v>
      </x:c>
      <x:c r="R787" s="220" t="n">
        <x:v>0.08391608391608392</x:v>
      </x:c>
      <x:c r="S787" s="220" t="n">
        <x:v>74.87096774193549</x:v>
      </x:c>
      <x:c r="T787" s="220" t="n">
        <x:v>71.74193548387096</x:v>
      </x:c>
      <x:c r="U787" s="220" t="n">
        <x:v>3.129032258064516</x:v>
      </x:c>
      <x:c r="V787" s="218" t="n">
        <x:v>0.0967741935483871</x:v>
      </x:c>
      <x:c r="W787" s="217" t="n">
        <x:v>18</x:v>
      </x:c>
      <x:c r="X787" s="222" t="n">
        <x:v>2910</x:v>
      </x:c>
      <x:c r="Y787" s="217" t="n">
        <x:v>16</x:v>
      </x:c>
    </x:row>
    <x:row r="788">
      <x:c r="A788" s="216" t="n">
        <x:v>1150</x:v>
      </x:c>
      <x:c r="B788" s="216" t="str">
        <x:v>五峰國中</x:v>
      </x:c>
      <x:c r="C788" s="216" t="str">
        <x:v>新店區</x:v>
      </x:c>
      <x:c r="D788" s="216" t="n">
        <x:v>34</x:v>
      </x:c>
      <x:c r="E788" s="216" t="n">
        <x:v>120</x:v>
      </x:c>
      <x:c r="F788" s="219" t="n">
        <x:v>0.9994791666666667</x:v>
      </x:c>
      <x:c r="G788" s="216" t="n">
        <x:v>784</x:v>
      </x:c>
      <x:c r="H788" s="216" t="str">
        <x:f>IF(G788&lt;='排名定義'!$B$5,"是","")</x:f>
        <x:v>是</x:v>
      </x:c>
      <x:c r="I788" s="216" t="n">
        <x:v>796</x:v>
      </x:c>
      <x:c r="J788" s="216" t="str">
        <x:f>IF(I788&lt;='排名定義'!$B$5,"是","")</x:f>
        <x:v>是</x:v>
      </x:c>
      <x:c r="K788" s="216" t="n">
        <x:v>638</x:v>
      </x:c>
      <x:c r="L788" s="216" t="str">
        <x:f>IF(K788&lt;='排名定義'!$B$5,"是","")</x:f>
        <x:v>是</x:v>
      </x:c>
      <x:c r="M788" s="216" t="n">
        <x:f>COUNTIF(H788:L788,"是")</x:f>
        <x:v>3</x:v>
      </x:c>
      <x:c r="N788" s="216" t="str">
        <x:v>三份皆未入選</x:v>
      </x:c>
      <x:c r="O788" s="221" t="n">
        <x:v>47.65833333333333</x:v>
      </x:c>
      <x:c r="P788" s="221" t="n">
        <x:v>43.141666666666666</x:v>
      </x:c>
      <x:c r="Q788" s="221" t="n">
        <x:v>4.516666666666667</x:v>
      </x:c>
      <x:c r="R788" s="221" t="n">
        <x:v>0.09477181325406539</x:v>
      </x:c>
      <x:c r="S788" s="221" t="n">
        <x:v>80.80645161290323</x:v>
      </x:c>
      <x:c r="T788" s="221" t="n">
        <x:v>76.16129032258064</x:v>
      </x:c>
      <x:c r="U788" s="221" t="n">
        <x:v>4.645161290322581</x:v>
      </x:c>
      <x:c r="V788" s="219" t="n">
        <x:v>0.013824884792626729</x:v>
      </x:c>
      <x:c r="W788" s="216" t="n">
        <x:v>1</x:v>
      </x:c>
      <x:c r="X788" s="223" t="n">
        <x:v>240</x:v>
      </x:c>
      <x:c r="Y788" s="216" t="n">
        <x:v>34</x:v>
      </x:c>
    </x:row>
    <x:row r="789">
      <x:c r="A789" s="217" t="n">
        <x:v>148</x:v>
      </x:c>
      <x:c r="B789" s="217" t="str">
        <x:v>寶強文化路口</x:v>
      </x:c>
      <x:c r="C789" s="217" t="str">
        <x:v>新店區</x:v>
      </x:c>
      <x:c r="D789" s="217" t="n">
        <x:v>11</x:v>
      </x:c>
      <x:c r="E789" s="217" t="n">
        <x:v>120</x:v>
      </x:c>
      <x:c r="F789" s="218" t="n">
        <x:v>0.9994791666666667</x:v>
      </x:c>
      <x:c r="G789" s="217" t="n">
        <x:v>785</x:v>
      </x:c>
      <x:c r="H789" s="217" t="str">
        <x:f>IF(G789&lt;='排名定義'!$B$5,"是","")</x:f>
        <x:v>是</x:v>
      </x:c>
      <x:c r="I789" s="217" t="n">
        <x:v>788</x:v>
      </x:c>
      <x:c r="J789" s="217" t="str">
        <x:f>IF(I789&lt;='排名定義'!$B$5,"是","")</x:f>
        <x:v>是</x:v>
      </x:c>
      <x:c r="K789" s="217" t="n">
        <x:v>715</x:v>
      </x:c>
      <x:c r="L789" s="217" t="str">
        <x:f>IF(K789&lt;='排名定義'!$B$5,"是","")</x:f>
        <x:v>是</x:v>
      </x:c>
      <x:c r="M789" s="217" t="n">
        <x:f>COUNTIF(H789:L789,"是")</x:f>
        <x:v>3</x:v>
      </x:c>
      <x:c r="N789" s="217" t="str">
        <x:v>三份皆未入選</x:v>
      </x:c>
      <x:c r="O789" s="220" t="n">
        <x:v>47.65</x:v>
      </x:c>
      <x:c r="P789" s="220" t="n">
        <x:v>43.391666666666666</x:v>
      </x:c>
      <x:c r="Q789" s="220" t="n">
        <x:v>4.258333333333334</x:v>
      </x:c>
      <x:c r="R789" s="220" t="n">
        <x:v>0.08936691150752012</x:v>
      </x:c>
      <x:c r="S789" s="220" t="n">
        <x:v>65.51612903225806</x:v>
      </x:c>
      <x:c r="T789" s="220" t="n">
        <x:v>62.83870967741935</x:v>
      </x:c>
      <x:c r="U789" s="220" t="n">
        <x:v>2.6774193548387095</x:v>
      </x:c>
      <x:c r="V789" s="218" t="n">
        <x:v>0.18663594470046083</x:v>
      </x:c>
      <x:c r="W789" s="217" t="n">
        <x:v>39</x:v>
      </x:c>
      <x:c r="X789" s="222" t="n">
        <x:v>6090</x:v>
      </x:c>
      <x:c r="Y789" s="217" t="n">
        <x:v>11</x:v>
      </x:c>
    </x:row>
    <x:row r="790">
      <x:c r="A790" s="216" t="n">
        <x:v>227</x:v>
      </x:c>
      <x:c r="B790" s="216" t="str">
        <x:v>保平路268巷</x:v>
      </x:c>
      <x:c r="C790" s="216" t="str">
        <x:v>永和區</x:v>
      </x:c>
      <x:c r="D790" s="216" t="n">
        <x:v>13</x:v>
      </x:c>
      <x:c r="E790" s="216" t="n">
        <x:v>120</x:v>
      </x:c>
      <x:c r="F790" s="219" t="n">
        <x:v>0.9994791666666667</x:v>
      </x:c>
      <x:c r="G790" s="216" t="n">
        <x:v>786</x:v>
      </x:c>
      <x:c r="H790" s="216" t="str">
        <x:f>IF(G790&lt;='排名定義'!$B$5,"是","")</x:f>
        <x:v>是</x:v>
      </x:c>
      <x:c r="I790" s="216" t="n">
        <x:v>771</x:v>
      </x:c>
      <x:c r="J790" s="216" t="str">
        <x:f>IF(I790&lt;='排名定義'!$B$5,"是","")</x:f>
        <x:v>是</x:v>
      </x:c>
      <x:c r="K790" s="216" t="n">
        <x:v>966</x:v>
      </x:c>
      <x:c r="L790" s="216" t="str">
        <x:f>IF(K790&lt;='排名定義'!$B$5,"是","")</x:f>
        <x:v>是</x:v>
      </x:c>
      <x:c r="M790" s="216" t="n">
        <x:f>COUNTIF(H790:L790,"是")</x:f>
        <x:v>3</x:v>
      </x:c>
      <x:c r="N790" s="216" t="str">
        <x:v>三份皆未入選</x:v>
      </x:c>
      <x:c r="O790" s="221" t="n">
        <x:v>47.625</x:v>
      </x:c>
      <x:c r="P790" s="221" t="n">
        <x:v>44.108333333333334</x:v>
      </x:c>
      <x:c r="Q790" s="221" t="n">
        <x:v>3.5166666666666666</x:v>
      </x:c>
      <x:c r="R790" s="221" t="n">
        <x:v>0.07384076990376202</x:v>
      </x:c>
      <x:c r="S790" s="221" t="n">
        <x:v>67.2258064516129</x:v>
      </x:c>
      <x:c r="T790" s="221" t="n">
        <x:v>64.61290322580645</x:v>
      </x:c>
      <x:c r="U790" s="221" t="n">
        <x:v>2.6129032258064515</x:v>
      </x:c>
      <x:c r="V790" s="219" t="n">
        <x:v>0.12442396313364056</x:v>
      </x:c>
      <x:c r="W790" s="216" t="n">
        <x:v>21</x:v>
      </x:c>
      <x:c r="X790" s="223" t="n">
        <x:v>3570</x:v>
      </x:c>
      <x:c r="Y790" s="216" t="n">
        <x:v>13</x:v>
      </x:c>
    </x:row>
    <x:row r="791">
      <x:c r="A791" s="217" t="n">
        <x:v>344</x:v>
      </x:c>
      <x:c r="B791" s="217" t="str">
        <x:v>國立空中大學(中正路174巷口)</x:v>
      </x:c>
      <x:c r="C791" s="217" t="str">
        <x:v>蘆洲區</x:v>
      </x:c>
      <x:c r="D791" s="217" t="n">
        <x:v>15</x:v>
      </x:c>
      <x:c r="E791" s="217" t="n">
        <x:v>120</x:v>
      </x:c>
      <x:c r="F791" s="218" t="n">
        <x:v>0.9994791666666667</x:v>
      </x:c>
      <x:c r="G791" s="217" t="n">
        <x:v>787</x:v>
      </x:c>
      <x:c r="H791" s="217" t="str">
        <x:f>IF(G791&lt;='排名定義'!$B$5,"是","")</x:f>
        <x:v>是</x:v>
      </x:c>
      <x:c r="I791" s="217" t="n">
        <x:v>763</x:v>
      </x:c>
      <x:c r="J791" s="217" t="str">
        <x:f>IF(I791&lt;='排名定義'!$B$5,"是","")</x:f>
        <x:v>是</x:v>
      </x:c>
      <x:c r="K791" s="217" t="n">
        <x:v>1090</x:v>
      </x:c>
      <x:c r="L791" s="217" t="str">
        <x:f>IF(K791&lt;='排名定義'!$B$5,"是","")</x:f>
        <x:v>是</x:v>
      </x:c>
      <x:c r="M791" s="217" t="n">
        <x:f>COUNTIF(H791:L791,"是")</x:f>
        <x:v>3</x:v>
      </x:c>
      <x:c r="N791" s="217" t="str">
        <x:v>三份皆未入選</x:v>
      </x:c>
      <x:c r="O791" s="220" t="n">
        <x:v>47.608333333333334</x:v>
      </x:c>
      <x:c r="P791" s="220" t="n">
        <x:v>44.38333333333333</x:v>
      </x:c>
      <x:c r="Q791" s="220" t="n">
        <x:v>3.225</x:v>
      </x:c>
      <x:c r="R791" s="220" t="n">
        <x:v>0.06774024155434973</x:v>
      </x:c>
      <x:c r="S791" s="220" t="n">
        <x:v>66.09677419354838</x:v>
      </x:c>
      <x:c r="T791" s="220" t="n">
        <x:v>63.225806451612904</x:v>
      </x:c>
      <x:c r="U791" s="220" t="n">
        <x:v>2.870967741935484</x:v>
      </x:c>
      <x:c r="V791" s="218" t="n">
        <x:v>0.16359447004608296</x:v>
      </x:c>
      <x:c r="W791" s="217" t="n">
        <x:v>27</x:v>
      </x:c>
      <x:c r="X791" s="222" t="n">
        <x:v>4020</x:v>
      </x:c>
      <x:c r="Y791" s="217" t="n">
        <x:v>15</x:v>
      </x:c>
    </x:row>
    <x:row r="792">
      <x:c r="A792" s="216" t="n">
        <x:v>141</x:v>
      </x:c>
      <x:c r="B792" s="216" t="str">
        <x:v>中山路一段17巷口</x:v>
      </x:c>
      <x:c r="C792" s="216" t="str">
        <x:v>永和區</x:v>
      </x:c>
      <x:c r="D792" s="216" t="n">
        <x:v>11</x:v>
      </x:c>
      <x:c r="E792" s="216" t="n">
        <x:v>120</x:v>
      </x:c>
      <x:c r="F792" s="219" t="n">
        <x:v>0.9994791666666667</x:v>
      </x:c>
      <x:c r="G792" s="216" t="n">
        <x:v>788</x:v>
      </x:c>
      <x:c r="H792" s="216" t="str">
        <x:f>IF(G792&lt;='排名定義'!$B$5,"是","")</x:f>
        <x:v>是</x:v>
      </x:c>
      <x:c r="I792" s="216" t="n">
        <x:v>769</x:v>
      </x:c>
      <x:c r="J792" s="216" t="str">
        <x:f>IF(I792&lt;='排名定義'!$B$5,"是","")</x:f>
        <x:v>是</x:v>
      </x:c>
      <x:c r="K792" s="216" t="n">
        <x:v>997</x:v>
      </x:c>
      <x:c r="L792" s="216" t="str">
        <x:f>IF(K792&lt;='排名定義'!$B$5,"是","")</x:f>
        <x:v>是</x:v>
      </x:c>
      <x:c r="M792" s="216" t="n">
        <x:f>COUNTIF(H792:L792,"是")</x:f>
        <x:v>3</x:v>
      </x:c>
      <x:c r="N792" s="216" t="str">
        <x:v>三份皆未入選</x:v>
      </x:c>
      <x:c r="O792" s="221" t="n">
        <x:v>47.6</x:v>
      </x:c>
      <x:c r="P792" s="221" t="n">
        <x:v>44.15833333333333</x:v>
      </x:c>
      <x:c r="Q792" s="221" t="n">
        <x:v>3.441666666666667</x:v>
      </x:c>
      <x:c r="R792" s="221" t="n">
        <x:v>0.07230392156862746</x:v>
      </x:c>
      <x:c r="S792" s="221" t="n">
        <x:v>67.80645161290323</x:v>
      </x:c>
      <x:c r="T792" s="221" t="n">
        <x:v>64.19354838709677</x:v>
      </x:c>
      <x:c r="U792" s="221" t="n">
        <x:v>3.6129032258064515</x:v>
      </x:c>
      <x:c r="V792" s="219" t="n">
        <x:v>0.1336405529953917</x:v>
      </x:c>
      <x:c r="W792" s="216" t="n">
        <x:v>32</x:v>
      </x:c>
      <x:c r="X792" s="223" t="n">
        <x:v>4800</x:v>
      </x:c>
      <x:c r="Y792" s="216" t="n">
        <x:v>11</x:v>
      </x:c>
    </x:row>
    <x:row r="793">
      <x:c r="A793" s="217" t="n">
        <x:v>394</x:v>
      </x:c>
      <x:c r="B793" s="217" t="str">
        <x:v>鄧公路30巷</x:v>
      </x:c>
      <x:c r="C793" s="217" t="str">
        <x:v>淡水區</x:v>
      </x:c>
      <x:c r="D793" s="217" t="n">
        <x:v>15</x:v>
      </x:c>
      <x:c r="E793" s="217" t="n">
        <x:v>120</x:v>
      </x:c>
      <x:c r="F793" s="218" t="n">
        <x:v>0.9994791666666667</x:v>
      </x:c>
      <x:c r="G793" s="217" t="n">
        <x:v>789</x:v>
      </x:c>
      <x:c r="H793" s="217" t="str">
        <x:f>IF(G793&lt;='排名定義'!$B$5,"是","")</x:f>
        <x:v>是</x:v>
      </x:c>
      <x:c r="I793" s="217" t="n">
        <x:v>804</x:v>
      </x:c>
      <x:c r="J793" s="217" t="str">
        <x:f>IF(I793&lt;='排名定義'!$B$5,"是","")</x:f>
        <x:v>是</x:v>
      </x:c>
      <x:c r="K793" s="217" t="n">
        <x:v>582</x:v>
      </x:c>
      <x:c r="L793" s="217" t="str">
        <x:f>IF(K793&lt;='排名定義'!$B$5,"是","")</x:f>
        <x:v>是</x:v>
      </x:c>
      <x:c r="M793" s="217" t="n">
        <x:f>COUNTIF(H793:L793,"是")</x:f>
        <x:v>3</x:v>
      </x:c>
      <x:c r="N793" s="217" t="str">
        <x:v>三份皆未入選</x:v>
      </x:c>
      <x:c r="O793" s="220" t="n">
        <x:v>47.55833333333333</x:v>
      </x:c>
      <x:c r="P793" s="220" t="n">
        <x:v>42.78333333333333</x:v>
      </x:c>
      <x:c r="Q793" s="220" t="n">
        <x:v>4.775</x:v>
      </x:c>
      <x:c r="R793" s="220" t="n">
        <x:v>0.10040301384264938</x:v>
      </x:c>
      <x:c r="S793" s="220" t="n">
        <x:v>65.41935483870968</x:v>
      </x:c>
      <x:c r="T793" s="220" t="n">
        <x:v>59</x:v>
      </x:c>
      <x:c r="U793" s="220" t="n">
        <x:v>6.419354838709677</x:v>
      </x:c>
      <x:c r="V793" s="218" t="n">
        <x:v>0.10368663594470046</x:v>
      </x:c>
      <x:c r="W793" s="217" t="n">
        <x:v>30</x:v>
      </x:c>
      <x:c r="X793" s="222" t="n">
        <x:v>4200</x:v>
      </x:c>
      <x:c r="Y793" s="217" t="n">
        <x:v>15</x:v>
      </x:c>
    </x:row>
    <x:row r="794">
      <x:c r="A794" s="216" t="n">
        <x:v>526</x:v>
      </x:c>
      <x:c r="B794" s="216" t="str">
        <x:v>寶中寶橋路口</x:v>
      </x:c>
      <x:c r="C794" s="216" t="str">
        <x:v>新店區</x:v>
      </x:c>
      <x:c r="D794" s="216" t="n">
        <x:v>17</x:v>
      </x:c>
      <x:c r="E794" s="216" t="n">
        <x:v>120</x:v>
      </x:c>
      <x:c r="F794" s="219" t="n">
        <x:v>0.9994791666666667</x:v>
      </x:c>
      <x:c r="G794" s="216" t="n">
        <x:v>790</x:v>
      </x:c>
      <x:c r="H794" s="216" t="str">
        <x:f>IF(G794&lt;='排名定義'!$B$5,"是","")</x:f>
        <x:v>是</x:v>
      </x:c>
      <x:c r="I794" s="216" t="n">
        <x:v>786</x:v>
      </x:c>
      <x:c r="J794" s="216" t="str">
        <x:f>IF(I794&lt;='排名定義'!$B$5,"是","")</x:f>
        <x:v>是</x:v>
      </x:c>
      <x:c r="K794" s="216" t="n">
        <x:v>770</x:v>
      </x:c>
      <x:c r="L794" s="216" t="str">
        <x:f>IF(K794&lt;='排名定義'!$B$5,"是","")</x:f>
        <x:v>是</x:v>
      </x:c>
      <x:c r="M794" s="216" t="n">
        <x:f>COUNTIF(H794:L794,"是")</x:f>
        <x:v>3</x:v>
      </x:c>
      <x:c r="N794" s="216" t="str">
        <x:v>三份皆未入選</x:v>
      </x:c>
      <x:c r="O794" s="221" t="n">
        <x:v>47.516666666666666</x:v>
      </x:c>
      <x:c r="P794" s="221" t="n">
        <x:v>43.43333333333333</x:v>
      </x:c>
      <x:c r="Q794" s="221" t="n">
        <x:v>4.083333333333333</x:v>
      </x:c>
      <x:c r="R794" s="221" t="n">
        <x:v>0.08593475973342687</x:v>
      </x:c>
      <x:c r="S794" s="221" t="n">
        <x:v>66.06451612903226</x:v>
      </x:c>
      <x:c r="T794" s="221" t="n">
        <x:v>62.58064516129032</x:v>
      </x:c>
      <x:c r="U794" s="221" t="n">
        <x:v>3.4838709677419355</x:v>
      </x:c>
      <x:c r="V794" s="219" t="n">
        <x:v>0.16359447004608296</x:v>
      </x:c>
      <x:c r="W794" s="216" t="n">
        <x:v>36</x:v>
      </x:c>
      <x:c r="X794" s="223" t="n">
        <x:v>4710</x:v>
      </x:c>
      <x:c r="Y794" s="216" t="n">
        <x:v>17</x:v>
      </x:c>
    </x:row>
    <x:row r="795">
      <x:c r="A795" s="217" t="n">
        <x:v>1318</x:v>
      </x:c>
      <x:c r="B795" s="217" t="str">
        <x:v>美麗新淡海影城</x:v>
      </x:c>
      <x:c r="C795" s="217" t="str">
        <x:v>淡水區</x:v>
      </x:c>
      <x:c r="D795" s="217" t="n">
        <x:v>41</x:v>
      </x:c>
      <x:c r="E795" s="217" t="n">
        <x:v>91</x:v>
      </x:c>
      <x:c r="F795" s="218" t="n">
        <x:v>0.9945054945054945</x:v>
      </x:c>
      <x:c r="G795" s="217" t="n">
        <x:v>791</x:v>
      </x:c>
      <x:c r="H795" s="217" t="str">
        <x:f>IF(G795&lt;='排名定義'!$B$5,"是","")</x:f>
        <x:v>是</x:v>
      </x:c>
      <x:c r="I795" s="217" t="n">
        <x:v>812</x:v>
      </x:c>
      <x:c r="J795" s="217" t="str">
        <x:f>IF(I795&lt;='排名定義'!$B$5,"是","")</x:f>
        <x:v>是</x:v>
      </x:c>
      <x:c r="K795" s="217" t="n">
        <x:v>476</x:v>
      </x:c>
      <x:c r="L795" s="217" t="str">
        <x:f>IF(K795&lt;='排名定義'!$B$5,"是","")</x:f>
        <x:v>是</x:v>
      </x:c>
      <x:c r="M795" s="217" t="n">
        <x:f>COUNTIF(H795:L795,"是")</x:f>
        <x:v>3</x:v>
      </x:c>
      <x:c r="N795" s="217" t="str">
        <x:v>三份皆未入選</x:v>
      </x:c>
      <x:c r="O795" s="220" t="n">
        <x:v>47.51648351648352</x:v>
      </x:c>
      <x:c r="P795" s="220" t="n">
        <x:v>42.24175824175824</x:v>
      </x:c>
      <x:c r="Q795" s="220" t="n">
        <x:v>5.274725274725275</x:v>
      </x:c>
      <x:c r="R795" s="220" t="n">
        <x:v>0.11100832562442182</x:v>
      </x:c>
      <x:c r="S795" s="220" t="str"/>
      <x:c r="T795" s="220" t="str"/>
      <x:c r="U795" s="220" t="str"/>
      <x:c r="V795" s="218" t="str"/>
      <x:c r="W795" s="217" t="str"/>
      <x:c r="X795" s="222" t="str"/>
      <x:c r="Y795" s="217" t="str"/>
    </x:row>
    <x:row r="796">
      <x:c r="A796" s="216" t="n">
        <x:v>1242</x:v>
      </x:c>
      <x:c r="B796" s="216" t="str">
        <x:v>華江五華江一路口(帝國花園廣場社區)</x:v>
      </x:c>
      <x:c r="C796" s="216" t="str">
        <x:v>板橋區</x:v>
      </x:c>
      <x:c r="D796" s="216" t="n">
        <x:v>39</x:v>
      </x:c>
      <x:c r="E796" s="216" t="n">
        <x:v>120</x:v>
      </x:c>
      <x:c r="F796" s="219" t="n">
        <x:v>0.9994791666666667</x:v>
      </x:c>
      <x:c r="G796" s="216" t="n">
        <x:v>792</x:v>
      </x:c>
      <x:c r="H796" s="216" t="str">
        <x:f>IF(G796&lt;='排名定義'!$B$5,"是","")</x:f>
        <x:v>是</x:v>
      </x:c>
      <x:c r="I796" s="216" t="n">
        <x:v>806</x:v>
      </x:c>
      <x:c r="J796" s="216" t="str">
        <x:f>IF(I796&lt;='排名定義'!$B$5,"是","")</x:f>
        <x:v>是</x:v>
      </x:c>
      <x:c r="K796" s="216" t="n">
        <x:v>573</x:v>
      </x:c>
      <x:c r="L796" s="216" t="str">
        <x:f>IF(K796&lt;='排名定義'!$B$5,"是","")</x:f>
        <x:v>是</x:v>
      </x:c>
      <x:c r="M796" s="216" t="n">
        <x:f>COUNTIF(H796:L796,"是")</x:f>
        <x:v>3</x:v>
      </x:c>
      <x:c r="N796" s="216" t="str">
        <x:v>三份皆未入選</x:v>
      </x:c>
      <x:c r="O796" s="221" t="n">
        <x:v>47.425</x:v>
      </x:c>
      <x:c r="P796" s="221" t="n">
        <x:v>42.6</x:v>
      </x:c>
      <x:c r="Q796" s="221" t="n">
        <x:v>4.825</x:v>
      </x:c>
      <x:c r="R796" s="221" t="n">
        <x:v>0.10173958882445967</x:v>
      </x:c>
      <x:c r="S796" s="221" t="n">
        <x:v>61.483870967741936</x:v>
      </x:c>
      <x:c r="T796" s="221" t="n">
        <x:v>59.12903225806452</x:v>
      </x:c>
      <x:c r="U796" s="221" t="n">
        <x:v>2.3548387096774195</x:v>
      </x:c>
      <x:c r="V796" s="219" t="n">
        <x:v>0.0944700460829493</x:v>
      </x:c>
      <x:c r="W796" s="216" t="n">
        <x:v>28</x:v>
      </x:c>
      <x:c r="X796" s="223" t="n">
        <x:v>3660</x:v>
      </x:c>
      <x:c r="Y796" s="216" t="n">
        <x:v>39</x:v>
      </x:c>
    </x:row>
    <x:row r="797">
      <x:c r="A797" s="217" t="n">
        <x:v>218</x:v>
      </x:c>
      <x:c r="B797" s="217" t="str">
        <x:v>三民永豐街口</x:v>
      </x:c>
      <x:c r="C797" s="217" t="str">
        <x:v>板橋區</x:v>
      </x:c>
      <x:c r="D797" s="217" t="n">
        <x:v>13</x:v>
      </x:c>
      <x:c r="E797" s="217" t="n">
        <x:v>120</x:v>
      </x:c>
      <x:c r="F797" s="218" t="n">
        <x:v>0.9994791666666667</x:v>
      </x:c>
      <x:c r="G797" s="217" t="n">
        <x:v>793</x:v>
      </x:c>
      <x:c r="H797" s="217" t="str">
        <x:f>IF(G797&lt;='排名定義'!$B$5,"是","")</x:f>
        <x:v>是</x:v>
      </x:c>
      <x:c r="I797" s="217" t="n">
        <x:v>772</x:v>
      </x:c>
      <x:c r="J797" s="217" t="str">
        <x:f>IF(I797&lt;='排名定義'!$B$5,"是","")</x:f>
        <x:v>是</x:v>
      </x:c>
      <x:c r="K797" s="217" t="n">
        <x:v>1069</x:v>
      </x:c>
      <x:c r="L797" s="217" t="str">
        <x:f>IF(K797&lt;='排名定義'!$B$5,"是","")</x:f>
        <x:v>是</x:v>
      </x:c>
      <x:c r="M797" s="217" t="n">
        <x:f>COUNTIF(H797:L797,"是")</x:f>
        <x:v>3</x:v>
      </x:c>
      <x:c r="N797" s="217" t="str">
        <x:v>三份皆未入選</x:v>
      </x:c>
      <x:c r="O797" s="220" t="n">
        <x:v>47.358333333333334</x:v>
      </x:c>
      <x:c r="P797" s="220" t="n">
        <x:v>44.06666666666667</x:v>
      </x:c>
      <x:c r="Q797" s="220" t="n">
        <x:v>3.2916666666666665</x:v>
      </x:c>
      <x:c r="R797" s="220" t="n">
        <x:v>0.0695055428470878</x:v>
      </x:c>
      <x:c r="S797" s="220" t="n">
        <x:v>73.7741935483871</x:v>
      </x:c>
      <x:c r="T797" s="220" t="n">
        <x:v>70.03225806451613</x:v>
      </x:c>
      <x:c r="U797" s="220" t="n">
        <x:v>3.7419354838709675</x:v>
      </x:c>
      <x:c r="V797" s="218" t="n">
        <x:v>0.11290322580645161</x:v>
      </x:c>
      <x:c r="W797" s="217" t="n">
        <x:v>21</x:v>
      </x:c>
      <x:c r="X797" s="222" t="n">
        <x:v>3810</x:v>
      </x:c>
      <x:c r="Y797" s="217" t="n">
        <x:v>13</x:v>
      </x:c>
    </x:row>
    <x:row r="798">
      <x:c r="A798" s="216" t="n">
        <x:v>1029</x:v>
      </x:c>
      <x:c r="B798" s="216" t="str">
        <x:v>文化一路一段91巷口</x:v>
      </x:c>
      <x:c r="C798" s="216" t="str">
        <x:v>林口區</x:v>
      </x:c>
      <x:c r="D798" s="216" t="n">
        <x:v>30</x:v>
      </x:c>
      <x:c r="E798" s="216" t="n">
        <x:v>120</x:v>
      </x:c>
      <x:c r="F798" s="219" t="n">
        <x:v>0.9994791666666667</x:v>
      </x:c>
      <x:c r="G798" s="216" t="n">
        <x:v>794</x:v>
      </x:c>
      <x:c r="H798" s="216" t="str">
        <x:f>IF(G798&lt;='排名定義'!$B$5,"是","")</x:f>
        <x:v>是</x:v>
      </x:c>
      <x:c r="I798" s="216" t="n">
        <x:v>790</x:v>
      </x:c>
      <x:c r="J798" s="216" t="str">
        <x:f>IF(I798&lt;='排名定義'!$B$5,"是","")</x:f>
        <x:v>是</x:v>
      </x:c>
      <x:c r="K798" s="216" t="n">
        <x:v>805</x:v>
      </x:c>
      <x:c r="L798" s="216" t="str">
        <x:f>IF(K798&lt;='排名定義'!$B$5,"是","")</x:f>
        <x:v>是</x:v>
      </x:c>
      <x:c r="M798" s="216" t="n">
        <x:f>COUNTIF(H798:L798,"是")</x:f>
        <x:v>3</x:v>
      </x:c>
      <x:c r="N798" s="216" t="str">
        <x:v>三份皆未入選</x:v>
      </x:c>
      <x:c r="O798" s="221" t="n">
        <x:v>47.3</x:v>
      </x:c>
      <x:c r="P798" s="221" t="n">
        <x:v>43.325</x:v>
      </x:c>
      <x:c r="Q798" s="221" t="n">
        <x:v>3.975</x:v>
      </x:c>
      <x:c r="R798" s="221" t="n">
        <x:v>0.08403805496828752</x:v>
      </x:c>
      <x:c r="S798" s="221" t="n">
        <x:v>71.96774193548387</x:v>
      </x:c>
      <x:c r="T798" s="221" t="n">
        <x:v>67.74193548387096</x:v>
      </x:c>
      <x:c r="U798" s="221" t="n">
        <x:v>4.225806451612903</x:v>
      </x:c>
      <x:c r="V798" s="219" t="n">
        <x:v>0.029953917050691243</x:v>
      </x:c>
      <x:c r="W798" s="216" t="n">
        <x:v>15</x:v>
      </x:c>
      <x:c r="X798" s="223" t="n">
        <x:v>2100</x:v>
      </x:c>
      <x:c r="Y798" s="216" t="n">
        <x:v>30</x:v>
      </x:c>
    </x:row>
    <x:row r="799">
      <x:c r="A799" s="217" t="n">
        <x:v>1190</x:v>
      </x:c>
      <x:c r="B799" s="217" t="str">
        <x:v>中正北路193巷(愛買三重店)</x:v>
      </x:c>
      <x:c r="C799" s="217" t="str">
        <x:v>三重區</x:v>
      </x:c>
      <x:c r="D799" s="217" t="n">
        <x:v>37</x:v>
      </x:c>
      <x:c r="E799" s="217" t="n">
        <x:v>120</x:v>
      </x:c>
      <x:c r="F799" s="218" t="n">
        <x:v>0.9994791666666667</x:v>
      </x:c>
      <x:c r="G799" s="217" t="n">
        <x:v>795</x:v>
      </x:c>
      <x:c r="H799" s="217" t="str">
        <x:f>IF(G799&lt;='排名定義'!$B$5,"是","")</x:f>
        <x:v>是</x:v>
      </x:c>
      <x:c r="I799" s="217" t="n">
        <x:v>789</x:v>
      </x:c>
      <x:c r="J799" s="217" t="str">
        <x:f>IF(I799&lt;='排名定義'!$B$5,"是","")</x:f>
        <x:v>是</x:v>
      </x:c>
      <x:c r="K799" s="217" t="n">
        <x:v>825</x:v>
      </x:c>
      <x:c r="L799" s="217" t="str">
        <x:f>IF(K799&lt;='排名定義'!$B$5,"是","")</x:f>
        <x:v>是</x:v>
      </x:c>
      <x:c r="M799" s="217" t="n">
        <x:f>COUNTIF(H799:L799,"是")</x:f>
        <x:v>3</x:v>
      </x:c>
      <x:c r="N799" s="217" t="str">
        <x:v>三份皆未入選</x:v>
      </x:c>
      <x:c r="O799" s="220" t="n">
        <x:v>47.25833333333333</x:v>
      </x:c>
      <x:c r="P799" s="220" t="n">
        <x:v>43.333333333333336</x:v>
      </x:c>
      <x:c r="Q799" s="220" t="n">
        <x:v>3.925</x:v>
      </x:c>
      <x:c r="R799" s="220" t="n">
        <x:v>0.08305413507317934</x:v>
      </x:c>
      <x:c r="S799" s="220" t="n">
        <x:v>64.80645161290323</x:v>
      </x:c>
      <x:c r="T799" s="220" t="n">
        <x:v>61.03225806451613</x:v>
      </x:c>
      <x:c r="U799" s="220" t="n">
        <x:v>3.774193548387097</x:v>
      </x:c>
      <x:c r="V799" s="218" t="n">
        <x:v>0.002304147465437788</x:v>
      </x:c>
      <x:c r="W799" s="217" t="n">
        <x:v>1</x:v>
      </x:c>
      <x:c r="X799" s="222" t="n">
        <x:v>330</x:v>
      </x:c>
      <x:c r="Y799" s="217" t="n">
        <x:v>37</x:v>
      </x:c>
    </x:row>
    <x:row r="800">
      <x:c r="A800" s="216" t="n">
        <x:v>232</x:v>
      </x:c>
      <x:c r="B800" s="216" t="str">
        <x:v>學成大義路口(學成路一)</x:v>
      </x:c>
      <x:c r="C800" s="216" t="str">
        <x:v>三峽區</x:v>
      </x:c>
      <x:c r="D800" s="216" t="n">
        <x:v>13</x:v>
      </x:c>
      <x:c r="E800" s="216" t="n">
        <x:v>120</x:v>
      </x:c>
      <x:c r="F800" s="219" t="n">
        <x:v>0.9994791666666667</x:v>
      </x:c>
      <x:c r="G800" s="216" t="n">
        <x:v>796</x:v>
      </x:c>
      <x:c r="H800" s="216" t="str">
        <x:f>IF(G800&lt;='排名定義'!$B$5,"是","")</x:f>
        <x:v>是</x:v>
      </x:c>
      <x:c r="I800" s="216" t="n">
        <x:v>787</x:v>
      </x:c>
      <x:c r="J800" s="216" t="str">
        <x:f>IF(I800&lt;='排名定義'!$B$5,"是","")</x:f>
        <x:v>是</x:v>
      </x:c>
      <x:c r="K800" s="216" t="n">
        <x:v>906</x:v>
      </x:c>
      <x:c r="L800" s="216" t="str">
        <x:f>IF(K800&lt;='排名定義'!$B$5,"是","")</x:f>
        <x:v>是</x:v>
      </x:c>
      <x:c r="M800" s="216" t="n">
        <x:f>COUNTIF(H800:L800,"是")</x:f>
        <x:v>3</x:v>
      </x:c>
      <x:c r="N800" s="216" t="str">
        <x:v>三份皆未入選</x:v>
      </x:c>
      <x:c r="O800" s="221" t="n">
        <x:v>47.11666666666667</x:v>
      </x:c>
      <x:c r="P800" s="221" t="n">
        <x:v>43.416666666666664</x:v>
      </x:c>
      <x:c r="Q800" s="221" t="n">
        <x:v>3.7</x:v>
      </x:c>
      <x:c r="R800" s="221" t="n">
        <x:v>0.07852847541563494</x:v>
      </x:c>
      <x:c r="S800" s="221" t="n">
        <x:v>70.61290322580645</x:v>
      </x:c>
      <x:c r="T800" s="221" t="n">
        <x:v>68.06451612903226</x:v>
      </x:c>
      <x:c r="U800" s="221" t="n">
        <x:v>2.5483870967741935</x:v>
      </x:c>
      <x:c r="V800" s="219" t="n">
        <x:v>0.07373271889400922</x:v>
      </x:c>
      <x:c r="W800" s="216" t="n">
        <x:v>12</x:v>
      </x:c>
      <x:c r="X800" s="223" t="n">
        <x:v>2100</x:v>
      </x:c>
      <x:c r="Y800" s="216" t="n">
        <x:v>13</x:v>
      </x:c>
    </x:row>
    <x:row r="801">
      <x:c r="A801" s="217" t="n">
        <x:v>939</x:v>
      </x:c>
      <x:c r="B801" s="217" t="str">
        <x:v>師大林口校區正樓後</x:v>
      </x:c>
      <x:c r="C801" s="217" t="str">
        <x:v>林口區</x:v>
      </x:c>
      <x:c r="D801" s="217" t="n">
        <x:v>27</x:v>
      </x:c>
      <x:c r="E801" s="217" t="n">
        <x:v>120</x:v>
      </x:c>
      <x:c r="F801" s="218" t="n">
        <x:v>0.9994791666666667</x:v>
      </x:c>
      <x:c r="G801" s="217" t="n">
        <x:v>797</x:v>
      </x:c>
      <x:c r="H801" s="217" t="str">
        <x:f>IF(G801&lt;='排名定義'!$B$5,"是","")</x:f>
        <x:v>是</x:v>
      </x:c>
      <x:c r="I801" s="217" t="n">
        <x:v>824</x:v>
      </x:c>
      <x:c r="J801" s="217" t="str">
        <x:f>IF(I801&lt;='排名定義'!$B$5,"是","")</x:f>
        <x:v>是</x:v>
      </x:c>
      <x:c r="K801" s="217" t="n">
        <x:v>319</x:v>
      </x:c>
      <x:c r="L801" s="217" t="str">
        <x:f>IF(K801&lt;='排名定義'!$B$5,"是","")</x:f>
        <x:v>是</x:v>
      </x:c>
      <x:c r="M801" s="217" t="n">
        <x:f>COUNTIF(H801:L801,"是")</x:f>
        <x:v>3</x:v>
      </x:c>
      <x:c r="N801" s="217" t="str">
        <x:v>僅大幅變動</x:v>
      </x:c>
      <x:c r="O801" s="220" t="n">
        <x:v>47.108333333333334</x:v>
      </x:c>
      <x:c r="P801" s="220" t="n">
        <x:v>40.916666666666664</x:v>
      </x:c>
      <x:c r="Q801" s="220" t="n">
        <x:v>6.191666666666666</x:v>
      </x:c>
      <x:c r="R801" s="220" t="n">
        <x:v>0.13143463647620732</x:v>
      </x:c>
      <x:c r="S801" s="220" t="n">
        <x:v>67.3225806451613</x:v>
      </x:c>
      <x:c r="T801" s="220" t="n">
        <x:v>62.83870967741935</x:v>
      </x:c>
      <x:c r="U801" s="220" t="n">
        <x:v>4.483870967741935</x:v>
      </x:c>
      <x:c r="V801" s="218" t="n">
        <x:v>0.08064516129032258</x:v>
      </x:c>
      <x:c r="W801" s="217" t="n">
        <x:v>16</x:v>
      </x:c>
      <x:c r="X801" s="222" t="n">
        <x:v>1800</x:v>
      </x:c>
      <x:c r="Y801" s="217" t="n">
        <x:v>27</x:v>
      </x:c>
    </x:row>
    <x:row r="802">
      <x:c r="A802" s="216" t="n">
        <x:v>500</x:v>
      </x:c>
      <x:c r="B802" s="216" t="str">
        <x:v>力行公園</x:v>
      </x:c>
      <x:c r="C802" s="216" t="str">
        <x:v>林口區</x:v>
      </x:c>
      <x:c r="D802" s="216" t="n">
        <x:v>16</x:v>
      </x:c>
      <x:c r="E802" s="216" t="n">
        <x:v>120</x:v>
      </x:c>
      <x:c r="F802" s="219" t="n">
        <x:v>0.9994791666666667</x:v>
      </x:c>
      <x:c r="G802" s="216" t="n">
        <x:v>798</x:v>
      </x:c>
      <x:c r="H802" s="216" t="str">
        <x:f>IF(G802&lt;='排名定義'!$B$5,"是","")</x:f>
        <x:v>是</x:v>
      </x:c>
      <x:c r="I802" s="216" t="n">
        <x:v>774</x:v>
      </x:c>
      <x:c r="J802" s="216" t="str">
        <x:f>IF(I802&lt;='排名定義'!$B$5,"是","")</x:f>
        <x:v>是</x:v>
      </x:c>
      <x:c r="K802" s="216" t="n">
        <x:v>1165</x:v>
      </x:c>
      <x:c r="L802" s="216" t="str">
        <x:f>IF(K802&lt;='排名定義'!$B$5,"是","")</x:f>
        <x:v>是</x:v>
      </x:c>
      <x:c r="M802" s="216" t="n">
        <x:f>COUNTIF(H802:L802,"是")</x:f>
        <x:v>3</x:v>
      </x:c>
      <x:c r="N802" s="216" t="str">
        <x:v>三份皆未入選</x:v>
      </x:c>
      <x:c r="O802" s="221" t="n">
        <x:v>47.00833333333333</x:v>
      </x:c>
      <x:c r="P802" s="221" t="n">
        <x:v>44.016666666666666</x:v>
      </x:c>
      <x:c r="Q802" s="221" t="n">
        <x:v>2.9916666666666667</x:v>
      </x:c>
      <x:c r="R802" s="221" t="n">
        <x:v>0.0636411983690835</x:v>
      </x:c>
      <x:c r="S802" s="221" t="n">
        <x:v>70</x:v>
      </x:c>
      <x:c r="T802" s="221" t="n">
        <x:v>66.51612903225806</x:v>
      </x:c>
      <x:c r="U802" s="221" t="n">
        <x:v>3.4838709677419355</x:v>
      </x:c>
      <x:c r="V802" s="219" t="n">
        <x:v>0.020737327188940093</x:v>
      </x:c>
      <x:c r="W802" s="216" t="n">
        <x:v>6</x:v>
      </x:c>
      <x:c r="X802" s="223" t="n">
        <x:v>1020</x:v>
      </x:c>
      <x:c r="Y802" s="216" t="n">
        <x:v>16</x:v>
      </x:c>
    </x:row>
    <x:row r="803">
      <x:c r="A803" s="217" t="n">
        <x:v>618</x:v>
      </x:c>
      <x:c r="B803" s="217" t="str">
        <x:v>興南路二段231巷口</x:v>
      </x:c>
      <x:c r="C803" s="217" t="str">
        <x:v>中和區</x:v>
      </x:c>
      <x:c r="D803" s="217" t="n">
        <x:v>19</x:v>
      </x:c>
      <x:c r="E803" s="217" t="n">
        <x:v>120</x:v>
      </x:c>
      <x:c r="F803" s="218" t="n">
        <x:v>0.9994791666666667</x:v>
      </x:c>
      <x:c r="G803" s="217" t="n">
        <x:v>799</x:v>
      </x:c>
      <x:c r="H803" s="217" t="str">
        <x:f>IF(G803&lt;='排名定義'!$B$5,"是","")</x:f>
        <x:v>是</x:v>
      </x:c>
      <x:c r="I803" s="217" t="n">
        <x:v>803</x:v>
      </x:c>
      <x:c r="J803" s="217" t="str">
        <x:f>IF(I803&lt;='排名定義'!$B$5,"是","")</x:f>
        <x:v>是</x:v>
      </x:c>
      <x:c r="K803" s="217" t="n">
        <x:v>740</x:v>
      </x:c>
      <x:c r="L803" s="217" t="str">
        <x:f>IF(K803&lt;='排名定義'!$B$5,"是","")</x:f>
        <x:v>是</x:v>
      </x:c>
      <x:c r="M803" s="217" t="n">
        <x:f>COUNTIF(H803:L803,"是")</x:f>
        <x:v>3</x:v>
      </x:c>
      <x:c r="N803" s="217" t="str">
        <x:v>三份皆未入選</x:v>
      </x:c>
      <x:c r="O803" s="220" t="n">
        <x:v>47.00833333333333</x:v>
      </x:c>
      <x:c r="P803" s="220" t="n">
        <x:v>42.825</x:v>
      </x:c>
      <x:c r="Q803" s="220" t="n">
        <x:v>4.183333333333334</x:v>
      </x:c>
      <x:c r="R803" s="220" t="n">
        <x:v>0.08899131359687999</x:v>
      </x:c>
      <x:c r="S803" s="220" t="n">
        <x:v>62.774193548387096</x:v>
      </x:c>
      <x:c r="T803" s="220" t="n">
        <x:v>60.096774193548384</x:v>
      </x:c>
      <x:c r="U803" s="220" t="n">
        <x:v>2.6774193548387095</x:v>
      </x:c>
      <x:c r="V803" s="218" t="n">
        <x:v>0.0967741935483871</x:v>
      </x:c>
      <x:c r="W803" s="217" t="n">
        <x:v>30</x:v>
      </x:c>
      <x:c r="X803" s="222" t="n">
        <x:v>3330</x:v>
      </x:c>
      <x:c r="Y803" s="217" t="n">
        <x:v>19</x:v>
      </x:c>
    </x:row>
    <x:row r="804">
      <x:c r="A804" s="216" t="n">
        <x:v>315</x:v>
      </x:c>
      <x:c r="B804" s="216" t="str">
        <x:v>三民長榮路口</x:v>
      </x:c>
      <x:c r="C804" s="216" t="str">
        <x:v>蘆洲區</x:v>
      </x:c>
      <x:c r="D804" s="216" t="n">
        <x:v>15</x:v>
      </x:c>
      <x:c r="E804" s="216" t="n">
        <x:v>120</x:v>
      </x:c>
      <x:c r="F804" s="219" t="n">
        <x:v>0.9994791666666667</x:v>
      </x:c>
      <x:c r="G804" s="216" t="n">
        <x:v>800</x:v>
      </x:c>
      <x:c r="H804" s="216" t="str">
        <x:f>IF(G804&lt;='排名定義'!$B$5,"是","")</x:f>
        <x:v>是</x:v>
      </x:c>
      <x:c r="I804" s="216" t="n">
        <x:v>794</x:v>
      </x:c>
      <x:c r="J804" s="216" t="str">
        <x:f>IF(I804&lt;='排名定義'!$B$5,"是","")</x:f>
        <x:v>是</x:v>
      </x:c>
      <x:c r="K804" s="216" t="n">
        <x:v>894</x:v>
      </x:c>
      <x:c r="L804" s="216" t="str">
        <x:f>IF(K804&lt;='排名定義'!$B$5,"是","")</x:f>
        <x:v>是</x:v>
      </x:c>
      <x:c r="M804" s="216" t="n">
        <x:f>COUNTIF(H804:L804,"是")</x:f>
        <x:v>3</x:v>
      </x:c>
      <x:c r="N804" s="216" t="str">
        <x:v>三份皆未入選</x:v>
      </x:c>
      <x:c r="O804" s="221" t="n">
        <x:v>46.99166666666667</x:v>
      </x:c>
      <x:c r="P804" s="221" t="n">
        <x:v>43.25</x:v>
      </x:c>
      <x:c r="Q804" s="221" t="n">
        <x:v>3.7416666666666667</x:v>
      </x:c>
      <x:c r="R804" s="221" t="n">
        <x:v>0.0796240468168115</x:v>
      </x:c>
      <x:c r="S804" s="221" t="n">
        <x:v>64.6774193548387</x:v>
      </x:c>
      <x:c r="T804" s="221" t="n">
        <x:v>61.516129032258064</x:v>
      </x:c>
      <x:c r="U804" s="221" t="n">
        <x:v>3.161290322580645</x:v>
      </x:c>
      <x:c r="V804" s="219" t="n">
        <x:v>0.10829493087557604</x:v>
      </x:c>
      <x:c r="W804" s="216" t="n">
        <x:v>38</x:v>
      </x:c>
      <x:c r="X804" s="223" t="n">
        <x:v>4650</x:v>
      </x:c>
      <x:c r="Y804" s="216" t="n">
        <x:v>15</x:v>
      </x:c>
    </x:row>
    <x:row r="805">
      <x:c r="A805" s="217" t="n">
        <x:v>908</x:v>
      </x:c>
      <x:c r="B805" s="217" t="str">
        <x:v>圓通路335巷33弄</x:v>
      </x:c>
      <x:c r="C805" s="217" t="str">
        <x:v>中和區</x:v>
      </x:c>
      <x:c r="D805" s="217" t="n">
        <x:v>26</x:v>
      </x:c>
      <x:c r="E805" s="217" t="n">
        <x:v>120</x:v>
      </x:c>
      <x:c r="F805" s="218" t="n">
        <x:v>0.9994791666666667</x:v>
      </x:c>
      <x:c r="G805" s="217" t="n">
        <x:v>801</x:v>
      </x:c>
      <x:c r="H805" s="217" t="str">
        <x:f>IF(G805&lt;='排名定義'!$B$5,"是","")</x:f>
        <x:v>是</x:v>
      </x:c>
      <x:c r="I805" s="217" t="n">
        <x:v>805</x:v>
      </x:c>
      <x:c r="J805" s="217" t="str">
        <x:f>IF(I805&lt;='排名定義'!$B$5,"是","")</x:f>
        <x:v>是</x:v>
      </x:c>
      <x:c r="K805" s="217" t="n">
        <x:v>692</x:v>
      </x:c>
      <x:c r="L805" s="217" t="str">
        <x:f>IF(K805&lt;='排名定義'!$B$5,"是","")</x:f>
        <x:v>是</x:v>
      </x:c>
      <x:c r="M805" s="217" t="n">
        <x:f>COUNTIF(H805:L805,"是")</x:f>
        <x:v>3</x:v>
      </x:c>
      <x:c r="N805" s="217" t="str">
        <x:v>三份皆未入選</x:v>
      </x:c>
      <x:c r="O805" s="220" t="n">
        <x:v>46.958333333333336</x:v>
      </x:c>
      <x:c r="P805" s="220" t="n">
        <x:v>42.625</x:v>
      </x:c>
      <x:c r="Q805" s="220" t="n">
        <x:v>4.333333333333333</x:v>
      </x:c>
      <x:c r="R805" s="220" t="n">
        <x:v>0.09228039041703638</x:v>
      </x:c>
      <x:c r="S805" s="220" t="n">
        <x:v>64.90322580645162</x:v>
      </x:c>
      <x:c r="T805" s="220" t="n">
        <x:v>61.29032258064516</x:v>
      </x:c>
      <x:c r="U805" s="220" t="n">
        <x:v>3.6129032258064515</x:v>
      </x:c>
      <x:c r="V805" s="218" t="n">
        <x:v>0.07603686635944701</x:v>
      </x:c>
      <x:c r="W805" s="217" t="n">
        <x:v>15</x:v>
      </x:c>
      <x:c r="X805" s="222" t="n">
        <x:v>1800</x:v>
      </x:c>
      <x:c r="Y805" s="217" t="n">
        <x:v>26</x:v>
      </x:c>
    </x:row>
    <x:row r="806">
      <x:c r="A806" s="216" t="n">
        <x:v>797</x:v>
      </x:c>
      <x:c r="B806" s="216" t="str">
        <x:v>崇德橋東活動中心</x:v>
      </x:c>
      <x:c r="C806" s="216" t="str">
        <x:v>汐止區</x:v>
      </x:c>
      <x:c r="D806" s="216" t="n">
        <x:v>22</x:v>
      </x:c>
      <x:c r="E806" s="216" t="n">
        <x:v>120</x:v>
      </x:c>
      <x:c r="F806" s="219" t="n">
        <x:v>0.9994791666666667</x:v>
      </x:c>
      <x:c r="G806" s="216" t="n">
        <x:v>802</x:v>
      </x:c>
      <x:c r="H806" s="216" t="str">
        <x:f>IF(G806&lt;='排名定義'!$B$5,"是","")</x:f>
        <x:v>是</x:v>
      </x:c>
      <x:c r="I806" s="216" t="n">
        <x:v>800</x:v>
      </x:c>
      <x:c r="J806" s="216" t="str">
        <x:f>IF(I806&lt;='排名定義'!$B$5,"是","")</x:f>
        <x:v>是</x:v>
      </x:c>
      <x:c r="K806" s="216" t="n">
        <x:v>800</x:v>
      </x:c>
      <x:c r="L806" s="216" t="str">
        <x:f>IF(K806&lt;='排名定義'!$B$5,"是","")</x:f>
        <x:v>是</x:v>
      </x:c>
      <x:c r="M806" s="216" t="n">
        <x:f>COUNTIF(H806:L806,"是")</x:f>
        <x:v>3</x:v>
      </x:c>
      <x:c r="N806" s="216" t="str">
        <x:v>三份皆未入選</x:v>
      </x:c>
      <x:c r="O806" s="221" t="n">
        <x:v>46.90833333333333</x:v>
      </x:c>
      <x:c r="P806" s="221" t="n">
        <x:v>42.916666666666664</x:v>
      </x:c>
      <x:c r="Q806" s="221" t="n">
        <x:v>3.9916666666666667</x:v>
      </x:c>
      <x:c r="R806" s="221" t="n">
        <x:v>0.08509504352460473</x:v>
      </x:c>
      <x:c r="S806" s="221" t="n">
        <x:v>72.06451612903226</x:v>
      </x:c>
      <x:c r="T806" s="221" t="n">
        <x:v>68.09677419354838</x:v>
      </x:c>
      <x:c r="U806" s="221" t="n">
        <x:v>3.967741935483871</x:v>
      </x:c>
      <x:c r="V806" s="219" t="n">
        <x:v>0.07142857142857142</x:v>
      </x:c>
      <x:c r="W806" s="216" t="n">
        <x:v>22</x:v>
      </x:c>
      <x:c r="X806" s="223" t="n">
        <x:v>2700</x:v>
      </x:c>
      <x:c r="Y806" s="216" t="n">
        <x:v>22</x:v>
      </x:c>
    </x:row>
    <x:row r="807">
      <x:c r="A807" s="217" t="n">
        <x:v>157</x:v>
      </x:c>
      <x:c r="B807" s="217" t="str">
        <x:v>雙鳳公園</x:v>
      </x:c>
      <x:c r="C807" s="217" t="str">
        <x:v>新莊區</x:v>
      </x:c>
      <x:c r="D807" s="217" t="n">
        <x:v>11</x:v>
      </x:c>
      <x:c r="E807" s="217" t="n">
        <x:v>120</x:v>
      </x:c>
      <x:c r="F807" s="218" t="n">
        <x:v>0.9994791666666667</x:v>
      </x:c>
      <x:c r="G807" s="217" t="n">
        <x:v>803</x:v>
      </x:c>
      <x:c r="H807" s="217" t="str">
        <x:f>IF(G807&lt;='排名定義'!$B$5,"是","")</x:f>
        <x:v>是</x:v>
      </x:c>
      <x:c r="I807" s="217" t="n">
        <x:v>791</x:v>
      </x:c>
      <x:c r="J807" s="217" t="str">
        <x:f>IF(I807&lt;='排名定義'!$B$5,"是","")</x:f>
        <x:v>是</x:v>
      </x:c>
      <x:c r="K807" s="217" t="n">
        <x:v>951</x:v>
      </x:c>
      <x:c r="L807" s="217" t="str">
        <x:f>IF(K807&lt;='排名定義'!$B$5,"是","")</x:f>
        <x:v>是</x:v>
      </x:c>
      <x:c r="M807" s="217" t="n">
        <x:f>COUNTIF(H807:L807,"是")</x:f>
        <x:v>3</x:v>
      </x:c>
      <x:c r="N807" s="217" t="str">
        <x:v>三份皆未入選</x:v>
      </x:c>
      <x:c r="O807" s="220" t="n">
        <x:v>46.858333333333334</x:v>
      </x:c>
      <x:c r="P807" s="220" t="n">
        <x:v>43.291666666666664</x:v>
      </x:c>
      <x:c r="Q807" s="220" t="n">
        <x:v>3.566666666666667</x:v>
      </x:c>
      <x:c r="R807" s="220" t="n">
        <x:v>0.07611595233860928</x:v>
      </x:c>
      <x:c r="S807" s="220" t="n">
        <x:v>61.61290322580645</x:v>
      </x:c>
      <x:c r="T807" s="220" t="n">
        <x:v>58.03225806451613</x:v>
      </x:c>
      <x:c r="U807" s="220" t="n">
        <x:v>3.5806451612903225</x:v>
      </x:c>
      <x:c r="V807" s="218" t="n">
        <x:v>0.195852534562212</x:v>
      </x:c>
      <x:c r="W807" s="217" t="n">
        <x:v>39</x:v>
      </x:c>
      <x:c r="X807" s="222" t="n">
        <x:v>4830</x:v>
      </x:c>
      <x:c r="Y807" s="217" t="n">
        <x:v>11</x:v>
      </x:c>
    </x:row>
    <x:row r="808">
      <x:c r="A808" s="216" t="n">
        <x:v>1451</x:v>
      </x:c>
      <x:c r="B808" s="216" t="str">
        <x:v>中平國中</x:v>
      </x:c>
      <x:c r="C808" s="216" t="str">
        <x:v>新莊區</x:v>
      </x:c>
      <x:c r="D808" s="216" t="n">
        <x:v>50</x:v>
      </x:c>
      <x:c r="E808" s="216" t="n">
        <x:v>120</x:v>
      </x:c>
      <x:c r="F808" s="219" t="n">
        <x:v>0.9994791666666667</x:v>
      </x:c>
      <x:c r="G808" s="216" t="n">
        <x:v>804</x:v>
      </x:c>
      <x:c r="H808" s="216" t="str">
        <x:f>IF(G808&lt;='排名定義'!$B$5,"是","")</x:f>
        <x:v>是</x:v>
      </x:c>
      <x:c r="I808" s="216" t="n">
        <x:v>828</x:v>
      </x:c>
      <x:c r="J808" s="216" t="str">
        <x:f>IF(I808&lt;='排名定義'!$B$5,"是","")</x:f>
        <x:v>是</x:v>
      </x:c>
      <x:c r="K808" s="216" t="n">
        <x:v>331</x:v>
      </x:c>
      <x:c r="L808" s="216" t="str">
        <x:f>IF(K808&lt;='排名定義'!$B$5,"是","")</x:f>
        <x:v>是</x:v>
      </x:c>
      <x:c r="M808" s="216" t="n">
        <x:f>COUNTIF(H808:L808,"是")</x:f>
        <x:v>3</x:v>
      </x:c>
      <x:c r="N808" s="216" t="str">
        <x:v>僅大幅變動</x:v>
      </x:c>
      <x:c r="O808" s="221" t="n">
        <x:v>46.8</x:v>
      </x:c>
      <x:c r="P808" s="221" t="n">
        <x:v>40.68333333333333</x:v>
      </x:c>
      <x:c r="Q808" s="221" t="n">
        <x:v>6.116666666666666</x:v>
      </x:c>
      <x:c r="R808" s="221" t="n">
        <x:v>0.1306980056980057</x:v>
      </x:c>
      <x:c r="S808" s="221" t="n">
        <x:v>68.48387096774194</x:v>
      </x:c>
      <x:c r="T808" s="221" t="n">
        <x:v>63.03225806451613</x:v>
      </x:c>
      <x:c r="U808" s="221" t="n">
        <x:v>5.451612903225806</x:v>
      </x:c>
      <x:c r="V808" s="219" t="n">
        <x:v>0.14285714285714285</x:v>
      </x:c>
      <x:c r="W808" s="216" t="n">
        <x:v>25</x:v>
      </x:c>
      <x:c r="X808" s="223" t="n">
        <x:v>3120</x:v>
      </x:c>
      <x:c r="Y808" s="216" t="n">
        <x:v>50</x:v>
      </x:c>
    </x:row>
    <x:row r="809">
      <x:c r="A809" s="217" t="n">
        <x:v>1255</x:v>
      </x:c>
      <x:c r="B809" s="217" t="str">
        <x:v>中正北路25巷(交響院社區)</x:v>
      </x:c>
      <x:c r="C809" s="217" t="str">
        <x:v>三重區</x:v>
      </x:c>
      <x:c r="D809" s="217" t="n">
        <x:v>40</x:v>
      </x:c>
      <x:c r="E809" s="217" t="n">
        <x:v>120</x:v>
      </x:c>
      <x:c r="F809" s="218" t="n">
        <x:v>0.9994791666666667</x:v>
      </x:c>
      <x:c r="G809" s="217" t="n">
        <x:v>805</x:v>
      </x:c>
      <x:c r="H809" s="217" t="str">
        <x:f>IF(G809&lt;='排名定義'!$B$5,"是","")</x:f>
        <x:v>是</x:v>
      </x:c>
      <x:c r="I809" s="217" t="n">
        <x:v>813</x:v>
      </x:c>
      <x:c r="J809" s="217" t="str">
        <x:f>IF(I809&lt;='排名定義'!$B$5,"是","")</x:f>
        <x:v>是</x:v>
      </x:c>
      <x:c r="K809" s="217" t="n">
        <x:v>663</x:v>
      </x:c>
      <x:c r="L809" s="217" t="str">
        <x:f>IF(K809&lt;='排名定義'!$B$5,"是","")</x:f>
        <x:v>是</x:v>
      </x:c>
      <x:c r="M809" s="217" t="n">
        <x:f>COUNTIF(H809:L809,"是")</x:f>
        <x:v>3</x:v>
      </x:c>
      <x:c r="N809" s="217" t="str">
        <x:v>三份皆未入選</x:v>
      </x:c>
      <x:c r="O809" s="220" t="n">
        <x:v>46.65833333333333</x:v>
      </x:c>
      <x:c r="P809" s="220" t="n">
        <x:v>42.233333333333334</x:v>
      </x:c>
      <x:c r="Q809" s="220" t="n">
        <x:v>4.425</x:v>
      </x:c>
      <x:c r="R809" s="220" t="n">
        <x:v>0.09483836399357028</x:v>
      </x:c>
      <x:c r="S809" s="220" t="n">
        <x:v>62.38709677419355</x:v>
      </x:c>
      <x:c r="T809" s="220" t="n">
        <x:v>59.38709677419355</x:v>
      </x:c>
      <x:c r="U809" s="220" t="n">
        <x:v>3</x:v>
      </x:c>
      <x:c r="V809" s="218" t="n">
        <x:v>0.06682027649769585</x:v>
      </x:c>
      <x:c r="W809" s="217" t="n">
        <x:v>13</x:v>
      </x:c>
      <x:c r="X809" s="222" t="n">
        <x:v>1740</x:v>
      </x:c>
      <x:c r="Y809" s="217" t="n">
        <x:v>40</x:v>
      </x:c>
    </x:row>
    <x:row r="810">
      <x:c r="A810" s="216" t="n">
        <x:v>609</x:v>
      </x:c>
      <x:c r="B810" s="216" t="str">
        <x:v>啟德橋(招商街)</x:v>
      </x:c>
      <x:c r="C810" s="216" t="str">
        <x:v>汐止區</x:v>
      </x:c>
      <x:c r="D810" s="216" t="n">
        <x:v>19</x:v>
      </x:c>
      <x:c r="E810" s="216" t="n">
        <x:v>120</x:v>
      </x:c>
      <x:c r="F810" s="219" t="n">
        <x:v>0.9994791666666667</x:v>
      </x:c>
      <x:c r="G810" s="216" t="n">
        <x:v>806</x:v>
      </x:c>
      <x:c r="H810" s="216" t="str">
        <x:f>IF(G810&lt;='排名定義'!$B$5,"是","")</x:f>
        <x:v>是</x:v>
      </x:c>
      <x:c r="I810" s="216" t="n">
        <x:v>798</x:v>
      </x:c>
      <x:c r="J810" s="216" t="str">
        <x:f>IF(I810&lt;='排名定義'!$B$5,"是","")</x:f>
        <x:v>是</x:v>
      </x:c>
      <x:c r="K810" s="216" t="n">
        <x:v>942</x:v>
      </x:c>
      <x:c r="L810" s="216" t="str">
        <x:f>IF(K810&lt;='排名定義'!$B$5,"是","")</x:f>
        <x:v>是</x:v>
      </x:c>
      <x:c r="M810" s="216" t="n">
        <x:f>COUNTIF(H810:L810,"是")</x:f>
        <x:v>3</x:v>
      </x:c>
      <x:c r="N810" s="216" t="str">
        <x:v>三份皆未入選</x:v>
      </x:c>
      <x:c r="O810" s="221" t="n">
        <x:v>46.608333333333334</x:v>
      </x:c>
      <x:c r="P810" s="221" t="n">
        <x:v>43.016666666666666</x:v>
      </x:c>
      <x:c r="Q810" s="221" t="n">
        <x:v>3.591666666666667</x:v>
      </x:c>
      <x:c r="R810" s="221" t="n">
        <x:v>0.07706061147863401</x:v>
      </x:c>
      <x:c r="S810" s="221" t="n">
        <x:v>74.74193548387096</x:v>
      </x:c>
      <x:c r="T810" s="221" t="n">
        <x:v>71.29032258064517</x:v>
      </x:c>
      <x:c r="U810" s="221" t="n">
        <x:v>3.4516129032258065</x:v>
      </x:c>
      <x:c r="V810" s="219" t="n">
        <x:v>0.07142857142857142</x:v>
      </x:c>
      <x:c r="W810" s="216" t="n">
        <x:v>19</x:v>
      </x:c>
      <x:c r="X810" s="223" t="n">
        <x:v>2220</x:v>
      </x:c>
      <x:c r="Y810" s="216" t="n">
        <x:v>19</x:v>
      </x:c>
    </x:row>
    <x:row r="811">
      <x:c r="A811" s="217" t="n">
        <x:v>665</x:v>
      </x:c>
      <x:c r="B811" s="217" t="str">
        <x:v>新民新春街口</x:v>
      </x:c>
      <x:c r="C811" s="217" t="str">
        <x:v>淡水區</x:v>
      </x:c>
      <x:c r="D811" s="217" t="n">
        <x:v>20</x:v>
      </x:c>
      <x:c r="E811" s="217" t="n">
        <x:v>120</x:v>
      </x:c>
      <x:c r="F811" s="218" t="n">
        <x:v>0.9994791666666667</x:v>
      </x:c>
      <x:c r="G811" s="217" t="n">
        <x:v>807</x:v>
      </x:c>
      <x:c r="H811" s="217" t="str">
        <x:f>IF(G811&lt;='排名定義'!$B$5,"是","")</x:f>
        <x:v>是</x:v>
      </x:c>
      <x:c r="I811" s="217" t="n">
        <x:v>822</x:v>
      </x:c>
      <x:c r="J811" s="217" t="str">
        <x:f>IF(I811&lt;='排名定義'!$B$5,"是","")</x:f>
        <x:v>是</x:v>
      </x:c>
      <x:c r="K811" s="217" t="n">
        <x:v>412</x:v>
      </x:c>
      <x:c r="L811" s="217" t="str">
        <x:f>IF(K811&lt;='排名定義'!$B$5,"是","")</x:f>
        <x:v>是</x:v>
      </x:c>
      <x:c r="M811" s="217" t="n">
        <x:f>COUNTIF(H811:L811,"是")</x:f>
        <x:v>3</x:v>
      </x:c>
      <x:c r="N811" s="217" t="str">
        <x:v>三份皆未入選</x:v>
      </x:c>
      <x:c r="O811" s="220" t="n">
        <x:v>46.55833333333333</x:v>
      </x:c>
      <x:c r="P811" s="220" t="n">
        <x:v>40.94166666666667</x:v>
      </x:c>
      <x:c r="Q811" s="220" t="n">
        <x:v>5.616666666666666</x:v>
      </x:c>
      <x:c r="R811" s="220" t="n">
        <x:v>0.1206371934848756</x:v>
      </x:c>
      <x:c r="S811" s="220" t="n">
        <x:v>72.6774193548387</x:v>
      </x:c>
      <x:c r="T811" s="220" t="n">
        <x:v>65.58064516129032</x:v>
      </x:c>
      <x:c r="U811" s="220" t="n">
        <x:v>7.096774193548387</x:v>
      </x:c>
      <x:c r="V811" s="218" t="n">
        <x:v>0.20046082949308755</x:v>
      </x:c>
      <x:c r="W811" s="217" t="n">
        <x:v>44</x:v>
      </x:c>
      <x:c r="X811" s="222" t="n">
        <x:v>4860</x:v>
      </x:c>
      <x:c r="Y811" s="217" t="n">
        <x:v>20</x:v>
      </x:c>
    </x:row>
    <x:row r="812">
      <x:c r="A812" s="216" t="n">
        <x:v>613</x:v>
      </x:c>
      <x:c r="B812" s="216" t="str">
        <x:v>捷運蘆洲站(蘆洲捷運公園)</x:v>
      </x:c>
      <x:c r="C812" s="216" t="str">
        <x:v>蘆洲區</x:v>
      </x:c>
      <x:c r="D812" s="216" t="n">
        <x:v>19</x:v>
      </x:c>
      <x:c r="E812" s="216" t="n">
        <x:v>120</x:v>
      </x:c>
      <x:c r="F812" s="219" t="n">
        <x:v>0.9994791666666667</x:v>
      </x:c>
      <x:c r="G812" s="216" t="n">
        <x:v>808</x:v>
      </x:c>
      <x:c r="H812" s="216" t="str">
        <x:f>IF(G812&lt;='排名定義'!$B$5,"是","")</x:f>
        <x:v>是</x:v>
      </x:c>
      <x:c r="I812" s="216" t="n">
        <x:v>810</x:v>
      </x:c>
      <x:c r="J812" s="216" t="str">
        <x:f>IF(I812&lt;='排名定義'!$B$5,"是","")</x:f>
        <x:v>是</x:v>
      </x:c>
      <x:c r="K812" s="216" t="n">
        <x:v>763</x:v>
      </x:c>
      <x:c r="L812" s="216" t="str">
        <x:f>IF(K812&lt;='排名定義'!$B$5,"是","")</x:f>
        <x:v>是</x:v>
      </x:c>
      <x:c r="M812" s="216" t="n">
        <x:f>COUNTIF(H812:L812,"是")</x:f>
        <x:v>3</x:v>
      </x:c>
      <x:c r="N812" s="216" t="str">
        <x:v>三份皆未入選</x:v>
      </x:c>
      <x:c r="O812" s="221" t="n">
        <x:v>46.541666666666664</x:v>
      </x:c>
      <x:c r="P812" s="221" t="n">
        <x:v>42.44166666666667</x:v>
      </x:c>
      <x:c r="Q812" s="221" t="n">
        <x:v>4.1</x:v>
      </x:c>
      <x:c r="R812" s="221" t="n">
        <x:v>0.08809310653536258</x:v>
      </x:c>
      <x:c r="S812" s="221" t="n">
        <x:v>59.225806451612904</x:v>
      </x:c>
      <x:c r="T812" s="221" t="n">
        <x:v>54.38709677419355</x:v>
      </x:c>
      <x:c r="U812" s="221" t="n">
        <x:v>4.838709677419355</x:v>
      </x:c>
      <x:c r="V812" s="219" t="n">
        <x:v>0.055299539170506916</x:v>
      </x:c>
      <x:c r="W812" s="216" t="n">
        <x:v>25</x:v>
      </x:c>
      <x:c r="X812" s="223" t="n">
        <x:v>4290</x:v>
      </x:c>
      <x:c r="Y812" s="216" t="n">
        <x:v>19</x:v>
      </x:c>
    </x:row>
    <x:row r="813">
      <x:c r="A813" s="217" t="n">
        <x:v>608</x:v>
      </x:c>
      <x:c r="B813" s="217" t="str">
        <x:v>中興文化路口(東南側)</x:v>
      </x:c>
      <x:c r="C813" s="217" t="str">
        <x:v>新店區</x:v>
      </x:c>
      <x:c r="D813" s="217" t="n">
        <x:v>19</x:v>
      </x:c>
      <x:c r="E813" s="217" t="n">
        <x:v>120</x:v>
      </x:c>
      <x:c r="F813" s="218" t="n">
        <x:v>0.9994791666666667</x:v>
      </x:c>
      <x:c r="G813" s="217" t="n">
        <x:v>809</x:v>
      </x:c>
      <x:c r="H813" s="217" t="str">
        <x:f>IF(G813&lt;='排名定義'!$B$5,"是","")</x:f>
        <x:v>是</x:v>
      </x:c>
      <x:c r="I813" s="217" t="n">
        <x:v>795</x:v>
      </x:c>
      <x:c r="J813" s="217" t="str">
        <x:f>IF(I813&lt;='排名定義'!$B$5,"是","")</x:f>
        <x:v>是</x:v>
      </x:c>
      <x:c r="K813" s="217" t="n">
        <x:v>1039</x:v>
      </x:c>
      <x:c r="L813" s="217" t="str">
        <x:f>IF(K813&lt;='排名定義'!$B$5,"是","")</x:f>
        <x:v>是</x:v>
      </x:c>
      <x:c r="M813" s="217" t="n">
        <x:f>COUNTIF(H813:L813,"是")</x:f>
        <x:v>3</x:v>
      </x:c>
      <x:c r="N813" s="217" t="str">
        <x:v>三份皆未入選</x:v>
      </x:c>
      <x:c r="O813" s="220" t="n">
        <x:v>46.516666666666666</x:v>
      </x:c>
      <x:c r="P813" s="220" t="n">
        <x:v>43.15833333333333</x:v>
      </x:c>
      <x:c r="Q813" s="220" t="n">
        <x:v>3.3583333333333334</x:v>
      </x:c>
      <x:c r="R813" s="220" t="n">
        <x:v>0.07219634539591545</x:v>
      </x:c>
      <x:c r="S813" s="220" t="n">
        <x:v>67.29032258064517</x:v>
      </x:c>
      <x:c r="T813" s="220" t="n">
        <x:v>64.6774193548387</x:v>
      </x:c>
      <x:c r="U813" s="220" t="n">
        <x:v>2.6129032258064515</x:v>
      </x:c>
      <x:c r="V813" s="218" t="n">
        <x:v>0.1336405529953917</x:v>
      </x:c>
      <x:c r="W813" s="217" t="n">
        <x:v>21</x:v>
      </x:c>
      <x:c r="X813" s="222" t="n">
        <x:v>3480</x:v>
      </x:c>
      <x:c r="Y813" s="217" t="n">
        <x:v>19</x:v>
      </x:c>
    </x:row>
    <x:row r="814">
      <x:c r="A814" s="216" t="n">
        <x:v>271</x:v>
      </x:c>
      <x:c r="B814" s="216" t="str">
        <x:v>寶高路120巷口</x:v>
      </x:c>
      <x:c r="C814" s="216" t="str">
        <x:v>新店區</x:v>
      </x:c>
      <x:c r="D814" s="216" t="n">
        <x:v>14</x:v>
      </x:c>
      <x:c r="E814" s="216" t="n">
        <x:v>120</x:v>
      </x:c>
      <x:c r="F814" s="219" t="n">
        <x:v>0.9994791666666667</x:v>
      </x:c>
      <x:c r="G814" s="216" t="n">
        <x:v>810</x:v>
      </x:c>
      <x:c r="H814" s="216" t="str">
        <x:f>IF(G814&lt;='排名定義'!$B$5,"是","")</x:f>
        <x:v>是</x:v>
      </x:c>
      <x:c r="I814" s="216" t="n">
        <x:v>801</x:v>
      </x:c>
      <x:c r="J814" s="216" t="str">
        <x:f>IF(I814&lt;='排名定義'!$B$5,"是","")</x:f>
        <x:v>是</x:v>
      </x:c>
      <x:c r="K814" s="216" t="n">
        <x:v>946</x:v>
      </x:c>
      <x:c r="L814" s="216" t="str">
        <x:f>IF(K814&lt;='排名定義'!$B$5,"是","")</x:f>
        <x:v>是</x:v>
      </x:c>
      <x:c r="M814" s="216" t="n">
        <x:f>COUNTIF(H814:L814,"是")</x:f>
        <x:v>3</x:v>
      </x:c>
      <x:c r="N814" s="216" t="str">
        <x:v>三份皆未入選</x:v>
      </x:c>
      <x:c r="O814" s="221" t="n">
        <x:v>46.49166666666667</x:v>
      </x:c>
      <x:c r="P814" s="221" t="n">
        <x:v>42.90833333333333</x:v>
      </x:c>
      <x:c r="Q814" s="221" t="n">
        <x:v>3.5833333333333335</x:v>
      </x:c>
      <x:c r="R814" s="221" t="n">
        <x:v>0.07707474457788134</x:v>
      </x:c>
      <x:c r="S814" s="221" t="n">
        <x:v>58.67741935483871</x:v>
      </x:c>
      <x:c r="T814" s="221" t="n">
        <x:v>55.903225806451616</x:v>
      </x:c>
      <x:c r="U814" s="221" t="n">
        <x:v>2.774193548387097</x:v>
      </x:c>
      <x:c r="V814" s="219" t="n">
        <x:v>0.17511520737327188</x:v>
      </x:c>
      <x:c r="W814" s="216" t="n">
        <x:v>53</x:v>
      </x:c>
      <x:c r="X814" s="223" t="n">
        <x:v>5940</x:v>
      </x:c>
      <x:c r="Y814" s="216" t="n">
        <x:v>14</x:v>
      </x:c>
    </x:row>
    <x:row r="815">
      <x:c r="A815" s="217" t="n">
        <x:v>825</x:v>
      </x:c>
      <x:c r="B815" s="217" t="str">
        <x:v>中央新村(中央三街)</x:v>
      </x:c>
      <x:c r="C815" s="217" t="str">
        <x:v>新店區</x:v>
      </x:c>
      <x:c r="D815" s="217" t="n">
        <x:v>23</x:v>
      </x:c>
      <x:c r="E815" s="217" t="n">
        <x:v>120</x:v>
      </x:c>
      <x:c r="F815" s="218" t="n">
        <x:v>0.9994791666666667</x:v>
      </x:c>
      <x:c r="G815" s="217" t="n">
        <x:v>811</x:v>
      </x:c>
      <x:c r="H815" s="217" t="str">
        <x:f>IF(G815&lt;='排名定義'!$B$5,"是","")</x:f>
        <x:v>是</x:v>
      </x:c>
      <x:c r="I815" s="217" t="n">
        <x:v>808</x:v>
      </x:c>
      <x:c r="J815" s="217" t="str">
        <x:f>IF(I815&lt;='排名定義'!$B$5,"是","")</x:f>
        <x:v>是</x:v>
      </x:c>
      <x:c r="K815" s="217" t="n">
        <x:v>810</x:v>
      </x:c>
      <x:c r="L815" s="217" t="str">
        <x:f>IF(K815&lt;='排名定義'!$B$5,"是","")</x:f>
        <x:v>是</x:v>
      </x:c>
      <x:c r="M815" s="217" t="n">
        <x:f>COUNTIF(H815:L815,"是")</x:f>
        <x:v>3</x:v>
      </x:c>
      <x:c r="N815" s="217" t="str">
        <x:v>三份皆未入選</x:v>
      </x:c>
      <x:c r="O815" s="220" t="n">
        <x:v>46.475</x:v>
      </x:c>
      <x:c r="P815" s="220" t="n">
        <x:v>42.50833333333333</x:v>
      </x:c>
      <x:c r="Q815" s="220" t="n">
        <x:v>3.966666666666667</x:v>
      </x:c>
      <x:c r="R815" s="220" t="n">
        <x:v>0.08535054688900842</x:v>
      </x:c>
      <x:c r="S815" s="220" t="n">
        <x:v>66.83870967741936</x:v>
      </x:c>
      <x:c r="T815" s="220" t="n">
        <x:v>62.774193548387096</x:v>
      </x:c>
      <x:c r="U815" s="220" t="n">
        <x:v>4.064516129032258</x:v>
      </x:c>
      <x:c r="V815" s="218" t="n">
        <x:v>0.04838709677419355</x:v>
      </x:c>
      <x:c r="W815" s="217" t="n">
        <x:v>16</x:v>
      </x:c>
      <x:c r="X815" s="222" t="n">
        <x:v>1770</x:v>
      </x:c>
      <x:c r="Y815" s="217" t="n">
        <x:v>23</x:v>
      </x:c>
    </x:row>
    <x:row r="816">
      <x:c r="A816" s="216" t="n">
        <x:v>491</x:v>
      </x:c>
      <x:c r="B816" s="216" t="str">
        <x:v>秀峰高中(忠孝東路)</x:v>
      </x:c>
      <x:c r="C816" s="216" t="str">
        <x:v>汐止區</x:v>
      </x:c>
      <x:c r="D816" s="216" t="n">
        <x:v>16</x:v>
      </x:c>
      <x:c r="E816" s="216" t="n">
        <x:v>120</x:v>
      </x:c>
      <x:c r="F816" s="219" t="n">
        <x:v>0.9994791666666667</x:v>
      </x:c>
      <x:c r="G816" s="216" t="n">
        <x:v>812</x:v>
      </x:c>
      <x:c r="H816" s="216" t="str">
        <x:f>IF(G816&lt;='排名定義'!$B$5,"是","")</x:f>
        <x:v>是</x:v>
      </x:c>
      <x:c r="I816" s="216" t="n">
        <x:v>814</x:v>
      </x:c>
      <x:c r="J816" s="216" t="str">
        <x:f>IF(I816&lt;='排名定義'!$B$5,"是","")</x:f>
        <x:v>是</x:v>
      </x:c>
      <x:c r="K816" s="216" t="n">
        <x:v>743</x:v>
      </x:c>
      <x:c r="L816" s="216" t="str">
        <x:f>IF(K816&lt;='排名定義'!$B$5,"是","")</x:f>
        <x:v>是</x:v>
      </x:c>
      <x:c r="M816" s="216" t="n">
        <x:f>COUNTIF(H816:L816,"是")</x:f>
        <x:v>3</x:v>
      </x:c>
      <x:c r="N816" s="216" t="str">
        <x:v>三份皆未入選</x:v>
      </x:c>
      <x:c r="O816" s="221" t="n">
        <x:v>46.358333333333334</x:v>
      </x:c>
      <x:c r="P816" s="221" t="n">
        <x:v>42.2</x:v>
      </x:c>
      <x:c r="Q816" s="221" t="n">
        <x:v>4.158333333333333</x:v>
      </x:c>
      <x:c r="R816" s="221" t="n">
        <x:v>0.08969980226496495</x:v>
      </x:c>
      <x:c r="S816" s="221" t="n">
        <x:v>71.16129032258064</x:v>
      </x:c>
      <x:c r="T816" s="221" t="n">
        <x:v>65.93548387096774</x:v>
      </x:c>
      <x:c r="U816" s="221" t="n">
        <x:v>5.225806451612903</x:v>
      </x:c>
      <x:c r="V816" s="219" t="n">
        <x:v>0.07373271889400922</x:v>
      </x:c>
      <x:c r="W816" s="216" t="n">
        <x:v>27</x:v>
      </x:c>
      <x:c r="X816" s="223" t="n">
        <x:v>3450</x:v>
      </x:c>
      <x:c r="Y816" s="216" t="n">
        <x:v>16</x:v>
      </x:c>
    </x:row>
    <x:row r="817">
      <x:c r="A817" s="217" t="n">
        <x:v>775</x:v>
      </x:c>
      <x:c r="B817" s="217" t="str">
        <x:v>自強臨時平面停車場</x:v>
      </x:c>
      <x:c r="C817" s="217" t="str">
        <x:v>三重區</x:v>
      </x:c>
      <x:c r="D817" s="217" t="n">
        <x:v>21</x:v>
      </x:c>
      <x:c r="E817" s="217" t="n">
        <x:v>120</x:v>
      </x:c>
      <x:c r="F817" s="218" t="n">
        <x:v>0.9994791666666667</x:v>
      </x:c>
      <x:c r="G817" s="217" t="n">
        <x:v>813</x:v>
      </x:c>
      <x:c r="H817" s="217" t="str">
        <x:f>IF(G817&lt;='排名定義'!$B$5,"是","")</x:f>
        <x:v>是</x:v>
      </x:c>
      <x:c r="I817" s="217" t="n">
        <x:v>807</x:v>
      </x:c>
      <x:c r="J817" s="217" t="str">
        <x:f>IF(I817&lt;='排名定義'!$B$5,"是","")</x:f>
        <x:v>是</x:v>
      </x:c>
      <x:c r="K817" s="217" t="n">
        <x:v>882</x:v>
      </x:c>
      <x:c r="L817" s="217" t="str">
        <x:f>IF(K817&lt;='排名定義'!$B$5,"是","")</x:f>
        <x:v>是</x:v>
      </x:c>
      <x:c r="M817" s="217" t="n">
        <x:f>COUNTIF(H817:L817,"是")</x:f>
        <x:v>3</x:v>
      </x:c>
      <x:c r="N817" s="217" t="str">
        <x:v>三份皆未入選</x:v>
      </x:c>
      <x:c r="O817" s="220" t="n">
        <x:v>46.31666666666667</x:v>
      </x:c>
      <x:c r="P817" s="220" t="n">
        <x:v>42.53333333333333</x:v>
      </x:c>
      <x:c r="Q817" s="220" t="n">
        <x:v>3.783333333333333</x:v>
      </x:c>
      <x:c r="R817" s="220" t="n">
        <x:v>0.08168405901403382</x:v>
      </x:c>
      <x:c r="S817" s="220" t="n">
        <x:v>56.12903225806452</x:v>
      </x:c>
      <x:c r="T817" s="220" t="n">
        <x:v>53.354838709677416</x:v>
      </x:c>
      <x:c r="U817" s="220" t="n">
        <x:v>2.774193548387097</x:v>
      </x:c>
      <x:c r="V817" s="218" t="n">
        <x:v>0.11290322580645161</x:v>
      </x:c>
      <x:c r="W817" s="217" t="n">
        <x:v>27</x:v>
      </x:c>
      <x:c r="X817" s="222" t="n">
        <x:v>3030</x:v>
      </x:c>
      <x:c r="Y817" s="217" t="n">
        <x:v>21</x:v>
      </x:c>
    </x:row>
    <x:row r="818">
      <x:c r="A818" s="216" t="n">
        <x:v>515</x:v>
      </x:c>
      <x:c r="B818" s="216" t="str">
        <x:v>中山文化二路口</x:v>
      </x:c>
      <x:c r="C818" s="216" t="str">
        <x:v>林口區</x:v>
      </x:c>
      <x:c r="D818" s="216" t="n">
        <x:v>17</x:v>
      </x:c>
      <x:c r="E818" s="216" t="n">
        <x:v>120</x:v>
      </x:c>
      <x:c r="F818" s="219" t="n">
        <x:v>0.9994791666666667</x:v>
      </x:c>
      <x:c r="G818" s="216" t="n">
        <x:v>814</x:v>
      </x:c>
      <x:c r="H818" s="216" t="str">
        <x:f>IF(G818&lt;='排名定義'!$B$5,"是","")</x:f>
        <x:v>是</x:v>
      </x:c>
      <x:c r="I818" s="216" t="n">
        <x:v>797</x:v>
      </x:c>
      <x:c r="J818" s="216" t="str">
        <x:f>IF(I818&lt;='排名定義'!$B$5,"是","")</x:f>
        <x:v>是</x:v>
      </x:c>
      <x:c r="K818" s="216" t="n">
        <x:v>1100</x:v>
      </x:c>
      <x:c r="L818" s="216" t="str">
        <x:f>IF(K818&lt;='排名定義'!$B$5,"是","")</x:f>
        <x:v>是</x:v>
      </x:c>
      <x:c r="M818" s="216" t="n">
        <x:f>COUNTIF(H818:L818,"是")</x:f>
        <x:v>3</x:v>
      </x:c>
      <x:c r="N818" s="216" t="str">
        <x:v>三份皆未入選</x:v>
      </x:c>
      <x:c r="O818" s="221" t="n">
        <x:v>46.30833333333333</x:v>
      </x:c>
      <x:c r="P818" s="221" t="n">
        <x:v>43.108333333333334</x:v>
      </x:c>
      <x:c r="Q818" s="221" t="n">
        <x:v>3.2</x:v>
      </x:c>
      <x:c r="R818" s="221" t="n">
        <x:v>0.06910203347129747</x:v>
      </x:c>
      <x:c r="S818" s="221" t="n">
        <x:v>73.74193548387096</x:v>
      </x:c>
      <x:c r="T818" s="221" t="n">
        <x:v>70.74193548387096</x:v>
      </x:c>
      <x:c r="U818" s="221" t="n">
        <x:v>3</x:v>
      </x:c>
      <x:c r="V818" s="219" t="n">
        <x:v>0.05069124423963134</x:v>
      </x:c>
      <x:c r="W818" s="216" t="n">
        <x:v>5</x:v>
      </x:c>
      <x:c r="X818" s="223" t="n">
        <x:v>1260</x:v>
      </x:c>
      <x:c r="Y818" s="216" t="n">
        <x:v>17</x:v>
      </x:c>
    </x:row>
    <x:row r="819">
      <x:c r="A819" s="217" t="n">
        <x:v>1487</x:v>
      </x:c>
      <x:c r="B819" s="217" t="str">
        <x:v>漁人碼頭</x:v>
      </x:c>
      <x:c r="C819" s="217" t="str">
        <x:v>淡水區</x:v>
      </x:c>
      <x:c r="D819" s="217" t="n">
        <x:v>55</x:v>
      </x:c>
      <x:c r="E819" s="217" t="n">
        <x:v>120</x:v>
      </x:c>
      <x:c r="F819" s="218" t="n">
        <x:v>0.9994791666666667</x:v>
      </x:c>
      <x:c r="G819" s="217" t="n">
        <x:v>815</x:v>
      </x:c>
      <x:c r="H819" s="217" t="str">
        <x:f>IF(G819&lt;='排名定義'!$B$5,"是","")</x:f>
        <x:v>是</x:v>
      </x:c>
      <x:c r="I819" s="217" t="n">
        <x:v>831</x:v>
      </x:c>
      <x:c r="J819" s="217" t="str">
        <x:f>IF(I819&lt;='排名定義'!$B$5,"是","")</x:f>
        <x:v>是</x:v>
      </x:c>
      <x:c r="K819" s="217" t="n">
        <x:v>395</x:v>
      </x:c>
      <x:c r="L819" s="217" t="str">
        <x:f>IF(K819&lt;='排名定義'!$B$5,"是","")</x:f>
        <x:v>是</x:v>
      </x:c>
      <x:c r="M819" s="217" t="n">
        <x:f>COUNTIF(H819:L819,"是")</x:f>
        <x:v>3</x:v>
      </x:c>
      <x:c r="N819" s="217" t="str">
        <x:v>三份皆未入選</x:v>
      </x:c>
      <x:c r="O819" s="220" t="n">
        <x:v>46.28333333333333</x:v>
      </x:c>
      <x:c r="P819" s="220" t="n">
        <x:v>40.53333333333333</x:v>
      </x:c>
      <x:c r="Q819" s="220" t="n">
        <x:v>5.75</x:v>
      </x:c>
      <x:c r="R819" s="220" t="n">
        <x:v>0.12423478574000721</x:v>
      </x:c>
      <x:c r="S819" s="220" t="n">
        <x:v>106.3225806451613</x:v>
      </x:c>
      <x:c r="T819" s="220" t="n">
        <x:v>99.87096774193549</x:v>
      </x:c>
      <x:c r="U819" s="220" t="n">
        <x:v>6.451612903225806</x:v>
      </x:c>
      <x:c r="V819" s="218" t="n">
        <x:v>0.02304147465437788</x:v>
      </x:c>
      <x:c r="W819" s="217" t="n">
        <x:v>4</x:v>
      </x:c>
      <x:c r="X819" s="222" t="n">
        <x:v>450</x:v>
      </x:c>
      <x:c r="Y819" s="217" t="n">
        <x:v>55</x:v>
      </x:c>
    </x:row>
    <x:row r="820">
      <x:c r="A820" s="216" t="n">
        <x:v>948</x:v>
      </x:c>
      <x:c r="B820" s="216" t="str">
        <x:v>佳和公園</x:v>
      </x:c>
      <x:c r="C820" s="216" t="str">
        <x:v>中和區</x:v>
      </x:c>
      <x:c r="D820" s="216" t="n">
        <x:v>27</x:v>
      </x:c>
      <x:c r="E820" s="216" t="n">
        <x:v>120</x:v>
      </x:c>
      <x:c r="F820" s="219" t="n">
        <x:v>0.9994791666666667</x:v>
      </x:c>
      <x:c r="G820" s="216" t="n">
        <x:v>816</x:v>
      </x:c>
      <x:c r="H820" s="216" t="str">
        <x:f>IF(G820&lt;='排名定義'!$B$5,"是","")</x:f>
        <x:v>是</x:v>
      </x:c>
      <x:c r="I820" s="216" t="n">
        <x:v>811</x:v>
      </x:c>
      <x:c r="J820" s="216" t="str">
        <x:f>IF(I820&lt;='排名定義'!$B$5,"是","")</x:f>
        <x:v>是</x:v>
      </x:c>
      <x:c r="K820" s="216" t="n">
        <x:v>858</x:v>
      </x:c>
      <x:c r="L820" s="216" t="str">
        <x:f>IF(K820&lt;='排名定義'!$B$5,"是","")</x:f>
        <x:v>是</x:v>
      </x:c>
      <x:c r="M820" s="216" t="n">
        <x:f>COUNTIF(H820:L820,"是")</x:f>
        <x:v>3</x:v>
      </x:c>
      <x:c r="N820" s="216" t="str">
        <x:v>三份皆未入選</x:v>
      </x:c>
      <x:c r="O820" s="221" t="n">
        <x:v>46.24166666666667</x:v>
      </x:c>
      <x:c r="P820" s="221" t="n">
        <x:v>42.4</x:v>
      </x:c>
      <x:c r="Q820" s="221" t="n">
        <x:v>3.841666666666667</x:v>
      </x:c>
      <x:c r="R820" s="221" t="n">
        <x:v>0.08307803207785186</x:v>
      </x:c>
      <x:c r="S820" s="221" t="n">
        <x:v>70.58064516129032</x:v>
      </x:c>
      <x:c r="T820" s="221" t="n">
        <x:v>66.51612903225806</x:v>
      </x:c>
      <x:c r="U820" s="221" t="n">
        <x:v>4.064516129032258</x:v>
      </x:c>
      <x:c r="V820" s="219" t="n">
        <x:v>0.020737327188940093</x:v>
      </x:c>
      <x:c r="W820" s="216" t="n">
        <x:v>8</x:v>
      </x:c>
      <x:c r="X820" s="223" t="n">
        <x:v>810</x:v>
      </x:c>
      <x:c r="Y820" s="216" t="n">
        <x:v>27</x:v>
      </x:c>
    </x:row>
    <x:row r="821">
      <x:c r="A821" s="217" t="n">
        <x:v>175</x:v>
      </x:c>
      <x:c r="B821" s="217" t="str">
        <x:v>力行新村</x:v>
      </x:c>
      <x:c r="C821" s="217" t="str">
        <x:v>板橋區</x:v>
      </x:c>
      <x:c r="D821" s="217" t="n">
        <x:v>12</x:v>
      </x:c>
      <x:c r="E821" s="217" t="n">
        <x:v>120</x:v>
      </x:c>
      <x:c r="F821" s="218" t="n">
        <x:v>0.9994791666666667</x:v>
      </x:c>
      <x:c r="G821" s="217" t="n">
        <x:v>817</x:v>
      </x:c>
      <x:c r="H821" s="217" t="str">
        <x:f>IF(G821&lt;='排名定義'!$B$5,"是","")</x:f>
        <x:v>是</x:v>
      </x:c>
      <x:c r="I821" s="217" t="n">
        <x:v>802</x:v>
      </x:c>
      <x:c r="J821" s="217" t="str">
        <x:f>IF(I821&lt;='排名定義'!$B$5,"是","")</x:f>
        <x:v>是</x:v>
      </x:c>
      <x:c r="K821" s="217" t="n">
        <x:v>1051</x:v>
      </x:c>
      <x:c r="L821" s="217" t="str">
        <x:f>IF(K821&lt;='排名定義'!$B$5,"是","")</x:f>
        <x:v>是</x:v>
      </x:c>
      <x:c r="M821" s="217" t="n">
        <x:f>COUNTIF(H821:L821,"是")</x:f>
        <x:v>3</x:v>
      </x:c>
      <x:c r="N821" s="217" t="str">
        <x:v>三份皆未入選</x:v>
      </x:c>
      <x:c r="O821" s="220" t="n">
        <x:v>46.225</x:v>
      </x:c>
      <x:c r="P821" s="220" t="n">
        <x:v>42.891666666666666</x:v>
      </x:c>
      <x:c r="Q821" s="220" t="n">
        <x:v>3.3333333333333335</x:v>
      </x:c>
      <x:c r="R821" s="220" t="n">
        <x:v>0.0721110510185686</x:v>
      </x:c>
      <x:c r="S821" s="220" t="n">
        <x:v>61.903225806451616</x:v>
      </x:c>
      <x:c r="T821" s="220" t="n">
        <x:v>59.483870967741936</x:v>
      </x:c>
      <x:c r="U821" s="220" t="n">
        <x:v>2.4193548387096775</x:v>
      </x:c>
      <x:c r="V821" s="218" t="n">
        <x:v>0.17511520737327188</x:v>
      </x:c>
      <x:c r="W821" s="217" t="n">
        <x:v>42</x:v>
      </x:c>
      <x:c r="X821" s="222" t="n">
        <x:v>4710</x:v>
      </x:c>
      <x:c r="Y821" s="217" t="n">
        <x:v>12</x:v>
      </x:c>
    </x:row>
    <x:row r="822">
      <x:c r="A822" s="216" t="n">
        <x:v>559</x:v>
      </x:c>
      <x:c r="B822" s="216" t="str">
        <x:v>中山國小地下停車場</x:v>
      </x:c>
      <x:c r="C822" s="216" t="str">
        <x:v>板橋區</x:v>
      </x:c>
      <x:c r="D822" s="216" t="n">
        <x:v>18</x:v>
      </x:c>
      <x:c r="E822" s="216" t="n">
        <x:v>120</x:v>
      </x:c>
      <x:c r="F822" s="219" t="n">
        <x:v>0.9994791666666667</x:v>
      </x:c>
      <x:c r="G822" s="216" t="n">
        <x:v>818</x:v>
      </x:c>
      <x:c r="H822" s="216" t="str">
        <x:f>IF(G822&lt;='排名定義'!$B$5,"是","")</x:f>
        <x:v>是</x:v>
      </x:c>
      <x:c r="I822" s="216" t="n">
        <x:v>809</x:v>
      </x:c>
      <x:c r="J822" s="216" t="str">
        <x:f>IF(I822&lt;='排名定義'!$B$5,"是","")</x:f>
        <x:v>是</x:v>
      </x:c>
      <x:c r="K822" s="216" t="n">
        <x:v>900</x:v>
      </x:c>
      <x:c r="L822" s="216" t="str">
        <x:f>IF(K822&lt;='排名定義'!$B$5,"是","")</x:f>
        <x:v>是</x:v>
      </x:c>
      <x:c r="M822" s="216" t="n">
        <x:f>COUNTIF(H822:L822,"是")</x:f>
        <x:v>3</x:v>
      </x:c>
      <x:c r="N822" s="216" t="str">
        <x:v>三份皆未入選</x:v>
      </x:c>
      <x:c r="O822" s="221" t="n">
        <x:v>46.175</x:v>
      </x:c>
      <x:c r="P822" s="221" t="n">
        <x:v>42.458333333333336</x:v>
      </x:c>
      <x:c r="Q822" s="221" t="n">
        <x:v>3.716666666666667</x:v>
      </x:c>
      <x:c r="R822" s="221" t="n">
        <x:v>0.0804908861216387</x:v>
      </x:c>
      <x:c r="S822" s="221" t="n">
        <x:v>63.83870967741935</x:v>
      </x:c>
      <x:c r="T822" s="221" t="n">
        <x:v>60.74193548387097</x:v>
      </x:c>
      <x:c r="U822" s="221" t="n">
        <x:v>3.096774193548387</x:v>
      </x:c>
      <x:c r="V822" s="219" t="n">
        <x:v>0.041474654377880185</x:v>
      </x:c>
      <x:c r="W822" s="216" t="n">
        <x:v>6</x:v>
      </x:c>
      <x:c r="X822" s="223" t="n">
        <x:v>1440</x:v>
      </x:c>
      <x:c r="Y822" s="216" t="n">
        <x:v>18</x:v>
      </x:c>
    </x:row>
    <x:row r="823">
      <x:c r="A823" s="217" t="n">
        <x:v>1116</x:v>
      </x:c>
      <x:c r="B823" s="217" t="str">
        <x:v>環河西路三段(日安社區)</x:v>
      </x:c>
      <x:c r="C823" s="217" t="str">
        <x:v>中和區</x:v>
      </x:c>
      <x:c r="D823" s="217" t="n">
        <x:v>32</x:v>
      </x:c>
      <x:c r="E823" s="217" t="n">
        <x:v>120</x:v>
      </x:c>
      <x:c r="F823" s="218" t="n">
        <x:v>0.9994791666666667</x:v>
      </x:c>
      <x:c r="G823" s="217" t="n">
        <x:v>819</x:v>
      </x:c>
      <x:c r="H823" s="217" t="str">
        <x:f>IF(G823&lt;='排名定義'!$B$5,"是","")</x:f>
        <x:v>是</x:v>
      </x:c>
      <x:c r="I823" s="217" t="n">
        <x:v>815</x:v>
      </x:c>
      <x:c r="J823" s="217" t="str">
        <x:f>IF(I823&lt;='排名定義'!$B$5,"是","")</x:f>
        <x:v>是</x:v>
      </x:c>
      <x:c r="K823" s="217" t="n">
        <x:v>781</x:v>
      </x:c>
      <x:c r="L823" s="217" t="str">
        <x:f>IF(K823&lt;='排名定義'!$B$5,"是","")</x:f>
        <x:v>是</x:v>
      </x:c>
      <x:c r="M823" s="217" t="n">
        <x:f>COUNTIF(H823:L823,"是")</x:f>
        <x:v>3</x:v>
      </x:c>
      <x:c r="N823" s="217" t="str">
        <x:v>三份皆未入選</x:v>
      </x:c>
      <x:c r="O823" s="220" t="n">
        <x:v>46.141666666666666</x:v>
      </x:c>
      <x:c r="P823" s="220" t="n">
        <x:v>42.083333333333336</x:v>
      </x:c>
      <x:c r="Q823" s="220" t="n">
        <x:v>4.058333333333334</x:v>
      </x:c>
      <x:c r="R823" s="220" t="n">
        <x:v>0.08795376557702728</x:v>
      </x:c>
      <x:c r="S823" s="220" t="n">
        <x:v>77.58064516129032</x:v>
      </x:c>
      <x:c r="T823" s="220" t="n">
        <x:v>74.09677419354838</x:v>
      </x:c>
      <x:c r="U823" s="220" t="n">
        <x:v>3.4838709677419355</x:v>
      </x:c>
      <x:c r="V823" s="218" t="n">
        <x:v>0.004608294930875576</x:v>
      </x:c>
      <x:c r="W823" s="217" t="n">
        <x:v>2</x:v>
      </x:c>
      <x:c r="X823" s="222" t="n">
        <x:v>330</x:v>
      </x:c>
      <x:c r="Y823" s="217" t="n">
        <x:v>32</x:v>
      </x:c>
    </x:row>
    <x:row r="824">
      <x:c r="A824" s="216" t="n">
        <x:v>1168</x:v>
      </x:c>
      <x:c r="B824" s="216" t="str">
        <x:v>龍埔國小</x:v>
      </x:c>
      <x:c r="C824" s="216" t="str">
        <x:v>三峽區</x:v>
      </x:c>
      <x:c r="D824" s="216" t="n">
        <x:v>35</x:v>
      </x:c>
      <x:c r="E824" s="216" t="n">
        <x:v>120</x:v>
      </x:c>
      <x:c r="F824" s="219" t="n">
        <x:v>0.9994791666666667</x:v>
      </x:c>
      <x:c r="G824" s="216" t="n">
        <x:v>820</x:v>
      </x:c>
      <x:c r="H824" s="216" t="str">
        <x:f>IF(G824&lt;='排名定義'!$B$5,"是","")</x:f>
        <x:v>是</x:v>
      </x:c>
      <x:c r="I824" s="216" t="n">
        <x:v>818</x:v>
      </x:c>
      <x:c r="J824" s="216" t="str">
        <x:f>IF(I824&lt;='排名定義'!$B$5,"是","")</x:f>
        <x:v>是</x:v>
      </x:c>
      <x:c r="K824" s="216" t="n">
        <x:v>677</x:v>
      </x:c>
      <x:c r="L824" s="216" t="str">
        <x:f>IF(K824&lt;='排名定義'!$B$5,"是","")</x:f>
        <x:v>是</x:v>
      </x:c>
      <x:c r="M824" s="216" t="n">
        <x:f>COUNTIF(H824:L824,"是")</x:f>
        <x:v>3</x:v>
      </x:c>
      <x:c r="N824" s="216" t="str">
        <x:v>三份皆未入選</x:v>
      </x:c>
      <x:c r="O824" s="221" t="n">
        <x:v>45.775</x:v>
      </x:c>
      <x:c r="P824" s="221" t="n">
        <x:v>41.4</x:v>
      </x:c>
      <x:c r="Q824" s="221" t="n">
        <x:v>4.375</x:v>
      </x:c>
      <x:c r="R824" s="221" t="n">
        <x:v>0.09557618787547788</x:v>
      </x:c>
      <x:c r="S824" s="221" t="n">
        <x:v>81.58064516129032</x:v>
      </x:c>
      <x:c r="T824" s="221" t="n">
        <x:v>77.70967741935483</x:v>
      </x:c>
      <x:c r="U824" s="221" t="n">
        <x:v>3.870967741935484</x:v>
      </x:c>
      <x:c r="V824" s="219" t="n">
        <x:v>0.002304147465437788</x:v>
      </x:c>
      <x:c r="W824" s="216" t="n">
        <x:v>4</x:v>
      </x:c>
      <x:c r="X824" s="223" t="n">
        <x:v>390</x:v>
      </x:c>
      <x:c r="Y824" s="216" t="n">
        <x:v>45</x:v>
      </x:c>
    </x:row>
    <x:row r="825">
      <x:c r="A825" s="217" t="n">
        <x:v>1135</x:v>
      </x:c>
      <x:c r="B825" s="217" t="str">
        <x:v>蘆洲三民公園</x:v>
      </x:c>
      <x:c r="C825" s="217" t="str">
        <x:v>蘆洲區</x:v>
      </x:c>
      <x:c r="D825" s="217" t="n">
        <x:v>33</x:v>
      </x:c>
      <x:c r="E825" s="217" t="n">
        <x:v>120</x:v>
      </x:c>
      <x:c r="F825" s="218" t="n">
        <x:v>0.9994791666666667</x:v>
      </x:c>
      <x:c r="G825" s="217" t="n">
        <x:v>821</x:v>
      </x:c>
      <x:c r="H825" s="217" t="str">
        <x:f>IF(G825&lt;='排名定義'!$B$5,"是","")</x:f>
        <x:v>是</x:v>
      </x:c>
      <x:c r="I825" s="217" t="n">
        <x:v>830</x:v>
      </x:c>
      <x:c r="J825" s="217" t="str">
        <x:f>IF(I825&lt;='排名定義'!$B$5,"是","")</x:f>
        <x:v>是</x:v>
      </x:c>
      <x:c r="K825" s="217" t="n">
        <x:v>495</x:v>
      </x:c>
      <x:c r="L825" s="217" t="str">
        <x:f>IF(K825&lt;='排名定義'!$B$5,"是","")</x:f>
        <x:v>是</x:v>
      </x:c>
      <x:c r="M825" s="217" t="n">
        <x:f>COUNTIF(H825:L825,"是")</x:f>
        <x:v>3</x:v>
      </x:c>
      <x:c r="N825" s="217" t="str">
        <x:v>三份皆未入選</x:v>
      </x:c>
      <x:c r="O825" s="220" t="n">
        <x:v>45.766666666666666</x:v>
      </x:c>
      <x:c r="P825" s="220" t="n">
        <x:v>40.59166666666667</x:v>
      </x:c>
      <x:c r="Q825" s="220" t="n">
        <x:v>5.175</x:v>
      </x:c>
      <x:c r="R825" s="220" t="n">
        <x:v>0.11307356154406409</x:v>
      </x:c>
      <x:c r="S825" s="220" t="n">
        <x:v>72.38709677419355</x:v>
      </x:c>
      <x:c r="T825" s="220" t="n">
        <x:v>67.87096774193549</x:v>
      </x:c>
      <x:c r="U825" s="220" t="n">
        <x:v>4.516129032258065</x:v>
      </x:c>
      <x:c r="V825" s="218" t="n">
        <x:v>0.027649769585253458</x:v>
      </x:c>
      <x:c r="W825" s="217" t="n">
        <x:v>8</x:v>
      </x:c>
      <x:c r="X825" s="222" t="n">
        <x:v>810</x:v>
      </x:c>
      <x:c r="Y825" s="217" t="n">
        <x:v>33</x:v>
      </x:c>
    </x:row>
    <x:row r="826">
      <x:c r="A826" s="216" t="n">
        <x:v>533</x:v>
      </x:c>
      <x:c r="B826" s="216" t="str">
        <x:v>民族仁愛路口</x:v>
      </x:c>
      <x:c r="C826" s="216" t="str">
        <x:v>林口區</x:v>
      </x:c>
      <x:c r="D826" s="216" t="n">
        <x:v>17</x:v>
      </x:c>
      <x:c r="E826" s="216" t="n">
        <x:v>120</x:v>
      </x:c>
      <x:c r="F826" s="219" t="n">
        <x:v>0.9994791666666667</x:v>
      </x:c>
      <x:c r="G826" s="216" t="n">
        <x:v>822</x:v>
      </x:c>
      <x:c r="H826" s="216" t="str">
        <x:f>IF(G826&lt;='排名定義'!$B$5,"是","")</x:f>
        <x:v>是</x:v>
      </x:c>
      <x:c r="I826" s="216" t="n">
        <x:v>816</x:v>
      </x:c>
      <x:c r="J826" s="216" t="str">
        <x:f>IF(I826&lt;='排名定義'!$B$5,"是","")</x:f>
        <x:v>是</x:v>
      </x:c>
      <x:c r="K826" s="216" t="n">
        <x:v>948</x:v>
      </x:c>
      <x:c r="L826" s="216" t="str">
        <x:f>IF(K826&lt;='排名定義'!$B$5,"是","")</x:f>
        <x:v>是</x:v>
      </x:c>
      <x:c r="M826" s="216" t="n">
        <x:f>COUNTIF(H826:L826,"是")</x:f>
        <x:v>3</x:v>
      </x:c>
      <x:c r="N826" s="216" t="str">
        <x:v>三份皆未入選</x:v>
      </x:c>
      <x:c r="O826" s="221" t="n">
        <x:v>45.5</x:v>
      </x:c>
      <x:c r="P826" s="221" t="n">
        <x:v>41.916666666666664</x:v>
      </x:c>
      <x:c r="Q826" s="221" t="n">
        <x:v>3.5833333333333335</x:v>
      </x:c>
      <x:c r="R826" s="221" t="n">
        <x:v>0.07875457875457875</x:v>
      </x:c>
      <x:c r="S826" s="221" t="n">
        <x:v>72.12903225806451</x:v>
      </x:c>
      <x:c r="T826" s="221" t="n">
        <x:v>67.7741935483871</x:v>
      </x:c>
      <x:c r="U826" s="221" t="n">
        <x:v>4.354838709677419</x:v>
      </x:c>
      <x:c r="V826" s="219" t="n">
        <x:v>0.027649769585253458</x:v>
      </x:c>
      <x:c r="W826" s="216" t="n">
        <x:v>5</x:v>
      </x:c>
      <x:c r="X826" s="223" t="n">
        <x:v>840</x:v>
      </x:c>
      <x:c r="Y826" s="216" t="n">
        <x:v>17</x:v>
      </x:c>
    </x:row>
    <x:row r="827">
      <x:c r="A827" s="217" t="n">
        <x:v>762</x:v>
      </x:c>
      <x:c r="B827" s="217" t="str">
        <x:v>中興路2段100巷口</x:v>
      </x:c>
      <x:c r="C827" s="217" t="str">
        <x:v>新店區</x:v>
      </x:c>
      <x:c r="D827" s="217" t="n">
        <x:v>21</x:v>
      </x:c>
      <x:c r="E827" s="217" t="n">
        <x:v>120</x:v>
      </x:c>
      <x:c r="F827" s="218" t="n">
        <x:v>0.9994791666666667</x:v>
      </x:c>
      <x:c r="G827" s="217" t="n">
        <x:v>823</x:v>
      </x:c>
      <x:c r="H827" s="217" t="str">
        <x:f>IF(G827&lt;='排名定義'!$B$5,"是","")</x:f>
        <x:v>是</x:v>
      </x:c>
      <x:c r="I827" s="217" t="n">
        <x:v>823</x:v>
      </x:c>
      <x:c r="J827" s="217" t="str">
        <x:f>IF(I827&lt;='排名定義'!$B$5,"是","")</x:f>
        <x:v>是</x:v>
      </x:c>
      <x:c r="K827" s="217" t="n">
        <x:v>700</x:v>
      </x:c>
      <x:c r="L827" s="217" t="str">
        <x:f>IF(K827&lt;='排名定義'!$B$5,"是","")</x:f>
        <x:v>是</x:v>
      </x:c>
      <x:c r="M827" s="217" t="n">
        <x:f>COUNTIF(H827:L827,"是")</x:f>
        <x:v>3</x:v>
      </x:c>
      <x:c r="N827" s="217" t="str">
        <x:v>三份皆未入選</x:v>
      </x:c>
      <x:c r="O827" s="220" t="n">
        <x:v>45.225</x:v>
      </x:c>
      <x:c r="P827" s="220" t="n">
        <x:v>40.93333333333333</x:v>
      </x:c>
      <x:c r="Q827" s="220" t="n">
        <x:v>4.291666666666667</x:v>
      </x:c>
      <x:c r="R827" s="220" t="n">
        <x:v>0.09489589091579141</x:v>
      </x:c>
      <x:c r="S827" s="220" t="n">
        <x:v>66.45161290322581</x:v>
      </x:c>
      <x:c r="T827" s="220" t="n">
        <x:v>62.25806451612903</x:v>
      </x:c>
      <x:c r="U827" s="220" t="n">
        <x:v>4.193548387096774</x:v>
      </x:c>
      <x:c r="V827" s="218" t="n">
        <x:v>0.016129032258064516</x:v>
      </x:c>
      <x:c r="W827" s="217" t="n">
        <x:v>10</x:v>
      </x:c>
      <x:c r="X827" s="222" t="n">
        <x:v>1140</x:v>
      </x:c>
      <x:c r="Y827" s="217" t="n">
        <x:v>21</x:v>
      </x:c>
    </x:row>
    <x:row r="828">
      <x:c r="A828" s="216" t="n">
        <x:v>975</x:v>
      </x:c>
      <x:c r="B828" s="216" t="str">
        <x:v>水返腳公園</x:v>
      </x:c>
      <x:c r="C828" s="216" t="str">
        <x:v>汐止區</x:v>
      </x:c>
      <x:c r="D828" s="216" t="n">
        <x:v>28</x:v>
      </x:c>
      <x:c r="E828" s="216" t="n">
        <x:v>120</x:v>
      </x:c>
      <x:c r="F828" s="219" t="n">
        <x:v>0.9994791666666667</x:v>
      </x:c>
      <x:c r="G828" s="216" t="n">
        <x:v>824</x:v>
      </x:c>
      <x:c r="H828" s="216" t="str">
        <x:f>IF(G828&lt;='排名定義'!$B$5,"是","")</x:f>
        <x:v>是</x:v>
      </x:c>
      <x:c r="I828" s="216" t="n">
        <x:v>821</x:v>
      </x:c>
      <x:c r="J828" s="216" t="str">
        <x:f>IF(I828&lt;='排名定義'!$B$5,"是","")</x:f>
        <x:v>是</x:v>
      </x:c>
      <x:c r="K828" s="216" t="n">
        <x:v>712</x:v>
      </x:c>
      <x:c r="L828" s="216" t="str">
        <x:f>IF(K828&lt;='排名定義'!$B$5,"是","")</x:f>
        <x:v>是</x:v>
      </x:c>
      <x:c r="M828" s="216" t="n">
        <x:f>COUNTIF(H828:L828,"是")</x:f>
        <x:v>3</x:v>
      </x:c>
      <x:c r="N828" s="216" t="str">
        <x:v>三份皆未入選</x:v>
      </x:c>
      <x:c r="O828" s="221" t="n">
        <x:v>45.225</x:v>
      </x:c>
      <x:c r="P828" s="221" t="n">
        <x:v>40.958333333333336</x:v>
      </x:c>
      <x:c r="Q828" s="221" t="n">
        <x:v>4.266666666666667</x:v>
      </x:c>
      <x:c r="R828" s="221" t="n">
        <x:v>0.0943430993182237</x:v>
      </x:c>
      <x:c r="S828" s="221" t="n">
        <x:v>69.25806451612904</x:v>
      </x:c>
      <x:c r="T828" s="221" t="n">
        <x:v>65.3225806451613</x:v>
      </x:c>
      <x:c r="U828" s="221" t="n">
        <x:v>3.935483870967742</x:v>
      </x:c>
      <x:c r="V828" s="219" t="n">
        <x:v>0.041474654377880185</x:v>
      </x:c>
      <x:c r="W828" s="216" t="n">
        <x:v>6</x:v>
      </x:c>
      <x:c r="X828" s="223" t="n">
        <x:v>960</x:v>
      </x:c>
      <x:c r="Y828" s="216" t="n">
        <x:v>28</x:v>
      </x:c>
    </x:row>
    <x:row r="829">
      <x:c r="A829" s="217" t="n">
        <x:v>1413</x:v>
      </x:c>
      <x:c r="B829" s="217" t="str">
        <x:v>崇德國小</x:v>
      </x:c>
      <x:c r="C829" s="217" t="str">
        <x:v>汐止區</x:v>
      </x:c>
      <x:c r="D829" s="217" t="n">
        <x:v>47</x:v>
      </x:c>
      <x:c r="E829" s="217" t="n">
        <x:v>120</x:v>
      </x:c>
      <x:c r="F829" s="218" t="n">
        <x:v>0.9994791666666667</x:v>
      </x:c>
      <x:c r="G829" s="217" t="n">
        <x:v>825</x:v>
      </x:c>
      <x:c r="H829" s="217" t="str">
        <x:f>IF(G829&lt;='排名定義'!$B$5,"是","")</x:f>
        <x:v>是</x:v>
      </x:c>
      <x:c r="I829" s="217" t="n">
        <x:v>832</x:v>
      </x:c>
      <x:c r="J829" s="217" t="str">
        <x:f>IF(I829&lt;='排名定義'!$B$5,"是","")</x:f>
        <x:v>是</x:v>
      </x:c>
      <x:c r="K829" s="217" t="n">
        <x:v>634</x:v>
      </x:c>
      <x:c r="L829" s="217" t="str">
        <x:f>IF(K829&lt;='排名定義'!$B$5,"是","")</x:f>
        <x:v>是</x:v>
      </x:c>
      <x:c r="M829" s="217" t="n">
        <x:f>COUNTIF(H829:L829,"是")</x:f>
        <x:v>3</x:v>
      </x:c>
      <x:c r="N829" s="217" t="str">
        <x:v>三份皆未入選</x:v>
      </x:c>
      <x:c r="O829" s="220" t="n">
        <x:v>44.975</x:v>
      </x:c>
      <x:c r="P829" s="220" t="n">
        <x:v>40.45</x:v>
      </x:c>
      <x:c r="Q829" s="220" t="n">
        <x:v>4.525</x:v>
      </x:c>
      <x:c r="R829" s="220" t="n">
        <x:v>0.10061145080600334</x:v>
      </x:c>
      <x:c r="S829" s="220" t="n">
        <x:v>63.645161290322584</x:v>
      </x:c>
      <x:c r="T829" s="220" t="n">
        <x:v>59.74193548387097</x:v>
      </x:c>
      <x:c r="U829" s="220" t="n">
        <x:v>3.903225806451613</x:v>
      </x:c>
      <x:c r="V829" s="218" t="n">
        <x:v>0.05069124423963134</x:v>
      </x:c>
      <x:c r="W829" s="217" t="n">
        <x:v>18</x:v>
      </x:c>
      <x:c r="X829" s="222" t="n">
        <x:v>2370</x:v>
      </x:c>
      <x:c r="Y829" s="217" t="n">
        <x:v>47</x:v>
      </x:c>
    </x:row>
    <x:row r="830">
      <x:c r="A830" s="216" t="n">
        <x:v>769</x:v>
      </x:c>
      <x:c r="B830" s="216" t="str">
        <x:v>日和中華路口</x:v>
      </x:c>
      <x:c r="C830" s="216" t="str">
        <x:v>土城區</x:v>
      </x:c>
      <x:c r="D830" s="216" t="n">
        <x:v>21</x:v>
      </x:c>
      <x:c r="E830" s="216" t="n">
        <x:v>120</x:v>
      </x:c>
      <x:c r="F830" s="219" t="n">
        <x:v>0.9994791666666667</x:v>
      </x:c>
      <x:c r="G830" s="216" t="n">
        <x:v>826</x:v>
      </x:c>
      <x:c r="H830" s="216" t="str">
        <x:f>IF(G830&lt;='排名定義'!$B$5,"是","")</x:f>
        <x:v>是</x:v>
      </x:c>
      <x:c r="I830" s="216" t="n">
        <x:v>842</x:v>
      </x:c>
      <x:c r="J830" s="216" t="str">
        <x:f>IF(I830&lt;='排名定義'!$B$5,"是","")</x:f>
        <x:v>是</x:v>
      </x:c>
      <x:c r="K830" s="216" t="n">
        <x:v>543</x:v>
      </x:c>
      <x:c r="L830" s="216" t="str">
        <x:f>IF(K830&lt;='排名定義'!$B$5,"是","")</x:f>
        <x:v>是</x:v>
      </x:c>
      <x:c r="M830" s="216" t="n">
        <x:f>COUNTIF(H830:L830,"是")</x:f>
        <x:v>3</x:v>
      </x:c>
      <x:c r="N830" s="216" t="str">
        <x:v>三份皆未入選</x:v>
      </x:c>
      <x:c r="O830" s="221" t="n">
        <x:v>44.825</x:v>
      </x:c>
      <x:c r="P830" s="221" t="n">
        <x:v>39.88333333333333</x:v>
      </x:c>
      <x:c r="Q830" s="221" t="n">
        <x:v>4.941666666666666</x:v>
      </x:c>
      <x:c r="R830" s="221" t="n">
        <x:v>0.11024353969139246</x:v>
      </x:c>
      <x:c r="S830" s="221" t="n">
        <x:v>64.12903225806451</x:v>
      </x:c>
      <x:c r="T830" s="221" t="n">
        <x:v>60</x:v>
      </x:c>
      <x:c r="U830" s="221" t="n">
        <x:v>4.129032258064516</x:v>
      </x:c>
      <x:c r="V830" s="219" t="n">
        <x:v>0.03917050691244239</x:v>
      </x:c>
      <x:c r="W830" s="216" t="n">
        <x:v>13</x:v>
      </x:c>
      <x:c r="X830" s="223" t="n">
        <x:v>1800</x:v>
      </x:c>
      <x:c r="Y830" s="216" t="n">
        <x:v>21</x:v>
      </x:c>
    </x:row>
    <x:row r="831">
      <x:c r="A831" s="217" t="n">
        <x:v>570</x:v>
      </x:c>
      <x:c r="B831" s="217" t="str">
        <x:v>學勤大有路口</x:v>
      </x:c>
      <x:c r="C831" s="217" t="str">
        <x:v>樹林區</x:v>
      </x:c>
      <x:c r="D831" s="217" t="n">
        <x:v>18</x:v>
      </x:c>
      <x:c r="E831" s="217" t="n">
        <x:v>120</x:v>
      </x:c>
      <x:c r="F831" s="218" t="n">
        <x:v>0.9994791666666667</x:v>
      </x:c>
      <x:c r="G831" s="217" t="n">
        <x:v>827</x:v>
      </x:c>
      <x:c r="H831" s="217" t="str">
        <x:f>IF(G831&lt;='排名定義'!$B$5,"是","")</x:f>
        <x:v>是</x:v>
      </x:c>
      <x:c r="I831" s="217" t="n">
        <x:v>817</x:v>
      </x:c>
      <x:c r="J831" s="217" t="str">
        <x:f>IF(I831&lt;='排名定義'!$B$5,"是","")</x:f>
        <x:v>是</x:v>
      </x:c>
      <x:c r="K831" s="217" t="n">
        <x:v>1092</x:v>
      </x:c>
      <x:c r="L831" s="217" t="str">
        <x:f>IF(K831&lt;='排名定義'!$B$5,"是","")</x:f>
        <x:v>是</x:v>
      </x:c>
      <x:c r="M831" s="217" t="n">
        <x:f>COUNTIF(H831:L831,"是")</x:f>
        <x:v>3</x:v>
      </x:c>
      <x:c r="N831" s="217" t="str">
        <x:v>三份皆未入選</x:v>
      </x:c>
      <x:c r="O831" s="220" t="n">
        <x:v>44.75</x:v>
      </x:c>
      <x:c r="P831" s="220" t="n">
        <x:v>41.525</x:v>
      </x:c>
      <x:c r="Q831" s="220" t="n">
        <x:v>3.225</x:v>
      </x:c>
      <x:c r="R831" s="220" t="n">
        <x:v>0.07206703910614524</x:v>
      </x:c>
      <x:c r="S831" s="220" t="n">
        <x:v>77.58064516129032</x:v>
      </x:c>
      <x:c r="T831" s="220" t="n">
        <x:v>73.45161290322581</x:v>
      </x:c>
      <x:c r="U831" s="220" t="n">
        <x:v>4.129032258064516</x:v>
      </x:c>
      <x:c r="V831" s="218" t="n">
        <x:v>0.029953917050691243</x:v>
      </x:c>
      <x:c r="W831" s="217" t="n">
        <x:v>5</x:v>
      </x:c>
      <x:c r="X831" s="222" t="n">
        <x:v>990</x:v>
      </x:c>
      <x:c r="Y831" s="217" t="n">
        <x:v>18</x:v>
      </x:c>
    </x:row>
    <x:row r="832">
      <x:c r="A832" s="216" t="n">
        <x:v>391</x:v>
      </x:c>
      <x:c r="B832" s="216" t="str">
        <x:v>裕生停車場</x:v>
      </x:c>
      <x:c r="C832" s="216" t="str">
        <x:v>土城區</x:v>
      </x:c>
      <x:c r="D832" s="216" t="n">
        <x:v>15</x:v>
      </x:c>
      <x:c r="E832" s="216" t="n">
        <x:v>120</x:v>
      </x:c>
      <x:c r="F832" s="219" t="n">
        <x:v>0.9994791666666667</x:v>
      </x:c>
      <x:c r="G832" s="216" t="n">
        <x:v>828</x:v>
      </x:c>
      <x:c r="H832" s="216" t="str">
        <x:f>IF(G832&lt;='排名定義'!$B$5,"是","")</x:f>
        <x:v>是</x:v>
      </x:c>
      <x:c r="I832" s="216" t="n">
        <x:v>826</x:v>
      </x:c>
      <x:c r="J832" s="216" t="str">
        <x:f>IF(I832&lt;='排名定義'!$B$5,"是","")</x:f>
        <x:v>是</x:v>
      </x:c>
      <x:c r="K832" s="216" t="n">
        <x:v>804</x:v>
      </x:c>
      <x:c r="L832" s="216" t="str">
        <x:f>IF(K832&lt;='排名定義'!$B$5,"是","")</x:f>
        <x:v>是</x:v>
      </x:c>
      <x:c r="M832" s="216" t="n">
        <x:f>COUNTIF(H832:L832,"是")</x:f>
        <x:v>3</x:v>
      </x:c>
      <x:c r="N832" s="216" t="str">
        <x:v>三份皆未入選</x:v>
      </x:c>
      <x:c r="O832" s="221" t="n">
        <x:v>44.708333333333336</x:v>
      </x:c>
      <x:c r="P832" s="221" t="n">
        <x:v>40.733333333333334</x:v>
      </x:c>
      <x:c r="Q832" s="221" t="n">
        <x:v>3.975</x:v>
      </x:c>
      <x:c r="R832" s="221" t="n">
        <x:v>0.08890959925442685</x:v>
      </x:c>
      <x:c r="S832" s="221" t="n">
        <x:v>67.38709677419355</x:v>
      </x:c>
      <x:c r="T832" s="221" t="n">
        <x:v>64.19354838709677</x:v>
      </x:c>
      <x:c r="U832" s="221" t="n">
        <x:v>3.193548387096774</x:v>
      </x:c>
      <x:c r="V832" s="219" t="n">
        <x:v>0.10368663594470046</x:v>
      </x:c>
      <x:c r="W832" s="216" t="n">
        <x:v>33</x:v>
      </x:c>
      <x:c r="X832" s="223" t="n">
        <x:v>3960</x:v>
      </x:c>
      <x:c r="Y832" s="216" t="n">
        <x:v>15</x:v>
      </x:c>
    </x:row>
    <x:row r="833">
      <x:c r="A833" s="217" t="n">
        <x:v>424</x:v>
      </x:c>
      <x:c r="B833" s="217" t="str">
        <x:v>文化三路一段447巷口</x:v>
      </x:c>
      <x:c r="C833" s="217" t="str">
        <x:v>林口區</x:v>
      </x:c>
      <x:c r="D833" s="217" t="n">
        <x:v>15</x:v>
      </x:c>
      <x:c r="E833" s="217" t="n">
        <x:v>120</x:v>
      </x:c>
      <x:c r="F833" s="218" t="n">
        <x:v>0.9994791666666667</x:v>
      </x:c>
      <x:c r="G833" s="217" t="n">
        <x:v>829</x:v>
      </x:c>
      <x:c r="H833" s="217" t="str">
        <x:f>IF(G833&lt;='排名定義'!$B$5,"是","")</x:f>
        <x:v>是</x:v>
      </x:c>
      <x:c r="I833" s="217" t="n">
        <x:v>819</x:v>
      </x:c>
      <x:c r="J833" s="217" t="str">
        <x:f>IF(I833&lt;='排名定義'!$B$5,"是","")</x:f>
        <x:v>是</x:v>
      </x:c>
      <x:c r="K833" s="217" t="n">
        <x:v>1076</x:v>
      </x:c>
      <x:c r="L833" s="217" t="str">
        <x:f>IF(K833&lt;='排名定義'!$B$5,"是","")</x:f>
        <x:v>是</x:v>
      </x:c>
      <x:c r="M833" s="217" t="n">
        <x:f>COUNTIF(H833:L833,"是")</x:f>
        <x:v>3</x:v>
      </x:c>
      <x:c r="N833" s="217" t="str">
        <x:v>三份皆未入選</x:v>
      </x:c>
      <x:c r="O833" s="220" t="n">
        <x:v>44.55833333333333</x:v>
      </x:c>
      <x:c r="P833" s="220" t="n">
        <x:v>41.291666666666664</x:v>
      </x:c>
      <x:c r="Q833" s="220" t="n">
        <x:v>3.2666666666666666</x:v>
      </x:c>
      <x:c r="R833" s="220" t="n">
        <x:v>0.07331213764727884</x:v>
      </x:c>
      <x:c r="S833" s="220" t="n">
        <x:v>65.58064516129032</x:v>
      </x:c>
      <x:c r="T833" s="220" t="n">
        <x:v>61.12903225806452</x:v>
      </x:c>
      <x:c r="U833" s="220" t="n">
        <x:v>4.451612903225806</x:v>
      </x:c>
      <x:c r="V833" s="218" t="n">
        <x:v>0.03686635944700461</x:v>
      </x:c>
      <x:c r="W833" s="217" t="n">
        <x:v>5</x:v>
      </x:c>
      <x:c r="X833" s="222" t="n">
        <x:v>1290</x:v>
      </x:c>
      <x:c r="Y833" s="217" t="n">
        <x:v>15</x:v>
      </x:c>
    </x:row>
    <x:row r="834">
      <x:c r="A834" s="216" t="n">
        <x:v>495</x:v>
      </x:c>
      <x:c r="B834" s="216" t="str">
        <x:v>蘆洲仁愛國小(水湳街)</x:v>
      </x:c>
      <x:c r="C834" s="216" t="str">
        <x:v>蘆洲區</x:v>
      </x:c>
      <x:c r="D834" s="216" t="n">
        <x:v>16</x:v>
      </x:c>
      <x:c r="E834" s="216" t="n">
        <x:v>120</x:v>
      </x:c>
      <x:c r="F834" s="219" t="n">
        <x:v>0.9994791666666667</x:v>
      </x:c>
      <x:c r="G834" s="216" t="n">
        <x:v>830</x:v>
      </x:c>
      <x:c r="H834" s="216" t="str">
        <x:f>IF(G834&lt;='排名定義'!$B$5,"是","")</x:f>
        <x:v>是</x:v>
      </x:c>
      <x:c r="I834" s="216" t="n">
        <x:v>829</x:v>
      </x:c>
      <x:c r="J834" s="216" t="str">
        <x:f>IF(I834&lt;='排名定義'!$B$5,"是","")</x:f>
        <x:v>是</x:v>
      </x:c>
      <x:c r="K834" s="216" t="n">
        <x:v>864</x:v>
      </x:c>
      <x:c r="L834" s="216" t="str">
        <x:f>IF(K834&lt;='排名定義'!$B$5,"是","")</x:f>
        <x:v>是</x:v>
      </x:c>
      <x:c r="M834" s="216" t="n">
        <x:f>COUNTIF(H834:L834,"是")</x:f>
        <x:v>3</x:v>
      </x:c>
      <x:c r="N834" s="216" t="str">
        <x:v>三份皆未入選</x:v>
      </x:c>
      <x:c r="O834" s="221" t="n">
        <x:v>44.49166666666667</x:v>
      </x:c>
      <x:c r="P834" s="221" t="n">
        <x:v>40.666666666666664</x:v>
      </x:c>
      <x:c r="Q834" s="221" t="n">
        <x:v>3.825</x:v>
      </x:c>
      <x:c r="R834" s="221" t="n">
        <x:v>0.08597115564712493</x:v>
      </x:c>
      <x:c r="S834" s="221" t="n">
        <x:v>60.12903225806452</x:v>
      </x:c>
      <x:c r="T834" s="221" t="n">
        <x:v>55.74193548387097</x:v>
      </x:c>
      <x:c r="U834" s="221" t="n">
        <x:v>4.387096774193548</x:v>
      </x:c>
      <x:c r="V834" s="219" t="n">
        <x:v>0.08294930875576037</x:v>
      </x:c>
      <x:c r="W834" s="216" t="n">
        <x:v>25</x:v>
      </x:c>
      <x:c r="X834" s="223" t="n">
        <x:v>3390</x:v>
      </x:c>
      <x:c r="Y834" s="216" t="n">
        <x:v>16</x:v>
      </x:c>
    </x:row>
    <x:row r="835">
      <x:c r="A835" s="217" t="n">
        <x:v>216</x:v>
      </x:c>
      <x:c r="B835" s="217" t="str">
        <x:v>連城路469巷21弄</x:v>
      </x:c>
      <x:c r="C835" s="217" t="str">
        <x:v>中和區</x:v>
      </x:c>
      <x:c r="D835" s="217" t="n">
        <x:v>12</x:v>
      </x:c>
      <x:c r="E835" s="217" t="n">
        <x:v>91</x:v>
      </x:c>
      <x:c r="F835" s="218" t="n">
        <x:v>0.9993131868131868</x:v>
      </x:c>
      <x:c r="G835" s="217" t="n">
        <x:v>831</x:v>
      </x:c>
      <x:c r="H835" s="217" t="str">
        <x:f>IF(G835&lt;='排名定義'!$B$5,"是","")</x:f>
        <x:v>是</x:v>
      </x:c>
      <x:c r="I835" s="217" t="n">
        <x:v>837</x:v>
      </x:c>
      <x:c r="J835" s="217" t="str">
        <x:f>IF(I835&lt;='排名定義'!$B$5,"是","")</x:f>
        <x:v>是</x:v>
      </x:c>
      <x:c r="K835" s="217" t="n">
        <x:v>714</x:v>
      </x:c>
      <x:c r="L835" s="217" t="str">
        <x:f>IF(K835&lt;='排名定義'!$B$5,"是","")</x:f>
        <x:v>是</x:v>
      </x:c>
      <x:c r="M835" s="217" t="n">
        <x:f>COUNTIF(H835:L835,"是")</x:f>
        <x:v>3</x:v>
      </x:c>
      <x:c r="N835" s="217" t="str">
        <x:v>三份皆未入選</x:v>
      </x:c>
      <x:c r="O835" s="220" t="n">
        <x:v>44.472527472527474</x:v>
      </x:c>
      <x:c r="P835" s="220" t="n">
        <x:v>40.20879120879121</x:v>
      </x:c>
      <x:c r="Q835" s="220" t="n">
        <x:v>4.263736263736264</x:v>
      </x:c>
      <x:c r="R835" s="220" t="n">
        <x:v>0.09587348653323449</x:v>
      </x:c>
      <x:c r="S835" s="220" t="n">
        <x:v>69.09677419354838</x:v>
      </x:c>
      <x:c r="T835" s="220" t="n">
        <x:v>66</x:v>
      </x:c>
      <x:c r="U835" s="220" t="n">
        <x:v>3.096774193548387</x:v>
      </x:c>
      <x:c r="V835" s="218" t="n">
        <x:v>0.10599078341013825</x:v>
      </x:c>
      <x:c r="W835" s="217" t="n">
        <x:v>18</x:v>
      </x:c>
      <x:c r="X835" s="222" t="n">
        <x:v>3240</x:v>
      </x:c>
      <x:c r="Y835" s="217" t="n">
        <x:v>12</x:v>
      </x:c>
    </x:row>
    <x:row r="836">
      <x:c r="A836" s="216" t="n">
        <x:v>380</x:v>
      </x:c>
      <x:c r="B836" s="216" t="str">
        <x:v>溪尾街(國道橋下)</x:v>
      </x:c>
      <x:c r="C836" s="216" t="str">
        <x:v>三重區</x:v>
      </x:c>
      <x:c r="D836" s="216" t="n">
        <x:v>15</x:v>
      </x:c>
      <x:c r="E836" s="216" t="n">
        <x:v>120</x:v>
      </x:c>
      <x:c r="F836" s="219" t="n">
        <x:v>0.9994791666666667</x:v>
      </x:c>
      <x:c r="G836" s="216" t="n">
        <x:v>832</x:v>
      </x:c>
      <x:c r="H836" s="216" t="str">
        <x:f>IF(G836&lt;='排名定義'!$B$5,"是","")</x:f>
        <x:v>是</x:v>
      </x:c>
      <x:c r="I836" s="216" t="n">
        <x:v>825</x:v>
      </x:c>
      <x:c r="J836" s="216" t="str">
        <x:f>IF(I836&lt;='排名定義'!$B$5,"是","")</x:f>
        <x:v>是</x:v>
      </x:c>
      <x:c r="K836" s="216" t="n">
        <x:v>920</x:v>
      </x:c>
      <x:c r="L836" s="216" t="str">
        <x:f>IF(K836&lt;='排名定義'!$B$5,"是","")</x:f>
        <x:v>是</x:v>
      </x:c>
      <x:c r="M836" s="216" t="n">
        <x:f>COUNTIF(H836:L836,"是")</x:f>
        <x:v>3</x:v>
      </x:c>
      <x:c r="N836" s="216" t="str">
        <x:v>三份皆未入選</x:v>
      </x:c>
      <x:c r="O836" s="221" t="n">
        <x:v>44.43333333333333</x:v>
      </x:c>
      <x:c r="P836" s="221" t="n">
        <x:v>40.775</x:v>
      </x:c>
      <x:c r="Q836" s="221" t="n">
        <x:v>3.658333333333333</x:v>
      </x:c>
      <x:c r="R836" s="221" t="n">
        <x:v>0.0823330832708177</x:v>
      </x:c>
      <x:c r="S836" s="221" t="n">
        <x:v>59.12903225806452</x:v>
      </x:c>
      <x:c r="T836" s="221" t="n">
        <x:v>56.12903225806452</x:v>
      </x:c>
      <x:c r="U836" s="221" t="n">
        <x:v>3</x:v>
      </x:c>
      <x:c r="V836" s="219" t="n">
        <x:v>0.08986175115207373</x:v>
      </x:c>
      <x:c r="W836" s="216" t="n">
        <x:v>26</x:v>
      </x:c>
      <x:c r="X836" s="223" t="n">
        <x:v>2880</x:v>
      </x:c>
      <x:c r="Y836" s="216" t="n">
        <x:v>15</x:v>
      </x:c>
    </x:row>
    <x:row r="837">
      <x:c r="A837" s="217" t="n">
        <x:v>185</x:v>
      </x:c>
      <x:c r="B837" s="217" t="str">
        <x:v>景新立體停車場</x:v>
      </x:c>
      <x:c r="C837" s="217" t="str">
        <x:v>中和區</x:v>
      </x:c>
      <x:c r="D837" s="217" t="n">
        <x:v>12</x:v>
      </x:c>
      <x:c r="E837" s="217" t="n">
        <x:v>120</x:v>
      </x:c>
      <x:c r="F837" s="218" t="n">
        <x:v>0.9994791666666667</x:v>
      </x:c>
      <x:c r="G837" s="217" t="n">
        <x:v>833</x:v>
      </x:c>
      <x:c r="H837" s="217" t="str">
        <x:f>IF(G837&lt;='排名定義'!$B$5,"是","")</x:f>
        <x:v>是</x:v>
      </x:c>
      <x:c r="I837" s="217" t="n">
        <x:v>820</x:v>
      </x:c>
      <x:c r="J837" s="217" t="str">
        <x:f>IF(I837&lt;='排名定義'!$B$5,"是","")</x:f>
        <x:v>是</x:v>
      </x:c>
      <x:c r="K837" s="217" t="n">
        <x:v>1017</x:v>
      </x:c>
      <x:c r="L837" s="217" t="str">
        <x:f>IF(K837&lt;='排名定義'!$B$5,"是","")</x:f>
        <x:v>是</x:v>
      </x:c>
      <x:c r="M837" s="217" t="n">
        <x:f>COUNTIF(H837:L837,"是")</x:f>
        <x:v>3</x:v>
      </x:c>
      <x:c r="N837" s="217" t="str">
        <x:v>三份皆未入選</x:v>
      </x:c>
      <x:c r="O837" s="220" t="n">
        <x:v>44.375</x:v>
      </x:c>
      <x:c r="P837" s="220" t="n">
        <x:v>40.975</x:v>
      </x:c>
      <x:c r="Q837" s="220" t="n">
        <x:v>3.4</x:v>
      </x:c>
      <x:c r="R837" s="220" t="n">
        <x:v>0.07661971830985916</x:v>
      </x:c>
      <x:c r="S837" s="220" t="n">
        <x:v>59.516129032258064</x:v>
      </x:c>
      <x:c r="T837" s="220" t="n">
        <x:v>55.03225806451613</x:v>
      </x:c>
      <x:c r="U837" s="220" t="n">
        <x:v>4.483870967741935</x:v>
      </x:c>
      <x:c r="V837" s="218" t="n">
        <x:v>0.08525345622119816</x:v>
      </x:c>
      <x:c r="W837" s="217" t="n">
        <x:v>28</x:v>
      </x:c>
      <x:c r="X837" s="222" t="n">
        <x:v>3630</x:v>
      </x:c>
      <x:c r="Y837" s="217" t="n">
        <x:v>12</x:v>
      </x:c>
    </x:row>
    <x:row r="838">
      <x:c r="A838" s="216" t="n">
        <x:v>523</x:v>
      </x:c>
      <x:c r="B838" s="216" t="str">
        <x:v>國家檔案館</x:v>
      </x:c>
      <x:c r="C838" s="216" t="str">
        <x:v>林口區</x:v>
      </x:c>
      <x:c r="D838" s="216" t="n">
        <x:v>17</x:v>
      </x:c>
      <x:c r="E838" s="216" t="n">
        <x:v>120</x:v>
      </x:c>
      <x:c r="F838" s="219" t="n">
        <x:v>0.9994791666666667</x:v>
      </x:c>
      <x:c r="G838" s="216" t="n">
        <x:v>834</x:v>
      </x:c>
      <x:c r="H838" s="216" t="str">
        <x:f>IF(G838&lt;='排名定義'!$B$5,"是","")</x:f>
        <x:v>是</x:v>
      </x:c>
      <x:c r="I838" s="216" t="n">
        <x:v>833</x:v>
      </x:c>
      <x:c r="J838" s="216" t="str">
        <x:f>IF(I838&lt;='排名定義'!$B$5,"是","")</x:f>
        <x:v>是</x:v>
      </x:c>
      <x:c r="K838" s="216" t="n">
        <x:v>844</x:v>
      </x:c>
      <x:c r="L838" s="216" t="str">
        <x:f>IF(K838&lt;='排名定義'!$B$5,"是","")</x:f>
        <x:v>是</x:v>
      </x:c>
      <x:c r="M838" s="216" t="n">
        <x:f>COUNTIF(H838:L838,"是")</x:f>
        <x:v>3</x:v>
      </x:c>
      <x:c r="N838" s="216" t="str">
        <x:v>三份皆未入選</x:v>
      </x:c>
      <x:c r="O838" s="221" t="n">
        <x:v>44.3</x:v>
      </x:c>
      <x:c r="P838" s="221" t="n">
        <x:v>40.425</x:v>
      </x:c>
      <x:c r="Q838" s="221" t="n">
        <x:v>3.875</x:v>
      </x:c>
      <x:c r="R838" s="221" t="n">
        <x:v>0.08747178329571106</x:v>
      </x:c>
      <x:c r="S838" s="221" t="n">
        <x:v>60.61290322580645</x:v>
      </x:c>
      <x:c r="T838" s="221" t="n">
        <x:v>57.03225806451613</x:v>
      </x:c>
      <x:c r="U838" s="221" t="n">
        <x:v>3.5806451612903225</x:v>
      </x:c>
      <x:c r="V838" s="219" t="n">
        <x:v>0.08064516129032258</x:v>
      </x:c>
      <x:c r="W838" s="216" t="n">
        <x:v>13</x:v>
      </x:c>
      <x:c r="X838" s="223" t="n">
        <x:v>1950</x:v>
      </x:c>
      <x:c r="Y838" s="216" t="n">
        <x:v>17</x:v>
      </x:c>
    </x:row>
    <x:row r="839">
      <x:c r="A839" s="217" t="n">
        <x:v>1063</x:v>
      </x:c>
      <x:c r="B839" s="217" t="str">
        <x:v>民視數位媒體總部</x:v>
      </x:c>
      <x:c r="C839" s="217" t="str">
        <x:v>林口區</x:v>
      </x:c>
      <x:c r="D839" s="217" t="n">
        <x:v>30</x:v>
      </x:c>
      <x:c r="E839" s="217" t="n">
        <x:v>120</x:v>
      </x:c>
      <x:c r="F839" s="218" t="n">
        <x:v>0.9994791666666667</x:v>
      </x:c>
      <x:c r="G839" s="217" t="n">
        <x:v>835</x:v>
      </x:c>
      <x:c r="H839" s="217" t="str">
        <x:f>IF(G839&lt;='排名定義'!$B$5,"是","")</x:f>
        <x:v>是</x:v>
      </x:c>
      <x:c r="I839" s="217" t="n">
        <x:v>834</x:v>
      </x:c>
      <x:c r="J839" s="217" t="str">
        <x:f>IF(I839&lt;='排名定義'!$B$5,"是","")</x:f>
        <x:v>是</x:v>
      </x:c>
      <x:c r="K839" s="217" t="n">
        <x:v>822</x:v>
      </x:c>
      <x:c r="L839" s="217" t="str">
        <x:f>IF(K839&lt;='排名定義'!$B$5,"是","")</x:f>
        <x:v>是</x:v>
      </x:c>
      <x:c r="M839" s="217" t="n">
        <x:f>COUNTIF(H839:L839,"是")</x:f>
        <x:v>3</x:v>
      </x:c>
      <x:c r="N839" s="217" t="str">
        <x:v>三份皆未入選</x:v>
      </x:c>
      <x:c r="O839" s="220" t="n">
        <x:v>44.25833333333333</x:v>
      </x:c>
      <x:c r="P839" s="220" t="n">
        <x:v>40.31666666666667</x:v>
      </x:c>
      <x:c r="Q839" s="220" t="n">
        <x:v>3.941666666666667</x:v>
      </x:c>
      <x:c r="R839" s="220" t="n">
        <x:v>0.08906044059499153</x:v>
      </x:c>
      <x:c r="S839" s="220" t="n">
        <x:v>74.64516129032258</x:v>
      </x:c>
      <x:c r="T839" s="220" t="n">
        <x:v>70.93548387096774</x:v>
      </x:c>
      <x:c r="U839" s="220" t="n">
        <x:v>3.7096774193548385</x:v>
      </x:c>
      <x:c r="V839" s="218" t="n">
        <x:v>0.004608294930875576</x:v>
      </x:c>
      <x:c r="W839" s="217" t="n">
        <x:v>1</x:v>
      </x:c>
      <x:c r="X839" s="222" t="n">
        <x:v>120</x:v>
      </x:c>
      <x:c r="Y839" s="217" t="n">
        <x:v>30</x:v>
      </x:c>
    </x:row>
    <x:row r="840">
      <x:c r="A840" s="216" t="n">
        <x:v>1386</x:v>
      </x:c>
      <x:c r="B840" s="216" t="str">
        <x:v>永翠藝文街口(柏克萊公園社區)</x:v>
      </x:c>
      <x:c r="C840" s="216" t="str">
        <x:v>板橋區</x:v>
      </x:c>
      <x:c r="D840" s="216" t="n">
        <x:v>45</x:v>
      </x:c>
      <x:c r="E840" s="216" t="n">
        <x:v>120</x:v>
      </x:c>
      <x:c r="F840" s="219" t="n">
        <x:v>0.9994791666666667</x:v>
      </x:c>
      <x:c r="G840" s="216" t="n">
        <x:v>836</x:v>
      </x:c>
      <x:c r="H840" s="216" t="str">
        <x:f>IF(G840&lt;='排名定義'!$B$5,"是","")</x:f>
        <x:v>是</x:v>
      </x:c>
      <x:c r="I840" s="216" t="n">
        <x:v>869</x:v>
      </x:c>
      <x:c r="J840" s="216" t="str">
        <x:f>IF(I840&lt;='排名定義'!$B$5,"是","")</x:f>
        <x:v>是</x:v>
      </x:c>
      <x:c r="K840" s="216" t="n">
        <x:v>358</x:v>
      </x:c>
      <x:c r="L840" s="216" t="str">
        <x:f>IF(K840&lt;='排名定義'!$B$5,"是","")</x:f>
        <x:v>是</x:v>
      </x:c>
      <x:c r="M840" s="216" t="n">
        <x:f>COUNTIF(H840:L840,"是")</x:f>
        <x:v>3</x:v>
      </x:c>
      <x:c r="N840" s="216" t="str">
        <x:v>僅大幅變動</x:v>
      </x:c>
      <x:c r="O840" s="221" t="n">
        <x:v>44.25</x:v>
      </x:c>
      <x:c r="P840" s="221" t="n">
        <x:v>38.28333333333333</x:v>
      </x:c>
      <x:c r="Q840" s="221" t="n">
        <x:v>5.966666666666667</x:v>
      </x:c>
      <x:c r="R840" s="221" t="n">
        <x:v>0.13483992467043315</x:v>
      </x:c>
      <x:c r="S840" s="221" t="n">
        <x:v>62.61290322580645</x:v>
      </x:c>
      <x:c r="T840" s="221" t="n">
        <x:v>59.32258064516129</x:v>
      </x:c>
      <x:c r="U840" s="221" t="n">
        <x:v>3.2903225806451615</x:v>
      </x:c>
      <x:c r="V840" s="219" t="n">
        <x:v>0.03686635944700461</x:v>
      </x:c>
      <x:c r="W840" s="216" t="n">
        <x:v>13</x:v>
      </x:c>
      <x:c r="X840" s="223" t="n">
        <x:v>1320</x:v>
      </x:c>
      <x:c r="Y840" s="216" t="n">
        <x:v>45</x:v>
      </x:c>
    </x:row>
    <x:row r="841">
      <x:c r="A841" s="217" t="n">
        <x:v>595</x:v>
      </x:c>
      <x:c r="B841" s="217" t="str">
        <x:v>光復中興北街175巷口(西北側)</x:v>
      </x:c>
      <x:c r="C841" s="217" t="str">
        <x:v>三重區</x:v>
      </x:c>
      <x:c r="D841" s="217" t="n">
        <x:v>18</x:v>
      </x:c>
      <x:c r="E841" s="217" t="n">
        <x:v>120</x:v>
      </x:c>
      <x:c r="F841" s="218" t="n">
        <x:v>0.9994791666666667</x:v>
      </x:c>
      <x:c r="G841" s="217" t="n">
        <x:v>837</x:v>
      </x:c>
      <x:c r="H841" s="217" t="str">
        <x:f>IF(G841&lt;='排名定義'!$B$5,"是","")</x:f>
        <x:v>是</x:v>
      </x:c>
      <x:c r="I841" s="217" t="n">
        <x:v>836</x:v>
      </x:c>
      <x:c r="J841" s="217" t="str">
        <x:f>IF(I841&lt;='排名定義'!$B$5,"是","")</x:f>
        <x:v>是</x:v>
      </x:c>
      <x:c r="K841" s="217" t="n">
        <x:v>827</x:v>
      </x:c>
      <x:c r="L841" s="217" t="str">
        <x:f>IF(K841&lt;='排名定義'!$B$5,"是","")</x:f>
        <x:v>是</x:v>
      </x:c>
      <x:c r="M841" s="217" t="n">
        <x:f>COUNTIF(H841:L841,"是")</x:f>
        <x:v>3</x:v>
      </x:c>
      <x:c r="N841" s="217" t="str">
        <x:v>三份皆未入選</x:v>
      </x:c>
      <x:c r="O841" s="220" t="n">
        <x:v>44.141666666666666</x:v>
      </x:c>
      <x:c r="P841" s="220" t="n">
        <x:v>40.225</x:v>
      </x:c>
      <x:c r="Q841" s="220" t="n">
        <x:v>3.9166666666666665</x:v>
      </x:c>
      <x:c r="R841" s="220" t="n">
        <x:v>0.08872946951104399</x:v>
      </x:c>
      <x:c r="S841" s="220" t="n">
        <x:v>57.903225806451616</x:v>
      </x:c>
      <x:c r="T841" s="220" t="n">
        <x:v>54.29032258064516</x:v>
      </x:c>
      <x:c r="U841" s="220" t="n">
        <x:v>3.6129032258064515</x:v>
      </x:c>
      <x:c r="V841" s="218" t="n">
        <x:v>0.009216589861751152</x:v>
      </x:c>
      <x:c r="W841" s="217" t="n">
        <x:v>1</x:v>
      </x:c>
      <x:c r="X841" s="222" t="n">
        <x:v>120</x:v>
      </x:c>
      <x:c r="Y841" s="217" t="n">
        <x:v>41</x:v>
      </x:c>
    </x:row>
    <x:row r="842">
      <x:c r="A842" s="216" t="n">
        <x:v>1221</x:v>
      </x:c>
      <x:c r="B842" s="216" t="str">
        <x:v>藝文藝文二街口(大悅社區)</x:v>
      </x:c>
      <x:c r="C842" s="216" t="str">
        <x:v>板橋區</x:v>
      </x:c>
      <x:c r="D842" s="216" t="n">
        <x:v>38</x:v>
      </x:c>
      <x:c r="E842" s="216" t="n">
        <x:v>120</x:v>
      </x:c>
      <x:c r="F842" s="219" t="n">
        <x:v>0.9994791666666667</x:v>
      </x:c>
      <x:c r="G842" s="216" t="n">
        <x:v>838</x:v>
      </x:c>
      <x:c r="H842" s="216" t="str">
        <x:f>IF(G842&lt;='排名定義'!$B$5,"是","")</x:f>
        <x:v>是</x:v>
      </x:c>
      <x:c r="I842" s="216" t="n">
        <x:v>845</x:v>
      </x:c>
      <x:c r="J842" s="216" t="str">
        <x:f>IF(I842&lt;='排名定義'!$B$5,"是","")</x:f>
        <x:v>是</x:v>
      </x:c>
      <x:c r="K842" s="216" t="n">
        <x:v>630</x:v>
      </x:c>
      <x:c r="L842" s="216" t="str">
        <x:f>IF(K842&lt;='排名定義'!$B$5,"是","")</x:f>
        <x:v>是</x:v>
      </x:c>
      <x:c r="M842" s="216" t="n">
        <x:f>COUNTIF(H842:L842,"是")</x:f>
        <x:v>3</x:v>
      </x:c>
      <x:c r="N842" s="216" t="str">
        <x:v>三份皆未入選</x:v>
      </x:c>
      <x:c r="O842" s="221" t="n">
        <x:v>44.075</x:v>
      </x:c>
      <x:c r="P842" s="221" t="n">
        <x:v>39.525</x:v>
      </x:c>
      <x:c r="Q842" s="221" t="n">
        <x:v>4.55</x:v>
      </x:c>
      <x:c r="R842" s="221" t="n">
        <x:v>0.10323312535450936</x:v>
      </x:c>
      <x:c r="S842" s="221" t="n">
        <x:v>64.61290322580645</x:v>
      </x:c>
      <x:c r="T842" s="221" t="n">
        <x:v>61.32258064516129</x:v>
      </x:c>
      <x:c r="U842" s="221" t="n">
        <x:v>3.2903225806451615</x:v>
      </x:c>
      <x:c r="V842" s="219" t="n">
        <x:v>0.03686635944700461</x:v>
      </x:c>
      <x:c r="W842" s="216" t="n">
        <x:v>6</x:v>
      </x:c>
      <x:c r="X842" s="223" t="n">
        <x:v>750</x:v>
      </x:c>
      <x:c r="Y842" s="216" t="n">
        <x:v>38</x:v>
      </x:c>
    </x:row>
    <x:row r="843">
      <x:c r="A843" s="217" t="n">
        <x:v>767</x:v>
      </x:c>
      <x:c r="B843" s="217" t="str">
        <x:v>文化二路一段68巷口</x:v>
      </x:c>
      <x:c r="C843" s="217" t="str">
        <x:v>林口區</x:v>
      </x:c>
      <x:c r="D843" s="217" t="n">
        <x:v>21</x:v>
      </x:c>
      <x:c r="E843" s="217" t="n">
        <x:v>120</x:v>
      </x:c>
      <x:c r="F843" s="218" t="n">
        <x:v>0.9994791666666667</x:v>
      </x:c>
      <x:c r="G843" s="217" t="n">
        <x:v>839</x:v>
      </x:c>
      <x:c r="H843" s="217" t="str">
        <x:f>IF(G843&lt;='排名定義'!$B$5,"是","")</x:f>
        <x:v>是</x:v>
      </x:c>
      <x:c r="I843" s="217" t="n">
        <x:v>839</x:v>
      </x:c>
      <x:c r="J843" s="217" t="str">
        <x:f>IF(I843&lt;='排名定義'!$B$5,"是","")</x:f>
        <x:v>是</x:v>
      </x:c>
      <x:c r="K843" s="217" t="n">
        <x:v>782</x:v>
      </x:c>
      <x:c r="L843" s="217" t="str">
        <x:f>IF(K843&lt;='排名定義'!$B$5,"是","")</x:f>
        <x:v>是</x:v>
      </x:c>
      <x:c r="M843" s="217" t="n">
        <x:f>COUNTIF(H843:L843,"是")</x:f>
        <x:v>3</x:v>
      </x:c>
      <x:c r="N843" s="217" t="str">
        <x:v>三份皆未入選</x:v>
      </x:c>
      <x:c r="O843" s="220" t="n">
        <x:v>44.025</x:v>
      </x:c>
      <x:c r="P843" s="220" t="n">
        <x:v>39.983333333333334</x:v>
      </x:c>
      <x:c r="Q843" s="220" t="n">
        <x:v>4.041666666666667</x:v>
      </x:c>
      <x:c r="R843" s="220" t="n">
        <x:v>0.09180389929964036</x:v>
      </x:c>
      <x:c r="S843" s="220" t="n">
        <x:v>67.38709677419355</x:v>
      </x:c>
      <x:c r="T843" s="220" t="n">
        <x:v>63.41935483870968</x:v>
      </x:c>
      <x:c r="U843" s="220" t="n">
        <x:v>3.967741935483871</x:v>
      </x:c>
      <x:c r="V843" s="218" t="n">
        <x:v>0.10138248847926268</x:v>
      </x:c>
      <x:c r="W843" s="217" t="n">
        <x:v>37</x:v>
      </x:c>
      <x:c r="X843" s="222" t="n">
        <x:v>4770</x:v>
      </x:c>
      <x:c r="Y843" s="217" t="n">
        <x:v>21</x:v>
      </x:c>
    </x:row>
    <x:row r="844">
      <x:c r="A844" s="216" t="n">
        <x:v>289</x:v>
      </x:c>
      <x:c r="B844" s="216" t="str">
        <x:v>中央昌仁路口</x:v>
      </x:c>
      <x:c r="C844" s="216" t="str">
        <x:v>新莊區</x:v>
      </x:c>
      <x:c r="D844" s="216" t="n">
        <x:v>14</x:v>
      </x:c>
      <x:c r="E844" s="216" t="n">
        <x:v>120</x:v>
      </x:c>
      <x:c r="F844" s="219" t="n">
        <x:v>0.9994791666666667</x:v>
      </x:c>
      <x:c r="G844" s="216" t="n">
        <x:v>840</x:v>
      </x:c>
      <x:c r="H844" s="216" t="str">
        <x:f>IF(G844&lt;='排名定義'!$B$5,"是","")</x:f>
        <x:v>是</x:v>
      </x:c>
      <x:c r="I844" s="216" t="n">
        <x:v>835</x:v>
      </x:c>
      <x:c r="J844" s="216" t="str">
        <x:f>IF(I844&lt;='排名定義'!$B$5,"是","")</x:f>
        <x:v>是</x:v>
      </x:c>
      <x:c r="K844" s="216" t="n">
        <x:v>958</x:v>
      </x:c>
      <x:c r="L844" s="216" t="str">
        <x:f>IF(K844&lt;='排名定義'!$B$5,"是","")</x:f>
        <x:v>是</x:v>
      </x:c>
      <x:c r="M844" s="216" t="n">
        <x:f>COUNTIF(H844:L844,"是")</x:f>
        <x:v>3</x:v>
      </x:c>
      <x:c r="N844" s="216" t="str">
        <x:v>三份皆未入選</x:v>
      </x:c>
      <x:c r="O844" s="221" t="n">
        <x:v>43.791666666666664</x:v>
      </x:c>
      <x:c r="P844" s="221" t="n">
        <x:v>40.25</x:v>
      </x:c>
      <x:c r="Q844" s="221" t="n">
        <x:v>3.5416666666666665</x:v>
      </x:c>
      <x:c r="R844" s="221" t="n">
        <x:v>0.08087535680304472</x:v>
      </x:c>
      <x:c r="S844" s="221" t="n">
        <x:v>66.61290322580645</x:v>
      </x:c>
      <x:c r="T844" s="221" t="n">
        <x:v>62.516129032258064</x:v>
      </x:c>
      <x:c r="U844" s="221" t="n">
        <x:v>4.096774193548387</x:v>
      </x:c>
      <x:c r="V844" s="219" t="n">
        <x:v>0.10829493087557604</x:v>
      </x:c>
      <x:c r="W844" s="216" t="n">
        <x:v>24</x:v>
      </x:c>
      <x:c r="X844" s="223" t="n">
        <x:v>3780</x:v>
      </x:c>
      <x:c r="Y844" s="216" t="n">
        <x:v>14</x:v>
      </x:c>
    </x:row>
    <x:row r="845">
      <x:c r="A845" s="217" t="n">
        <x:v>1452</x:v>
      </x:c>
      <x:c r="B845" s="217" t="str">
        <x:v>中原東街(左岸牡丹園)</x:v>
      </x:c>
      <x:c r="C845" s="217" t="str">
        <x:v>中和區</x:v>
      </x:c>
      <x:c r="D845" s="217" t="n">
        <x:v>51</x:v>
      </x:c>
      <x:c r="E845" s="217" t="n">
        <x:v>120</x:v>
      </x:c>
      <x:c r="F845" s="218" t="n">
        <x:v>0.9994791666666667</x:v>
      </x:c>
      <x:c r="G845" s="217" t="n">
        <x:v>841</x:v>
      </x:c>
      <x:c r="H845" s="217" t="str">
        <x:f>IF(G845&lt;='排名定義'!$B$5,"是","")</x:f>
        <x:v>是</x:v>
      </x:c>
      <x:c r="I845" s="217" t="n">
        <x:v>858</x:v>
      </x:c>
      <x:c r="J845" s="217" t="str">
        <x:f>IF(I845&lt;='排名定義'!$B$5,"是","")</x:f>
        <x:v>是</x:v>
      </x:c>
      <x:c r="K845" s="217" t="n">
        <x:v>512</x:v>
      </x:c>
      <x:c r="L845" s="217" t="str">
        <x:f>IF(K845&lt;='排名定義'!$B$5,"是","")</x:f>
        <x:v>是</x:v>
      </x:c>
      <x:c r="M845" s="217" t="n">
        <x:f>COUNTIF(H845:L845,"是")</x:f>
        <x:v>3</x:v>
      </x:c>
      <x:c r="N845" s="217" t="str">
        <x:v>三份皆未入選</x:v>
      </x:c>
      <x:c r="O845" s="220" t="n">
        <x:v>43.78333333333333</x:v>
      </x:c>
      <x:c r="P845" s="220" t="n">
        <x:v>38.675</x:v>
      </x:c>
      <x:c r="Q845" s="220" t="n">
        <x:v>5.108333333333333</x:v>
      </x:c>
      <x:c r="R845" s="220" t="n">
        <x:v>0.11667301103920823</x:v>
      </x:c>
      <x:c r="S845" s="220" t="n">
        <x:v>64.41935483870968</x:v>
      </x:c>
      <x:c r="T845" s="220" t="n">
        <x:v>60.70967741935484</x:v>
      </x:c>
      <x:c r="U845" s="220" t="n">
        <x:v>3.7096774193548385</x:v>
      </x:c>
      <x:c r="V845" s="218" t="n">
        <x:v>0.002304147465437788</x:v>
      </x:c>
      <x:c r="W845" s="217" t="n">
        <x:v>0</x:v>
      </x:c>
      <x:c r="X845" s="222" t="n">
        <x:v>90</x:v>
      </x:c>
      <x:c r="Y845" s="217" t="n">
        <x:v>51</x:v>
      </x:c>
    </x:row>
    <x:row r="846">
      <x:c r="A846" s="216" t="n">
        <x:v>1106</x:v>
      </x:c>
      <x:c r="B846" s="216" t="str">
        <x:v>崑崙公園</x:v>
      </x:c>
      <x:c r="C846" s="216" t="str">
        <x:v>板橋區</x:v>
      </x:c>
      <x:c r="D846" s="216" t="n">
        <x:v>32</x:v>
      </x:c>
      <x:c r="E846" s="216" t="n">
        <x:v>120</x:v>
      </x:c>
      <x:c r="F846" s="219" t="n">
        <x:v>0.9994791666666667</x:v>
      </x:c>
      <x:c r="G846" s="216" t="n">
        <x:v>842</x:v>
      </x:c>
      <x:c r="H846" s="216" t="str">
        <x:f>IF(G846&lt;='排名定義'!$B$5,"是","")</x:f>
        <x:v>是</x:v>
      </x:c>
      <x:c r="I846" s="216" t="n">
        <x:v>851</x:v>
      </x:c>
      <x:c r="J846" s="216" t="str">
        <x:f>IF(I846&lt;='排名定義'!$B$5,"是","")</x:f>
        <x:v>是</x:v>
      </x:c>
      <x:c r="K846" s="216" t="n">
        <x:v>610</x:v>
      </x:c>
      <x:c r="L846" s="216" t="str">
        <x:f>IF(K846&lt;='排名定義'!$B$5,"是","")</x:f>
        <x:v>是</x:v>
      </x:c>
      <x:c r="M846" s="216" t="n">
        <x:f>COUNTIF(H846:L846,"是")</x:f>
        <x:v>3</x:v>
      </x:c>
      <x:c r="N846" s="216" t="str">
        <x:v>三份皆未入選</x:v>
      </x:c>
      <x:c r="O846" s="221" t="n">
        <x:v>43.68333333333333</x:v>
      </x:c>
      <x:c r="P846" s="221" t="n">
        <x:v>39.025</x:v>
      </x:c>
      <x:c r="Q846" s="221" t="n">
        <x:v>4.658333333333333</x:v>
      </x:c>
      <x:c r="R846" s="221" t="n">
        <x:v>0.10663868752384587</x:v>
      </x:c>
      <x:c r="S846" s="221" t="n">
        <x:v>66.93548387096774</x:v>
      </x:c>
      <x:c r="T846" s="221" t="n">
        <x:v>62.12903225806452</x:v>
      </x:c>
      <x:c r="U846" s="221" t="n">
        <x:v>4.806451612903226</x:v>
      </x:c>
      <x:c r="V846" s="219" t="n">
        <x:v>0.027649769585253458</x:v>
      </x:c>
      <x:c r="W846" s="216" t="n">
        <x:v>12</x:v>
      </x:c>
      <x:c r="X846" s="223" t="n">
        <x:v>1740</x:v>
      </x:c>
      <x:c r="Y846" s="216" t="n">
        <x:v>32</x:v>
      </x:c>
    </x:row>
    <x:row r="847">
      <x:c r="A847" s="217" t="n">
        <x:v>497</x:v>
      </x:c>
      <x:c r="B847" s="217" t="str">
        <x:v>長安街251巷</x:v>
      </x:c>
      <x:c r="C847" s="217" t="str">
        <x:v>板橋區</x:v>
      </x:c>
      <x:c r="D847" s="217" t="n">
        <x:v>16</x:v>
      </x:c>
      <x:c r="E847" s="217" t="n">
        <x:v>120</x:v>
      </x:c>
      <x:c r="F847" s="218" t="n">
        <x:v>0.9994791666666667</x:v>
      </x:c>
      <x:c r="G847" s="217" t="n">
        <x:v>843</x:v>
      </x:c>
      <x:c r="H847" s="217" t="str">
        <x:f>IF(G847&lt;='排名定義'!$B$5,"是","")</x:f>
        <x:v>是</x:v>
      </x:c>
      <x:c r="I847" s="217" t="n">
        <x:v>838</x:v>
      </x:c>
      <x:c r="J847" s="217" t="str">
        <x:f>IF(I847&lt;='排名定義'!$B$5,"是","")</x:f>
        <x:v>是</x:v>
      </x:c>
      <x:c r="K847" s="217" t="n">
        <x:v>1001</x:v>
      </x:c>
      <x:c r="L847" s="217" t="str">
        <x:f>IF(K847&lt;='排名定義'!$B$5,"是","")</x:f>
        <x:v>是</x:v>
      </x:c>
      <x:c r="M847" s="217" t="n">
        <x:f>COUNTIF(H847:L847,"是")</x:f>
        <x:v>3</x:v>
      </x:c>
      <x:c r="N847" s="217" t="str">
        <x:v>三份皆未入選</x:v>
      </x:c>
      <x:c r="O847" s="220" t="n">
        <x:v>43.625</x:v>
      </x:c>
      <x:c r="P847" s="220" t="n">
        <x:v>40.19166666666667</x:v>
      </x:c>
      <x:c r="Q847" s="220" t="n">
        <x:v>3.433333333333333</x:v>
      </x:c>
      <x:c r="R847" s="220" t="n">
        <x:v>0.07870105062082139</x:v>
      </x:c>
      <x:c r="S847" s="220" t="n">
        <x:v>50.225806451612904</x:v>
      </x:c>
      <x:c r="T847" s="220" t="n">
        <x:v>47.774193548387096</x:v>
      </x:c>
      <x:c r="U847" s="220" t="n">
        <x:v>2.4516129032258065</x:v>
      </x:c>
      <x:c r="V847" s="218" t="n">
        <x:v>0.12903225806451613</x:v>
      </x:c>
      <x:c r="W847" s="217" t="n">
        <x:v>29</x:v>
      </x:c>
      <x:c r="X847" s="222" t="n">
        <x:v>3600</x:v>
      </x:c>
      <x:c r="Y847" s="217" t="n">
        <x:v>16</x:v>
      </x:c>
    </x:row>
    <x:row r="848">
      <x:c r="A848" s="216" t="n">
        <x:v>333</x:v>
      </x:c>
      <x:c r="B848" s="216" t="str">
        <x:v>俊英街125巷口</x:v>
      </x:c>
      <x:c r="C848" s="216" t="str">
        <x:v>樹林區</x:v>
      </x:c>
      <x:c r="D848" s="216" t="n">
        <x:v>15</x:v>
      </x:c>
      <x:c r="E848" s="216" t="n">
        <x:v>120</x:v>
      </x:c>
      <x:c r="F848" s="219" t="n">
        <x:v>0.9994791666666667</x:v>
      </x:c>
      <x:c r="G848" s="216" t="n">
        <x:v>844</x:v>
      </x:c>
      <x:c r="H848" s="216" t="str">
        <x:f>IF(G848&lt;='排名定義'!$B$5,"是","")</x:f>
        <x:v>是</x:v>
      </x:c>
      <x:c r="I848" s="216" t="n">
        <x:v>827</x:v>
      </x:c>
      <x:c r="J848" s="216" t="str">
        <x:f>IF(I848&lt;='排名定義'!$B$5,"是","")</x:f>
        <x:v>是</x:v>
      </x:c>
      <x:c r="K848" s="216" t="n">
        <x:v>1206</x:v>
      </x:c>
      <x:c r="L848" s="216" t="str">
        <x:f>IF(K848&lt;='排名定義'!$B$5,"是","")</x:f>
        <x:v>是</x:v>
      </x:c>
      <x:c r="M848" s="216" t="n">
        <x:f>COUNTIF(H848:L848,"是")</x:f>
        <x:v>3</x:v>
      </x:c>
      <x:c r="N848" s="216" t="str">
        <x:v>三份皆未入選</x:v>
      </x:c>
      <x:c r="O848" s="221" t="n">
        <x:v>43.59166666666667</x:v>
      </x:c>
      <x:c r="P848" s="221" t="n">
        <x:v>40.708333333333336</x:v>
      </x:c>
      <x:c r="Q848" s="221" t="n">
        <x:v>2.8833333333333333</x:v>
      </x:c>
      <x:c r="R848" s="221" t="n">
        <x:v>0.06614414069967502</x:v>
      </x:c>
      <x:c r="S848" s="221" t="n">
        <x:v>63.483870967741936</x:v>
      </x:c>
      <x:c r="T848" s="221" t="n">
        <x:v>60.83870967741935</x:v>
      </x:c>
      <x:c r="U848" s="221" t="n">
        <x:v>2.6451612903225805</x:v>
      </x:c>
      <x:c r="V848" s="219" t="n">
        <x:v>0.12672811059907835</x:v>
      </x:c>
      <x:c r="W848" s="216" t="n">
        <x:v>27</x:v>
      </x:c>
      <x:c r="X848" s="223" t="n">
        <x:v>3090</x:v>
      </x:c>
      <x:c r="Y848" s="216" t="n">
        <x:v>15</x:v>
      </x:c>
    </x:row>
    <x:row r="849">
      <x:c r="A849" s="217" t="n">
        <x:v>1058</x:v>
      </x:c>
      <x:c r="B849" s="217" t="str">
        <x:v>新崑公園</x:v>
      </x:c>
      <x:c r="C849" s="217" t="str">
        <x:v>板橋區</x:v>
      </x:c>
      <x:c r="D849" s="217" t="n">
        <x:v>30</x:v>
      </x:c>
      <x:c r="E849" s="217" t="n">
        <x:v>120</x:v>
      </x:c>
      <x:c r="F849" s="218" t="n">
        <x:v>0.9994791666666667</x:v>
      </x:c>
      <x:c r="G849" s="217" t="n">
        <x:v>845</x:v>
      </x:c>
      <x:c r="H849" s="217" t="str">
        <x:f>IF(G849&lt;='排名定義'!$B$5,"是","")</x:f>
        <x:v>是</x:v>
      </x:c>
      <x:c r="I849" s="217" t="n">
        <x:v>864</x:v>
      </x:c>
      <x:c r="J849" s="217" t="str">
        <x:f>IF(I849&lt;='排名定義'!$B$5,"是","")</x:f>
        <x:v>是</x:v>
      </x:c>
      <x:c r="K849" s="217" t="n">
        <x:v>517</x:v>
      </x:c>
      <x:c r="L849" s="217" t="str">
        <x:f>IF(K849&lt;='排名定義'!$B$5,"是","")</x:f>
        <x:v>是</x:v>
      </x:c>
      <x:c r="M849" s="217" t="n">
        <x:f>COUNTIF(H849:L849,"是")</x:f>
        <x:v>3</x:v>
      </x:c>
      <x:c r="N849" s="217" t="str">
        <x:v>三份皆未入選</x:v>
      </x:c>
      <x:c r="O849" s="220" t="n">
        <x:v>43.525</x:v>
      </x:c>
      <x:c r="P849" s="220" t="n">
        <x:v>38.44166666666667</x:v>
      </x:c>
      <x:c r="Q849" s="220" t="n">
        <x:v>5.083333333333333</x:v>
      </x:c>
      <x:c r="R849" s="220" t="n">
        <x:v>0.11679111621673367</x:v>
      </x:c>
      <x:c r="S849" s="220" t="n">
        <x:v>70.87096774193549</x:v>
      </x:c>
      <x:c r="T849" s="220" t="n">
        <x:v>66.09677419354838</x:v>
      </x:c>
      <x:c r="U849" s="220" t="n">
        <x:v>4.774193548387097</x:v>
      </x:c>
      <x:c r="V849" s="218" t="n">
        <x:v>0.10599078341013825</x:v>
      </x:c>
      <x:c r="W849" s="217" t="n">
        <x:v>14</x:v>
      </x:c>
      <x:c r="X849" s="222" t="n">
        <x:v>1710</x:v>
      </x:c>
      <x:c r="Y849" s="217" t="n">
        <x:v>30</x:v>
      </x:c>
    </x:row>
    <x:row r="850">
      <x:c r="A850" s="216" t="n">
        <x:v>403</x:v>
      </x:c>
      <x:c r="B850" s="216" t="str">
        <x:v>中和公園(秀安街口)</x:v>
      </x:c>
      <x:c r="C850" s="216" t="str">
        <x:v>中和區</x:v>
      </x:c>
      <x:c r="D850" s="216" t="n">
        <x:v>15</x:v>
      </x:c>
      <x:c r="E850" s="216" t="n">
        <x:v>120</x:v>
      </x:c>
      <x:c r="F850" s="219" t="n">
        <x:v>0.9994791666666667</x:v>
      </x:c>
      <x:c r="G850" s="216" t="n">
        <x:v>846</x:v>
      </x:c>
      <x:c r="H850" s="216" t="str">
        <x:f>IF(G850&lt;='排名定義'!$B$5,"是","")</x:f>
        <x:v>是</x:v>
      </x:c>
      <x:c r="I850" s="216" t="n">
        <x:v>840</x:v>
      </x:c>
      <x:c r="J850" s="216" t="str">
        <x:f>IF(I850&lt;='排名定義'!$B$5,"是","")</x:f>
        <x:v>是</x:v>
      </x:c>
      <x:c r="K850" s="216" t="n">
        <x:v>998</x:v>
      </x:c>
      <x:c r="L850" s="216" t="str">
        <x:f>IF(K850&lt;='排名定義'!$B$5,"是","")</x:f>
        <x:v>是</x:v>
      </x:c>
      <x:c r="M850" s="216" t="n">
        <x:f>COUNTIF(H850:L850,"是")</x:f>
        <x:v>3</x:v>
      </x:c>
      <x:c r="N850" s="216" t="str">
        <x:v>三份皆未入選</x:v>
      </x:c>
      <x:c r="O850" s="221" t="n">
        <x:v>43.40833333333333</x:v>
      </x:c>
      <x:c r="P850" s="221" t="n">
        <x:v>39.96666666666667</x:v>
      </x:c>
      <x:c r="Q850" s="221" t="n">
        <x:v>3.441666666666667</x:v>
      </x:c>
      <x:c r="R850" s="221" t="n">
        <x:v>0.07928585141101939</x:v>
      </x:c>
      <x:c r="S850" s="221" t="n">
        <x:v>72.74193548387096</x:v>
      </x:c>
      <x:c r="T850" s="221" t="n">
        <x:v>69.74193548387096</x:v>
      </x:c>
      <x:c r="U850" s="221" t="n">
        <x:v>3</x:v>
      </x:c>
      <x:c r="V850" s="219" t="n">
        <x:v>0.07142857142857142</x:v>
      </x:c>
      <x:c r="W850" s="216" t="n">
        <x:v>27</x:v>
      </x:c>
      <x:c r="X850" s="223" t="n">
        <x:v>3030</x:v>
      </x:c>
      <x:c r="Y850" s="216" t="n">
        <x:v>15</x:v>
      </x:c>
    </x:row>
    <x:row r="851">
      <x:c r="A851" s="217" t="n">
        <x:v>1030</x:v>
      </x:c>
      <x:c r="B851" s="217" t="str">
        <x:v>文化廣場</x:v>
      </x:c>
      <x:c r="C851" s="217" t="str">
        <x:v>林口區</x:v>
      </x:c>
      <x:c r="D851" s="217" t="n">
        <x:v>30</x:v>
      </x:c>
      <x:c r="E851" s="217" t="n">
        <x:v>120</x:v>
      </x:c>
      <x:c r="F851" s="218" t="n">
        <x:v>0.9994791666666667</x:v>
      </x:c>
      <x:c r="G851" s="217" t="n">
        <x:v>847</x:v>
      </x:c>
      <x:c r="H851" s="217" t="str">
        <x:f>IF(G851&lt;='排名定義'!$B$5,"是","")</x:f>
        <x:v>是</x:v>
      </x:c>
      <x:c r="I851" s="217" t="n">
        <x:v>844</x:v>
      </x:c>
      <x:c r="J851" s="217" t="str">
        <x:f>IF(I851&lt;='排名定義'!$B$5,"是","")</x:f>
        <x:v>是</x:v>
      </x:c>
      <x:c r="K851" s="217" t="n">
        <x:v>866</x:v>
      </x:c>
      <x:c r="L851" s="217" t="str">
        <x:f>IF(K851&lt;='排名定義'!$B$5,"是","")</x:f>
        <x:v>是</x:v>
      </x:c>
      <x:c r="M851" s="217" t="n">
        <x:f>COUNTIF(H851:L851,"是")</x:f>
        <x:v>3</x:v>
      </x:c>
      <x:c r="N851" s="217" t="str">
        <x:v>三份皆未入選</x:v>
      </x:c>
      <x:c r="O851" s="220" t="n">
        <x:v>43.4</x:v>
      </x:c>
      <x:c r="P851" s="220" t="n">
        <x:v>39.575</x:v>
      </x:c>
      <x:c r="Q851" s="220" t="n">
        <x:v>3.825</x:v>
      </x:c>
      <x:c r="R851" s="220" t="n">
        <x:v>0.08813364055299538</x:v>
      </x:c>
      <x:c r="S851" s="220" t="n">
        <x:v>89.87096774193549</x:v>
      </x:c>
      <x:c r="T851" s="220" t="n">
        <x:v>85.29032258064517</x:v>
      </x:c>
      <x:c r="U851" s="220" t="n">
        <x:v>4.580645161290323</x:v>
      </x:c>
      <x:c r="V851" s="218" t="n">
        <x:v>0.029953917050691243</x:v>
      </x:c>
      <x:c r="W851" s="217" t="n">
        <x:v>7</x:v>
      </x:c>
      <x:c r="X851" s="222" t="n">
        <x:v>960</x:v>
      </x:c>
      <x:c r="Y851" s="217" t="n">
        <x:v>30</x:v>
      </x:c>
    </x:row>
    <x:row r="852">
      <x:c r="A852" s="216" t="n">
        <x:v>395</x:v>
      </x:c>
      <x:c r="B852" s="216" t="str">
        <x:v>重新橋第1市民活動中心</x:v>
      </x:c>
      <x:c r="C852" s="216" t="str">
        <x:v>三重區</x:v>
      </x:c>
      <x:c r="D852" s="216" t="n">
        <x:v>15</x:v>
      </x:c>
      <x:c r="E852" s="216" t="n">
        <x:v>120</x:v>
      </x:c>
      <x:c r="F852" s="219" t="n">
        <x:v>0.9994791666666667</x:v>
      </x:c>
      <x:c r="G852" s="216" t="n">
        <x:v>848</x:v>
      </x:c>
      <x:c r="H852" s="216" t="str">
        <x:f>IF(G852&lt;='排名定義'!$B$5,"是","")</x:f>
        <x:v>是</x:v>
      </x:c>
      <x:c r="I852" s="216" t="n">
        <x:v>843</x:v>
      </x:c>
      <x:c r="J852" s="216" t="str">
        <x:f>IF(I852&lt;='排名定義'!$B$5,"是","")</x:f>
        <x:v>是</x:v>
      </x:c>
      <x:c r="K852" s="216" t="n">
        <x:v>924</x:v>
      </x:c>
      <x:c r="L852" s="216" t="str">
        <x:f>IF(K852&lt;='排名定義'!$B$5,"是","")</x:f>
        <x:v>是</x:v>
      </x:c>
      <x:c r="M852" s="216" t="n">
        <x:f>COUNTIF(H852:L852,"是")</x:f>
        <x:v>3</x:v>
      </x:c>
      <x:c r="N852" s="216" t="str">
        <x:v>三份皆未入選</x:v>
      </x:c>
      <x:c r="O852" s="221" t="n">
        <x:v>43.38333333333333</x:v>
      </x:c>
      <x:c r="P852" s="221" t="n">
        <x:v>39.74166666666667</x:v>
      </x:c>
      <x:c r="Q852" s="221" t="n">
        <x:v>3.6416666666666666</x:v>
      </x:c>
      <x:c r="R852" s="221" t="n">
        <x:v>0.08394160583941605</x:v>
      </x:c>
      <x:c r="S852" s="221" t="n">
        <x:v>68.12903225806451</x:v>
      </x:c>
      <x:c r="T852" s="221" t="n">
        <x:v>63.61290322580645</x:v>
      </x:c>
      <x:c r="U852" s="221" t="n">
        <x:v>4.516129032258065</x:v>
      </x:c>
      <x:c r="V852" s="219" t="n">
        <x:v>0.059907834101382486</x:v>
      </x:c>
      <x:c r="W852" s="216" t="n">
        <x:v>12</x:v>
      </x:c>
      <x:c r="X852" s="223" t="n">
        <x:v>1830</x:v>
      </x:c>
      <x:c r="Y852" s="216" t="n">
        <x:v>15</x:v>
      </x:c>
    </x:row>
    <x:row r="853">
      <x:c r="A853" s="217" t="n">
        <x:v>1417</x:v>
      </x:c>
      <x:c r="B853" s="217" t="str">
        <x:v>扶輪公園</x:v>
      </x:c>
      <x:c r="C853" s="217" t="str">
        <x:v>林口區</x:v>
      </x:c>
      <x:c r="D853" s="217" t="n">
        <x:v>48</x:v>
      </x:c>
      <x:c r="E853" s="217" t="n">
        <x:v>120</x:v>
      </x:c>
      <x:c r="F853" s="218" t="n">
        <x:v>0.9994791666666667</x:v>
      </x:c>
      <x:c r="G853" s="217" t="n">
        <x:v>849</x:v>
      </x:c>
      <x:c r="H853" s="217" t="str">
        <x:f>IF(G853&lt;='排名定義'!$B$5,"是","")</x:f>
        <x:v>是</x:v>
      </x:c>
      <x:c r="I853" s="217" t="n">
        <x:v>846</x:v>
      </x:c>
      <x:c r="J853" s="217" t="str">
        <x:f>IF(I853&lt;='排名定義'!$B$5,"是","")</x:f>
        <x:v>是</x:v>
      </x:c>
      <x:c r="K853" s="217" t="n">
        <x:v>851</x:v>
      </x:c>
      <x:c r="L853" s="217" t="str">
        <x:f>IF(K853&lt;='排名定義'!$B$5,"是","")</x:f>
        <x:v>是</x:v>
      </x:c>
      <x:c r="M853" s="217" t="n">
        <x:f>COUNTIF(H853:L853,"是")</x:f>
        <x:v>3</x:v>
      </x:c>
      <x:c r="N853" s="217" t="str">
        <x:v>三份皆未入選</x:v>
      </x:c>
      <x:c r="O853" s="220" t="n">
        <x:v>43.375</x:v>
      </x:c>
      <x:c r="P853" s="220" t="n">
        <x:v>39.516666666666666</x:v>
      </x:c>
      <x:c r="Q853" s="220" t="n">
        <x:v>3.8583333333333334</x:v>
      </x:c>
      <x:c r="R853" s="220" t="n">
        <x:v>0.08895292987512007</x:v>
      </x:c>
      <x:c r="S853" s="220" t="n">
        <x:v>73.6774193548387</x:v>
      </x:c>
      <x:c r="T853" s="220" t="n">
        <x:v>68.45161290322581</x:v>
      </x:c>
      <x:c r="U853" s="220" t="n">
        <x:v>5.225806451612903</x:v>
      </x:c>
      <x:c r="V853" s="218" t="n">
        <x:v>0.016129032258064516</x:v>
      </x:c>
      <x:c r="W853" s="217" t="n">
        <x:v>5</x:v>
      </x:c>
      <x:c r="X853" s="222" t="n">
        <x:v>420</x:v>
      </x:c>
      <x:c r="Y853" s="217" t="n">
        <x:v>48</x:v>
      </x:c>
    </x:row>
    <x:row r="854">
      <x:c r="A854" s="216" t="n">
        <x:v>1206</x:v>
      </x:c>
      <x:c r="B854" s="216" t="str">
        <x:v>碧潭西岸</x:v>
      </x:c>
      <x:c r="C854" s="216" t="str">
        <x:v>新店區</x:v>
      </x:c>
      <x:c r="D854" s="216" t="n">
        <x:v>37</x:v>
      </x:c>
      <x:c r="E854" s="216" t="n">
        <x:v>120</x:v>
      </x:c>
      <x:c r="F854" s="219" t="n">
        <x:v>0.9994791666666667</x:v>
      </x:c>
      <x:c r="G854" s="216" t="n">
        <x:v>850</x:v>
      </x:c>
      <x:c r="H854" s="216" t="str">
        <x:f>IF(G854&lt;='排名定義'!$B$5,"是","")</x:f>
        <x:v>是</x:v>
      </x:c>
      <x:c r="I854" s="216" t="n">
        <x:v>856</x:v>
      </x:c>
      <x:c r="J854" s="216" t="str">
        <x:f>IF(I854&lt;='排名定義'!$B$5,"是","")</x:f>
        <x:v>是</x:v>
      </x:c>
      <x:c r="K854" s="216" t="n">
        <x:v>624</x:v>
      </x:c>
      <x:c r="L854" s="216" t="str">
        <x:f>IF(K854&lt;='排名定義'!$B$5,"是","")</x:f>
        <x:v>是</x:v>
      </x:c>
      <x:c r="M854" s="216" t="n">
        <x:f>COUNTIF(H854:L854,"是")</x:f>
        <x:v>3</x:v>
      </x:c>
      <x:c r="N854" s="216" t="str">
        <x:v>三份皆未入選</x:v>
      </x:c>
      <x:c r="O854" s="221" t="n">
        <x:v>43.30833333333333</x:v>
      </x:c>
      <x:c r="P854" s="221" t="n">
        <x:v>38.733333333333334</x:v>
      </x:c>
      <x:c r="Q854" s="221" t="n">
        <x:v>4.575</x:v>
      </x:c>
      <x:c r="R854" s="221" t="n">
        <x:v>0.10563786800076967</x:v>
      </x:c>
      <x:c r="S854" s="221" t="n">
        <x:v>79</x:v>
      </x:c>
      <x:c r="T854" s="221" t="n">
        <x:v>74.41935483870968</x:v>
      </x:c>
      <x:c r="U854" s="221" t="n">
        <x:v>4.580645161290323</x:v>
      </x:c>
      <x:c r="V854" s="219" t="n">
        <x:v>0.03686635944700461</x:v>
      </x:c>
      <x:c r="W854" s="216" t="n">
        <x:v>13</x:v>
      </x:c>
      <x:c r="X854" s="223" t="n">
        <x:v>1620</x:v>
      </x:c>
      <x:c r="Y854" s="216" t="n">
        <x:v>37</x:v>
      </x:c>
    </x:row>
    <x:row r="855">
      <x:c r="A855" s="217" t="n">
        <x:v>1257</x:v>
      </x:c>
      <x:c r="B855" s="217" t="str">
        <x:v>仁義街37巷元富一街口</x:v>
      </x:c>
      <x:c r="C855" s="217" t="str">
        <x:v>三重區</x:v>
      </x:c>
      <x:c r="D855" s="217" t="n">
        <x:v>40</x:v>
      </x:c>
      <x:c r="E855" s="217" t="n">
        <x:v>120</x:v>
      </x:c>
      <x:c r="F855" s="218" t="n">
        <x:v>0.9994791666666667</x:v>
      </x:c>
      <x:c r="G855" s="217" t="n">
        <x:v>851</x:v>
      </x:c>
      <x:c r="H855" s="217" t="str">
        <x:f>IF(G855&lt;='排名定義'!$B$5,"是","")</x:f>
        <x:v>是</x:v>
      </x:c>
      <x:c r="I855" s="217" t="n">
        <x:v>883</x:v>
      </x:c>
      <x:c r="J855" s="217" t="str">
        <x:f>IF(I855&lt;='排名定義'!$B$5,"是","")</x:f>
        <x:v>是</x:v>
      </x:c>
      <x:c r="K855" s="217" t="n">
        <x:v>494</x:v>
      </x:c>
      <x:c r="L855" s="217" t="str">
        <x:f>IF(K855&lt;='排名定義'!$B$5,"是","")</x:f>
        <x:v>是</x:v>
      </x:c>
      <x:c r="M855" s="217" t="n">
        <x:f>COUNTIF(H855:L855,"是")</x:f>
        <x:v>3</x:v>
      </x:c>
      <x:c r="N855" s="217" t="str">
        <x:v>三份皆未入選</x:v>
      </x:c>
      <x:c r="O855" s="220" t="n">
        <x:v>43.025</x:v>
      </x:c>
      <x:c r="P855" s="220" t="n">
        <x:v>37.84166666666667</x:v>
      </x:c>
      <x:c r="Q855" s="220" t="n">
        <x:v>5.183333333333334</x:v>
      </x:c>
      <x:c r="R855" s="220" t="n">
        <x:v>0.12047259345341856</x:v>
      </x:c>
      <x:c r="S855" s="220" t="n">
        <x:v>58.03225806451613</x:v>
      </x:c>
      <x:c r="T855" s="220" t="n">
        <x:v>54.32258064516129</x:v>
      </x:c>
      <x:c r="U855" s="220" t="n">
        <x:v>3.7096774193548385</x:v>
      </x:c>
      <x:c r="V855" s="218" t="n">
        <x:v>0.04608294930875576</x:v>
      </x:c>
      <x:c r="W855" s="217" t="n">
        <x:v>15</x:v>
      </x:c>
      <x:c r="X855" s="222" t="n">
        <x:v>1560</x:v>
      </x:c>
      <x:c r="Y855" s="217" t="n">
        <x:v>40</x:v>
      </x:c>
    </x:row>
    <x:row r="856">
      <x:c r="A856" s="216" t="n">
        <x:v>935</x:v>
      </x:c>
      <x:c r="B856" s="216" t="str">
        <x:v>湖南市民活動中心</x:v>
      </x:c>
      <x:c r="C856" s="216" t="str">
        <x:v>林口區</x:v>
      </x:c>
      <x:c r="D856" s="216" t="n">
        <x:v>26</x:v>
      </x:c>
      <x:c r="E856" s="216" t="n">
        <x:v>120</x:v>
      </x:c>
      <x:c r="F856" s="219" t="n">
        <x:v>0.9994791666666667</x:v>
      </x:c>
      <x:c r="G856" s="216" t="n">
        <x:v>852</x:v>
      </x:c>
      <x:c r="H856" s="216" t="str">
        <x:f>IF(G856&lt;='排名定義'!$B$5,"是","")</x:f>
        <x:v>是</x:v>
      </x:c>
      <x:c r="I856" s="216" t="n">
        <x:v>853</x:v>
      </x:c>
      <x:c r="J856" s="216" t="str">
        <x:f>IF(I856&lt;='排名定義'!$B$5,"是","")</x:f>
        <x:v>是</x:v>
      </x:c>
      <x:c r="K856" s="216" t="n">
        <x:v>729</x:v>
      </x:c>
      <x:c r="L856" s="216" t="str">
        <x:f>IF(K856&lt;='排名定義'!$B$5,"是","")</x:f>
        <x:v>是</x:v>
      </x:c>
      <x:c r="M856" s="216" t="n">
        <x:f>COUNTIF(H856:L856,"是")</x:f>
        <x:v>3</x:v>
      </x:c>
      <x:c r="N856" s="216" t="str">
        <x:v>三份皆未入選</x:v>
      </x:c>
      <x:c r="O856" s="221" t="n">
        <x:v>43.00833333333333</x:v>
      </x:c>
      <x:c r="P856" s="221" t="n">
        <x:v>38.8</x:v>
      </x:c>
      <x:c r="Q856" s="221" t="n">
        <x:v>4.208333333333333</x:v>
      </x:c>
      <x:c r="R856" s="221" t="n">
        <x:v>0.09784925402053865</x:v>
      </x:c>
      <x:c r="S856" s="221" t="n">
        <x:v>67.2258064516129</x:v>
      </x:c>
      <x:c r="T856" s="221" t="n">
        <x:v>63.61290322580645</x:v>
      </x:c>
      <x:c r="U856" s="221" t="n">
        <x:v>3.6129032258064515</x:v>
      </x:c>
      <x:c r="V856" s="219" t="n">
        <x:v>0.0069124423963133645</x:v>
      </x:c>
      <x:c r="W856" s="216" t="n">
        <x:v>1</x:v>
      </x:c>
      <x:c r="X856" s="223" t="n">
        <x:v>270</x:v>
      </x:c>
      <x:c r="Y856" s="216" t="n">
        <x:v>26</x:v>
      </x:c>
    </x:row>
    <x:row r="857">
      <x:c r="A857" s="217" t="n">
        <x:v>298</x:v>
      </x:c>
      <x:c r="B857" s="217" t="str">
        <x:v>大義三樹路口</x:v>
      </x:c>
      <x:c r="C857" s="217" t="str">
        <x:v>三峽區</x:v>
      </x:c>
      <x:c r="D857" s="217" t="n">
        <x:v>14</x:v>
      </x:c>
      <x:c r="E857" s="217" t="n">
        <x:v>120</x:v>
      </x:c>
      <x:c r="F857" s="218" t="n">
        <x:v>0.9994791666666667</x:v>
      </x:c>
      <x:c r="G857" s="217" t="n">
        <x:v>853</x:v>
      </x:c>
      <x:c r="H857" s="217" t="str">
        <x:f>IF(G857&lt;='排名定義'!$B$5,"是","")</x:f>
        <x:v>是</x:v>
      </x:c>
      <x:c r="I857" s="217" t="n">
        <x:v>848</x:v>
      </x:c>
      <x:c r="J857" s="217" t="str">
        <x:f>IF(I857&lt;='排名定義'!$B$5,"是","")</x:f>
        <x:v>是</x:v>
      </x:c>
      <x:c r="K857" s="217" t="n">
        <x:v>962</x:v>
      </x:c>
      <x:c r="L857" s="217" t="str">
        <x:f>IF(K857&lt;='排名定義'!$B$5,"是","")</x:f>
        <x:v>是</x:v>
      </x:c>
      <x:c r="M857" s="217" t="n">
        <x:f>COUNTIF(H857:L857,"是")</x:f>
        <x:v>3</x:v>
      </x:c>
      <x:c r="N857" s="217" t="str">
        <x:v>三份皆未入選</x:v>
      </x:c>
      <x:c r="O857" s="220" t="n">
        <x:v>42.916666666666664</x:v>
      </x:c>
      <x:c r="P857" s="220" t="n">
        <x:v>39.391666666666666</x:v>
      </x:c>
      <x:c r="Q857" s="220" t="n">
        <x:v>3.525</x:v>
      </x:c>
      <x:c r="R857" s="220" t="n">
        <x:v>0.08213592233009709</x:v>
      </x:c>
      <x:c r="S857" s="220" t="n">
        <x:v>66.80645161290323</x:v>
      </x:c>
      <x:c r="T857" s="220" t="n">
        <x:v>64.06451612903226</x:v>
      </x:c>
      <x:c r="U857" s="220" t="n">
        <x:v>2.7419354838709675</x:v>
      </x:c>
      <x:c r="V857" s="218" t="n">
        <x:v>0.055299539170506916</x:v>
      </x:c>
      <x:c r="W857" s="217" t="n">
        <x:v>11</x:v>
      </x:c>
      <x:c r="X857" s="222" t="n">
        <x:v>1680</x:v>
      </x:c>
      <x:c r="Y857" s="217" t="n">
        <x:v>14</x:v>
      </x:c>
    </x:row>
    <x:row r="858">
      <x:c r="A858" s="216" t="n">
        <x:v>1262</x:v>
      </x:c>
      <x:c r="B858" s="216" t="str">
        <x:v>彭福國小</x:v>
      </x:c>
      <x:c r="C858" s="216" t="str">
        <x:v>樹林區</x:v>
      </x:c>
      <x:c r="D858" s="216" t="n">
        <x:v>40</x:v>
      </x:c>
      <x:c r="E858" s="216" t="n">
        <x:v>120</x:v>
      </x:c>
      <x:c r="F858" s="219" t="n">
        <x:v>0.9994791666666667</x:v>
      </x:c>
      <x:c r="G858" s="216" t="n">
        <x:v>854</x:v>
      </x:c>
      <x:c r="H858" s="216" t="str">
        <x:f>IF(G858&lt;='排名定義'!$B$5,"是","")</x:f>
        <x:v>是</x:v>
      </x:c>
      <x:c r="I858" s="216" t="n">
        <x:v>865</x:v>
      </x:c>
      <x:c r="J858" s="216" t="str">
        <x:f>IF(I858&lt;='排名定義'!$B$5,"是","")</x:f>
        <x:v>是</x:v>
      </x:c>
      <x:c r="K858" s="216" t="n">
        <x:v>640</x:v>
      </x:c>
      <x:c r="L858" s="216" t="str">
        <x:f>IF(K858&lt;='排名定義'!$B$5,"是","")</x:f>
        <x:v>是</x:v>
      </x:c>
      <x:c r="M858" s="216" t="n">
        <x:f>COUNTIF(H858:L858,"是")</x:f>
        <x:v>3</x:v>
      </x:c>
      <x:c r="N858" s="216" t="str">
        <x:v>三份皆未入選</x:v>
      </x:c>
      <x:c r="O858" s="221" t="n">
        <x:v>42.916666666666664</x:v>
      </x:c>
      <x:c r="P858" s="221" t="n">
        <x:v>38.40833333333333</x:v>
      </x:c>
      <x:c r="Q858" s="221" t="n">
        <x:v>4.508333333333334</x:v>
      </x:c>
      <x:c r="R858" s="221" t="n">
        <x:v>0.10504854368932039</x:v>
      </x:c>
      <x:c r="S858" s="221" t="n">
        <x:v>62.83870967741935</x:v>
      </x:c>
      <x:c r="T858" s="221" t="n">
        <x:v>59.806451612903224</x:v>
      </x:c>
      <x:c r="U858" s="221" t="n">
        <x:v>3.032258064516129</x:v>
      </x:c>
      <x:c r="V858" s="219" t="n">
        <x:v>0.027649769585253458</x:v>
      </x:c>
      <x:c r="W858" s="216" t="n">
        <x:v>5</x:v>
      </x:c>
      <x:c r="X858" s="223" t="n">
        <x:v>450</x:v>
      </x:c>
      <x:c r="Y858" s="216" t="n">
        <x:v>40</x:v>
      </x:c>
    </x:row>
    <x:row r="859">
      <x:c r="A859" s="217" t="n">
        <x:v>217</x:v>
      </x:c>
      <x:c r="B859" s="217" t="str">
        <x:v>三信集英路口</x:v>
      </x:c>
      <x:c r="C859" s="217" t="str">
        <x:v>三重區</x:v>
      </x:c>
      <x:c r="D859" s="217" t="n">
        <x:v>13</x:v>
      </x:c>
      <x:c r="E859" s="217" t="n">
        <x:v>120</x:v>
      </x:c>
      <x:c r="F859" s="218" t="n">
        <x:v>0.9994791666666667</x:v>
      </x:c>
      <x:c r="G859" s="217" t="n">
        <x:v>855</x:v>
      </x:c>
      <x:c r="H859" s="217" t="str">
        <x:f>IF(G859&lt;='排名定義'!$B$5,"是","")</x:f>
        <x:v>是</x:v>
      </x:c>
      <x:c r="I859" s="217" t="n">
        <x:v>841</x:v>
      </x:c>
      <x:c r="J859" s="217" t="str">
        <x:f>IF(I859&lt;='排名定義'!$B$5,"是","")</x:f>
        <x:v>是</x:v>
      </x:c>
      <x:c r="K859" s="217" t="n">
        <x:v>1174</x:v>
      </x:c>
      <x:c r="L859" s="217" t="str">
        <x:f>IF(K859&lt;='排名定義'!$B$5,"是","")</x:f>
        <x:v>是</x:v>
      </x:c>
      <x:c r="M859" s="217" t="n">
        <x:f>COUNTIF(H859:L859,"是")</x:f>
        <x:v>3</x:v>
      </x:c>
      <x:c r="N859" s="217" t="str">
        <x:v>三份皆未入選</x:v>
      </x:c>
      <x:c r="O859" s="220" t="n">
        <x:v>42.858333333333334</x:v>
      </x:c>
      <x:c r="P859" s="220" t="n">
        <x:v>39.88333333333333</x:v>
      </x:c>
      <x:c r="Q859" s="220" t="n">
        <x:v>2.975</x:v>
      </x:c>
      <x:c r="R859" s="220" t="n">
        <x:v>0.06941473847948668</x:v>
      </x:c>
      <x:c r="S859" s="220" t="n">
        <x:v>57.61290322580645</x:v>
      </x:c>
      <x:c r="T859" s="220" t="n">
        <x:v>52.74193548387097</x:v>
      </x:c>
      <x:c r="U859" s="220" t="n">
        <x:v>4.870967741935484</x:v>
      </x:c>
      <x:c r="V859" s="218" t="n">
        <x:v>0.15898617511520738</x:v>
      </x:c>
      <x:c r="W859" s="217" t="n">
        <x:v>40</x:v>
      </x:c>
      <x:c r="X859" s="222" t="n">
        <x:v>4380</x:v>
      </x:c>
      <x:c r="Y859" s="217" t="n">
        <x:v>13</x:v>
      </x:c>
    </x:row>
    <x:row r="860">
      <x:c r="A860" s="216" t="n">
        <x:v>1099</x:v>
      </x:c>
      <x:c r="B860" s="216" t="str">
        <x:v>林口國民運動中心</x:v>
      </x:c>
      <x:c r="C860" s="216" t="str">
        <x:v>林口區</x:v>
      </x:c>
      <x:c r="D860" s="216" t="n">
        <x:v>32</x:v>
      </x:c>
      <x:c r="E860" s="216" t="n">
        <x:v>120</x:v>
      </x:c>
      <x:c r="F860" s="219" t="n">
        <x:v>0.9994791666666667</x:v>
      </x:c>
      <x:c r="G860" s="216" t="n">
        <x:v>856</x:v>
      </x:c>
      <x:c r="H860" s="216" t="str">
        <x:f>IF(G860&lt;='排名定義'!$B$5,"是","")</x:f>
        <x:v>是</x:v>
      </x:c>
      <x:c r="I860" s="216" t="n">
        <x:v>861</x:v>
      </x:c>
      <x:c r="J860" s="216" t="str">
        <x:f>IF(I860&lt;='排名定義'!$B$5,"是","")</x:f>
        <x:v>是</x:v>
      </x:c>
      <x:c r="K860" s="216" t="n">
        <x:v>703</x:v>
      </x:c>
      <x:c r="L860" s="216" t="str">
        <x:f>IF(K860&lt;='排名定義'!$B$5,"是","")</x:f>
        <x:v>是</x:v>
      </x:c>
      <x:c r="M860" s="216" t="n">
        <x:f>COUNTIF(H860:L860,"是")</x:f>
        <x:v>3</x:v>
      </x:c>
      <x:c r="N860" s="216" t="str">
        <x:v>三份皆未入選</x:v>
      </x:c>
      <x:c r="O860" s="221" t="n">
        <x:v>42.791666666666664</x:v>
      </x:c>
      <x:c r="P860" s="221" t="n">
        <x:v>38.5</x:v>
      </x:c>
      <x:c r="Q860" s="221" t="n">
        <x:v>4.291666666666667</x:v>
      </x:c>
      <x:c r="R860" s="221" t="n">
        <x:v>0.1002921129503408</x:v>
      </x:c>
      <x:c r="S860" s="221" t="n">
        <x:v>84.06451612903226</x:v>
      </x:c>
      <x:c r="T860" s="221" t="n">
        <x:v>80.54838709677419</x:v>
      </x:c>
      <x:c r="U860" s="221" t="n">
        <x:v>3.5161290322580645</x:v>
      </x:c>
      <x:c r="V860" s="219" t="n">
        <x:v>0.004608294930875576</x:v>
      </x:c>
      <x:c r="W860" s="216" t="n">
        <x:v>4</x:v>
      </x:c>
      <x:c r="X860" s="223" t="n">
        <x:v>540</x:v>
      </x:c>
      <x:c r="Y860" s="216" t="n">
        <x:v>32</x:v>
      </x:c>
    </x:row>
    <x:row r="861">
      <x:c r="A861" s="217" t="n">
        <x:v>139</x:v>
      </x:c>
      <x:c r="B861" s="217" t="str">
        <x:v>三和慈愛街口</x:v>
      </x:c>
      <x:c r="C861" s="217" t="str">
        <x:v>三重區</x:v>
      </x:c>
      <x:c r="D861" s="217" t="n">
        <x:v>11</x:v>
      </x:c>
      <x:c r="E861" s="217" t="n">
        <x:v>120</x:v>
      </x:c>
      <x:c r="F861" s="218" t="n">
        <x:v>0.9994791666666667</x:v>
      </x:c>
      <x:c r="G861" s="217" t="n">
        <x:v>857</x:v>
      </x:c>
      <x:c r="H861" s="217" t="str">
        <x:f>IF(G861&lt;='排名定義'!$B$5,"是","")</x:f>
        <x:v>是</x:v>
      </x:c>
      <x:c r="I861" s="217" t="n">
        <x:v>847</x:v>
      </x:c>
      <x:c r="J861" s="217" t="str">
        <x:f>IF(I861&lt;='排名定義'!$B$5,"是","")</x:f>
        <x:v>是</x:v>
      </x:c>
      <x:c r="K861" s="217" t="n">
        <x:v>1105</x:v>
      </x:c>
      <x:c r="L861" s="217" t="str">
        <x:f>IF(K861&lt;='排名定義'!$B$5,"是","")</x:f>
        <x:v>是</x:v>
      </x:c>
      <x:c r="M861" s="217" t="n">
        <x:f>COUNTIF(H861:L861,"是")</x:f>
        <x:v>3</x:v>
      </x:c>
      <x:c r="N861" s="217" t="str">
        <x:v>三份皆未入選</x:v>
      </x:c>
      <x:c r="O861" s="220" t="n">
        <x:v>42.65833333333333</x:v>
      </x:c>
      <x:c r="P861" s="220" t="n">
        <x:v>39.475</x:v>
      </x:c>
      <x:c r="Q861" s="220" t="n">
        <x:v>3.183333333333333</x:v>
      </x:c>
      <x:c r="R861" s="220" t="n">
        <x:v>0.07462394999023246</x:v>
      </x:c>
      <x:c r="S861" s="220" t="n">
        <x:v>53.61290322580645</x:v>
      </x:c>
      <x:c r="T861" s="220" t="n">
        <x:v>51.38709677419355</x:v>
      </x:c>
      <x:c r="U861" s="220" t="n">
        <x:v>2.225806451612903</x:v>
      </x:c>
      <x:c r="V861" s="218" t="n">
        <x:v>0.20967741935483872</x:v>
      </x:c>
      <x:c r="W861" s="217" t="n">
        <x:v>68</x:v>
      </x:c>
      <x:c r="X861" s="222" t="n">
        <x:v>8490</x:v>
      </x:c>
      <x:c r="Y861" s="217" t="n">
        <x:v>11</x:v>
      </x:c>
    </x:row>
    <x:row r="862">
      <x:c r="A862" s="216" t="n">
        <x:v>900</x:v>
      </x:c>
      <x:c r="B862" s="216" t="str">
        <x:v>臺北大學社科院(公政大道)</x:v>
      </x:c>
      <x:c r="C862" s="216" t="str">
        <x:v>三峽區</x:v>
      </x:c>
      <x:c r="D862" s="216" t="n">
        <x:v>25</x:v>
      </x:c>
      <x:c r="E862" s="216" t="n">
        <x:v>120</x:v>
      </x:c>
      <x:c r="F862" s="219" t="n">
        <x:v>0.9994791666666667</x:v>
      </x:c>
      <x:c r="G862" s="216" t="n">
        <x:v>858</x:v>
      </x:c>
      <x:c r="H862" s="216" t="str">
        <x:f>IF(G862&lt;='排名定義'!$B$5,"是","")</x:f>
        <x:v>是</x:v>
      </x:c>
      <x:c r="I862" s="216" t="n">
        <x:v>862</x:v>
      </x:c>
      <x:c r="J862" s="216" t="str">
        <x:f>IF(I862&lt;='排名定義'!$B$5,"是","")</x:f>
        <x:v>是</x:v>
      </x:c>
      <x:c r="K862" s="216" t="n">
        <x:v>751</x:v>
      </x:c>
      <x:c r="L862" s="216" t="str">
        <x:f>IF(K862&lt;='排名定義'!$B$5,"是","")</x:f>
        <x:v>是</x:v>
      </x:c>
      <x:c r="M862" s="216" t="n">
        <x:f>COUNTIF(H862:L862,"是")</x:f>
        <x:v>3</x:v>
      </x:c>
      <x:c r="N862" s="216" t="str">
        <x:v>三份皆未入選</x:v>
      </x:c>
      <x:c r="O862" s="221" t="n">
        <x:v>42.6</x:v>
      </x:c>
      <x:c r="P862" s="221" t="n">
        <x:v>38.46666666666667</x:v>
      </x:c>
      <x:c r="Q862" s="221" t="n">
        <x:v>4.133333333333334</x:v>
      </x:c>
      <x:c r="R862" s="221" t="n">
        <x:v>0.09702660406885759</x:v>
      </x:c>
      <x:c r="S862" s="221" t="n">
        <x:v>87.48387096774194</x:v>
      </x:c>
      <x:c r="T862" s="221" t="n">
        <x:v>82</x:v>
      </x:c>
      <x:c r="U862" s="221" t="n">
        <x:v>5.483870967741935</x:v>
      </x:c>
      <x:c r="V862" s="219" t="n">
        <x:v>0.013824884792626729</x:v>
      </x:c>
      <x:c r="W862" s="216" t="n">
        <x:v>1</x:v>
      </x:c>
      <x:c r="X862" s="223" t="n">
        <x:v>360</x:v>
      </x:c>
      <x:c r="Y862" s="216" t="n">
        <x:v>40</x:v>
      </x:c>
    </x:row>
    <x:row r="863">
      <x:c r="A863" s="217" t="n">
        <x:v>695</x:v>
      </x:c>
      <x:c r="B863" s="217" t="str">
        <x:v>黃石中繼市場</x:v>
      </x:c>
      <x:c r="C863" s="217" t="str">
        <x:v>板橋區</x:v>
      </x:c>
      <x:c r="D863" s="217" t="n">
        <x:v>20</x:v>
      </x:c>
      <x:c r="E863" s="217" t="n">
        <x:v>120</x:v>
      </x:c>
      <x:c r="F863" s="218" t="n">
        <x:v>0.9994791666666667</x:v>
      </x:c>
      <x:c r="G863" s="217" t="n">
        <x:v>859</x:v>
      </x:c>
      <x:c r="H863" s="217" t="str">
        <x:f>IF(G863&lt;='排名定義'!$B$5,"是","")</x:f>
        <x:v>是</x:v>
      </x:c>
      <x:c r="I863" s="217" t="n">
        <x:v>855</x:v>
      </x:c>
      <x:c r="J863" s="217" t="str">
        <x:f>IF(I863&lt;='排名定義'!$B$5,"是","")</x:f>
        <x:v>是</x:v>
      </x:c>
      <x:c r="K863" s="217" t="n">
        <x:v>862</x:v>
      </x:c>
      <x:c r="L863" s="217" t="str">
        <x:f>IF(K863&lt;='排名定義'!$B$5,"是","")</x:f>
        <x:v>是</x:v>
      </x:c>
      <x:c r="M863" s="217" t="n">
        <x:f>COUNTIF(H863:L863,"是")</x:f>
        <x:v>3</x:v>
      </x:c>
      <x:c r="N863" s="217" t="str">
        <x:v>三份皆未入選</x:v>
      </x:c>
      <x:c r="O863" s="220" t="n">
        <x:v>42.583333333333336</x:v>
      </x:c>
      <x:c r="P863" s="220" t="n">
        <x:v>38.75</x:v>
      </x:c>
      <x:c r="Q863" s="220" t="n">
        <x:v>3.8333333333333335</x:v>
      </x:c>
      <x:c r="R863" s="220" t="n">
        <x:v>0.09001956947162426</x:v>
      </x:c>
      <x:c r="S863" s="220" t="n">
        <x:v>59.29032258064516</x:v>
      </x:c>
      <x:c r="T863" s="220" t="n">
        <x:v>54.645161290322584</x:v>
      </x:c>
      <x:c r="U863" s="220" t="n">
        <x:v>4.645161290322581</x:v>
      </x:c>
      <x:c r="V863" s="218" t="n">
        <x:v>0.09216589861751152</x:v>
      </x:c>
      <x:c r="W863" s="217" t="n">
        <x:v>25</x:v>
      </x:c>
      <x:c r="X863" s="222" t="n">
        <x:v>3030</x:v>
      </x:c>
      <x:c r="Y863" s="217" t="n">
        <x:v>20</x:v>
      </x:c>
    </x:row>
    <x:row r="864">
      <x:c r="A864" s="216" t="n">
        <x:v>202</x:v>
      </x:c>
      <x:c r="B864" s="216" t="str">
        <x:v>華江公園</x:v>
      </x:c>
      <x:c r="C864" s="216" t="str">
        <x:v>板橋區</x:v>
      </x:c>
      <x:c r="D864" s="216" t="n">
        <x:v>12</x:v>
      </x:c>
      <x:c r="E864" s="216" t="n">
        <x:v>120</x:v>
      </x:c>
      <x:c r="F864" s="219" t="n">
        <x:v>0.9994791666666667</x:v>
      </x:c>
      <x:c r="G864" s="216" t="n">
        <x:v>860</x:v>
      </x:c>
      <x:c r="H864" s="216" t="str">
        <x:f>IF(G864&lt;='排名定義'!$B$5,"是","")</x:f>
        <x:v>是</x:v>
      </x:c>
      <x:c r="I864" s="216" t="n">
        <x:v>849</x:v>
      </x:c>
      <x:c r="J864" s="216" t="str">
        <x:f>IF(I864&lt;='排名定義'!$B$5,"是","")</x:f>
        <x:v>是</x:v>
      </x:c>
      <x:c r="K864" s="216" t="n">
        <x:v>1074</x:v>
      </x:c>
      <x:c r="L864" s="216" t="str">
        <x:f>IF(K864&lt;='排名定義'!$B$5,"是","")</x:f>
        <x:v>是</x:v>
      </x:c>
      <x:c r="M864" s="216" t="n">
        <x:f>COUNTIF(H864:L864,"是")</x:f>
        <x:v>3</x:v>
      </x:c>
      <x:c r="N864" s="216" t="str">
        <x:v>三份皆未入選</x:v>
      </x:c>
      <x:c r="O864" s="221" t="n">
        <x:v>42.55</x:v>
      </x:c>
      <x:c r="P864" s="221" t="n">
        <x:v>39.266666666666666</x:v>
      </x:c>
      <x:c r="Q864" s="221" t="n">
        <x:v>3.283333333333333</x:v>
      </x:c>
      <x:c r="R864" s="221" t="n">
        <x:v>0.07716412064238151</x:v>
      </x:c>
      <x:c r="S864" s="221" t="n">
        <x:v>51.54838709677419</x:v>
      </x:c>
      <x:c r="T864" s="221" t="n">
        <x:v>46.83870967741935</x:v>
      </x:c>
      <x:c r="U864" s="221" t="n">
        <x:v>4.709677419354839</x:v>
      </x:c>
      <x:c r="V864" s="219" t="n">
        <x:v>0.2764976958525346</x:v>
      </x:c>
      <x:c r="W864" s="216" t="n">
        <x:v>63</x:v>
      </x:c>
      <x:c r="X864" s="223" t="n">
        <x:v>8370</x:v>
      </x:c>
      <x:c r="Y864" s="216" t="n">
        <x:v>12</x:v>
      </x:c>
    </x:row>
    <x:row r="865">
      <x:c r="A865" s="217" t="n">
        <x:v>1249</x:v>
      </x:c>
      <x:c r="B865" s="217" t="str">
        <x:v>青雲路411巷口(樂晴市樂郡區社區)</x:v>
      </x:c>
      <x:c r="C865" s="217" t="str">
        <x:v>土城區</x:v>
      </x:c>
      <x:c r="D865" s="217" t="n">
        <x:v>39</x:v>
      </x:c>
      <x:c r="E865" s="217" t="n">
        <x:v>120</x:v>
      </x:c>
      <x:c r="F865" s="218" t="n">
        <x:v>0.9994791666666667</x:v>
      </x:c>
      <x:c r="G865" s="217" t="n">
        <x:v>861</x:v>
      </x:c>
      <x:c r="H865" s="217" t="str">
        <x:f>IF(G865&lt;='排名定義'!$B$5,"是","")</x:f>
        <x:v>是</x:v>
      </x:c>
      <x:c r="I865" s="217" t="n">
        <x:v>884</x:v>
      </x:c>
      <x:c r="J865" s="217" t="str">
        <x:f>IF(I865&lt;='排名定義'!$B$5,"是","")</x:f>
        <x:v>是</x:v>
      </x:c>
      <x:c r="K865" s="217" t="n">
        <x:v>608</x:v>
      </x:c>
      <x:c r="L865" s="217" t="str">
        <x:f>IF(K865&lt;='排名定義'!$B$5,"是","")</x:f>
        <x:v>是</x:v>
      </x:c>
      <x:c r="M865" s="217" t="n">
        <x:f>COUNTIF(H865:L865,"是")</x:f>
        <x:v>3</x:v>
      </x:c>
      <x:c r="N865" s="217" t="str">
        <x:v>三份皆未入選</x:v>
      </x:c>
      <x:c r="O865" s="220" t="n">
        <x:v>42.458333333333336</x:v>
      </x:c>
      <x:c r="P865" s="220" t="n">
        <x:v>37.791666666666664</x:v>
      </x:c>
      <x:c r="Q865" s="220" t="n">
        <x:v>4.666666666666667</x:v>
      </x:c>
      <x:c r="R865" s="220" t="n">
        <x:v>0.1099116781157998</x:v>
      </x:c>
      <x:c r="S865" s="220" t="n">
        <x:v>55.354838709677416</x:v>
      </x:c>
      <x:c r="T865" s="220" t="n">
        <x:v>50.32258064516129</x:v>
      </x:c>
      <x:c r="U865" s="220" t="n">
        <x:v>5.032258064516129</x:v>
      </x:c>
      <x:c r="V865" s="218" t="n">
        <x:v>0.18663594470046083</x:v>
      </x:c>
      <x:c r="W865" s="217" t="n">
        <x:v>33</x:v>
      </x:c>
      <x:c r="X865" s="222" t="n">
        <x:v>3300</x:v>
      </x:c>
      <x:c r="Y865" s="217" t="n">
        <x:v>39</x:v>
      </x:c>
    </x:row>
    <x:row r="866">
      <x:c r="A866" s="216" t="n">
        <x:v>223</x:v>
      </x:c>
      <x:c r="B866" s="216" t="str">
        <x:v>中興檳榔路口</x:v>
      </x:c>
      <x:c r="C866" s="216" t="str">
        <x:v>新店區</x:v>
      </x:c>
      <x:c r="D866" s="216" t="n">
        <x:v>13</x:v>
      </x:c>
      <x:c r="E866" s="216" t="n">
        <x:v>120</x:v>
      </x:c>
      <x:c r="F866" s="219" t="n">
        <x:v>0.9994791666666667</x:v>
      </x:c>
      <x:c r="G866" s="216" t="n">
        <x:v>862</x:v>
      </x:c>
      <x:c r="H866" s="216" t="str">
        <x:f>IF(G866&lt;='排名定義'!$B$5,"是","")</x:f>
        <x:v>是</x:v>
      </x:c>
      <x:c r="I866" s="216" t="n">
        <x:v>850</x:v>
      </x:c>
      <x:c r="J866" s="216" t="str">
        <x:f>IF(I866&lt;='排名定義'!$B$5,"是","")</x:f>
        <x:v>是</x:v>
      </x:c>
      <x:c r="K866" s="216" t="n">
        <x:v>1046</x:v>
      </x:c>
      <x:c r="L866" s="216" t="str">
        <x:f>IF(K866&lt;='排名定義'!$B$5,"是","")</x:f>
        <x:v>是</x:v>
      </x:c>
      <x:c r="M866" s="216" t="n">
        <x:f>COUNTIF(H866:L866,"是")</x:f>
        <x:v>3</x:v>
      </x:c>
      <x:c r="N866" s="216" t="str">
        <x:v>三份皆未入選</x:v>
      </x:c>
      <x:c r="O866" s="221" t="n">
        <x:v>42.425</x:v>
      </x:c>
      <x:c r="P866" s="221" t="n">
        <x:v>39.083333333333336</x:v>
      </x:c>
      <x:c r="Q866" s="221" t="n">
        <x:v>3.341666666666667</x:v>
      </x:c>
      <x:c r="R866" s="221" t="n">
        <x:v>0.07876645059909644</x:v>
      </x:c>
      <x:c r="S866" s="221" t="n">
        <x:v>63.645161290322584</x:v>
      </x:c>
      <x:c r="T866" s="221" t="n">
        <x:v>59.935483870967744</x:v>
      </x:c>
      <x:c r="U866" s="221" t="n">
        <x:v>3.7096774193548385</x:v>
      </x:c>
      <x:c r="V866" s="219" t="n">
        <x:v>0.20506912442396313</x:v>
      </x:c>
      <x:c r="W866" s="216" t="n">
        <x:v>40</x:v>
      </x:c>
      <x:c r="X866" s="223" t="n">
        <x:v>5670</x:v>
      </x:c>
      <x:c r="Y866" s="216" t="n">
        <x:v>13</x:v>
      </x:c>
    </x:row>
    <x:row r="867">
      <x:c r="A867" s="217" t="n">
        <x:v>926</x:v>
      </x:c>
      <x:c r="B867" s="217" t="str">
        <x:v>新莊勞工中心</x:v>
      </x:c>
      <x:c r="C867" s="217" t="str">
        <x:v>新莊區</x:v>
      </x:c>
      <x:c r="D867" s="217" t="n">
        <x:v>26</x:v>
      </x:c>
      <x:c r="E867" s="217" t="n">
        <x:v>120</x:v>
      </x:c>
      <x:c r="F867" s="218" t="n">
        <x:v>0.9994791666666667</x:v>
      </x:c>
      <x:c r="G867" s="217" t="n">
        <x:v>863</x:v>
      </x:c>
      <x:c r="H867" s="217" t="str">
        <x:f>IF(G867&lt;='排名定義'!$B$5,"是","")</x:f>
        <x:v>是</x:v>
      </x:c>
      <x:c r="I867" s="217" t="n">
        <x:v>867</x:v>
      </x:c>
      <x:c r="J867" s="217" t="str">
        <x:f>IF(I867&lt;='排名定義'!$B$5,"是","")</x:f>
        <x:v>是</x:v>
      </x:c>
      <x:c r="K867" s="217" t="n">
        <x:v>832</x:v>
      </x:c>
      <x:c r="L867" s="217" t="str">
        <x:f>IF(K867&lt;='排名定義'!$B$5,"是","")</x:f>
        <x:v>是</x:v>
      </x:c>
      <x:c r="M867" s="217" t="n">
        <x:f>COUNTIF(H867:L867,"是")</x:f>
        <x:v>3</x:v>
      </x:c>
      <x:c r="N867" s="217" t="str">
        <x:v>三份皆未入選</x:v>
      </x:c>
      <x:c r="O867" s="220" t="n">
        <x:v>42.275</x:v>
      </x:c>
      <x:c r="P867" s="220" t="n">
        <x:v>38.36666666666667</x:v>
      </x:c>
      <x:c r="Q867" s="220" t="n">
        <x:v>3.908333333333333</x:v>
      </x:c>
      <x:c r="R867" s="220" t="n">
        <x:v>0.09245022669032131</x:v>
      </x:c>
      <x:c r="S867" s="220" t="n">
        <x:v>63.806451612903224</x:v>
      </x:c>
      <x:c r="T867" s="220" t="n">
        <x:v>59.483870967741936</x:v>
      </x:c>
      <x:c r="U867" s="220" t="n">
        <x:v>4.32258064516129</x:v>
      </x:c>
      <x:c r="V867" s="218" t="n">
        <x:v>0.009216589861751152</x:v>
      </x:c>
      <x:c r="W867" s="217" t="n">
        <x:v>4</x:v>
      </x:c>
      <x:c r="X867" s="222" t="n">
        <x:v>480</x:v>
      </x:c>
      <x:c r="Y867" s="217" t="n">
        <x:v>26</x:v>
      </x:c>
    </x:row>
    <x:row r="868">
      <x:c r="A868" s="216" t="n">
        <x:v>648</x:v>
      </x:c>
      <x:c r="B868" s="216" t="str">
        <x:v>國道車路頭街口</x:v>
      </x:c>
      <x:c r="C868" s="216" t="str">
        <x:v>三重區</x:v>
      </x:c>
      <x:c r="D868" s="216" t="n">
        <x:v>20</x:v>
      </x:c>
      <x:c r="E868" s="216" t="n">
        <x:v>120</x:v>
      </x:c>
      <x:c r="F868" s="219" t="n">
        <x:v>0.9994791666666667</x:v>
      </x:c>
      <x:c r="G868" s="216" t="n">
        <x:v>864</x:v>
      </x:c>
      <x:c r="H868" s="216" t="str">
        <x:f>IF(G868&lt;='排名定義'!$B$5,"是","")</x:f>
        <x:v>是</x:v>
      </x:c>
      <x:c r="I868" s="216" t="n">
        <x:v>868</x:v>
      </x:c>
      <x:c r="J868" s="216" t="str">
        <x:f>IF(I868&lt;='排名定義'!$B$5,"是","")</x:f>
        <x:v>是</x:v>
      </x:c>
      <x:c r="K868" s="216" t="n">
        <x:v>821</x:v>
      </x:c>
      <x:c r="L868" s="216" t="str">
        <x:f>IF(K868&lt;='排名定義'!$B$5,"是","")</x:f>
        <x:v>是</x:v>
      </x:c>
      <x:c r="M868" s="216" t="n">
        <x:f>COUNTIF(H868:L868,"是")</x:f>
        <x:v>3</x:v>
      </x:c>
      <x:c r="N868" s="216" t="str">
        <x:v>三份皆未入選</x:v>
      </x:c>
      <x:c r="O868" s="221" t="n">
        <x:v>42.25</x:v>
      </x:c>
      <x:c r="P868" s="221" t="n">
        <x:v>38.30833333333333</x:v>
      </x:c>
      <x:c r="Q868" s="221" t="n">
        <x:v>3.941666666666667</x:v>
      </x:c>
      <x:c r="R868" s="221" t="n">
        <x:v>0.0932938856015779</x:v>
      </x:c>
      <x:c r="S868" s="221" t="n">
        <x:v>60.903225806451616</x:v>
      </x:c>
      <x:c r="T868" s="221" t="n">
        <x:v>57.67741935483871</x:v>
      </x:c>
      <x:c r="U868" s="221" t="n">
        <x:v>3.225806451612903</x:v>
      </x:c>
      <x:c r="V868" s="219" t="n">
        <x:v>0.04608294930875576</x:v>
      </x:c>
      <x:c r="W868" s="216" t="n">
        <x:v>11</x:v>
      </x:c>
      <x:c r="X868" s="223" t="n">
        <x:v>1650</x:v>
      </x:c>
      <x:c r="Y868" s="216" t="n">
        <x:v>20</x:v>
      </x:c>
    </x:row>
    <x:row r="869">
      <x:c r="A869" s="217" t="n">
        <x:v>1085</x:v>
      </x:c>
      <x:c r="B869" s="217" t="str">
        <x:v>民生路156巷</x:v>
      </x:c>
      <x:c r="C869" s="217" t="str">
        <x:v>新店區</x:v>
      </x:c>
      <x:c r="D869" s="217" t="n">
        <x:v>31</x:v>
      </x:c>
      <x:c r="E869" s="217" t="n">
        <x:v>120</x:v>
      </x:c>
      <x:c r="F869" s="218" t="n">
        <x:v>0.9994791666666667</x:v>
      </x:c>
      <x:c r="G869" s="217" t="n">
        <x:v>865</x:v>
      </x:c>
      <x:c r="H869" s="217" t="str">
        <x:f>IF(G869&lt;='排名定義'!$B$5,"是","")</x:f>
        <x:v>是</x:v>
      </x:c>
      <x:c r="I869" s="217" t="n">
        <x:v>872</x:v>
      </x:c>
      <x:c r="J869" s="217" t="str">
        <x:f>IF(I869&lt;='排名定義'!$B$5,"是","")</x:f>
        <x:v>是</x:v>
      </x:c>
      <x:c r="K869" s="217" t="n">
        <x:v>764</x:v>
      </x:c>
      <x:c r="L869" s="217" t="str">
        <x:f>IF(K869&lt;='排名定義'!$B$5,"是","")</x:f>
        <x:v>是</x:v>
      </x:c>
      <x:c r="M869" s="217" t="n">
        <x:f>COUNTIF(H869:L869,"是")</x:f>
        <x:v>3</x:v>
      </x:c>
      <x:c r="N869" s="217" t="str">
        <x:v>三份皆未入選</x:v>
      </x:c>
      <x:c r="O869" s="220" t="n">
        <x:v>42.19166666666667</x:v>
      </x:c>
      <x:c r="P869" s="220" t="n">
        <x:v>38.09166666666667</x:v>
      </x:c>
      <x:c r="Q869" s="220" t="n">
        <x:v>4.1</x:v>
      </x:c>
      <x:c r="R869" s="220" t="n">
        <x:v>0.09717558759628679</x:v>
      </x:c>
      <x:c r="S869" s="220" t="n">
        <x:v>56.193548387096776</x:v>
      </x:c>
      <x:c r="T869" s="220" t="n">
        <x:v>52.935483870967744</x:v>
      </x:c>
      <x:c r="U869" s="220" t="n">
        <x:v>3.2580645161290325</x:v>
      </x:c>
      <x:c r="V869" s="218" t="n">
        <x:v>0.07834101382488479</x:v>
      </x:c>
      <x:c r="W869" s="217" t="n">
        <x:v>24</x:v>
      </x:c>
      <x:c r="X869" s="222" t="n">
        <x:v>2670</x:v>
      </x:c>
      <x:c r="Y869" s="217" t="n">
        <x:v>31</x:v>
      </x:c>
    </x:row>
    <x:row r="870">
      <x:c r="A870" s="216" t="n">
        <x:v>955</x:v>
      </x:c>
      <x:c r="B870" s="216" t="str">
        <x:v>頭湖國小</x:v>
      </x:c>
      <x:c r="C870" s="216" t="str">
        <x:v>林口區</x:v>
      </x:c>
      <x:c r="D870" s="216" t="n">
        <x:v>27</x:v>
      </x:c>
      <x:c r="E870" s="216" t="n">
        <x:v>120</x:v>
      </x:c>
      <x:c r="F870" s="219" t="n">
        <x:v>0.9994791666666667</x:v>
      </x:c>
      <x:c r="G870" s="216" t="n">
        <x:v>866</x:v>
      </x:c>
      <x:c r="H870" s="216" t="str">
        <x:f>IF(G870&lt;='排名定義'!$B$5,"是","")</x:f>
        <x:v>是</x:v>
      </x:c>
      <x:c r="I870" s="216" t="n">
        <x:v>873</x:v>
      </x:c>
      <x:c r="J870" s="216" t="str">
        <x:f>IF(I870&lt;='排名定義'!$B$5,"是","")</x:f>
        <x:v>是</x:v>
      </x:c>
      <x:c r="K870" s="216" t="n">
        <x:v>748</x:v>
      </x:c>
      <x:c r="L870" s="216" t="str">
        <x:f>IF(K870&lt;='排名定義'!$B$5,"是","")</x:f>
        <x:v>是</x:v>
      </x:c>
      <x:c r="M870" s="216" t="n">
        <x:f>COUNTIF(H870:L870,"是")</x:f>
        <x:v>3</x:v>
      </x:c>
      <x:c r="N870" s="216" t="str">
        <x:v>三份皆未入選</x:v>
      </x:c>
      <x:c r="O870" s="221" t="n">
        <x:v>42.18333333333333</x:v>
      </x:c>
      <x:c r="P870" s="221" t="n">
        <x:v>38.03333333333333</x:v>
      </x:c>
      <x:c r="Q870" s="221" t="n">
        <x:v>4.15</x:v>
      </x:c>
      <x:c r="R870" s="221" t="n">
        <x:v>0.09838008692216516</x:v>
      </x:c>
      <x:c r="S870" s="221" t="n">
        <x:v>63.903225806451616</x:v>
      </x:c>
      <x:c r="T870" s="221" t="n">
        <x:v>59.87096774193548</x:v>
      </x:c>
      <x:c r="U870" s="221" t="n">
        <x:v>4.032258064516129</x:v>
      </x:c>
      <x:c r="V870" s="219" t="n">
        <x:v>0.016129032258064516</x:v>
      </x:c>
      <x:c r="W870" s="216" t="n">
        <x:v>4</x:v>
      </x:c>
      <x:c r="X870" s="223" t="n">
        <x:v>510</x:v>
      </x:c>
      <x:c r="Y870" s="216" t="n">
        <x:v>27</x:v>
      </x:c>
    </x:row>
    <x:row r="871">
      <x:c r="A871" s="217" t="n">
        <x:v>118</x:v>
      </x:c>
      <x:c r="B871" s="217" t="str">
        <x:v>延吉街291巷口</x:v>
      </x:c>
      <x:c r="C871" s="217" t="str">
        <x:v>土城區</x:v>
      </x:c>
      <x:c r="D871" s="217" t="n">
        <x:v>10</x:v>
      </x:c>
      <x:c r="E871" s="217" t="n">
        <x:v>120</x:v>
      </x:c>
      <x:c r="F871" s="218" t="n">
        <x:v>0.9994791666666667</x:v>
      </x:c>
      <x:c r="G871" s="217" t="n">
        <x:v>867</x:v>
      </x:c>
      <x:c r="H871" s="217" t="str">
        <x:f>IF(G871&lt;='排名定義'!$B$5,"是","")</x:f>
        <x:v>是</x:v>
      </x:c>
      <x:c r="I871" s="217" t="n">
        <x:v>852</x:v>
      </x:c>
      <x:c r="J871" s="217" t="str">
        <x:f>IF(I871&lt;='排名定義'!$B$5,"是","")</x:f>
        <x:v>是</x:v>
      </x:c>
      <x:c r="K871" s="217" t="n">
        <x:v>1072</x:v>
      </x:c>
      <x:c r="L871" s="217" t="str">
        <x:f>IF(K871&lt;='排名定義'!$B$5,"是","")</x:f>
        <x:v>是</x:v>
      </x:c>
      <x:c r="M871" s="217" t="n">
        <x:f>COUNTIF(H871:L871,"是")</x:f>
        <x:v>3</x:v>
      </x:c>
      <x:c r="N871" s="217" t="str">
        <x:v>三份皆未入選</x:v>
      </x:c>
      <x:c r="O871" s="220" t="n">
        <x:v>42.166666666666664</x:v>
      </x:c>
      <x:c r="P871" s="220" t="n">
        <x:v>38.88333333333333</x:v>
      </x:c>
      <x:c r="Q871" s="220" t="n">
        <x:v>3.283333333333333</x:v>
      </x:c>
      <x:c r="R871" s="220" t="n">
        <x:v>0.07786561264822134</x:v>
      </x:c>
      <x:c r="S871" s="220" t="n">
        <x:v>56.935483870967744</x:v>
      </x:c>
      <x:c r="T871" s="220" t="n">
        <x:v>53.58064516129032</x:v>
      </x:c>
      <x:c r="U871" s="220" t="n">
        <x:v>3.3548387096774195</x:v>
      </x:c>
      <x:c r="V871" s="218" t="n">
        <x:v>0.1382488479262673</x:v>
      </x:c>
      <x:c r="W871" s="217" t="n">
        <x:v>34</x:v>
      </x:c>
      <x:c r="X871" s="222" t="n">
        <x:v>4710</x:v>
      </x:c>
      <x:c r="Y871" s="217" t="n">
        <x:v>10</x:v>
      </x:c>
    </x:row>
    <x:row r="872">
      <x:c r="A872" s="216" t="n">
        <x:v>960</x:v>
      </x:c>
      <x:c r="B872" s="216" t="str">
        <x:v>大眾廟</x:v>
      </x:c>
      <x:c r="C872" s="216" t="str">
        <x:v>新莊區</x:v>
      </x:c>
      <x:c r="D872" s="216" t="n">
        <x:v>28</x:v>
      </x:c>
      <x:c r="E872" s="216" t="n">
        <x:v>120</x:v>
      </x:c>
      <x:c r="F872" s="219" t="n">
        <x:v>0.9994791666666667</x:v>
      </x:c>
      <x:c r="G872" s="216" t="n">
        <x:v>868</x:v>
      </x:c>
      <x:c r="H872" s="216" t="str">
        <x:f>IF(G872&lt;='排名定義'!$B$5,"是","")</x:f>
        <x:v>是</x:v>
      </x:c>
      <x:c r="I872" s="216" t="n">
        <x:v>879</x:v>
      </x:c>
      <x:c r="J872" s="216" t="str">
        <x:f>IF(I872&lt;='排名定義'!$B$5,"是","")</x:f>
        <x:v>是</x:v>
      </x:c>
      <x:c r="K872" s="216" t="n">
        <x:v>772</x:v>
      </x:c>
      <x:c r="L872" s="216" t="str">
        <x:f>IF(K872&lt;='排名定義'!$B$5,"是","")</x:f>
        <x:v>是</x:v>
      </x:c>
      <x:c r="M872" s="216" t="n">
        <x:f>COUNTIF(H872:L872,"是")</x:f>
        <x:v>3</x:v>
      </x:c>
      <x:c r="N872" s="216" t="str">
        <x:v>三份皆未入選</x:v>
      </x:c>
      <x:c r="O872" s="221" t="n">
        <x:v>42.025</x:v>
      </x:c>
      <x:c r="P872" s="221" t="n">
        <x:v>37.94166666666667</x:v>
      </x:c>
      <x:c r="Q872" s="221" t="n">
        <x:v>4.083333333333333</x:v>
      </x:c>
      <x:c r="R872" s="221" t="n">
        <x:v>0.09716438627800912</x:v>
      </x:c>
      <x:c r="S872" s="221" t="n">
        <x:v>66.87096774193549</x:v>
      </x:c>
      <x:c r="T872" s="221" t="n">
        <x:v>62.38709677419355</x:v>
      </x:c>
      <x:c r="U872" s="221" t="n">
        <x:v>4.483870967741935</x:v>
      </x:c>
      <x:c r="V872" s="219" t="n">
        <x:v>0.06451612903225806</x:v>
      </x:c>
      <x:c r="W872" s="216" t="n">
        <x:v>18</x:v>
      </x:c>
      <x:c r="X872" s="223" t="n">
        <x:v>2340</x:v>
      </x:c>
      <x:c r="Y872" s="216" t="n">
        <x:v>28</x:v>
      </x:c>
    </x:row>
    <x:row r="873">
      <x:c r="A873" s="217" t="n">
        <x:v>1299</x:v>
      </x:c>
      <x:c r="B873" s="217" t="str">
        <x:v>莊田信華三街口(潤見築社區)</x:v>
      </x:c>
      <x:c r="C873" s="217" t="str">
        <x:v>泰山區</x:v>
      </x:c>
      <x:c r="D873" s="217" t="n">
        <x:v>40</x:v>
      </x:c>
      <x:c r="E873" s="217" t="n">
        <x:v>120</x:v>
      </x:c>
      <x:c r="F873" s="218" t="n">
        <x:v>0.9994791666666667</x:v>
      </x:c>
      <x:c r="G873" s="217" t="n">
        <x:v>869</x:v>
      </x:c>
      <x:c r="H873" s="217" t="str">
        <x:f>IF(G873&lt;='排名定義'!$B$5,"是","")</x:f>
        <x:v>是</x:v>
      </x:c>
      <x:c r="I873" s="217" t="n">
        <x:v>890</x:v>
      </x:c>
      <x:c r="J873" s="217" t="str">
        <x:f>IF(I873&lt;='排名定義'!$B$5,"是","")</x:f>
        <x:v>是</x:v>
      </x:c>
      <x:c r="K873" s="217" t="n">
        <x:v>648</x:v>
      </x:c>
      <x:c r="L873" s="217" t="str">
        <x:f>IF(K873&lt;='排名定義'!$B$5,"是","")</x:f>
        <x:v>是</x:v>
      </x:c>
      <x:c r="M873" s="217" t="n">
        <x:f>COUNTIF(H873:L873,"是")</x:f>
        <x:v>3</x:v>
      </x:c>
      <x:c r="N873" s="217" t="str">
        <x:v>三份皆未入選</x:v>
      </x:c>
      <x:c r="O873" s="220" t="n">
        <x:v>42.00833333333333</x:v>
      </x:c>
      <x:c r="P873" s="220" t="n">
        <x:v>37.53333333333333</x:v>
      </x:c>
      <x:c r="Q873" s="220" t="n">
        <x:v>4.475</x:v>
      </x:c>
      <x:c r="R873" s="220" t="n">
        <x:v>0.1065264828407062</x:v>
      </x:c>
      <x:c r="S873" s="220" t="n">
        <x:v>57.41935483870968</x:v>
      </x:c>
      <x:c r="T873" s="220" t="n">
        <x:v>53.32258064516129</x:v>
      </x:c>
      <x:c r="U873" s="220" t="n">
        <x:v>4.096774193548387</x:v>
      </x:c>
      <x:c r="V873" s="218" t="n">
        <x:v>0.01152073732718894</x:v>
      </x:c>
      <x:c r="W873" s="217" t="n">
        <x:v>5</x:v>
      </x:c>
      <x:c r="X873" s="222" t="n">
        <x:v>630</x:v>
      </x:c>
      <x:c r="Y873" s="217" t="n">
        <x:v>40</x:v>
      </x:c>
    </x:row>
    <x:row r="874">
      <x:c r="A874" s="216" t="n">
        <x:v>846</x:v>
      </x:c>
      <x:c r="B874" s="216" t="str">
        <x:v>三民地下停車場</x:v>
      </x:c>
      <x:c r="C874" s="216" t="str">
        <x:v>新店區</x:v>
      </x:c>
      <x:c r="D874" s="216" t="n">
        <x:v>24</x:v>
      </x:c>
      <x:c r="E874" s="216" t="n">
        <x:v>120</x:v>
      </x:c>
      <x:c r="F874" s="219" t="n">
        <x:v>0.9994791666666667</x:v>
      </x:c>
      <x:c r="G874" s="216" t="n">
        <x:v>870</x:v>
      </x:c>
      <x:c r="H874" s="216" t="str">
        <x:f>IF(G874&lt;='排名定義'!$B$5,"是","")</x:f>
        <x:v>是</x:v>
      </x:c>
      <x:c r="I874" s="216" t="n">
        <x:v>871</x:v>
      </x:c>
      <x:c r="J874" s="216" t="str">
        <x:f>IF(I874&lt;='排名定義'!$B$5,"是","")</x:f>
        <x:v>是</x:v>
      </x:c>
      <x:c r="K874" s="216" t="n">
        <x:v>853</x:v>
      </x:c>
      <x:c r="L874" s="216" t="str">
        <x:f>IF(K874&lt;='排名定義'!$B$5,"是","")</x:f>
        <x:v>是</x:v>
      </x:c>
      <x:c r="M874" s="216" t="n">
        <x:f>COUNTIF(H874:L874,"是")</x:f>
        <x:v>3</x:v>
      </x:c>
      <x:c r="N874" s="216" t="str">
        <x:v>三份皆未入選</x:v>
      </x:c>
      <x:c r="O874" s="221" t="n">
        <x:v>41.958333333333336</x:v>
      </x:c>
      <x:c r="P874" s="221" t="n">
        <x:v>38.108333333333334</x:v>
      </x:c>
      <x:c r="Q874" s="221" t="n">
        <x:v>3.85</x:v>
      </x:c>
      <x:c r="R874" s="221" t="n">
        <x:v>0.09175769612711022</x:v>
      </x:c>
      <x:c r="S874" s="221" t="n">
        <x:v>68.03225806451613</x:v>
      </x:c>
      <x:c r="T874" s="221" t="n">
        <x:v>64.70967741935483</x:v>
      </x:c>
      <x:c r="U874" s="221" t="n">
        <x:v>3.3225806451612905</x:v>
      </x:c>
      <x:c r="V874" s="219" t="n">
        <x:v>0.14055299539170507</x:v>
      </x:c>
      <x:c r="W874" s="216" t="n">
        <x:v>34</x:v>
      </x:c>
      <x:c r="X874" s="223" t="n">
        <x:v>4170</x:v>
      </x:c>
      <x:c r="Y874" s="216" t="n">
        <x:v>24</x:v>
      </x:c>
    </x:row>
    <x:row r="875">
      <x:c r="A875" s="217" t="n">
        <x:v>490</x:v>
      </x:c>
      <x:c r="B875" s="217" t="str">
        <x:v>秀峰國小(仁愛路106巷)</x:v>
      </x:c>
      <x:c r="C875" s="217" t="str">
        <x:v>汐止區</x:v>
      </x:c>
      <x:c r="D875" s="217" t="n">
        <x:v>16</x:v>
      </x:c>
      <x:c r="E875" s="217" t="n">
        <x:v>120</x:v>
      </x:c>
      <x:c r="F875" s="218" t="n">
        <x:v>0.9994791666666667</x:v>
      </x:c>
      <x:c r="G875" s="217" t="n">
        <x:v>871</x:v>
      </x:c>
      <x:c r="H875" s="217" t="str">
        <x:f>IF(G875&lt;='排名定義'!$B$5,"是","")</x:f>
        <x:v>是</x:v>
      </x:c>
      <x:c r="I875" s="217" t="n">
        <x:v>860</x:v>
      </x:c>
      <x:c r="J875" s="217" t="str">
        <x:f>IF(I875&lt;='排名定義'!$B$5,"是","")</x:f>
        <x:v>是</x:v>
      </x:c>
      <x:c r="K875" s="217" t="n">
        <x:v>1009</x:v>
      </x:c>
      <x:c r="L875" s="217" t="str">
        <x:f>IF(K875&lt;='排名定義'!$B$5,"是","")</x:f>
        <x:v>是</x:v>
      </x:c>
      <x:c r="M875" s="217" t="n">
        <x:f>COUNTIF(H875:L875,"是")</x:f>
        <x:v>3</x:v>
      </x:c>
      <x:c r="N875" s="217" t="str">
        <x:v>三份皆未入選</x:v>
      </x:c>
      <x:c r="O875" s="220" t="n">
        <x:v>41.95</x:v>
      </x:c>
      <x:c r="P875" s="220" t="n">
        <x:v>38.525</x:v>
      </x:c>
      <x:c r="Q875" s="220" t="n">
        <x:v>3.425</x:v>
      </x:c>
      <x:c r="R875" s="220" t="n">
        <x:v>0.08164481525625746</x:v>
      </x:c>
      <x:c r="S875" s="220" t="n">
        <x:v>61.25806451612903</x:v>
      </x:c>
      <x:c r="T875" s="220" t="n">
        <x:v>58.193548387096776</x:v>
      </x:c>
      <x:c r="U875" s="220" t="n">
        <x:v>3.064516129032258</x:v>
      </x:c>
      <x:c r="V875" s="218" t="n">
        <x:v>0.016129032258064516</x:v>
      </x:c>
      <x:c r="W875" s="217" t="n">
        <x:v>7</x:v>
      </x:c>
      <x:c r="X875" s="222" t="n">
        <x:v>1290</x:v>
      </x:c>
      <x:c r="Y875" s="217" t="n">
        <x:v>16</x:v>
      </x:c>
    </x:row>
    <x:row r="876">
      <x:c r="A876" s="216" t="n">
        <x:v>513</x:v>
      </x:c>
      <x:c r="B876" s="216" t="str">
        <x:v>三鶯國民運動中心</x:v>
      </x:c>
      <x:c r="C876" s="216" t="str">
        <x:v>三峽區</x:v>
      </x:c>
      <x:c r="D876" s="216" t="n">
        <x:v>17</x:v>
      </x:c>
      <x:c r="E876" s="216" t="n">
        <x:v>120</x:v>
      </x:c>
      <x:c r="F876" s="219" t="n">
        <x:v>0.9994791666666667</x:v>
      </x:c>
      <x:c r="G876" s="216" t="n">
        <x:v>872</x:v>
      </x:c>
      <x:c r="H876" s="216" t="str">
        <x:f>IF(G876&lt;='排名定義'!$B$5,"是","")</x:f>
        <x:v>是</x:v>
      </x:c>
      <x:c r="I876" s="216" t="n">
        <x:v>877</x:v>
      </x:c>
      <x:c r="J876" s="216" t="str">
        <x:f>IF(I876&lt;='排名定義'!$B$5,"是","")</x:f>
        <x:v>是</x:v>
      </x:c>
      <x:c r="K876" s="216" t="n">
        <x:v>826</x:v>
      </x:c>
      <x:c r="L876" s="216" t="str">
        <x:f>IF(K876&lt;='排名定義'!$B$5,"是","")</x:f>
        <x:v>是</x:v>
      </x:c>
      <x:c r="M876" s="216" t="n">
        <x:f>COUNTIF(H876:L876,"是")</x:f>
        <x:v>3</x:v>
      </x:c>
      <x:c r="N876" s="216" t="str">
        <x:v>三份皆未入選</x:v>
      </x:c>
      <x:c r="O876" s="221" t="n">
        <x:v>41.9</x:v>
      </x:c>
      <x:c r="P876" s="221" t="n">
        <x:v>37.983333333333334</x:v>
      </x:c>
      <x:c r="Q876" s="221" t="n">
        <x:v>3.9166666666666665</x:v>
      </x:c>
      <x:c r="R876" s="221" t="n">
        <x:v>0.09347653142402546</x:v>
      </x:c>
      <x:c r="S876" s="221" t="n">
        <x:v>69.09677419354838</x:v>
      </x:c>
      <x:c r="T876" s="221" t="n">
        <x:v>66.41935483870968</x:v>
      </x:c>
      <x:c r="U876" s="221" t="n">
        <x:v>2.6774193548387095</x:v>
      </x:c>
      <x:c r="V876" s="219" t="n">
        <x:v>0.07834101382488479</x:v>
      </x:c>
      <x:c r="W876" s="216" t="n">
        <x:v>20</x:v>
      </x:c>
      <x:c r="X876" s="223" t="n">
        <x:v>2850</x:v>
      </x:c>
      <x:c r="Y876" s="216" t="n">
        <x:v>17</x:v>
      </x:c>
    </x:row>
    <x:row r="877">
      <x:c r="A877" s="217" t="n">
        <x:v>1468</x:v>
      </x:c>
      <x:c r="B877" s="217" t="str">
        <x:v>明德高中</x:v>
      </x:c>
      <x:c r="C877" s="217" t="str">
        <x:v>三峽區</x:v>
      </x:c>
      <x:c r="D877" s="217" t="n">
        <x:v>52</x:v>
      </x:c>
      <x:c r="E877" s="217" t="n">
        <x:v>120</x:v>
      </x:c>
      <x:c r="F877" s="218" t="n">
        <x:v>0.9994791666666667</x:v>
      </x:c>
      <x:c r="G877" s="217" t="n">
        <x:v>873</x:v>
      </x:c>
      <x:c r="H877" s="217" t="str">
        <x:f>IF(G877&lt;='排名定義'!$B$5,"是","")</x:f>
        <x:v>是</x:v>
      </x:c>
      <x:c r="I877" s="217" t="n">
        <x:v>910</x:v>
      </x:c>
      <x:c r="J877" s="217" t="str">
        <x:f>IF(I877&lt;='排名定義'!$B$5,"是","")</x:f>
        <x:v>是</x:v>
      </x:c>
      <x:c r="K877" s="217" t="n">
        <x:v>344</x:v>
      </x:c>
      <x:c r="L877" s="217" t="str">
        <x:f>IF(K877&lt;='排名定義'!$B$5,"是","")</x:f>
        <x:v>是</x:v>
      </x:c>
      <x:c r="M877" s="217" t="n">
        <x:f>COUNTIF(H877:L877,"是")</x:f>
        <x:v>3</x:v>
      </x:c>
      <x:c r="N877" s="217" t="str">
        <x:v>僅大幅變動</x:v>
      </x:c>
      <x:c r="O877" s="220" t="n">
        <x:v>41.88333333333333</x:v>
      </x:c>
      <x:c r="P877" s="220" t="n">
        <x:v>35.825</x:v>
      </x:c>
      <x:c r="Q877" s="220" t="n">
        <x:v>6.058333333333334</x:v>
      </x:c>
      <x:c r="R877" s="220" t="n">
        <x:v>0.14464783127735775</x:v>
      </x:c>
      <x:c r="S877" s="220" t="n">
        <x:v>67.61290322580645</x:v>
      </x:c>
      <x:c r="T877" s="220" t="n">
        <x:v>60.54838709677419</x:v>
      </x:c>
      <x:c r="U877" s="220" t="n">
        <x:v>7.064516129032258</x:v>
      </x:c>
      <x:c r="V877" s="218" t="n">
        <x:v>0.06912442396313365</x:v>
      </x:c>
      <x:c r="W877" s="217" t="n">
        <x:v>8</x:v>
      </x:c>
      <x:c r="X877" s="222" t="n">
        <x:v>990</x:v>
      </x:c>
      <x:c r="Y877" s="217" t="n">
        <x:v>52</x:v>
      </x:c>
    </x:row>
    <x:row r="878">
      <x:c r="A878" s="216" t="n">
        <x:v>1069</x:v>
      </x:c>
      <x:c r="B878" s="216" t="str">
        <x:v>龍五鳳七路口</x:v>
      </x:c>
      <x:c r="C878" s="216" t="str">
        <x:v>鶯歌區</x:v>
      </x:c>
      <x:c r="D878" s="216" t="n">
        <x:v>30</x:v>
      </x:c>
      <x:c r="E878" s="216" t="n">
        <x:v>120</x:v>
      </x:c>
      <x:c r="F878" s="219" t="n">
        <x:v>0.9994791666666667</x:v>
      </x:c>
      <x:c r="G878" s="216" t="n">
        <x:v>874</x:v>
      </x:c>
      <x:c r="H878" s="216" t="str">
        <x:f>IF(G878&lt;='排名定義'!$B$5,"是","")</x:f>
        <x:v>是</x:v>
      </x:c>
      <x:c r="I878" s="216" t="n">
        <x:v>882</x:v>
      </x:c>
      <x:c r="J878" s="216" t="str">
        <x:f>IF(I878&lt;='排名定義'!$B$5,"是","")</x:f>
        <x:v>是</x:v>
      </x:c>
      <x:c r="K878" s="216" t="n">
        <x:v>798</x:v>
      </x:c>
      <x:c r="L878" s="216" t="str">
        <x:f>IF(K878&lt;='排名定義'!$B$5,"是","")</x:f>
        <x:v>是</x:v>
      </x:c>
      <x:c r="M878" s="216" t="n">
        <x:f>COUNTIF(H878:L878,"是")</x:f>
        <x:v>3</x:v>
      </x:c>
      <x:c r="N878" s="216" t="str">
        <x:v>三份皆未入選</x:v>
      </x:c>
      <x:c r="O878" s="221" t="n">
        <x:v>41.875</x:v>
      </x:c>
      <x:c r="P878" s="221" t="n">
        <x:v>37.875</x:v>
      </x:c>
      <x:c r="Q878" s="221" t="n">
        <x:v>4</x:v>
      </x:c>
      <x:c r="R878" s="221" t="n">
        <x:v>0.0955223880597015</x:v>
      </x:c>
      <x:c r="S878" s="221" t="n">
        <x:v>67.3225806451613</x:v>
      </x:c>
      <x:c r="T878" s="221" t="n">
        <x:v>63.83870967741935</x:v>
      </x:c>
      <x:c r="U878" s="221" t="n">
        <x:v>3.4838709677419355</x:v>
      </x:c>
      <x:c r="V878" s="219" t="n">
        <x:v>0</x:v>
      </x:c>
      <x:c r="W878" s="216" t="n">
        <x:v>0</x:v>
      </x:c>
      <x:c r="X878" s="223" t="n">
        <x:v>0</x:v>
      </x:c>
      <x:c r="Y878" s="216" t="n">
        <x:v>30</x:v>
      </x:c>
    </x:row>
    <x:row r="879">
      <x:c r="A879" s="217" t="n">
        <x:v>265</x:v>
      </x:c>
      <x:c r="B879" s="217" t="str">
        <x:v>八德公園</x:v>
      </x:c>
      <x:c r="C879" s="217" t="str">
        <x:v>板橋區</x:v>
      </x:c>
      <x:c r="D879" s="217" t="n">
        <x:v>14</x:v>
      </x:c>
      <x:c r="E879" s="217" t="n">
        <x:v>120</x:v>
      </x:c>
      <x:c r="F879" s="218" t="n">
        <x:v>0.9994791666666667</x:v>
      </x:c>
      <x:c r="G879" s="217" t="n">
        <x:v>875</x:v>
      </x:c>
      <x:c r="H879" s="217" t="str">
        <x:f>IF(G879&lt;='排名定義'!$B$5,"是","")</x:f>
        <x:v>是</x:v>
      </x:c>
      <x:c r="I879" s="217" t="n">
        <x:v>863</x:v>
      </x:c>
      <x:c r="J879" s="217" t="str">
        <x:f>IF(I879&lt;='排名定義'!$B$5,"是","")</x:f>
        <x:v>是</x:v>
      </x:c>
      <x:c r="K879" s="217" t="n">
        <x:v>1041</x:v>
      </x:c>
      <x:c r="L879" s="217" t="str">
        <x:f>IF(K879&lt;='排名定義'!$B$5,"是","")</x:f>
        <x:v>是</x:v>
      </x:c>
      <x:c r="M879" s="217" t="n">
        <x:f>COUNTIF(H879:L879,"是")</x:f>
        <x:v>3</x:v>
      </x:c>
      <x:c r="N879" s="217" t="str">
        <x:v>三份皆未入選</x:v>
      </x:c>
      <x:c r="O879" s="220" t="n">
        <x:v>41.8</x:v>
      </x:c>
      <x:c r="P879" s="220" t="n">
        <x:v>38.45</x:v>
      </x:c>
      <x:c r="Q879" s="220" t="n">
        <x:v>3.35</x:v>
      </x:c>
      <x:c r="R879" s="220" t="n">
        <x:v>0.08014354066985646</x:v>
      </x:c>
      <x:c r="S879" s="220" t="n">
        <x:v>57.483870967741936</x:v>
      </x:c>
      <x:c r="T879" s="220" t="n">
        <x:v>52.774193548387096</x:v>
      </x:c>
      <x:c r="U879" s="220" t="n">
        <x:v>4.709677419354839</x:v>
      </x:c>
      <x:c r="V879" s="218" t="n">
        <x:v>0.16589861751152074</x:v>
      </x:c>
      <x:c r="W879" s="217" t="n">
        <x:v>40</x:v>
      </x:c>
      <x:c r="X879" s="222" t="n">
        <x:v>5250</x:v>
      </x:c>
      <x:c r="Y879" s="217" t="n">
        <x:v>14</x:v>
      </x:c>
    </x:row>
    <x:row r="880">
      <x:c r="A880" s="216" t="n">
        <x:v>397</x:v>
      </x:c>
      <x:c r="B880" s="216" t="str">
        <x:v>金城路三段156號前</x:v>
      </x:c>
      <x:c r="C880" s="216" t="str">
        <x:v>土城區</x:v>
      </x:c>
      <x:c r="D880" s="216" t="n">
        <x:v>15</x:v>
      </x:c>
      <x:c r="E880" s="216" t="n">
        <x:v>120</x:v>
      </x:c>
      <x:c r="F880" s="219" t="n">
        <x:v>0.9994791666666667</x:v>
      </x:c>
      <x:c r="G880" s="216" t="n">
        <x:v>876</x:v>
      </x:c>
      <x:c r="H880" s="216" t="str">
        <x:f>IF(G880&lt;='排名定義'!$B$5,"是","")</x:f>
        <x:v>是</x:v>
      </x:c>
      <x:c r="I880" s="216" t="n">
        <x:v>866</x:v>
      </x:c>
      <x:c r="J880" s="216" t="str">
        <x:f>IF(I880&lt;='排名定義'!$B$5,"是","")</x:f>
        <x:v>是</x:v>
      </x:c>
      <x:c r="K880" s="216" t="n">
        <x:v>1059</x:v>
      </x:c>
      <x:c r="L880" s="216" t="str">
        <x:f>IF(K880&lt;='排名定義'!$B$5,"是","")</x:f>
        <x:v>是</x:v>
      </x:c>
      <x:c r="M880" s="216" t="n">
        <x:f>COUNTIF(H880:L880,"是")</x:f>
        <x:v>3</x:v>
      </x:c>
      <x:c r="N880" s="216" t="str">
        <x:v>三份皆未入選</x:v>
      </x:c>
      <x:c r="O880" s="221" t="n">
        <x:v>41.7</x:v>
      </x:c>
      <x:c r="P880" s="221" t="n">
        <x:v>38.375</x:v>
      </x:c>
      <x:c r="Q880" s="221" t="n">
        <x:v>3.325</x:v>
      </x:c>
      <x:c r="R880" s="221" t="n">
        <x:v>0.07973621103117506</x:v>
      </x:c>
      <x:c r="S880" s="221" t="n">
        <x:v>54.516129032258064</x:v>
      </x:c>
      <x:c r="T880" s="221" t="n">
        <x:v>49.774193548387096</x:v>
      </x:c>
      <x:c r="U880" s="221" t="n">
        <x:v>4.741935483870968</x:v>
      </x:c>
      <x:c r="V880" s="219" t="n">
        <x:v>0.1774193548387097</x:v>
      </x:c>
      <x:c r="W880" s="216" t="n">
        <x:v>54</x:v>
      </x:c>
      <x:c r="X880" s="223" t="n">
        <x:v>5490</x:v>
      </x:c>
      <x:c r="Y880" s="216" t="n">
        <x:v>15</x:v>
      </x:c>
    </x:row>
    <x:row r="881">
      <x:c r="A881" s="217" t="n">
        <x:v>350</x:v>
      </x:c>
      <x:c r="B881" s="217" t="str">
        <x:v>學府大雅路口</x:v>
      </x:c>
      <x:c r="C881" s="217" t="str">
        <x:v>樹林區</x:v>
      </x:c>
      <x:c r="D881" s="217" t="n">
        <x:v>15</x:v>
      </x:c>
      <x:c r="E881" s="217" t="n">
        <x:v>120</x:v>
      </x:c>
      <x:c r="F881" s="218" t="n">
        <x:v>0.9994791666666667</x:v>
      </x:c>
      <x:c r="G881" s="217" t="n">
        <x:v>877</x:v>
      </x:c>
      <x:c r="H881" s="217" t="str">
        <x:f>IF(G881&lt;='排名定義'!$B$5,"是","")</x:f>
        <x:v>是</x:v>
      </x:c>
      <x:c r="I881" s="217" t="n">
        <x:v>857</x:v>
      </x:c>
      <x:c r="J881" s="217" t="str">
        <x:f>IF(I881&lt;='排名定義'!$B$5,"是","")</x:f>
        <x:v>是</x:v>
      </x:c>
      <x:c r="K881" s="217" t="n">
        <x:v>1205</x:v>
      </x:c>
      <x:c r="L881" s="217" t="str">
        <x:f>IF(K881&lt;='排名定義'!$B$5,"是","")</x:f>
        <x:v>是</x:v>
      </x:c>
      <x:c r="M881" s="217" t="n">
        <x:f>COUNTIF(H881:L881,"是")</x:f>
        <x:v>3</x:v>
      </x:c>
      <x:c r="N881" s="217" t="str">
        <x:v>三份皆未入選</x:v>
      </x:c>
      <x:c r="O881" s="220" t="n">
        <x:v>41.575</x:v>
      </x:c>
      <x:c r="P881" s="220" t="n">
        <x:v>38.68333333333333</x:v>
      </x:c>
      <x:c r="Q881" s="220" t="n">
        <x:v>2.8916666666666666</x:v>
      </x:c>
      <x:c r="R881" s="220" t="n">
        <x:v>0.06955301663660052</x:v>
      </x:c>
      <x:c r="S881" s="220" t="n">
        <x:v>63.806451612903224</x:v>
      </x:c>
      <x:c r="T881" s="220" t="n">
        <x:v>59.774193548387096</x:v>
      </x:c>
      <x:c r="U881" s="220" t="n">
        <x:v>4.032258064516129</x:v>
      </x:c>
      <x:c r="V881" s="218" t="n">
        <x:v>0.06912442396313365</x:v>
      </x:c>
      <x:c r="W881" s="217" t="n">
        <x:v>13</x:v>
      </x:c>
      <x:c r="X881" s="222" t="n">
        <x:v>1740</x:v>
      </x:c>
      <x:c r="Y881" s="217" t="n">
        <x:v>15</x:v>
      </x:c>
    </x:row>
    <x:row r="882">
      <x:c r="A882" s="216" t="n">
        <x:v>114</x:v>
      </x:c>
      <x:c r="B882" s="216" t="str">
        <x:v>國慶學成路口</x:v>
      </x:c>
      <x:c r="C882" s="216" t="str">
        <x:v>三峽區</x:v>
      </x:c>
      <x:c r="D882" s="216" t="n">
        <x:v>10</x:v>
      </x:c>
      <x:c r="E882" s="216" t="n">
        <x:v>120</x:v>
      </x:c>
      <x:c r="F882" s="219" t="n">
        <x:v>0.9994791666666667</x:v>
      </x:c>
      <x:c r="G882" s="216" t="n">
        <x:v>878</x:v>
      </x:c>
      <x:c r="H882" s="216" t="str">
        <x:f>IF(G882&lt;='排名定義'!$B$5,"是","")</x:f>
        <x:v>是</x:v>
      </x:c>
      <x:c r="I882" s="216" t="n">
        <x:v>859</x:v>
      </x:c>
      <x:c r="J882" s="216" t="str">
        <x:f>IF(I882&lt;='排名定義'!$B$5,"是","")</x:f>
        <x:v>是</x:v>
      </x:c>
      <x:c r="K882" s="216" t="n">
        <x:v>1177</x:v>
      </x:c>
      <x:c r="L882" s="216" t="str">
        <x:f>IF(K882&lt;='排名定義'!$B$5,"是","")</x:f>
        <x:v>是</x:v>
      </x:c>
      <x:c r="M882" s="216" t="n">
        <x:f>COUNTIF(H882:L882,"是")</x:f>
        <x:v>3</x:v>
      </x:c>
      <x:c r="N882" s="216" t="str">
        <x:v>三份皆未入選</x:v>
      </x:c>
      <x:c r="O882" s="221" t="n">
        <x:v>41.55</x:v>
      </x:c>
      <x:c r="P882" s="221" t="n">
        <x:v>38.583333333333336</x:v>
      </x:c>
      <x:c r="Q882" s="221" t="n">
        <x:v>2.966666666666667</x:v>
      </x:c>
      <x:c r="R882" s="221" t="n">
        <x:v>0.07139991977537104</x:v>
      </x:c>
      <x:c r="S882" s="221" t="n">
        <x:v>61.354838709677416</x:v>
      </x:c>
      <x:c r="T882" s="221" t="n">
        <x:v>58.903225806451616</x:v>
      </x:c>
      <x:c r="U882" s="221" t="n">
        <x:v>2.4516129032258065</x:v>
      </x:c>
      <x:c r="V882" s="219" t="n">
        <x:v>0.16359447004608296</x:v>
      </x:c>
      <x:c r="W882" s="216" t="n">
        <x:v>34</x:v>
      </x:c>
      <x:c r="X882" s="223" t="n">
        <x:v>5280</x:v>
      </x:c>
      <x:c r="Y882" s="216" t="n">
        <x:v>10</x:v>
      </x:c>
    </x:row>
    <x:row r="883">
      <x:c r="A883" s="217" t="n">
        <x:v>260</x:v>
      </x:c>
      <x:c r="B883" s="217" t="str">
        <x:v>中山路二段416巷38弄口</x:v>
      </x:c>
      <x:c r="C883" s="217" t="str">
        <x:v>板橋區</x:v>
      </x:c>
      <x:c r="D883" s="217" t="n">
        <x:v>14</x:v>
      </x:c>
      <x:c r="E883" s="217" t="n">
        <x:v>120</x:v>
      </x:c>
      <x:c r="F883" s="218" t="n">
        <x:v>0.9994791666666667</x:v>
      </x:c>
      <x:c r="G883" s="217" t="n">
        <x:v>879</x:v>
      </x:c>
      <x:c r="H883" s="217" t="str">
        <x:f>IF(G883&lt;='排名定義'!$B$5,"是","")</x:f>
        <x:v>是</x:v>
      </x:c>
      <x:c r="I883" s="217" t="n">
        <x:v>870</x:v>
      </x:c>
      <x:c r="J883" s="217" t="str">
        <x:f>IF(I883&lt;='排名定義'!$B$5,"是","")</x:f>
        <x:v>是</x:v>
      </x:c>
      <x:c r="K883" s="217" t="n">
        <x:v>1006</x:v>
      </x:c>
      <x:c r="L883" s="217" t="str">
        <x:f>IF(K883&lt;='排名定義'!$B$5,"是","")</x:f>
        <x:v>是</x:v>
      </x:c>
      <x:c r="M883" s="217" t="n">
        <x:f>COUNTIF(H883:L883,"是")</x:f>
        <x:v>3</x:v>
      </x:c>
      <x:c r="N883" s="217" t="str">
        <x:v>三份皆未入選</x:v>
      </x:c>
      <x:c r="O883" s="220" t="n">
        <x:v>41.53333333333333</x:v>
      </x:c>
      <x:c r="P883" s="220" t="n">
        <x:v>38.108333333333334</x:v>
      </x:c>
      <x:c r="Q883" s="220" t="n">
        <x:v>3.425</x:v>
      </x:c>
      <x:c r="R883" s="220" t="n">
        <x:v>0.08246388443017656</x:v>
      </x:c>
      <x:c r="S883" s="220" t="n">
        <x:v>58.03225806451613</x:v>
      </x:c>
      <x:c r="T883" s="220" t="n">
        <x:v>54.483870967741936</x:v>
      </x:c>
      <x:c r="U883" s="220" t="n">
        <x:v>3.5483870967741935</x:v>
      </x:c>
      <x:c r="V883" s="218" t="n">
        <x:v>0.0576036866359447</x:v>
      </x:c>
      <x:c r="W883" s="217" t="n">
        <x:v>17</x:v>
      </x:c>
      <x:c r="X883" s="222" t="n">
        <x:v>2340</x:v>
      </x:c>
      <x:c r="Y883" s="217" t="n">
        <x:v>14</x:v>
      </x:c>
    </x:row>
    <x:row r="884">
      <x:c r="A884" s="216" t="n">
        <x:v>1253</x:v>
      </x:c>
      <x:c r="B884" s="216" t="str">
        <x:v>中山三民路口(土城工業區)</x:v>
      </x:c>
      <x:c r="C884" s="216" t="str">
        <x:v>土城區</x:v>
      </x:c>
      <x:c r="D884" s="216" t="n">
        <x:v>40</x:v>
      </x:c>
      <x:c r="E884" s="216" t="n">
        <x:v>120</x:v>
      </x:c>
      <x:c r="F884" s="219" t="n">
        <x:v>0.9994791666666667</x:v>
      </x:c>
      <x:c r="G884" s="216" t="n">
        <x:v>880</x:v>
      </x:c>
      <x:c r="H884" s="216" t="str">
        <x:f>IF(G884&lt;='排名定義'!$B$5,"是","")</x:f>
        <x:v>是</x:v>
      </x:c>
      <x:c r="I884" s="216" t="n">
        <x:v>874</x:v>
      </x:c>
      <x:c r="J884" s="216" t="str">
        <x:f>IF(I884&lt;='排名定義'!$B$5,"是","")</x:f>
        <x:v>是</x:v>
      </x:c>
      <x:c r="K884" s="216" t="n">
        <x:v>1012</x:v>
      </x:c>
      <x:c r="L884" s="216" t="str">
        <x:f>IF(K884&lt;='排名定義'!$B$5,"是","")</x:f>
        <x:v>是</x:v>
      </x:c>
      <x:c r="M884" s="216" t="n">
        <x:f>COUNTIF(H884:L884,"是")</x:f>
        <x:v>3</x:v>
      </x:c>
      <x:c r="N884" s="216" t="str">
        <x:v>三份皆未入選</x:v>
      </x:c>
      <x:c r="O884" s="221" t="n">
        <x:v>41.45</x:v>
      </x:c>
      <x:c r="P884" s="221" t="n">
        <x:v>38.03333333333333</x:v>
      </x:c>
      <x:c r="Q884" s="221" t="n">
        <x:v>3.4166666666666665</x:v>
      </x:c>
      <x:c r="R884" s="221" t="n">
        <x:v>0.08242862887012464</x:v>
      </x:c>
      <x:c r="S884" s="221" t="n">
        <x:v>68.74193548387096</x:v>
      </x:c>
      <x:c r="T884" s="221" t="n">
        <x:v>65.03225806451613</x:v>
      </x:c>
      <x:c r="U884" s="221" t="n">
        <x:v>3.7096774193548385</x:v>
      </x:c>
      <x:c r="V884" s="219" t="n">
        <x:v>0.03917050691244239</x:v>
      </x:c>
      <x:c r="W884" s="216" t="n">
        <x:v>4</x:v>
      </x:c>
      <x:c r="X884" s="223" t="n">
        <x:v>780</x:v>
      </x:c>
      <x:c r="Y884" s="216" t="n">
        <x:v>40</x:v>
      </x:c>
    </x:row>
    <x:row r="885">
      <x:c r="A885" s="217" t="n">
        <x:v>435</x:v>
      </x:c>
      <x:c r="B885" s="217" t="str">
        <x:v>濱海路二段202巷</x:v>
      </x:c>
      <x:c r="C885" s="217" t="str">
        <x:v>淡水區</x:v>
      </x:c>
      <x:c r="D885" s="217" t="n">
        <x:v>15</x:v>
      </x:c>
      <x:c r="E885" s="217" t="n">
        <x:v>120</x:v>
      </x:c>
      <x:c r="F885" s="218" t="n">
        <x:v>0.9994791666666667</x:v>
      </x:c>
      <x:c r="G885" s="217" t="n">
        <x:v>881</x:v>
      </x:c>
      <x:c r="H885" s="217" t="str">
        <x:f>IF(G885&lt;='排名定義'!$B$5,"是","")</x:f>
        <x:v>是</x:v>
      </x:c>
      <x:c r="I885" s="217" t="n">
        <x:v>876</x:v>
      </x:c>
      <x:c r="J885" s="217" t="str">
        <x:f>IF(I885&lt;='排名定義'!$B$5,"是","")</x:f>
        <x:v>是</x:v>
      </x:c>
      <x:c r="K885" s="217" t="n">
        <x:v>1007</x:v>
      </x:c>
      <x:c r="L885" s="217" t="str">
        <x:f>IF(K885&lt;='排名定義'!$B$5,"是","")</x:f>
        <x:v>是</x:v>
      </x:c>
      <x:c r="M885" s="217" t="n">
        <x:f>COUNTIF(H885:L885,"是")</x:f>
        <x:v>3</x:v>
      </x:c>
      <x:c r="N885" s="217" t="str">
        <x:v>三份皆未入選</x:v>
      </x:c>
      <x:c r="O885" s="220" t="n">
        <x:v>41.416666666666664</x:v>
      </x:c>
      <x:c r="P885" s="220" t="n">
        <x:v>37.99166666666667</x:v>
      </x:c>
      <x:c r="Q885" s="220" t="n">
        <x:v>3.425</x:v>
      </x:c>
      <x:c r="R885" s="220" t="n">
        <x:v>0.08269617706237424</x:v>
      </x:c>
      <x:c r="S885" s="220" t="n">
        <x:v>59.96774193548387</x:v>
      </x:c>
      <x:c r="T885" s="220" t="n">
        <x:v>57.16129032258065</x:v>
      </x:c>
      <x:c r="U885" s="220" t="n">
        <x:v>2.806451612903226</x:v>
      </x:c>
      <x:c r="V885" s="218" t="n">
        <x:v>0.14055299539170507</x:v>
      </x:c>
      <x:c r="W885" s="217" t="n">
        <x:v>19</x:v>
      </x:c>
      <x:c r="X885" s="222" t="n">
        <x:v>2700</x:v>
      </x:c>
      <x:c r="Y885" s="217" t="n">
        <x:v>15</x:v>
      </x:c>
    </x:row>
    <x:row r="886">
      <x:c r="A886" s="216" t="n">
        <x:v>117</x:v>
      </x:c>
      <x:c r="B886" s="216" t="str">
        <x:v>寶橋路29巷</x:v>
      </x:c>
      <x:c r="C886" s="216" t="str">
        <x:v>新店區</x:v>
      </x:c>
      <x:c r="D886" s="216" t="n">
        <x:v>10</x:v>
      </x:c>
      <x:c r="E886" s="216" t="n">
        <x:v>120</x:v>
      </x:c>
      <x:c r="F886" s="219" t="n">
        <x:v>0.9994791666666667</x:v>
      </x:c>
      <x:c r="G886" s="216" t="n">
        <x:v>882</x:v>
      </x:c>
      <x:c r="H886" s="216" t="str">
        <x:f>IF(G886&lt;='排名定義'!$B$5,"是","")</x:f>
        <x:v>是</x:v>
      </x:c>
      <x:c r="I886" s="216" t="n">
        <x:v>886</x:v>
      </x:c>
      <x:c r="J886" s="216" t="str">
        <x:f>IF(I886&lt;='排名定義'!$B$5,"是","")</x:f>
        <x:v>是</x:v>
      </x:c>
      <x:c r="K886" s="216" t="n">
        <x:v>912</x:v>
      </x:c>
      <x:c r="L886" s="216" t="str">
        <x:f>IF(K886&lt;='排名定義'!$B$5,"是","")</x:f>
        <x:v>是</x:v>
      </x:c>
      <x:c r="M886" s="216" t="n">
        <x:f>COUNTIF(H886:L886,"是")</x:f>
        <x:v>3</x:v>
      </x:c>
      <x:c r="N886" s="216" t="str">
        <x:v>三份皆未入選</x:v>
      </x:c>
      <x:c r="O886" s="221" t="n">
        <x:v>41.38333333333333</x:v>
      </x:c>
      <x:c r="P886" s="221" t="n">
        <x:v>37.708333333333336</x:v>
      </x:c>
      <x:c r="Q886" s="221" t="n">
        <x:v>3.675</x:v>
      </x:c>
      <x:c r="R886" s="221" t="n">
        <x:v>0.08880386629077729</x:v>
      </x:c>
      <x:c r="S886" s="221" t="n">
        <x:v>55.935483870967744</x:v>
      </x:c>
      <x:c r="T886" s="221" t="n">
        <x:v>53.41935483870968</x:v>
      </x:c>
      <x:c r="U886" s="221" t="n">
        <x:v>2.5161290322580645</x:v>
      </x:c>
      <x:c r="V886" s="219" t="n">
        <x:v>0.1912442396313364</x:v>
      </x:c>
      <x:c r="W886" s="216" t="n">
        <x:v>72</x:v>
      </x:c>
      <x:c r="X886" s="223" t="n">
        <x:v>9180</x:v>
      </x:c>
      <x:c r="Y886" s="216" t="n">
        <x:v>10</x:v>
      </x:c>
    </x:row>
    <x:row r="887">
      <x:c r="A887" s="217" t="n">
        <x:v>163</x:v>
      </x:c>
      <x:c r="B887" s="217" t="str">
        <x:v>臺北大學商學院(尋鳶大道)</x:v>
      </x:c>
      <x:c r="C887" s="217" t="str">
        <x:v>三峽區</x:v>
      </x:c>
      <x:c r="D887" s="217" t="n">
        <x:v>11</x:v>
      </x:c>
      <x:c r="E887" s="217" t="n">
        <x:v>120</x:v>
      </x:c>
      <x:c r="F887" s="218" t="n">
        <x:v>0.9994791666666667</x:v>
      </x:c>
      <x:c r="G887" s="217" t="n">
        <x:v>883</x:v>
      </x:c>
      <x:c r="H887" s="217" t="str">
        <x:f>IF(G887&lt;='排名定義'!$B$5,"是","")</x:f>
        <x:v>是</x:v>
      </x:c>
      <x:c r="I887" s="217" t="n">
        <x:v>880</x:v>
      </x:c>
      <x:c r="J887" s="217" t="str">
        <x:f>IF(I887&lt;='排名定義'!$B$5,"是","")</x:f>
        <x:v>是</x:v>
      </x:c>
      <x:c r="K887" s="217" t="n">
        <x:v>1022</x:v>
      </x:c>
      <x:c r="L887" s="217" t="str">
        <x:f>IF(K887&lt;='排名定義'!$B$5,"是","")</x:f>
        <x:v>是</x:v>
      </x:c>
      <x:c r="M887" s="217" t="n">
        <x:f>COUNTIF(H887:L887,"是")</x:f>
        <x:v>3</x:v>
      </x:c>
      <x:c r="N887" s="217" t="str">
        <x:v>三份皆未入選</x:v>
      </x:c>
      <x:c r="O887" s="220" t="n">
        <x:v>41.30833333333333</x:v>
      </x:c>
      <x:c r="P887" s="220" t="n">
        <x:v>37.916666666666664</x:v>
      </x:c>
      <x:c r="Q887" s="220" t="n">
        <x:v>3.3916666666666666</x:v>
      </x:c>
      <x:c r="R887" s="220" t="n">
        <x:v>0.08210611256808553</x:v>
      </x:c>
      <x:c r="S887" s="220" t="n">
        <x:v>68.12903225806451</x:v>
      </x:c>
      <x:c r="T887" s="220" t="n">
        <x:v>66</x:v>
      </x:c>
      <x:c r="U887" s="220" t="n">
        <x:v>2.129032258064516</x:v>
      </x:c>
      <x:c r="V887" s="218" t="n">
        <x:v>0.12903225806451613</x:v>
      </x:c>
      <x:c r="W887" s="217" t="n">
        <x:v>28</x:v>
      </x:c>
      <x:c r="X887" s="222" t="n">
        <x:v>3870</x:v>
      </x:c>
      <x:c r="Y887" s="217" t="n">
        <x:v>11</x:v>
      </x:c>
    </x:row>
    <x:row r="888">
      <x:c r="A888" s="216" t="n">
        <x:v>204</x:v>
      </x:c>
      <x:c r="B888" s="216" t="str">
        <x:v>頭前國小(化成路)</x:v>
      </x:c>
      <x:c r="C888" s="216" t="str">
        <x:v>新莊區</x:v>
      </x:c>
      <x:c r="D888" s="216" t="n">
        <x:v>12</x:v>
      </x:c>
      <x:c r="E888" s="216" t="n">
        <x:v>120</x:v>
      </x:c>
      <x:c r="F888" s="219" t="n">
        <x:v>0.9994791666666667</x:v>
      </x:c>
      <x:c r="G888" s="216" t="n">
        <x:v>884</x:v>
      </x:c>
      <x:c r="H888" s="216" t="str">
        <x:f>IF(G888&lt;='排名定義'!$B$5,"是","")</x:f>
        <x:v>是</x:v>
      </x:c>
      <x:c r="I888" s="216" t="n">
        <x:v>854</x:v>
      </x:c>
      <x:c r="J888" s="216" t="str">
        <x:f>IF(I888&lt;='排名定義'!$B$5,"是","")</x:f>
        <x:v>是</x:v>
      </x:c>
      <x:c r="K888" s="216" t="n">
        <x:v>1286</x:v>
      </x:c>
      <x:c r="L888" s="216" t="str">
        <x:f>IF(K888&lt;='排名定義'!$B$5,"是","")</x:f>
        <x:v>是</x:v>
      </x:c>
      <x:c r="M888" s="216" t="n">
        <x:f>COUNTIF(H888:L888,"是")</x:f>
        <x:v>3</x:v>
      </x:c>
      <x:c r="N888" s="216" t="str">
        <x:v>三份皆未入選</x:v>
      </x:c>
      <x:c r="O888" s="221" t="n">
        <x:v>41.3</x:v>
      </x:c>
      <x:c r="P888" s="221" t="n">
        <x:v>38.75833333333333</x:v>
      </x:c>
      <x:c r="Q888" s="221" t="n">
        <x:v>2.5416666666666665</x:v>
      </x:c>
      <x:c r="R888" s="221" t="n">
        <x:v>0.06154156577885391</x:v>
      </x:c>
      <x:c r="S888" s="221" t="n">
        <x:v>61.03225806451613</x:v>
      </x:c>
      <x:c r="T888" s="221" t="n">
        <x:v>58.41935483870968</x:v>
      </x:c>
      <x:c r="U888" s="221" t="n">
        <x:v>2.6129032258064515</x:v>
      </x:c>
      <x:c r="V888" s="219" t="n">
        <x:v>0.04838709677419355</x:v>
      </x:c>
      <x:c r="W888" s="216" t="n">
        <x:v>15</x:v>
      </x:c>
      <x:c r="X888" s="223" t="n">
        <x:v>1980</x:v>
      </x:c>
      <x:c r="Y888" s="216" t="n">
        <x:v>12</x:v>
      </x:c>
    </x:row>
    <x:row r="889">
      <x:c r="A889" s="217" t="n">
        <x:v>527</x:v>
      </x:c>
      <x:c r="B889" s="217" t="str">
        <x:v>懷石公園</x:v>
      </x:c>
      <x:c r="C889" s="217" t="str">
        <x:v>板橋區</x:v>
      </x:c>
      <x:c r="D889" s="217" t="n">
        <x:v>17</x:v>
      </x:c>
      <x:c r="E889" s="217" t="n">
        <x:v>120</x:v>
      </x:c>
      <x:c r="F889" s="218" t="n">
        <x:v>0.9994791666666667</x:v>
      </x:c>
      <x:c r="G889" s="217" t="n">
        <x:v>885</x:v>
      </x:c>
      <x:c r="H889" s="217" t="str">
        <x:f>IF(G889&lt;='排名定義'!$B$5,"是","")</x:f>
        <x:v>是</x:v>
      </x:c>
      <x:c r="I889" s="217" t="n">
        <x:v>878</x:v>
      </x:c>
      <x:c r="J889" s="217" t="str">
        <x:f>IF(I889&lt;='排名定義'!$B$5,"是","")</x:f>
        <x:v>是</x:v>
      </x:c>
      <x:c r="K889" s="217" t="n">
        <x:v>1047</x:v>
      </x:c>
      <x:c r="L889" s="217" t="str">
        <x:f>IF(K889&lt;='排名定義'!$B$5,"是","")</x:f>
        <x:v>是</x:v>
      </x:c>
      <x:c r="M889" s="217" t="n">
        <x:f>COUNTIF(H889:L889,"是")</x:f>
        <x:v>3</x:v>
      </x:c>
      <x:c r="N889" s="217" t="str">
        <x:v>三份皆未入選</x:v>
      </x:c>
      <x:c r="O889" s="220" t="n">
        <x:v>41.291666666666664</x:v>
      </x:c>
      <x:c r="P889" s="220" t="n">
        <x:v>37.95</x:v>
      </x:c>
      <x:c r="Q889" s="220" t="n">
        <x:v>3.341666666666667</x:v>
      </x:c>
      <x:c r="R889" s="220" t="n">
        <x:v>0.08092835519677094</x:v>
      </x:c>
      <x:c r="S889" s="220" t="n">
        <x:v>58.096774193548384</x:v>
      </x:c>
      <x:c r="T889" s="220" t="n">
        <x:v>55.25806451612903</x:v>
      </x:c>
      <x:c r="U889" s="220" t="n">
        <x:v>2.838709677419355</x:v>
      </x:c>
      <x:c r="V889" s="218" t="n">
        <x:v>0.1152073732718894</x:v>
      </x:c>
      <x:c r="W889" s="217" t="n">
        <x:v>31</x:v>
      </x:c>
      <x:c r="X889" s="222" t="n">
        <x:v>3270</x:v>
      </x:c>
      <x:c r="Y889" s="217" t="n">
        <x:v>17</x:v>
      </x:c>
    </x:row>
    <x:row r="890">
      <x:c r="A890" s="216" t="n">
        <x:v>657</x:v>
      </x:c>
      <x:c r="B890" s="216" t="str">
        <x:v>惜福公園</x:v>
      </x:c>
      <x:c r="C890" s="216" t="str">
        <x:v>土城區</x:v>
      </x:c>
      <x:c r="D890" s="216" t="n">
        <x:v>20</x:v>
      </x:c>
      <x:c r="E890" s="216" t="n">
        <x:v>120</x:v>
      </x:c>
      <x:c r="F890" s="219" t="n">
        <x:v>0.9994791666666667</x:v>
      </x:c>
      <x:c r="G890" s="216" t="n">
        <x:v>886</x:v>
      </x:c>
      <x:c r="H890" s="216" t="str">
        <x:f>IF(G890&lt;='排名定義'!$B$5,"是","")</x:f>
        <x:v>是</x:v>
      </x:c>
      <x:c r="I890" s="216" t="n">
        <x:v>885</x:v>
      </x:c>
      <x:c r="J890" s="216" t="str">
        <x:f>IF(I890&lt;='排名定義'!$B$5,"是","")</x:f>
        <x:v>是</x:v>
      </x:c>
      <x:c r="K890" s="216" t="n">
        <x:v>950</x:v>
      </x:c>
      <x:c r="L890" s="216" t="str">
        <x:f>IF(K890&lt;='排名定義'!$B$5,"是","")</x:f>
        <x:v>是</x:v>
      </x:c>
      <x:c r="M890" s="216" t="n">
        <x:f>COUNTIF(H890:L890,"是")</x:f>
        <x:v>3</x:v>
      </x:c>
      <x:c r="N890" s="216" t="str">
        <x:v>三份皆未入選</x:v>
      </x:c>
      <x:c r="O890" s="221" t="n">
        <x:v>41.291666666666664</x:v>
      </x:c>
      <x:c r="P890" s="221" t="n">
        <x:v>37.71666666666667</x:v>
      </x:c>
      <x:c r="Q890" s="221" t="n">
        <x:v>3.575</x:v>
      </x:c>
      <x:c r="R890" s="221" t="n">
        <x:v>0.08657921291624622</x:v>
      </x:c>
      <x:c r="S890" s="221" t="n">
        <x:v>62.064516129032256</x:v>
      </x:c>
      <x:c r="T890" s="221" t="n">
        <x:v>58.096774193548384</x:v>
      </x:c>
      <x:c r="U890" s="221" t="n">
        <x:v>3.967741935483871</x:v>
      </x:c>
      <x:c r="V890" s="219" t="n">
        <x:v>0.08986175115207373</x:v>
      </x:c>
      <x:c r="W890" s="216" t="n">
        <x:v>31</x:v>
      </x:c>
      <x:c r="X890" s="223" t="n">
        <x:v>3360</x:v>
      </x:c>
      <x:c r="Y890" s="216" t="n">
        <x:v>20</x:v>
      </x:c>
    </x:row>
    <x:row r="891">
      <x:c r="A891" s="217" t="n">
        <x:v>469</x:v>
      </x:c>
      <x:c r="B891" s="217" t="str">
        <x:v>三重環河陸橋</x:v>
      </x:c>
      <x:c r="C891" s="217" t="str">
        <x:v>三重區</x:v>
      </x:c>
      <x:c r="D891" s="217" t="n">
        <x:v>16</x:v>
      </x:c>
      <x:c r="E891" s="217" t="n">
        <x:v>120</x:v>
      </x:c>
      <x:c r="F891" s="218" t="n">
        <x:v>0.9994791666666667</x:v>
      </x:c>
      <x:c r="G891" s="217" t="n">
        <x:v>887</x:v>
      </x:c>
      <x:c r="H891" s="217" t="str">
        <x:f>IF(G891&lt;='排名定義'!$B$5,"是","")</x:f>
        <x:v>是</x:v>
      </x:c>
      <x:c r="I891" s="217" t="n">
        <x:v>888</x:v>
      </x:c>
      <x:c r="J891" s="217" t="str">
        <x:f>IF(I891&lt;='排名定義'!$B$5,"是","")</x:f>
        <x:v>是</x:v>
      </x:c>
      <x:c r="K891" s="217" t="n">
        <x:v>933</x:v>
      </x:c>
      <x:c r="L891" s="217" t="str">
        <x:f>IF(K891&lt;='排名定義'!$B$5,"是","")</x:f>
        <x:v>是</x:v>
      </x:c>
      <x:c r="M891" s="217" t="n">
        <x:f>COUNTIF(H891:L891,"是")</x:f>
        <x:v>3</x:v>
      </x:c>
      <x:c r="N891" s="217" t="str">
        <x:v>三份皆未入選</x:v>
      </x:c>
      <x:c r="O891" s="220" t="n">
        <x:v>41.166666666666664</x:v>
      </x:c>
      <x:c r="P891" s="220" t="n">
        <x:v>37.55833333333333</x:v>
      </x:c>
      <x:c r="Q891" s="220" t="n">
        <x:v>3.6083333333333334</x:v>
      </x:c>
      <x:c r="R891" s="220" t="n">
        <x:v>0.08765182186234818</x:v>
      </x:c>
      <x:c r="S891" s="220" t="n">
        <x:v>69.16129032258064</x:v>
      </x:c>
      <x:c r="T891" s="220" t="n">
        <x:v>65.70967741935483</x:v>
      </x:c>
      <x:c r="U891" s="220" t="n">
        <x:v>3.4516129032258065</x:v>
      </x:c>
      <x:c r="V891" s="218" t="n">
        <x:v>0.09216589861751152</x:v>
      </x:c>
      <x:c r="W891" s="217" t="n">
        <x:v>22</x:v>
      </x:c>
      <x:c r="X891" s="222" t="n">
        <x:v>2820</x:v>
      </x:c>
      <x:c r="Y891" s="217" t="n">
        <x:v>16</x:v>
      </x:c>
    </x:row>
    <x:row r="892">
      <x:c r="A892" s="216" t="n">
        <x:v>675</x:v>
      </x:c>
      <x:c r="B892" s="216" t="str">
        <x:v>泰山高中</x:v>
      </x:c>
      <x:c r="C892" s="216" t="str">
        <x:v>泰山區</x:v>
      </x:c>
      <x:c r="D892" s="216" t="n">
        <x:v>20</x:v>
      </x:c>
      <x:c r="E892" s="216" t="n">
        <x:v>120</x:v>
      </x:c>
      <x:c r="F892" s="219" t="n">
        <x:v>0.9994791666666667</x:v>
      </x:c>
      <x:c r="G892" s="216" t="n">
        <x:v>888</x:v>
      </x:c>
      <x:c r="H892" s="216" t="str">
        <x:f>IF(G892&lt;='排名定義'!$B$5,"是","")</x:f>
        <x:v>是</x:v>
      </x:c>
      <x:c r="I892" s="216" t="n">
        <x:v>889</x:v>
      </x:c>
      <x:c r="J892" s="216" t="str">
        <x:f>IF(I892&lt;='排名定義'!$B$5,"是","")</x:f>
        <x:v>是</x:v>
      </x:c>
      <x:c r="K892" s="216" t="n">
        <x:v>940</x:v>
      </x:c>
      <x:c r="L892" s="216" t="str">
        <x:f>IF(K892&lt;='排名定義'!$B$5,"是","")</x:f>
        <x:v>是</x:v>
      </x:c>
      <x:c r="M892" s="216" t="n">
        <x:f>COUNTIF(H892:L892,"是")</x:f>
        <x:v>3</x:v>
      </x:c>
      <x:c r="N892" s="216" t="str">
        <x:v>三份皆未入選</x:v>
      </x:c>
      <x:c r="O892" s="221" t="n">
        <x:v>41.141666666666666</x:v>
      </x:c>
      <x:c r="P892" s="221" t="n">
        <x:v>37.541666666666664</x:v>
      </x:c>
      <x:c r="Q892" s="221" t="n">
        <x:v>3.6</x:v>
      </x:c>
      <x:c r="R892" s="221" t="n">
        <x:v>0.08750253190196476</x:v>
      </x:c>
      <x:c r="S892" s="221" t="n">
        <x:v>53.96774193548387</x:v>
      </x:c>
      <x:c r="T892" s="221" t="n">
        <x:v>50.32258064516129</x:v>
      </x:c>
      <x:c r="U892" s="221" t="n">
        <x:v>3.6451612903225805</x:v>
      </x:c>
      <x:c r="V892" s="219" t="n">
        <x:v>0.14746543778801843</x:v>
      </x:c>
      <x:c r="W892" s="216" t="n">
        <x:v>21</x:v>
      </x:c>
      <x:c r="X892" s="223" t="n">
        <x:v>2610</x:v>
      </x:c>
      <x:c r="Y892" s="216" t="n">
        <x:v>20</x:v>
      </x:c>
    </x:row>
    <x:row r="893">
      <x:c r="A893" s="217" t="n">
        <x:v>240</x:v>
      </x:c>
      <x:c r="B893" s="217" t="str">
        <x:v>正義國小地下停車場</x:v>
      </x:c>
      <x:c r="C893" s="217" t="str">
        <x:v>三重區</x:v>
      </x:c>
      <x:c r="D893" s="217" t="n">
        <x:v>13</x:v>
      </x:c>
      <x:c r="E893" s="217" t="n">
        <x:v>120</x:v>
      </x:c>
      <x:c r="F893" s="218" t="n">
        <x:v>0.9994791666666667</x:v>
      </x:c>
      <x:c r="G893" s="217" t="n">
        <x:v>889</x:v>
      </x:c>
      <x:c r="H893" s="217" t="str">
        <x:f>IF(G893&lt;='排名定義'!$B$5,"是","")</x:f>
        <x:v>是</x:v>
      </x:c>
      <x:c r="I893" s="217" t="n">
        <x:v>894</x:v>
      </x:c>
      <x:c r="J893" s="217" t="str">
        <x:f>IF(I893&lt;='排名定義'!$B$5,"是","")</x:f>
        <x:v>是</x:v>
      </x:c>
      <x:c r="K893" s="217" t="n">
        <x:v>841</x:v>
      </x:c>
      <x:c r="L893" s="217" t="str">
        <x:f>IF(K893&lt;='排名定義'!$B$5,"是","")</x:f>
        <x:v>是</x:v>
      </x:c>
      <x:c r="M893" s="217" t="n">
        <x:f>COUNTIF(H893:L893,"是")</x:f>
        <x:v>3</x:v>
      </x:c>
      <x:c r="N893" s="217" t="str">
        <x:v>三份皆未入選</x:v>
      </x:c>
      <x:c r="O893" s="220" t="n">
        <x:v>41.1</x:v>
      </x:c>
      <x:c r="P893" s="220" t="n">
        <x:v>37.225</x:v>
      </x:c>
      <x:c r="Q893" s="220" t="n">
        <x:v>3.875</x:v>
      </x:c>
      <x:c r="R893" s="220" t="n">
        <x:v>0.09428223844282238</x:v>
      </x:c>
      <x:c r="S893" s="220" t="n">
        <x:v>63.193548387096776</x:v>
      </x:c>
      <x:c r="T893" s="220" t="n">
        <x:v>59.70967741935484</x:v>
      </x:c>
      <x:c r="U893" s="220" t="n">
        <x:v>3.4838709677419355</x:v>
      </x:c>
      <x:c r="V893" s="218" t="n">
        <x:v>0.1313364055299539</x:v>
      </x:c>
      <x:c r="W893" s="217" t="n">
        <x:v>28</x:v>
      </x:c>
      <x:c r="X893" s="222" t="n">
        <x:v>3810</x:v>
      </x:c>
      <x:c r="Y893" s="217" t="n">
        <x:v>13</x:v>
      </x:c>
    </x:row>
    <x:row r="894">
      <x:c r="A894" s="216" t="n">
        <x:v>809</x:v>
      </x:c>
      <x:c r="B894" s="216" t="str">
        <x:v>三和國中(自強路三段110巷)</x:v>
      </x:c>
      <x:c r="C894" s="216" t="str">
        <x:v>三重區</x:v>
      </x:c>
      <x:c r="D894" s="216" t="n">
        <x:v>22</x:v>
      </x:c>
      <x:c r="E894" s="216" t="n">
        <x:v>120</x:v>
      </x:c>
      <x:c r="F894" s="219" t="n">
        <x:v>0.9994791666666667</x:v>
      </x:c>
      <x:c r="G894" s="216" t="n">
        <x:v>890</x:v>
      </x:c>
      <x:c r="H894" s="216" t="str">
        <x:f>IF(G894&lt;='排名定義'!$B$5,"是","")</x:f>
        <x:v>是</x:v>
      </x:c>
      <x:c r="I894" s="216" t="n">
        <x:v>899</x:v>
      </x:c>
      <x:c r="J894" s="216" t="str">
        <x:f>IF(I894&lt;='排名定義'!$B$5,"是","")</x:f>
        <x:v>是</x:v>
      </x:c>
      <x:c r="K894" s="216" t="n">
        <x:v>771</x:v>
      </x:c>
      <x:c r="L894" s="216" t="str">
        <x:f>IF(K894&lt;='排名定義'!$B$5,"是","")</x:f>
        <x:v>是</x:v>
      </x:c>
      <x:c r="M894" s="216" t="n">
        <x:f>COUNTIF(H894:L894,"是")</x:f>
        <x:v>3</x:v>
      </x:c>
      <x:c r="N894" s="216" t="str">
        <x:v>三份皆未入選</x:v>
      </x:c>
      <x:c r="O894" s="221" t="n">
        <x:v>41.03333333333333</x:v>
      </x:c>
      <x:c r="P894" s="221" t="n">
        <x:v>36.95</x:v>
      </x:c>
      <x:c r="Q894" s="221" t="n">
        <x:v>4.083333333333333</x:v>
      </x:c>
      <x:c r="R894" s="221" t="n">
        <x:v>0.09951259138911454</x:v>
      </x:c>
      <x:c r="S894" s="221" t="n">
        <x:v>61.96774193548387</x:v>
      </x:c>
      <x:c r="T894" s="221" t="n">
        <x:v>57.58064516129032</x:v>
      </x:c>
      <x:c r="U894" s="221" t="n">
        <x:v>4.387096774193548</x:v>
      </x:c>
      <x:c r="V894" s="219" t="n">
        <x:v>0.07142857142857142</x:v>
      </x:c>
      <x:c r="W894" s="216" t="n">
        <x:v>28</x:v>
      </x:c>
      <x:c r="X894" s="223" t="n">
        <x:v>2820</x:v>
      </x:c>
      <x:c r="Y894" s="216" t="n">
        <x:v>22</x:v>
      </x:c>
    </x:row>
    <x:row r="895">
      <x:c r="A895" s="217" t="n">
        <x:v>272</x:v>
      </x:c>
      <x:c r="B895" s="217" t="str">
        <x:v>文化二路一段260巷口</x:v>
      </x:c>
      <x:c r="C895" s="217" t="str">
        <x:v>林口區</x:v>
      </x:c>
      <x:c r="D895" s="217" t="n">
        <x:v>14</x:v>
      </x:c>
      <x:c r="E895" s="217" t="n">
        <x:v>120</x:v>
      </x:c>
      <x:c r="F895" s="218" t="n">
        <x:v>0.9994791666666667</x:v>
      </x:c>
      <x:c r="G895" s="217" t="n">
        <x:v>891</x:v>
      </x:c>
      <x:c r="H895" s="217" t="str">
        <x:f>IF(G895&lt;='排名定義'!$B$5,"是","")</x:f>
        <x:v>是</x:v>
      </x:c>
      <x:c r="I895" s="217" t="n">
        <x:v>875</x:v>
      </x:c>
      <x:c r="J895" s="217" t="str">
        <x:f>IF(I895&lt;='排名定義'!$B$5,"是","")</x:f>
        <x:v>是</x:v>
      </x:c>
      <x:c r="K895" s="217" t="n">
        <x:v>1171</x:v>
      </x:c>
      <x:c r="L895" s="217" t="str">
        <x:f>IF(K895&lt;='排名定義'!$B$5,"是","")</x:f>
        <x:v>是</x:v>
      </x:c>
      <x:c r="M895" s="217" t="n">
        <x:f>COUNTIF(H895:L895,"是")</x:f>
        <x:v>3</x:v>
      </x:c>
      <x:c r="N895" s="217" t="str">
        <x:v>三份皆未入選</x:v>
      </x:c>
      <x:c r="O895" s="220" t="n">
        <x:v>41</x:v>
      </x:c>
      <x:c r="P895" s="220" t="n">
        <x:v>38.016666666666666</x:v>
      </x:c>
      <x:c r="Q895" s="220" t="n">
        <x:v>2.9833333333333334</x:v>
      </x:c>
      <x:c r="R895" s="220" t="n">
        <x:v>0.07276422764227643</x:v>
      </x:c>
      <x:c r="S895" s="220" t="n">
        <x:v>61.74193548387097</x:v>
      </x:c>
      <x:c r="T895" s="220" t="n">
        <x:v>56.935483870967744</x:v>
      </x:c>
      <x:c r="U895" s="220" t="n">
        <x:v>4.806451612903226</x:v>
      </x:c>
      <x:c r="V895" s="218" t="n">
        <x:v>0.06912442396313365</x:v>
      </x:c>
      <x:c r="W895" s="217" t="n">
        <x:v>10</x:v>
      </x:c>
      <x:c r="X895" s="222" t="n">
        <x:v>1890</x:v>
      </x:c>
      <x:c r="Y895" s="217" t="n">
        <x:v>14</x:v>
      </x:c>
    </x:row>
    <x:row r="896">
      <x:c r="A896" s="216" t="n">
        <x:v>547</x:v>
      </x:c>
      <x:c r="B896" s="216" t="str">
        <x:v>大成學士路口</x:v>
      </x:c>
      <x:c r="C896" s="216" t="str">
        <x:v>樹林區</x:v>
      </x:c>
      <x:c r="D896" s="216" t="n">
        <x:v>17</x:v>
      </x:c>
      <x:c r="E896" s="216" t="n">
        <x:v>120</x:v>
      </x:c>
      <x:c r="F896" s="219" t="n">
        <x:v>0.9994791666666667</x:v>
      </x:c>
      <x:c r="G896" s="216" t="n">
        <x:v>892</x:v>
      </x:c>
      <x:c r="H896" s="216" t="str">
        <x:f>IF(G896&lt;='排名定義'!$B$5,"是","")</x:f>
        <x:v>是</x:v>
      </x:c>
      <x:c r="I896" s="216" t="n">
        <x:v>881</x:v>
      </x:c>
      <x:c r="J896" s="216" t="str">
        <x:f>IF(I896&lt;='排名定義'!$B$5,"是","")</x:f>
        <x:v>是</x:v>
      </x:c>
      <x:c r="K896" s="216" t="n">
        <x:v>1132</x:v>
      </x:c>
      <x:c r="L896" s="216" t="str">
        <x:f>IF(K896&lt;='排名定義'!$B$5,"是","")</x:f>
        <x:v>是</x:v>
      </x:c>
      <x:c r="M896" s="216" t="n">
        <x:f>COUNTIF(H896:L896,"是")</x:f>
        <x:v>3</x:v>
      </x:c>
      <x:c r="N896" s="216" t="str">
        <x:v>三份皆未入選</x:v>
      </x:c>
      <x:c r="O896" s="221" t="n">
        <x:v>40.983333333333334</x:v>
      </x:c>
      <x:c r="P896" s="221" t="n">
        <x:v>37.875</x:v>
      </x:c>
      <x:c r="Q896" s="221" t="n">
        <x:v>3.1083333333333334</x:v>
      </x:c>
      <x:c r="R896" s="221" t="n">
        <x:v>0.0758438389589264</x:v>
      </x:c>
      <x:c r="S896" s="221" t="n">
        <x:v>70.70967741935483</x:v>
      </x:c>
      <x:c r="T896" s="221" t="n">
        <x:v>66.87096774193549</x:v>
      </x:c>
      <x:c r="U896" s="221" t="n">
        <x:v>3.838709677419355</x:v>
      </x:c>
      <x:c r="V896" s="219" t="n">
        <x:v>0.03456221198156682</x:v>
      </x:c>
      <x:c r="W896" s="216" t="n">
        <x:v>1</x:v>
      </x:c>
      <x:c r="X896" s="223" t="n">
        <x:v>960</x:v>
      </x:c>
      <x:c r="Y896" s="216" t="n">
        <x:v>17</x:v>
      </x:c>
    </x:row>
    <x:row r="897">
      <x:c r="A897" s="217" t="n">
        <x:v>430</x:v>
      </x:c>
      <x:c r="B897" s="217" t="str">
        <x:v>水碓立體停車場</x:v>
      </x:c>
      <x:c r="C897" s="217" t="str">
        <x:v>淡水區</x:v>
      </x:c>
      <x:c r="D897" s="217" t="n">
        <x:v>15</x:v>
      </x:c>
      <x:c r="E897" s="217" t="n">
        <x:v>120</x:v>
      </x:c>
      <x:c r="F897" s="218" t="n">
        <x:v>0.9994791666666667</x:v>
      </x:c>
      <x:c r="G897" s="217" t="n">
        <x:v>893</x:v>
      </x:c>
      <x:c r="H897" s="217" t="str">
        <x:f>IF(G897&lt;='排名定義'!$B$5,"是","")</x:f>
        <x:v>是</x:v>
      </x:c>
      <x:c r="I897" s="217" t="n">
        <x:v>891</x:v>
      </x:c>
      <x:c r="J897" s="217" t="str">
        <x:f>IF(I897&lt;='排名定義'!$B$5,"是","")</x:f>
        <x:v>是</x:v>
      </x:c>
      <x:c r="K897" s="217" t="n">
        <x:v>983</x:v>
      </x:c>
      <x:c r="L897" s="217" t="str">
        <x:f>IF(K897&lt;='排名定義'!$B$5,"是","")</x:f>
        <x:v>是</x:v>
      </x:c>
      <x:c r="M897" s="217" t="n">
        <x:f>COUNTIF(H897:L897,"是")</x:f>
        <x:v>3</x:v>
      </x:c>
      <x:c r="N897" s="217" t="str">
        <x:v>三份皆未入選</x:v>
      </x:c>
      <x:c r="O897" s="220" t="n">
        <x:v>40.958333333333336</x:v>
      </x:c>
      <x:c r="P897" s="220" t="n">
        <x:v>37.483333333333334</x:v>
      </x:c>
      <x:c r="Q897" s="220" t="n">
        <x:v>3.475</x:v>
      </x:c>
      <x:c r="R897" s="220" t="n">
        <x:v>0.08484231943031537</x:v>
      </x:c>
      <x:c r="S897" s="220" t="n">
        <x:v>60.29032258064516</x:v>
      </x:c>
      <x:c r="T897" s="220" t="n">
        <x:v>56.83870967741935</x:v>
      </x:c>
      <x:c r="U897" s="220" t="n">
        <x:v>3.4516129032258065</x:v>
      </x:c>
      <x:c r="V897" s="218" t="n">
        <x:v>0.18202764976958524</x:v>
      </x:c>
      <x:c r="W897" s="217" t="n">
        <x:v>49</x:v>
      </x:c>
      <x:c r="X897" s="222" t="n">
        <x:v>5340</x:v>
      </x:c>
      <x:c r="Y897" s="217" t="n">
        <x:v>15</x:v>
      </x:c>
    </x:row>
    <x:row r="898">
      <x:c r="A898" s="216" t="n">
        <x:v>242</x:v>
      </x:c>
      <x:c r="B898" s="216" t="str">
        <x:v>民生路二段/文化路一段286巷口</x:v>
      </x:c>
      <x:c r="C898" s="216" t="str">
        <x:v>板橋區</x:v>
      </x:c>
      <x:c r="D898" s="216" t="n">
        <x:v>13</x:v>
      </x:c>
      <x:c r="E898" s="216" t="n">
        <x:v>120</x:v>
      </x:c>
      <x:c r="F898" s="219" t="n">
        <x:v>0.9994791666666667</x:v>
      </x:c>
      <x:c r="G898" s="216" t="n">
        <x:v>894</x:v>
      </x:c>
      <x:c r="H898" s="216" t="str">
        <x:f>IF(G898&lt;='排名定義'!$B$5,"是","")</x:f>
        <x:v>是</x:v>
      </x:c>
      <x:c r="I898" s="216" t="n">
        <x:v>903</x:v>
      </x:c>
      <x:c r="J898" s="216" t="str">
        <x:f>IF(I898&lt;='排名定義'!$B$5,"是","")</x:f>
        <x:v>是</x:v>
      </x:c>
      <x:c r="K898" s="216" t="n">
        <x:v>645</x:v>
      </x:c>
      <x:c r="L898" s="216" t="str">
        <x:f>IF(K898&lt;='排名定義'!$B$5,"是","")</x:f>
        <x:v>是</x:v>
      </x:c>
      <x:c r="M898" s="216" t="n">
        <x:f>COUNTIF(H898:L898,"是")</x:f>
        <x:v>3</x:v>
      </x:c>
      <x:c r="N898" s="216" t="str">
        <x:v>三份皆未入選</x:v>
      </x:c>
      <x:c r="O898" s="221" t="n">
        <x:v>40.94166666666667</x:v>
      </x:c>
      <x:c r="P898" s="221" t="n">
        <x:v>36.46666666666667</x:v>
      </x:c>
      <x:c r="Q898" s="221" t="n">
        <x:v>4.475</x:v>
      </x:c>
      <x:c r="R898" s="221" t="n">
        <x:v>0.10930185222878079</x:v>
      </x:c>
      <x:c r="S898" s="221" t="n">
        <x:v>53.74193548387097</x:v>
      </x:c>
      <x:c r="T898" s="221" t="n">
        <x:v>49.25806451612903</x:v>
      </x:c>
      <x:c r="U898" s="221" t="n">
        <x:v>4.483870967741935</x:v>
      </x:c>
      <x:c r="V898" s="219" t="n">
        <x:v>0.1336405529953917</x:v>
      </x:c>
      <x:c r="W898" s="216" t="n">
        <x:v>52</x:v>
      </x:c>
      <x:c r="X898" s="223" t="n">
        <x:v>7560</x:v>
      </x:c>
      <x:c r="Y898" s="216" t="n">
        <x:v>13</x:v>
      </x:c>
    </x:row>
    <x:row r="899">
      <x:c r="A899" s="217" t="n">
        <x:v>334</x:v>
      </x:c>
      <x:c r="B899" s="217" t="str">
        <x:v>信義和平路口</x:v>
      </x:c>
      <x:c r="C899" s="217" t="str">
        <x:v>板橋區</x:v>
      </x:c>
      <x:c r="D899" s="217" t="n">
        <x:v>15</x:v>
      </x:c>
      <x:c r="E899" s="217" t="n">
        <x:v>120</x:v>
      </x:c>
      <x:c r="F899" s="218" t="n">
        <x:v>0.9994791666666667</x:v>
      </x:c>
      <x:c r="G899" s="217" t="n">
        <x:v>895</x:v>
      </x:c>
      <x:c r="H899" s="217" t="str">
        <x:f>IF(G899&lt;='排名定義'!$B$5,"是","")</x:f>
        <x:v>是</x:v>
      </x:c>
      <x:c r="I899" s="217" t="n">
        <x:v>887</x:v>
      </x:c>
      <x:c r="J899" s="217" t="str">
        <x:f>IF(I899&lt;='排名定義'!$B$5,"是","")</x:f>
        <x:v>是</x:v>
      </x:c>
      <x:c r="K899" s="217" t="n">
        <x:v>1058</x:v>
      </x:c>
      <x:c r="L899" s="217" t="str">
        <x:f>IF(K899&lt;='排名定義'!$B$5,"是","")</x:f>
        <x:v>是</x:v>
      </x:c>
      <x:c r="M899" s="217" t="n">
        <x:f>COUNTIF(H899:L899,"是")</x:f>
        <x:v>3</x:v>
      </x:c>
      <x:c r="N899" s="217" t="str">
        <x:v>三份皆未入選</x:v>
      </x:c>
      <x:c r="O899" s="220" t="n">
        <x:v>40.94166666666667</x:v>
      </x:c>
      <x:c r="P899" s="220" t="n">
        <x:v>37.61666666666667</x:v>
      </x:c>
      <x:c r="Q899" s="220" t="n">
        <x:v>3.325</x:v>
      </x:c>
      <x:c r="R899" s="220" t="n">
        <x:v>0.08121310808060249</x:v>
      </x:c>
      <x:c r="S899" s="220" t="n">
        <x:v>51.03225806451613</x:v>
      </x:c>
      <x:c r="T899" s="220" t="n">
        <x:v>48.87096774193548</x:v>
      </x:c>
      <x:c r="U899" s="220" t="n">
        <x:v>2.161290322580645</x:v>
      </x:c>
      <x:c r="V899" s="218" t="n">
        <x:v>0.05069124423963134</x:v>
      </x:c>
      <x:c r="W899" s="217" t="n">
        <x:v>11</x:v>
      </x:c>
      <x:c r="X899" s="222" t="n">
        <x:v>1560</x:v>
      </x:c>
      <x:c r="Y899" s="217" t="n">
        <x:v>15</x:v>
      </x:c>
    </x:row>
    <x:row r="900">
      <x:c r="A900" s="216" t="n">
        <x:v>244</x:v>
      </x:c>
      <x:c r="B900" s="216" t="str">
        <x:v>清水高中(國際路)</x:v>
      </x:c>
      <x:c r="C900" s="216" t="str">
        <x:v>土城區</x:v>
      </x:c>
      <x:c r="D900" s="216" t="n">
        <x:v>13</x:v>
      </x:c>
      <x:c r="E900" s="216" t="n">
        <x:v>120</x:v>
      </x:c>
      <x:c r="F900" s="219" t="n">
        <x:v>0.9994791666666667</x:v>
      </x:c>
      <x:c r="G900" s="216" t="n">
        <x:v>896</x:v>
      </x:c>
      <x:c r="H900" s="216" t="str">
        <x:f>IF(G900&lt;='排名定義'!$B$5,"是","")</x:f>
        <x:v>是</x:v>
      </x:c>
      <x:c r="I900" s="216" t="n">
        <x:v>892</x:v>
      </x:c>
      <x:c r="J900" s="216" t="str">
        <x:f>IF(I900&lt;='排名定義'!$B$5,"是","")</x:f>
        <x:v>是</x:v>
      </x:c>
      <x:c r="K900" s="216" t="n">
        <x:v>995</x:v>
      </x:c>
      <x:c r="L900" s="216" t="str">
        <x:f>IF(K900&lt;='排名定義'!$B$5,"是","")</x:f>
        <x:v>是</x:v>
      </x:c>
      <x:c r="M900" s="216" t="n">
        <x:f>COUNTIF(H900:L900,"是")</x:f>
        <x:v>3</x:v>
      </x:c>
      <x:c r="N900" s="216" t="str">
        <x:v>三份皆未入選</x:v>
      </x:c>
      <x:c r="O900" s="221" t="n">
        <x:v>40.925</x:v>
      </x:c>
      <x:c r="P900" s="221" t="n">
        <x:v>37.475</x:v>
      </x:c>
      <x:c r="Q900" s="221" t="n">
        <x:v>3.45</x:v>
      </x:c>
      <x:c r="R900" s="221" t="n">
        <x:v>0.08430054978619425</x:v>
      </x:c>
      <x:c r="S900" s="221" t="n">
        <x:v>51.096774193548384</x:v>
      </x:c>
      <x:c r="T900" s="221" t="n">
        <x:v>47.354838709677416</x:v>
      </x:c>
      <x:c r="U900" s="221" t="n">
        <x:v>3.7419354838709675</x:v>
      </x:c>
      <x:c r="V900" s="219" t="n">
        <x:v>0.14746543778801843</x:v>
      </x:c>
      <x:c r="W900" s="216" t="n">
        <x:v>27</x:v>
      </x:c>
      <x:c r="X900" s="223" t="n">
        <x:v>3120</x:v>
      </x:c>
      <x:c r="Y900" s="216" t="n">
        <x:v>13</x:v>
      </x:c>
    </x:row>
    <x:row r="901">
      <x:c r="A901" s="217" t="n">
        <x:v>998</x:v>
      </x:c>
      <x:c r="B901" s="217" t="str">
        <x:v>安成安德街口</x:v>
      </x:c>
      <x:c r="C901" s="217" t="str">
        <x:v>新店區</x:v>
      </x:c>
      <x:c r="D901" s="217" t="n">
        <x:v>29</x:v>
      </x:c>
      <x:c r="E901" s="217" t="n">
        <x:v>120</x:v>
      </x:c>
      <x:c r="F901" s="218" t="n">
        <x:v>0.9994791666666667</x:v>
      </x:c>
      <x:c r="G901" s="217" t="n">
        <x:v>897</x:v>
      </x:c>
      <x:c r="H901" s="217" t="str">
        <x:f>IF(G901&lt;='排名定義'!$B$5,"是","")</x:f>
        <x:v>是</x:v>
      </x:c>
      <x:c r="I901" s="217" t="n">
        <x:v>900</x:v>
      </x:c>
      <x:c r="J901" s="217" t="str">
        <x:f>IF(I901&lt;='排名定義'!$B$5,"是","")</x:f>
        <x:v>是</x:v>
      </x:c>
      <x:c r="K901" s="217" t="n">
        <x:v>854</x:v>
      </x:c>
      <x:c r="L901" s="217" t="str">
        <x:f>IF(K901&lt;='排名定義'!$B$5,"是","")</x:f>
        <x:v>是</x:v>
      </x:c>
      <x:c r="M901" s="217" t="n">
        <x:f>COUNTIF(H901:L901,"是")</x:f>
        <x:v>3</x:v>
      </x:c>
      <x:c r="N901" s="217" t="str">
        <x:v>三份皆未入選</x:v>
      </x:c>
      <x:c r="O901" s="220" t="n">
        <x:v>40.74166666666667</x:v>
      </x:c>
      <x:c r="P901" s="220" t="n">
        <x:v>36.891666666666666</x:v>
      </x:c>
      <x:c r="Q901" s="220" t="n">
        <x:v>3.85</x:v>
      </x:c>
      <x:c r="R901" s="220" t="n">
        <x:v>0.09449785232153815</x:v>
      </x:c>
      <x:c r="S901" s="220" t="n">
        <x:v>68.93548387096774</x:v>
      </x:c>
      <x:c r="T901" s="220" t="n">
        <x:v>65.06451612903226</x:v>
      </x:c>
      <x:c r="U901" s="220" t="n">
        <x:v>3.870967741935484</x:v>
      </x:c>
      <x:c r="V901" s="218" t="n">
        <x:v>0.03456221198156682</x:v>
      </x:c>
      <x:c r="W901" s="217" t="n">
        <x:v>7</x:v>
      </x:c>
      <x:c r="X901" s="222" t="n">
        <x:v>1110</x:v>
      </x:c>
      <x:c r="Y901" s="217" t="n">
        <x:v>29</x:v>
      </x:c>
    </x:row>
    <x:row r="902">
      <x:c r="A902" s="216" t="n">
        <x:v>1301</x:v>
      </x:c>
      <x:c r="B902" s="216" t="str">
        <x:v>華江二華江一路口(帝國花園廣場社區)</x:v>
      </x:c>
      <x:c r="C902" s="216" t="str">
        <x:v>板橋區</x:v>
      </x:c>
      <x:c r="D902" s="216" t="n">
        <x:v>40</x:v>
      </x:c>
      <x:c r="E902" s="216" t="n">
        <x:v>120</x:v>
      </x:c>
      <x:c r="F902" s="219" t="n">
        <x:v>0.9994791666666667</x:v>
      </x:c>
      <x:c r="G902" s="216" t="n">
        <x:v>898</x:v>
      </x:c>
      <x:c r="H902" s="216" t="str">
        <x:f>IF(G902&lt;='排名定義'!$B$5,"是","")</x:f>
        <x:v>是</x:v>
      </x:c>
      <x:c r="I902" s="216" t="n">
        <x:v>906</x:v>
      </x:c>
      <x:c r="J902" s="216" t="str">
        <x:f>IF(I902&lt;='排名定義'!$B$5,"是","")</x:f>
        <x:v>是</x:v>
      </x:c>
      <x:c r="K902" s="216" t="n">
        <x:v>600</x:v>
      </x:c>
      <x:c r="L902" s="216" t="str">
        <x:f>IF(K902&lt;='排名定義'!$B$5,"是","")</x:f>
        <x:v>是</x:v>
      </x:c>
      <x:c r="M902" s="216" t="n">
        <x:f>COUNTIF(H902:L902,"是")</x:f>
        <x:v>3</x:v>
      </x:c>
      <x:c r="N902" s="216" t="str">
        <x:v>三份皆未入選</x:v>
      </x:c>
      <x:c r="O902" s="221" t="n">
        <x:v>40.733333333333334</x:v>
      </x:c>
      <x:c r="P902" s="221" t="n">
        <x:v>36.041666666666664</x:v>
      </x:c>
      <x:c r="Q902" s="221" t="n">
        <x:v>4.691666666666666</x:v>
      </x:c>
      <x:c r="R902" s="221" t="n">
        <x:v>0.11518003273322422</x:v>
      </x:c>
      <x:c r="S902" s="221" t="n">
        <x:v>60.774193548387096</x:v>
      </x:c>
      <x:c r="T902" s="221" t="n">
        <x:v>56.58064516129032</x:v>
      </x:c>
      <x:c r="U902" s="221" t="n">
        <x:v>4.193548387096774</x:v>
      </x:c>
      <x:c r="V902" s="219" t="n">
        <x:v>0.10138248847926268</x:v>
      </x:c>
      <x:c r="W902" s="216" t="n">
        <x:v>22</x:v>
      </x:c>
      <x:c r="X902" s="223" t="n">
        <x:v>2640</x:v>
      </x:c>
      <x:c r="Y902" s="216" t="n">
        <x:v>40</x:v>
      </x:c>
    </x:row>
    <x:row r="903">
      <x:c r="A903" s="217" t="n">
        <x:v>1153</x:v>
      </x:c>
      <x:c r="B903" s="217" t="str">
        <x:v>臺北大學行政大樓(公政大道)</x:v>
      </x:c>
      <x:c r="C903" s="217" t="str">
        <x:v>三峽區</x:v>
      </x:c>
      <x:c r="D903" s="217" t="n">
        <x:v>34</x:v>
      </x:c>
      <x:c r="E903" s="217" t="n">
        <x:v>120</x:v>
      </x:c>
      <x:c r="F903" s="218" t="n">
        <x:v>0.9994791666666667</x:v>
      </x:c>
      <x:c r="G903" s="217" t="n">
        <x:v>899</x:v>
      </x:c>
      <x:c r="H903" s="217" t="str">
        <x:f>IF(G903&lt;='排名定義'!$B$5,"是","")</x:f>
        <x:v>是</x:v>
      </x:c>
      <x:c r="I903" s="217" t="n">
        <x:v>908</x:v>
      </x:c>
      <x:c r="J903" s="217" t="str">
        <x:f>IF(I903&lt;='排名定義'!$B$5,"是","")</x:f>
        <x:v>是</x:v>
      </x:c>
      <x:c r="K903" s="217" t="n">
        <x:v>593</x:v>
      </x:c>
      <x:c r="L903" s="217" t="str">
        <x:f>IF(K903&lt;='排名定義'!$B$5,"是","")</x:f>
        <x:v>是</x:v>
      </x:c>
      <x:c r="M903" s="217" t="n">
        <x:f>COUNTIF(H903:L903,"是")</x:f>
        <x:v>3</x:v>
      </x:c>
      <x:c r="N903" s="217" t="str">
        <x:v>三份皆未入選</x:v>
      </x:c>
      <x:c r="O903" s="220" t="n">
        <x:v>40.65833333333333</x:v>
      </x:c>
      <x:c r="P903" s="220" t="n">
        <x:v>35.925</x:v>
      </x:c>
      <x:c r="Q903" s="220" t="n">
        <x:v>4.733333333333333</x:v>
      </x:c>
      <x:c r="R903" s="220" t="n">
        <x:v>0.11641729862676778</x:v>
      </x:c>
      <x:c r="S903" s="220" t="n">
        <x:v>83.12903225806451</x:v>
      </x:c>
      <x:c r="T903" s="220" t="n">
        <x:v>77.03225806451613</x:v>
      </x:c>
      <x:c r="U903" s="220" t="n">
        <x:v>6.096774193548387</x:v>
      </x:c>
      <x:c r="V903" s="218" t="n">
        <x:v>0.009216589861751152</x:v>
      </x:c>
      <x:c r="W903" s="217" t="n">
        <x:v>1</x:v>
      </x:c>
      <x:c r="X903" s="222" t="n">
        <x:v>180</x:v>
      </x:c>
      <x:c r="Y903" s="217" t="n">
        <x:v>34</x:v>
      </x:c>
    </x:row>
    <x:row r="904">
      <x:c r="A904" s="216" t="n">
        <x:v>1006</x:v>
      </x:c>
      <x:c r="B904" s="216" t="str">
        <x:v>新林國小</x:v>
      </x:c>
      <x:c r="C904" s="216" t="str">
        <x:v>林口區</x:v>
      </x:c>
      <x:c r="D904" s="216" t="n">
        <x:v>29</x:v>
      </x:c>
      <x:c r="E904" s="216" t="n">
        <x:v>120</x:v>
      </x:c>
      <x:c r="F904" s="219" t="n">
        <x:v>0.9994791666666667</x:v>
      </x:c>
      <x:c r="G904" s="216" t="n">
        <x:v>900</x:v>
      </x:c>
      <x:c r="H904" s="216" t="str">
        <x:f>IF(G904&lt;='排名定義'!$B$5,"是","")</x:f>
        <x:v>是</x:v>
      </x:c>
      <x:c r="I904" s="216" t="n">
        <x:v>904</x:v>
      </x:c>
      <x:c r="J904" s="216" t="str">
        <x:f>IF(I904&lt;='排名定義'!$B$5,"是","")</x:f>
        <x:v>是</x:v>
      </x:c>
      <x:c r="K904" s="216" t="n">
        <x:v>735</x:v>
      </x:c>
      <x:c r="L904" s="216" t="str">
        <x:f>IF(K904&lt;='排名定義'!$B$5,"是","")</x:f>
        <x:v>是</x:v>
      </x:c>
      <x:c r="M904" s="216" t="n">
        <x:f>COUNTIF(H904:L904,"是")</x:f>
        <x:v>3</x:v>
      </x:c>
      <x:c r="N904" s="216" t="str">
        <x:v>三份皆未入選</x:v>
      </x:c>
      <x:c r="O904" s="221" t="n">
        <x:v>40.625</x:v>
      </x:c>
      <x:c r="P904" s="221" t="n">
        <x:v>36.425</x:v>
      </x:c>
      <x:c r="Q904" s="221" t="n">
        <x:v>4.2</x:v>
      </x:c>
      <x:c r="R904" s="221" t="n">
        <x:v>0.10338461538461538</x:v>
      </x:c>
      <x:c r="S904" s="221" t="n">
        <x:v>64.83870967741936</x:v>
      </x:c>
      <x:c r="T904" s="221" t="n">
        <x:v>60.32258064516129</x:v>
      </x:c>
      <x:c r="U904" s="221" t="n">
        <x:v>4.516129032258065</x:v>
      </x:c>
      <x:c r="V904" s="219" t="n">
        <x:v>0.009216589861751152</x:v>
      </x:c>
      <x:c r="W904" s="216" t="n">
        <x:v>1</x:v>
      </x:c>
      <x:c r="X904" s="223" t="n">
        <x:v>420</x:v>
      </x:c>
      <x:c r="Y904" s="216" t="n">
        <x:v>29</x:v>
      </x:c>
    </x:row>
    <x:row r="905">
      <x:c r="A905" s="217" t="n">
        <x:v>637</x:v>
      </x:c>
      <x:c r="B905" s="217" t="str">
        <x:v>全球傳動科技公司</x:v>
      </x:c>
      <x:c r="C905" s="217" t="str">
        <x:v>樹林區</x:v>
      </x:c>
      <x:c r="D905" s="217" t="n">
        <x:v>20</x:v>
      </x:c>
      <x:c r="E905" s="217" t="n">
        <x:v>120</x:v>
      </x:c>
      <x:c r="F905" s="218" t="n">
        <x:v>0.9994791666666667</x:v>
      </x:c>
      <x:c r="G905" s="217" t="n">
        <x:v>901</x:v>
      </x:c>
      <x:c r="H905" s="217" t="str">
        <x:f>IF(G905&lt;='排名定義'!$B$5,"是","")</x:f>
        <x:v>是</x:v>
      </x:c>
      <x:c r="I905" s="217" t="n">
        <x:v>912</x:v>
      </x:c>
      <x:c r="J905" s="217" t="str">
        <x:f>IF(I905&lt;='排名定義'!$B$5,"是","")</x:f>
        <x:v>是</x:v>
      </x:c>
      <x:c r="K905" s="217" t="n">
        <x:v>587</x:v>
      </x:c>
      <x:c r="L905" s="217" t="str">
        <x:f>IF(K905&lt;='排名定義'!$B$5,"是","")</x:f>
        <x:v>是</x:v>
      </x:c>
      <x:c r="M905" s="217" t="n">
        <x:f>COUNTIF(H905:L905,"是")</x:f>
        <x:v>3</x:v>
      </x:c>
      <x:c r="N905" s="217" t="str">
        <x:v>三份皆未入選</x:v>
      </x:c>
      <x:c r="O905" s="220" t="n">
        <x:v>40.55833333333333</x:v>
      </x:c>
      <x:c r="P905" s="220" t="n">
        <x:v>35.8</x:v>
      </x:c>
      <x:c r="Q905" s="220" t="n">
        <x:v>4.758333333333334</x:v>
      </x:c>
      <x:c r="R905" s="220" t="n">
        <x:v>0.11732073145674954</x:v>
      </x:c>
      <x:c r="S905" s="220" t="n">
        <x:v>62.16129032258065</x:v>
      </x:c>
      <x:c r="T905" s="220" t="n">
        <x:v>58.83870967741935</x:v>
      </x:c>
      <x:c r="U905" s="220" t="n">
        <x:v>3.3225806451612905</x:v>
      </x:c>
      <x:c r="V905" s="218" t="n">
        <x:v>0.11059907834101383</x:v>
      </x:c>
      <x:c r="W905" s="217" t="n">
        <x:v>28</x:v>
      </x:c>
      <x:c r="X905" s="222" t="n">
        <x:v>2940</x:v>
      </x:c>
      <x:c r="Y905" s="217" t="n">
        <x:v>20</x:v>
      </x:c>
    </x:row>
    <x:row r="906">
      <x:c r="A906" s="216" t="n">
        <x:v>445</x:v>
      </x:c>
      <x:c r="B906" s="216" t="str">
        <x:v>頂崁街210巷28弄口</x:v>
      </x:c>
      <x:c r="C906" s="216" t="str">
        <x:v>三重區</x:v>
      </x:c>
      <x:c r="D906" s="216" t="n">
        <x:v>15</x:v>
      </x:c>
      <x:c r="E906" s="216" t="n">
        <x:v>120</x:v>
      </x:c>
      <x:c r="F906" s="219" t="n">
        <x:v>0.9994791666666667</x:v>
      </x:c>
      <x:c r="G906" s="216" t="n">
        <x:v>902</x:v>
      </x:c>
      <x:c r="H906" s="216" t="str">
        <x:f>IF(G906&lt;='排名定義'!$B$5,"是","")</x:f>
        <x:v>是</x:v>
      </x:c>
      <x:c r="I906" s="216" t="n">
        <x:v>897</x:v>
      </x:c>
      <x:c r="J906" s="216" t="str">
        <x:f>IF(I906&lt;='排名定義'!$B$5,"是","")</x:f>
        <x:v>是</x:v>
      </x:c>
      <x:c r="K906" s="216" t="n">
        <x:v>971</x:v>
      </x:c>
      <x:c r="L906" s="216" t="str">
        <x:f>IF(K906&lt;='排名定義'!$B$5,"是","")</x:f>
        <x:v>是</x:v>
      </x:c>
      <x:c r="M906" s="216" t="n">
        <x:f>COUNTIF(H906:L906,"是")</x:f>
        <x:v>3</x:v>
      </x:c>
      <x:c r="N906" s="216" t="str">
        <x:v>三份皆未入選</x:v>
      </x:c>
      <x:c r="O906" s="221" t="n">
        <x:v>40.53333333333333</x:v>
      </x:c>
      <x:c r="P906" s="221" t="n">
        <x:v>37.025</x:v>
      </x:c>
      <x:c r="Q906" s="221" t="n">
        <x:v>3.5083333333333333</x:v>
      </x:c>
      <x:c r="R906" s="221" t="n">
        <x:v>0.08655427631578948</x:v>
      </x:c>
      <x:c r="S906" s="221" t="n">
        <x:v>60.61290322580645</x:v>
      </x:c>
      <x:c r="T906" s="221" t="n">
        <x:v>57.25806451612903</x:v>
      </x:c>
      <x:c r="U906" s="221" t="n">
        <x:v>3.3548387096774195</x:v>
      </x:c>
      <x:c r="V906" s="219" t="n">
        <x:v>0.04377880184331797</x:v>
      </x:c>
      <x:c r="W906" s="216" t="n">
        <x:v>8</x:v>
      </x:c>
      <x:c r="X906" s="223" t="n">
        <x:v>1170</x:v>
      </x:c>
      <x:c r="Y906" s="216" t="n">
        <x:v>15</x:v>
      </x:c>
    </x:row>
    <x:row r="907">
      <x:c r="A907" s="217" t="n">
        <x:v>366</x:v>
      </x:c>
      <x:c r="B907" s="217" t="str">
        <x:v>明德路65巷口</x:v>
      </x:c>
      <x:c r="C907" s="217" t="str">
        <x:v>新店區</x:v>
      </x:c>
      <x:c r="D907" s="217" t="n">
        <x:v>15</x:v>
      </x:c>
      <x:c r="E907" s="217" t="n">
        <x:v>120</x:v>
      </x:c>
      <x:c r="F907" s="218" t="n">
        <x:v>0.9994791666666667</x:v>
      </x:c>
      <x:c r="G907" s="217" t="n">
        <x:v>903</x:v>
      </x:c>
      <x:c r="H907" s="217" t="str">
        <x:f>IF(G907&lt;='排名定義'!$B$5,"是","")</x:f>
        <x:v>是</x:v>
      </x:c>
      <x:c r="I907" s="217" t="n">
        <x:v>893</x:v>
      </x:c>
      <x:c r="J907" s="217" t="str">
        <x:f>IF(I907&lt;='排名定義'!$B$5,"是","")</x:f>
        <x:v>是</x:v>
      </x:c>
      <x:c r="K907" s="217" t="n">
        <x:v>1150</x:v>
      </x:c>
      <x:c r="L907" s="217" t="str">
        <x:f>IF(K907&lt;='排名定義'!$B$5,"是","")</x:f>
        <x:v>是</x:v>
      </x:c>
      <x:c r="M907" s="217" t="n">
        <x:f>COUNTIF(H907:L907,"是")</x:f>
        <x:v>3</x:v>
      </x:c>
      <x:c r="N907" s="217" t="str">
        <x:v>三份皆未入選</x:v>
      </x:c>
      <x:c r="O907" s="220" t="n">
        <x:v>40.516666666666666</x:v>
      </x:c>
      <x:c r="P907" s="220" t="n">
        <x:v>37.458333333333336</x:v>
      </x:c>
      <x:c r="Q907" s="220" t="n">
        <x:v>3.058333333333333</x:v>
      </x:c>
      <x:c r="R907" s="220" t="n">
        <x:v>0.07548334018922254</x:v>
      </x:c>
      <x:c r="S907" s="220" t="n">
        <x:v>55.645161290322584</x:v>
      </x:c>
      <x:c r="T907" s="220" t="n">
        <x:v>53.29032258064516</x:v>
      </x:c>
      <x:c r="U907" s="220" t="n">
        <x:v>2.3548387096774195</x:v>
      </x:c>
      <x:c r="V907" s="218" t="n">
        <x:v>0.16359447004608296</x:v>
      </x:c>
      <x:c r="W907" s="217" t="n">
        <x:v>39</x:v>
      </x:c>
      <x:c r="X907" s="222" t="n">
        <x:v>4650</x:v>
      </x:c>
      <x:c r="Y907" s="217" t="n">
        <x:v>15</x:v>
      </x:c>
    </x:row>
    <x:row r="908">
      <x:c r="A908" s="216" t="n">
        <x:v>443</x:v>
      </x:c>
      <x:c r="B908" s="216" t="str">
        <x:v>蘆洲中山立體停車場</x:v>
      </x:c>
      <x:c r="C908" s="216" t="str">
        <x:v>蘆洲區</x:v>
      </x:c>
      <x:c r="D908" s="216" t="n">
        <x:v>15</x:v>
      </x:c>
      <x:c r="E908" s="216" t="n">
        <x:v>120</x:v>
      </x:c>
      <x:c r="F908" s="219" t="n">
        <x:v>0.9994791666666667</x:v>
      </x:c>
      <x:c r="G908" s="216" t="n">
        <x:v>904</x:v>
      </x:c>
      <x:c r="H908" s="216" t="str">
        <x:f>IF(G908&lt;='排名定義'!$B$5,"是","")</x:f>
        <x:v>是</x:v>
      </x:c>
      <x:c r="I908" s="216" t="n">
        <x:v>896</x:v>
      </x:c>
      <x:c r="J908" s="216" t="str">
        <x:f>IF(I908&lt;='排名定義'!$B$5,"是","")</x:f>
        <x:v>是</x:v>
      </x:c>
      <x:c r="K908" s="216" t="n">
        <x:v>1091</x:v>
      </x:c>
      <x:c r="L908" s="216" t="str">
        <x:f>IF(K908&lt;='排名定義'!$B$5,"是","")</x:f>
        <x:v>是</x:v>
      </x:c>
      <x:c r="M908" s="216" t="n">
        <x:f>COUNTIF(H908:L908,"是")</x:f>
        <x:v>3</x:v>
      </x:c>
      <x:c r="N908" s="216" t="str">
        <x:v>三份皆未入選</x:v>
      </x:c>
      <x:c r="O908" s="221" t="n">
        <x:v>40.36666666666667</x:v>
      </x:c>
      <x:c r="P908" s="221" t="n">
        <x:v>37.141666666666666</x:v>
      </x:c>
      <x:c r="Q908" s="221" t="n">
        <x:v>3.225</x:v>
      </x:c>
      <x:c r="R908" s="221" t="n">
        <x:v>0.07989265070189926</x:v>
      </x:c>
      <x:c r="S908" s="221" t="n">
        <x:v>57.87096774193548</x:v>
      </x:c>
      <x:c r="T908" s="221" t="n">
        <x:v>54.61290322580645</x:v>
      </x:c>
      <x:c r="U908" s="221" t="n">
        <x:v>3.2580645161290325</x:v>
      </x:c>
      <x:c r="V908" s="219" t="n">
        <x:v>0.04838709677419355</x:v>
      </x:c>
      <x:c r="W908" s="216" t="n">
        <x:v>16</x:v>
      </x:c>
      <x:c r="X908" s="223" t="n">
        <x:v>2310</x:v>
      </x:c>
      <x:c r="Y908" s="216" t="n">
        <x:v>15</x:v>
      </x:c>
    </x:row>
    <x:row r="909">
      <x:c r="A909" s="217" t="n">
        <x:v>930</x:v>
      </x:c>
      <x:c r="B909" s="217" t="str">
        <x:v>碧潭渡船頭</x:v>
      </x:c>
      <x:c r="C909" s="217" t="str">
        <x:v>新店區</x:v>
      </x:c>
      <x:c r="D909" s="217" t="n">
        <x:v>26</x:v>
      </x:c>
      <x:c r="E909" s="217" t="n">
        <x:v>120</x:v>
      </x:c>
      <x:c r="F909" s="218" t="n">
        <x:v>0.9994791666666667</x:v>
      </x:c>
      <x:c r="G909" s="217" t="n">
        <x:v>905</x:v>
      </x:c>
      <x:c r="H909" s="217" t="str">
        <x:f>IF(G909&lt;='排名定義'!$B$5,"是","")</x:f>
        <x:v>是</x:v>
      </x:c>
      <x:c r="I909" s="217" t="n">
        <x:v>918</x:v>
      </x:c>
      <x:c r="J909" s="217" t="str">
        <x:f>IF(I909&lt;='排名定義'!$B$5,"是","")</x:f>
        <x:v>是</x:v>
      </x:c>
      <x:c r="K909" s="217" t="n">
        <x:v>581</x:v>
      </x:c>
      <x:c r="L909" s="217" t="str">
        <x:f>IF(K909&lt;='排名定義'!$B$5,"是","")</x:f>
        <x:v>是</x:v>
      </x:c>
      <x:c r="M909" s="217" t="n">
        <x:f>COUNTIF(H909:L909,"是")</x:f>
        <x:v>3</x:v>
      </x:c>
      <x:c r="N909" s="217" t="str">
        <x:v>三份皆未入選</x:v>
      </x:c>
      <x:c r="O909" s="220" t="n">
        <x:v>40.358333333333334</x:v>
      </x:c>
      <x:c r="P909" s="220" t="n">
        <x:v>35.575</x:v>
      </x:c>
      <x:c r="Q909" s="220" t="n">
        <x:v>4.783333333333333</x:v>
      </x:c>
      <x:c r="R909" s="220" t="n">
        <x:v>0.118521577534586</x:v>
      </x:c>
      <x:c r="S909" s="220" t="n">
        <x:v>70.38709677419355</x:v>
      </x:c>
      <x:c r="T909" s="220" t="n">
        <x:v>65.51612903225806</x:v>
      </x:c>
      <x:c r="U909" s="220" t="n">
        <x:v>4.870967741935484</x:v>
      </x:c>
      <x:c r="V909" s="218" t="n">
        <x:v>0.03686635944700461</x:v>
      </x:c>
      <x:c r="W909" s="217" t="n">
        <x:v>5</x:v>
      </x:c>
      <x:c r="X909" s="222" t="n">
        <x:v>630</x:v>
      </x:c>
      <x:c r="Y909" s="217" t="n">
        <x:v>26</x:v>
      </x:c>
    </x:row>
    <x:row r="910">
      <x:c r="A910" s="216" t="n">
        <x:v>372</x:v>
      </x:c>
      <x:c r="B910" s="216" t="str">
        <x:v>民安西路252巷</x:v>
      </x:c>
      <x:c r="C910" s="216" t="str">
        <x:v>新莊區</x:v>
      </x:c>
      <x:c r="D910" s="216" t="n">
        <x:v>15</x:v>
      </x:c>
      <x:c r="E910" s="216" t="n">
        <x:v>120</x:v>
      </x:c>
      <x:c r="F910" s="219" t="n">
        <x:v>0.9994791666666667</x:v>
      </x:c>
      <x:c r="G910" s="216" t="n">
        <x:v>906</x:v>
      </x:c>
      <x:c r="H910" s="216" t="str">
        <x:f>IF(G910&lt;='排名定義'!$B$5,"是","")</x:f>
        <x:v>是</x:v>
      </x:c>
      <x:c r="I910" s="216" t="n">
        <x:v>895</x:v>
      </x:c>
      <x:c r="J910" s="216" t="str">
        <x:f>IF(I910&lt;='排名定義'!$B$5,"是","")</x:f>
        <x:v>是</x:v>
      </x:c>
      <x:c r="K910" s="216" t="n">
        <x:v>1110</x:v>
      </x:c>
      <x:c r="L910" s="216" t="str">
        <x:f>IF(K910&lt;='排名定義'!$B$5,"是","")</x:f>
        <x:v>是</x:v>
      </x:c>
      <x:c r="M910" s="216" t="n">
        <x:f>COUNTIF(H910:L910,"是")</x:f>
        <x:v>3</x:v>
      </x:c>
      <x:c r="N910" s="216" t="str">
        <x:v>三份皆未入選</x:v>
      </x:c>
      <x:c r="O910" s="221" t="n">
        <x:v>40.35</x:v>
      </x:c>
      <x:c r="P910" s="221" t="n">
        <x:v>37.175</x:v>
      </x:c>
      <x:c r="Q910" s="221" t="n">
        <x:v>3.175</x:v>
      </x:c>
      <x:c r="R910" s="221" t="n">
        <x:v>0.07868649318463444</x:v>
      </x:c>
      <x:c r="S910" s="221" t="n">
        <x:v>61.483870967741936</x:v>
      </x:c>
      <x:c r="T910" s="221" t="n">
        <x:v>58.61290322580645</x:v>
      </x:c>
      <x:c r="U910" s="221" t="n">
        <x:v>2.870967741935484</x:v>
      </x:c>
      <x:c r="V910" s="219" t="n">
        <x:v>0.055299539170506916</x:v>
      </x:c>
      <x:c r="W910" s="216" t="n">
        <x:v>12</x:v>
      </x:c>
      <x:c r="X910" s="223" t="n">
        <x:v>1530</x:v>
      </x:c>
      <x:c r="Y910" s="216" t="n">
        <x:v>15</x:v>
      </x:c>
    </x:row>
    <x:row r="911">
      <x:c r="A911" s="217" t="n">
        <x:v>1035</x:v>
      </x:c>
      <x:c r="B911" s="217" t="str">
        <x:v>福壽昌智路口</x:v>
      </x:c>
      <x:c r="C911" s="217" t="str">
        <x:v>新莊區</x:v>
      </x:c>
      <x:c r="D911" s="217" t="n">
        <x:v>30</x:v>
      </x:c>
      <x:c r="E911" s="217" t="n">
        <x:v>120</x:v>
      </x:c>
      <x:c r="F911" s="218" t="n">
        <x:v>0.9994791666666667</x:v>
      </x:c>
      <x:c r="G911" s="217" t="n">
        <x:v>907</x:v>
      </x:c>
      <x:c r="H911" s="217" t="str">
        <x:f>IF(G911&lt;='排名定義'!$B$5,"是","")</x:f>
        <x:v>是</x:v>
      </x:c>
      <x:c r="I911" s="217" t="n">
        <x:v>914</x:v>
      </x:c>
      <x:c r="J911" s="217" t="str">
        <x:f>IF(I911&lt;='排名定義'!$B$5,"是","")</x:f>
        <x:v>是</x:v>
      </x:c>
      <x:c r="K911" s="217" t="n">
        <x:v>619</x:v>
      </x:c>
      <x:c r="L911" s="217" t="str">
        <x:f>IF(K911&lt;='排名定義'!$B$5,"是","")</x:f>
        <x:v>是</x:v>
      </x:c>
      <x:c r="M911" s="217" t="n">
        <x:f>COUNTIF(H911:L911,"是")</x:f>
        <x:v>3</x:v>
      </x:c>
      <x:c r="N911" s="217" t="str">
        <x:v>三份皆未入選</x:v>
      </x:c>
      <x:c r="O911" s="220" t="n">
        <x:v>40.34166666666667</x:v>
      </x:c>
      <x:c r="P911" s="220" t="n">
        <x:v>35.75833333333333</x:v>
      </x:c>
      <x:c r="Q911" s="220" t="n">
        <x:v>4.583333333333333</x:v>
      </x:c>
      <x:c r="R911" s="220" t="n">
        <x:v>0.11361288989878124</x:v>
      </x:c>
      <x:c r="S911" s="220" t="n">
        <x:v>12.193548387096774</x:v>
      </x:c>
      <x:c r="T911" s="220" t="n">
        <x:v>9.935483870967742</x:v>
      </x:c>
      <x:c r="U911" s="220" t="n">
        <x:v>2.2580645161290325</x:v>
      </x:c>
      <x:c r="V911" s="218" t="n">
        <x:v>0.7949308755760369</x:v>
      </x:c>
      <x:c r="W911" s="217" t="n">
        <x:v>8</x:v>
      </x:c>
      <x:c r="X911" s="222" t="n">
        <x:v>34380</x:v>
      </x:c>
      <x:c r="Y911" s="217" t="n">
        <x:v>30</x:v>
      </x:c>
    </x:row>
    <x:row r="912">
      <x:c r="A912" s="216" t="n">
        <x:v>1244</x:v>
      </x:c>
      <x:c r="B912" s="216" t="str">
        <x:v>土城國中(永安街115巷)</x:v>
      </x:c>
      <x:c r="C912" s="216" t="str">
        <x:v>土城區</x:v>
      </x:c>
      <x:c r="D912" s="216" t="n">
        <x:v>39</x:v>
      </x:c>
      <x:c r="E912" s="216" t="n">
        <x:v>120</x:v>
      </x:c>
      <x:c r="F912" s="219" t="n">
        <x:v>0.9994791666666667</x:v>
      </x:c>
      <x:c r="G912" s="216" t="n">
        <x:v>908</x:v>
      </x:c>
      <x:c r="H912" s="216" t="str">
        <x:f>IF(G912&lt;='排名定義'!$B$5,"是","")</x:f>
        <x:v>是</x:v>
      </x:c>
      <x:c r="I912" s="216" t="n">
        <x:v>947</x:v>
      </x:c>
      <x:c r="J912" s="216" t="str">
        <x:f>IF(I912&lt;='排名定義'!$B$5,"是","")</x:f>
        <x:v>是</x:v>
      </x:c>
      <x:c r="K912" s="216" t="n">
        <x:v>355</x:v>
      </x:c>
      <x:c r="L912" s="216" t="str">
        <x:f>IF(K912&lt;='排名定義'!$B$5,"是","")</x:f>
        <x:v>是</x:v>
      </x:c>
      <x:c r="M912" s="216" t="n">
        <x:f>COUNTIF(H912:L912,"是")</x:f>
        <x:v>3</x:v>
      </x:c>
      <x:c r="N912" s="216" t="str">
        <x:v>僅大幅變動</x:v>
      </x:c>
      <x:c r="O912" s="221" t="n">
        <x:v>40.24166666666667</x:v>
      </x:c>
      <x:c r="P912" s="221" t="n">
        <x:v>34.266666666666666</x:v>
      </x:c>
      <x:c r="Q912" s="221" t="n">
        <x:v>5.975</x:v>
      </x:c>
      <x:c r="R912" s="221" t="n">
        <x:v>0.14847794574446055</x:v>
      </x:c>
      <x:c r="S912" s="221" t="n">
        <x:v>59.354838709677416</x:v>
      </x:c>
      <x:c r="T912" s="221" t="n">
        <x:v>52.774193548387096</x:v>
      </x:c>
      <x:c r="U912" s="221" t="n">
        <x:v>6.580645161290323</x:v>
      </x:c>
      <x:c r="V912" s="219" t="n">
        <x:v>0.08986175115207373</x:v>
      </x:c>
      <x:c r="W912" s="216" t="n">
        <x:v>12</x:v>
      </x:c>
      <x:c r="X912" s="223" t="n">
        <x:v>1440</x:v>
      </x:c>
      <x:c r="Y912" s="216" t="n">
        <x:v>39</x:v>
      </x:c>
    </x:row>
    <x:row r="913">
      <x:c r="A913" s="217" t="n">
        <x:v>722</x:v>
      </x:c>
      <x:c r="B913" s="217" t="str">
        <x:v>沙崙路216巷口</x:v>
      </x:c>
      <x:c r="C913" s="217" t="str">
        <x:v>淡水區</x:v>
      </x:c>
      <x:c r="D913" s="217" t="n">
        <x:v>20</x:v>
      </x:c>
      <x:c r="E913" s="217" t="n">
        <x:v>120</x:v>
      </x:c>
      <x:c r="F913" s="218" t="n">
        <x:v>0.9994791666666667</x:v>
      </x:c>
      <x:c r="G913" s="217" t="n">
        <x:v>909</x:v>
      </x:c>
      <x:c r="H913" s="217" t="str">
        <x:f>IF(G913&lt;='排名定義'!$B$5,"是","")</x:f>
        <x:v>是</x:v>
      </x:c>
      <x:c r="I913" s="217" t="n">
        <x:v>916</x:v>
      </x:c>
      <x:c r="J913" s="217" t="str">
        <x:f>IF(I913&lt;='排名定義'!$B$5,"是","")</x:f>
        <x:v>是</x:v>
      </x:c>
      <x:c r="K913" s="217" t="n">
        <x:v>636</x:v>
      </x:c>
      <x:c r="L913" s="217" t="str">
        <x:f>IF(K913&lt;='排名定義'!$B$5,"是","")</x:f>
        <x:v>是</x:v>
      </x:c>
      <x:c r="M913" s="217" t="n">
        <x:f>COUNTIF(H913:L913,"是")</x:f>
        <x:v>3</x:v>
      </x:c>
      <x:c r="N913" s="217" t="str">
        <x:v>三份皆未入選</x:v>
      </x:c>
      <x:c r="O913" s="220" t="n">
        <x:v>40.15</x:v>
      </x:c>
      <x:c r="P913" s="220" t="n">
        <x:v>35.63333333333333</x:v>
      </x:c>
      <x:c r="Q913" s="220" t="n">
        <x:v>4.516666666666667</x:v>
      </x:c>
      <x:c r="R913" s="220" t="n">
        <x:v>0.11249481112494811</x:v>
      </x:c>
      <x:c r="S913" s="220" t="n">
        <x:v>68.93548387096774</x:v>
      </x:c>
      <x:c r="T913" s="220" t="n">
        <x:v>64.80645161290323</x:v>
      </x:c>
      <x:c r="U913" s="220" t="n">
        <x:v>4.129032258064516</x:v>
      </x:c>
      <x:c r="V913" s="218" t="n">
        <x:v>0.04838709677419355</x:v>
      </x:c>
      <x:c r="W913" s="217" t="n">
        <x:v>13</x:v>
      </x:c>
      <x:c r="X913" s="222" t="n">
        <x:v>1830</x:v>
      </x:c>
      <x:c r="Y913" s="217" t="n">
        <x:v>20</x:v>
      </x:c>
    </x:row>
    <x:row r="914">
      <x:c r="A914" s="216" t="n">
        <x:v>183</x:v>
      </x:c>
      <x:c r="B914" s="216" t="str">
        <x:v>文聖國小(松柏街50巷)</x:v>
      </x:c>
      <x:c r="C914" s="216" t="str">
        <x:v>板橋區</x:v>
      </x:c>
      <x:c r="D914" s="216" t="n">
        <x:v>12</x:v>
      </x:c>
      <x:c r="E914" s="216" t="n">
        <x:v>120</x:v>
      </x:c>
      <x:c r="F914" s="219" t="n">
        <x:v>0.9994791666666667</x:v>
      </x:c>
      <x:c r="G914" s="216" t="n">
        <x:v>910</x:v>
      </x:c>
      <x:c r="H914" s="216" t="str">
        <x:f>IF(G914&lt;='排名定義'!$B$5,"是","")</x:f>
        <x:v>是</x:v>
      </x:c>
      <x:c r="I914" s="216" t="n">
        <x:v>898</x:v>
      </x:c>
      <x:c r="J914" s="216" t="str">
        <x:f>IF(I914&lt;='排名定義'!$B$5,"是","")</x:f>
        <x:v>是</x:v>
      </x:c>
      <x:c r="K914" s="216" t="n">
        <x:v>1159</x:v>
      </x:c>
      <x:c r="L914" s="216" t="str">
        <x:f>IF(K914&lt;='排名定義'!$B$5,"是","")</x:f>
        <x:v>是</x:v>
      </x:c>
      <x:c r="M914" s="216" t="n">
        <x:f>COUNTIF(H914:L914,"是")</x:f>
        <x:v>3</x:v>
      </x:c>
      <x:c r="N914" s="216" t="str">
        <x:v>三份皆未入選</x:v>
      </x:c>
      <x:c r="O914" s="221" t="n">
        <x:v>40.041666666666664</x:v>
      </x:c>
      <x:c r="P914" s="221" t="n">
        <x:v>37.016666666666666</x:v>
      </x:c>
      <x:c r="Q914" s="221" t="n">
        <x:v>3.025</x:v>
      </x:c>
      <x:c r="R914" s="221" t="n">
        <x:v>0.07554630593132154</x:v>
      </x:c>
      <x:c r="S914" s="221" t="n">
        <x:v>56.32258064516129</x:v>
      </x:c>
      <x:c r="T914" s="221" t="n">
        <x:v>54.064516129032256</x:v>
      </x:c>
      <x:c r="U914" s="221" t="n">
        <x:v>2.2580645161290325</x:v>
      </x:c>
      <x:c r="V914" s="219" t="n">
        <x:v>0.22350230414746544</x:v>
      </x:c>
      <x:c r="W914" s="216" t="n">
        <x:v>45</x:v>
      </x:c>
      <x:c r="X914" s="223" t="n">
        <x:v>5910</x:v>
      </x:c>
      <x:c r="Y914" s="216" t="n">
        <x:v>12</x:v>
      </x:c>
    </x:row>
    <x:row r="915">
      <x:c r="A915" s="217" t="n">
        <x:v>1322</x:v>
      </x:c>
      <x:c r="B915" s="217" t="str">
        <x:v>青雲路451巷口(紐約艾美社區)</x:v>
      </x:c>
      <x:c r="C915" s="217" t="str">
        <x:v>土城區</x:v>
      </x:c>
      <x:c r="D915" s="217" t="n">
        <x:v>41</x:v>
      </x:c>
      <x:c r="E915" s="217" t="n">
        <x:v>120</x:v>
      </x:c>
      <x:c r="F915" s="218" t="n">
        <x:v>0.9994791666666667</x:v>
      </x:c>
      <x:c r="G915" s="217" t="n">
        <x:v>911</x:v>
      </x:c>
      <x:c r="H915" s="217" t="str">
        <x:f>IF(G915&lt;='排名定義'!$B$5,"是","")</x:f>
        <x:v>是</x:v>
      </x:c>
      <x:c r="I915" s="217" t="n">
        <x:v>945</x:v>
      </x:c>
      <x:c r="J915" s="217" t="str">
        <x:f>IF(I915&lt;='排名定義'!$B$5,"是","")</x:f>
        <x:v>是</x:v>
      </x:c>
      <x:c r="K915" s="217" t="n">
        <x:v>407</x:v>
      </x:c>
      <x:c r="L915" s="217" t="str">
        <x:f>IF(K915&lt;='排名定義'!$B$5,"是","")</x:f>
        <x:v>是</x:v>
      </x:c>
      <x:c r="M915" s="217" t="n">
        <x:f>COUNTIF(H915:L915,"是")</x:f>
        <x:v>3</x:v>
      </x:c>
      <x:c r="N915" s="217" t="str">
        <x:v>三份皆未入選</x:v>
      </x:c>
      <x:c r="O915" s="220" t="n">
        <x:v>39.99166666666667</x:v>
      </x:c>
      <x:c r="P915" s="220" t="n">
        <x:v>34.333333333333336</x:v>
      </x:c>
      <x:c r="Q915" s="220" t="n">
        <x:v>5.658333333333333</x:v>
      </x:c>
      <x:c r="R915" s="220" t="n">
        <x:v>0.1414878099604084</x:v>
      </x:c>
      <x:c r="S915" s="220" t="n">
        <x:v>35.16129032258065</x:v>
      </x:c>
      <x:c r="T915" s="220" t="n">
        <x:v>31.419354838709676</x:v>
      </x:c>
      <x:c r="U915" s="220" t="n">
        <x:v>3.7419354838709675</x:v>
      </x:c>
      <x:c r="V915" s="218" t="n">
        <x:v>0.17050691244239632</x:v>
      </x:c>
      <x:c r="W915" s="217" t="n">
        <x:v>26</x:v>
      </x:c>
      <x:c r="X915" s="222" t="n">
        <x:v>3060</x:v>
      </x:c>
      <x:c r="Y915" s="217" t="n">
        <x:v>41</x:v>
      </x:c>
    </x:row>
    <x:row r="916">
      <x:c r="A916" s="216" t="n">
        <x:v>919</x:v>
      </x:c>
      <x:c r="B916" s="216" t="str">
        <x:v>龍恩公園</x:v>
      </x:c>
      <x:c r="C916" s="216" t="str">
        <x:v>三峽區</x:v>
      </x:c>
      <x:c r="D916" s="216" t="n">
        <x:v>26</x:v>
      </x:c>
      <x:c r="E916" s="216" t="n">
        <x:v>120</x:v>
      </x:c>
      <x:c r="F916" s="219" t="n">
        <x:v>0.9994791666666667</x:v>
      </x:c>
      <x:c r="G916" s="216" t="n">
        <x:v>912</x:v>
      </x:c>
      <x:c r="H916" s="216" t="str">
        <x:f>IF(G916&lt;='排名定義'!$B$5,"是","")</x:f>
        <x:v>是</x:v>
      </x:c>
      <x:c r="I916" s="216" t="n">
        <x:v>922</x:v>
      </x:c>
      <x:c r="J916" s="216" t="str">
        <x:f>IF(I916&lt;='排名定義'!$B$5,"是","")</x:f>
        <x:v>是</x:v>
      </x:c>
      <x:c r="K916" s="216" t="n">
        <x:v>633</x:v>
      </x:c>
      <x:c r="L916" s="216" t="str">
        <x:f>IF(K916&lt;='排名定義'!$B$5,"是","")</x:f>
        <x:v>是</x:v>
      </x:c>
      <x:c r="M916" s="216" t="n">
        <x:f>COUNTIF(H916:L916,"是")</x:f>
        <x:v>3</x:v>
      </x:c>
      <x:c r="N916" s="216" t="str">
        <x:v>三份皆未入選</x:v>
      </x:c>
      <x:c r="O916" s="221" t="n">
        <x:v>39.925</x:v>
      </x:c>
      <x:c r="P916" s="221" t="n">
        <x:v>35.4</x:v>
      </x:c>
      <x:c r="Q916" s="221" t="n">
        <x:v>4.525</x:v>
      </x:c>
      <x:c r="R916" s="221" t="n">
        <x:v>0.11333750782717596</x:v>
      </x:c>
      <x:c r="S916" s="221" t="n">
        <x:v>64.45161290322581</x:v>
      </x:c>
      <x:c r="T916" s="221" t="n">
        <x:v>59.61290322580645</x:v>
      </x:c>
      <x:c r="U916" s="221" t="n">
        <x:v>4.838709677419355</x:v>
      </x:c>
      <x:c r="V916" s="219" t="n">
        <x:v>0.020737327188940093</x:v>
      </x:c>
      <x:c r="W916" s="216" t="n">
        <x:v>2</x:v>
      </x:c>
      <x:c r="X916" s="223" t="n">
        <x:v>300</x:v>
      </x:c>
      <x:c r="Y916" s="216" t="n">
        <x:v>26</x:v>
      </x:c>
    </x:row>
    <x:row r="917">
      <x:c r="A917" s="217" t="n">
        <x:v>480</x:v>
      </x:c>
      <x:c r="B917" s="217" t="str">
        <x:v>安民街停車場</x:v>
      </x:c>
      <x:c r="C917" s="217" t="str">
        <x:v>新店區</x:v>
      </x:c>
      <x:c r="D917" s="217" t="n">
        <x:v>16</x:v>
      </x:c>
      <x:c r="E917" s="217" t="n">
        <x:v>120</x:v>
      </x:c>
      <x:c r="F917" s="218" t="n">
        <x:v>0.9994791666666667</x:v>
      </x:c>
      <x:c r="G917" s="217" t="n">
        <x:v>913</x:v>
      </x:c>
      <x:c r="H917" s="217" t="str">
        <x:f>IF(G917&lt;='排名定義'!$B$5,"是","")</x:f>
        <x:v>是</x:v>
      </x:c>
      <x:c r="I917" s="217" t="n">
        <x:v>902</x:v>
      </x:c>
      <x:c r="J917" s="217" t="str">
        <x:f>IF(I917&lt;='排名定義'!$B$5,"是","")</x:f>
        <x:v>是</x:v>
      </x:c>
      <x:c r="K917" s="217" t="n">
        <x:v>1008</x:v>
      </x:c>
      <x:c r="L917" s="217" t="str">
        <x:f>IF(K917&lt;='排名定義'!$B$5,"是","")</x:f>
        <x:v>是</x:v>
      </x:c>
      <x:c r="M917" s="217" t="n">
        <x:f>COUNTIF(H917:L917,"是")</x:f>
        <x:v>3</x:v>
      </x:c>
      <x:c r="N917" s="217" t="str">
        <x:v>三份皆未入選</x:v>
      </x:c>
      <x:c r="O917" s="220" t="n">
        <x:v>39.90833333333333</x:v>
      </x:c>
      <x:c r="P917" s="220" t="n">
        <x:v>36.483333333333334</x:v>
      </x:c>
      <x:c r="Q917" s="220" t="n">
        <x:v>3.425</x:v>
      </x:c>
      <x:c r="R917" s="220" t="n">
        <x:v>0.08582167467112133</x:v>
      </x:c>
      <x:c r="S917" s="220" t="n">
        <x:v>59.645161290322584</x:v>
      </x:c>
      <x:c r="T917" s="220" t="n">
        <x:v>56.58064516129032</x:v>
      </x:c>
      <x:c r="U917" s="220" t="n">
        <x:v>3.064516129032258</x:v>
      </x:c>
      <x:c r="V917" s="218" t="n">
        <x:v>0.06682027649769585</x:v>
      </x:c>
      <x:c r="W917" s="217" t="n">
        <x:v>22</x:v>
      </x:c>
      <x:c r="X917" s="222" t="n">
        <x:v>2790</x:v>
      </x:c>
      <x:c r="Y917" s="217" t="n">
        <x:v>16</x:v>
      </x:c>
    </x:row>
    <x:row r="918">
      <x:c r="A918" s="216" t="n">
        <x:v>1305</x:v>
      </x:c>
      <x:c r="B918" s="216" t="str">
        <x:v>龍形停車場</x:v>
      </x:c>
      <x:c r="C918" s="216" t="str">
        <x:v>八里區</x:v>
      </x:c>
      <x:c r="D918" s="216" t="n">
        <x:v>40</x:v>
      </x:c>
      <x:c r="E918" s="216" t="n">
        <x:v>120</x:v>
      </x:c>
      <x:c r="F918" s="219" t="n">
        <x:v>0.9994791666666667</x:v>
      </x:c>
      <x:c r="G918" s="216" t="n">
        <x:v>914</x:v>
      </x:c>
      <x:c r="H918" s="216" t="str">
        <x:f>IF(G918&lt;='排名定義'!$B$5,"是","")</x:f>
        <x:v>是</x:v>
      </x:c>
      <x:c r="I918" s="216" t="n">
        <x:v>933</x:v>
      </x:c>
      <x:c r="J918" s="216" t="str">
        <x:f>IF(I918&lt;='排名定義'!$B$5,"是","")</x:f>
        <x:v>是</x:v>
      </x:c>
      <x:c r="K918" s="216" t="n">
        <x:v>522</x:v>
      </x:c>
      <x:c r="L918" s="216" t="str">
        <x:f>IF(K918&lt;='排名定義'!$B$5,"是","")</x:f>
        <x:v>是</x:v>
      </x:c>
      <x:c r="M918" s="216" t="n">
        <x:f>COUNTIF(H918:L918,"是")</x:f>
        <x:v>3</x:v>
      </x:c>
      <x:c r="N918" s="216" t="str">
        <x:v>三份皆未入選</x:v>
      </x:c>
      <x:c r="O918" s="221" t="n">
        <x:v>39.9</x:v>
      </x:c>
      <x:c r="P918" s="221" t="n">
        <x:v>34.85</x:v>
      </x:c>
      <x:c r="Q918" s="221" t="n">
        <x:v>5.05</x:v>
      </x:c>
      <x:c r="R918" s="221" t="n">
        <x:v>0.12656641604010024</x:v>
      </x:c>
      <x:c r="S918" s="221" t="n">
        <x:v>66.35483870967742</x:v>
      </x:c>
      <x:c r="T918" s="221" t="n">
        <x:v>61.83870967741935</x:v>
      </x:c>
      <x:c r="U918" s="221" t="n">
        <x:v>4.516129032258065</x:v>
      </x:c>
      <x:c r="V918" s="219" t="n">
        <x:v>0.027649769585253458</x:v>
      </x:c>
      <x:c r="W918" s="216" t="n">
        <x:v>6</x:v>
      </x:c>
      <x:c r="X918" s="223" t="n">
        <x:v>840</x:v>
      </x:c>
      <x:c r="Y918" s="216" t="n">
        <x:v>40</x:v>
      </x:c>
    </x:row>
    <x:row r="919">
      <x:c r="A919" s="217" t="n">
        <x:v>698</x:v>
      </x:c>
      <x:c r="B919" s="217" t="str">
        <x:v>中園國小</x:v>
      </x:c>
      <x:c r="C919" s="217" t="str">
        <x:v>三峽區</x:v>
      </x:c>
      <x:c r="D919" s="217" t="n">
        <x:v>20</x:v>
      </x:c>
      <x:c r="E919" s="217" t="n">
        <x:v>120</x:v>
      </x:c>
      <x:c r="F919" s="218" t="n">
        <x:v>0.9994791666666667</x:v>
      </x:c>
      <x:c r="G919" s="217" t="n">
        <x:v>915</x:v>
      </x:c>
      <x:c r="H919" s="217" t="str">
        <x:f>IF(G919&lt;='排名定義'!$B$5,"是","")</x:f>
        <x:v>是</x:v>
      </x:c>
      <x:c r="I919" s="217" t="n">
        <x:v>911</x:v>
      </x:c>
      <x:c r="J919" s="217" t="str">
        <x:f>IF(I919&lt;='排名定義'!$B$5,"是","")</x:f>
        <x:v>是</x:v>
      </x:c>
      <x:c r="K919" s="217" t="n">
        <x:v>778</x:v>
      </x:c>
      <x:c r="L919" s="217" t="str">
        <x:f>IF(K919&lt;='排名定義'!$B$5,"是","")</x:f>
        <x:v>是</x:v>
      </x:c>
      <x:c r="M919" s="217" t="n">
        <x:f>COUNTIF(H919:L919,"是")</x:f>
        <x:v>3</x:v>
      </x:c>
      <x:c r="N919" s="217" t="str">
        <x:v>三份皆未入選</x:v>
      </x:c>
      <x:c r="O919" s="220" t="n">
        <x:v>39.875</x:v>
      </x:c>
      <x:c r="P919" s="220" t="n">
        <x:v>35.80833333333333</x:v>
      </x:c>
      <x:c r="Q919" s="220" t="n">
        <x:v>4.066666666666666</x:v>
      </x:c>
      <x:c r="R919" s="220" t="n">
        <x:v>0.1019853709508882</x:v>
      </x:c>
      <x:c r="S919" s="220" t="n">
        <x:v>65.6774193548387</x:v>
      </x:c>
      <x:c r="T919" s="220" t="n">
        <x:v>61.096774193548384</x:v>
      </x:c>
      <x:c r="U919" s="220" t="n">
        <x:v>4.580645161290323</x:v>
      </x:c>
      <x:c r="V919" s="218" t="n">
        <x:v>0.03225806451612903</x:v>
      </x:c>
      <x:c r="W919" s="217" t="n">
        <x:v>3</x:v>
      </x:c>
      <x:c r="X919" s="222" t="n">
        <x:v>510</x:v>
      </x:c>
      <x:c r="Y919" s="217" t="n">
        <x:v>20</x:v>
      </x:c>
    </x:row>
    <x:row r="920">
      <x:c r="A920" s="216" t="n">
        <x:v>1264</x:v>
      </x:c>
      <x:c r="B920" s="216" t="str">
        <x:v>懷德街233巷(環翠社區)</x:v>
      </x:c>
      <x:c r="C920" s="216" t="str">
        <x:v>板橋區</x:v>
      </x:c>
      <x:c r="D920" s="216" t="n">
        <x:v>40</x:v>
      </x:c>
      <x:c r="E920" s="216" t="n">
        <x:v>120</x:v>
      </x:c>
      <x:c r="F920" s="219" t="n">
        <x:v>0.9994791666666667</x:v>
      </x:c>
      <x:c r="G920" s="216" t="n">
        <x:v>916</x:v>
      </x:c>
      <x:c r="H920" s="216" t="str">
        <x:f>IF(G920&lt;='排名定義'!$B$5,"是","")</x:f>
        <x:v>是</x:v>
      </x:c>
      <x:c r="I920" s="216" t="n">
        <x:v>936</x:v>
      </x:c>
      <x:c r="J920" s="216" t="str">
        <x:f>IF(I920&lt;='排名定義'!$B$5,"是","")</x:f>
        <x:v>是</x:v>
      </x:c>
      <x:c r="K920" s="216" t="n">
        <x:v>491</x:v>
      </x:c>
      <x:c r="L920" s="216" t="str">
        <x:f>IF(K920&lt;='排名定義'!$B$5,"是","")</x:f>
        <x:v>是</x:v>
      </x:c>
      <x:c r="M920" s="216" t="n">
        <x:f>COUNTIF(H920:L920,"是")</x:f>
        <x:v>3</x:v>
      </x:c>
      <x:c r="N920" s="216" t="str">
        <x:v>三份皆未入選</x:v>
      </x:c>
      <x:c r="O920" s="221" t="n">
        <x:v>39.86666666666667</x:v>
      </x:c>
      <x:c r="P920" s="221" t="n">
        <x:v>34.666666666666664</x:v>
      </x:c>
      <x:c r="Q920" s="221" t="n">
        <x:v>5.2</x:v>
      </x:c>
      <x:c r="R920" s="221" t="n">
        <x:v>0.13043478260869565</x:v>
      </x:c>
      <x:c r="S920" s="221" t="n">
        <x:v>59.29032258064516</x:v>
      </x:c>
      <x:c r="T920" s="221" t="n">
        <x:v>55.774193548387096</x:v>
      </x:c>
      <x:c r="U920" s="221" t="n">
        <x:v>3.5161290322580645</x:v>
      </x:c>
      <x:c r="V920" s="219" t="n">
        <x:v>0.06451612903225806</x:v>
      </x:c>
      <x:c r="W920" s="216" t="n">
        <x:v>18</x:v>
      </x:c>
      <x:c r="X920" s="223" t="n">
        <x:v>1800</x:v>
      </x:c>
      <x:c r="Y920" s="216" t="n">
        <x:v>40</x:v>
      </x:c>
    </x:row>
    <x:row r="921">
      <x:c r="A921" s="217" t="n">
        <x:v>314</x:v>
      </x:c>
      <x:c r="B921" s="217" t="str">
        <x:v>三樹大德路口</x:v>
      </x:c>
      <x:c r="C921" s="217" t="str">
        <x:v>三峽區</x:v>
      </x:c>
      <x:c r="D921" s="217" t="n">
        <x:v>15</x:v>
      </x:c>
      <x:c r="E921" s="217" t="n">
        <x:v>120</x:v>
      </x:c>
      <x:c r="F921" s="218" t="n">
        <x:v>0.9994791666666667</x:v>
      </x:c>
      <x:c r="G921" s="217" t="n">
        <x:v>917</x:v>
      </x:c>
      <x:c r="H921" s="217" t="str">
        <x:f>IF(G921&lt;='排名定義'!$B$5,"是","")</x:f>
        <x:v>是</x:v>
      </x:c>
      <x:c r="I921" s="217" t="n">
        <x:v>901</x:v>
      </x:c>
      <x:c r="J921" s="217" t="str">
        <x:f>IF(I921&lt;='排名定義'!$B$5,"是","")</x:f>
        <x:v>是</x:v>
      </x:c>
      <x:c r="K921" s="217" t="n">
        <x:v>1128</x:v>
      </x:c>
      <x:c r="L921" s="217" t="str">
        <x:f>IF(K921&lt;='排名定義'!$B$5,"是","")</x:f>
        <x:v>是</x:v>
      </x:c>
      <x:c r="M921" s="217" t="n">
        <x:f>COUNTIF(H921:L921,"是")</x:f>
        <x:v>3</x:v>
      </x:c>
      <x:c r="N921" s="217" t="str">
        <x:v>三份皆未入選</x:v>
      </x:c>
      <x:c r="O921" s="220" t="n">
        <x:v>39.825</x:v>
      </x:c>
      <x:c r="P921" s="220" t="n">
        <x:v>36.708333333333336</x:v>
      </x:c>
      <x:c r="Q921" s="220" t="n">
        <x:v>3.1166666666666667</x:v>
      </x:c>
      <x:c r="R921" s="220" t="n">
        <x:v>0.07825905001046243</x:v>
      </x:c>
      <x:c r="S921" s="220" t="n">
        <x:v>64.87096774193549</x:v>
      </x:c>
      <x:c r="T921" s="220" t="n">
        <x:v>61.83870967741935</x:v>
      </x:c>
      <x:c r="U921" s="220" t="n">
        <x:v>3.032258064516129</x:v>
      </x:c>
      <x:c r="V921" s="218" t="n">
        <x:v>0.06682027649769585</x:v>
      </x:c>
      <x:c r="W921" s="217" t="n">
        <x:v>12</x:v>
      </x:c>
      <x:c r="X921" s="222" t="n">
        <x:v>1980</x:v>
      </x:c>
      <x:c r="Y921" s="217" t="n">
        <x:v>15</x:v>
      </x:c>
    </x:row>
    <x:row r="922">
      <x:c r="A922" s="216" t="n">
        <x:v>530</x:v>
      </x:c>
      <x:c r="B922" s="216" t="str">
        <x:v>明志貴鳳街口</x:v>
      </x:c>
      <x:c r="C922" s="216" t="str">
        <x:v>泰山區</x:v>
      </x:c>
      <x:c r="D922" s="216" t="n">
        <x:v>17</x:v>
      </x:c>
      <x:c r="E922" s="216" t="n">
        <x:v>120</x:v>
      </x:c>
      <x:c r="F922" s="219" t="n">
        <x:v>0.9994791666666667</x:v>
      </x:c>
      <x:c r="G922" s="216" t="n">
        <x:v>918</x:v>
      </x:c>
      <x:c r="H922" s="216" t="str">
        <x:f>IF(G922&lt;='排名定義'!$B$5,"是","")</x:f>
        <x:v>是</x:v>
      </x:c>
      <x:c r="I922" s="216" t="n">
        <x:v>905</x:v>
      </x:c>
      <x:c r="J922" s="216" t="str">
        <x:f>IF(I922&lt;='排名定義'!$B$5,"是","")</x:f>
        <x:v>是</x:v>
      </x:c>
      <x:c r="K922" s="216" t="n">
        <x:v>899</x:v>
      </x:c>
      <x:c r="L922" s="216" t="str">
        <x:f>IF(K922&lt;='排名定義'!$B$5,"是","")</x:f>
        <x:v>是</x:v>
      </x:c>
      <x:c r="M922" s="216" t="n">
        <x:f>COUNTIF(H922:L922,"是")</x:f>
        <x:v>3</x:v>
      </x:c>
      <x:c r="N922" s="216" t="str">
        <x:v>三份皆未入選</x:v>
      </x:c>
      <x:c r="O922" s="221" t="n">
        <x:v>39.81666666666667</x:v>
      </x:c>
      <x:c r="P922" s="221" t="n">
        <x:v>36.1</x:v>
      </x:c>
      <x:c r="Q922" s="221" t="n">
        <x:v>3.716666666666667</x:v>
      </x:c>
      <x:c r="R922" s="221" t="n">
        <x:v>0.09334449560485558</x:v>
      </x:c>
      <x:c r="S922" s="221" t="n">
        <x:v>55.935483870967744</x:v>
      </x:c>
      <x:c r="T922" s="221" t="n">
        <x:v>52.774193548387096</x:v>
      </x:c>
      <x:c r="U922" s="221" t="n">
        <x:v>3.161290322580645</x:v>
      </x:c>
      <x:c r="V922" s="219" t="n">
        <x:v>0.06451612903225806</x:v>
      </x:c>
      <x:c r="W922" s="216" t="n">
        <x:v>17</x:v>
      </x:c>
      <x:c r="X922" s="223" t="n">
        <x:v>1890</x:v>
      </x:c>
      <x:c r="Y922" s="216" t="n">
        <x:v>17</x:v>
      </x:c>
    </x:row>
    <x:row r="923">
      <x:c r="A923" s="217" t="n">
        <x:v>1017</x:v>
      </x:c>
      <x:c r="B923" s="217" t="str">
        <x:v>三重商工(後竹圍街)</x:v>
      </x:c>
      <x:c r="C923" s="217" t="str">
        <x:v>三重區</x:v>
      </x:c>
      <x:c r="D923" s="217" t="n">
        <x:v>30</x:v>
      </x:c>
      <x:c r="E923" s="217" t="n">
        <x:v>120</x:v>
      </x:c>
      <x:c r="F923" s="218" t="n">
        <x:v>0.9994791666666667</x:v>
      </x:c>
      <x:c r="G923" s="217" t="n">
        <x:v>919</x:v>
      </x:c>
      <x:c r="H923" s="217" t="str">
        <x:f>IF(G923&lt;='排名定義'!$B$5,"是","")</x:f>
        <x:v>是</x:v>
      </x:c>
      <x:c r="I923" s="217" t="n">
        <x:v>915</x:v>
      </x:c>
      <x:c r="J923" s="217" t="str">
        <x:f>IF(I923&lt;='排名定義'!$B$5,"是","")</x:f>
        <x:v>是</x:v>
      </x:c>
      <x:c r="K923" s="217" t="n">
        <x:v>780</x:v>
      </x:c>
      <x:c r="L923" s="217" t="str">
        <x:f>IF(K923&lt;='排名定義'!$B$5,"是","")</x:f>
        <x:v>是</x:v>
      </x:c>
      <x:c r="M923" s="217" t="n">
        <x:f>COUNTIF(H923:L923,"是")</x:f>
        <x:v>3</x:v>
      </x:c>
      <x:c r="N923" s="217" t="str">
        <x:v>三份皆未入選</x:v>
      </x:c>
      <x:c r="O923" s="220" t="n">
        <x:v>39.74166666666667</x:v>
      </x:c>
      <x:c r="P923" s="220" t="n">
        <x:v>35.68333333333333</x:v>
      </x:c>
      <x:c r="Q923" s="220" t="n">
        <x:v>4.058333333333334</x:v>
      </x:c>
      <x:c r="R923" s="220" t="n">
        <x:v>0.10211784441182638</x:v>
      </x:c>
      <x:c r="S923" s="220" t="n">
        <x:v>59.67741935483871</x:v>
      </x:c>
      <x:c r="T923" s="220" t="n">
        <x:v>55.70967741935484</x:v>
      </x:c>
      <x:c r="U923" s="220" t="n">
        <x:v>3.967741935483871</x:v>
      </x:c>
      <x:c r="V923" s="218" t="n">
        <x:v>0.055299539170506916</x:v>
      </x:c>
      <x:c r="W923" s="217" t="n">
        <x:v>10</x:v>
      </x:c>
      <x:c r="X923" s="222" t="n">
        <x:v>1290</x:v>
      </x:c>
      <x:c r="Y923" s="217" t="n">
        <x:v>30</x:v>
      </x:c>
    </x:row>
    <x:row r="924">
      <x:c r="A924" s="216" t="n">
        <x:v>253</x:v>
      </x:c>
      <x:c r="B924" s="216" t="str">
        <x:v>長興街二段62號</x:v>
      </x:c>
      <x:c r="C924" s="216" t="str">
        <x:v>汐止區</x:v>
      </x:c>
      <x:c r="D924" s="216" t="n">
        <x:v>13</x:v>
      </x:c>
      <x:c r="E924" s="216" t="n">
        <x:v>120</x:v>
      </x:c>
      <x:c r="F924" s="219" t="n">
        <x:v>0.9994791666666667</x:v>
      </x:c>
      <x:c r="G924" s="216" t="n">
        <x:v>920</x:v>
      </x:c>
      <x:c r="H924" s="216" t="str">
        <x:f>IF(G924&lt;='排名定義'!$B$5,"是","")</x:f>
        <x:v>是</x:v>
      </x:c>
      <x:c r="I924" s="216" t="n">
        <x:v>913</x:v>
      </x:c>
      <x:c r="J924" s="216" t="str">
        <x:f>IF(I924&lt;='排名定義'!$B$5,"是","")</x:f>
        <x:v>是</x:v>
      </x:c>
      <x:c r="K924" s="216" t="n">
        <x:v>835</x:v>
      </x:c>
      <x:c r="L924" s="216" t="str">
        <x:f>IF(K924&lt;='排名定義'!$B$5,"是","")</x:f>
        <x:v>是</x:v>
      </x:c>
      <x:c r="M924" s="216" t="n">
        <x:f>COUNTIF(H924:L924,"是")</x:f>
        <x:v>3</x:v>
      </x:c>
      <x:c r="N924" s="216" t="str">
        <x:v>三份皆未入選</x:v>
      </x:c>
      <x:c r="O924" s="221" t="n">
        <x:v>39.675</x:v>
      </x:c>
      <x:c r="P924" s="221" t="n">
        <x:v>35.775</x:v>
      </x:c>
      <x:c r="Q924" s="221" t="n">
        <x:v>3.9</x:v>
      </x:c>
      <x:c r="R924" s="221" t="n">
        <x:v>0.09829867674858223</x:v>
      </x:c>
      <x:c r="S924" s="221" t="n">
        <x:v>60.03225806451613</x:v>
      </x:c>
      <x:c r="T924" s="221" t="n">
        <x:v>56.96774193548387</x:v>
      </x:c>
      <x:c r="U924" s="221" t="n">
        <x:v>3.064516129032258</x:v>
      </x:c>
      <x:c r="V924" s="219" t="n">
        <x:v>0.052995391705069124</x:v>
      </x:c>
      <x:c r="W924" s="216" t="n">
        <x:v>21</x:v>
      </x:c>
      <x:c r="X924" s="223" t="n">
        <x:v>2430</x:v>
      </x:c>
      <x:c r="Y924" s="216" t="n">
        <x:v>13</x:v>
      </x:c>
    </x:row>
    <x:row r="925">
      <x:c r="A925" s="217" t="n">
        <x:v>1122</x:v>
      </x:c>
      <x:c r="B925" s="217" t="str">
        <x:v>渡船頭平面停車場</x:v>
      </x:c>
      <x:c r="C925" s="217" t="str">
        <x:v>八里區</x:v>
      </x:c>
      <x:c r="D925" s="217" t="n">
        <x:v>33</x:v>
      </x:c>
      <x:c r="E925" s="217" t="n">
        <x:v>120</x:v>
      </x:c>
      <x:c r="F925" s="218" t="n">
        <x:v>0.9994791666666667</x:v>
      </x:c>
      <x:c r="G925" s="217" t="n">
        <x:v>921</x:v>
      </x:c>
      <x:c r="H925" s="217" t="str">
        <x:f>IF(G925&lt;='排名定義'!$B$5,"是","")</x:f>
        <x:v>是</x:v>
      </x:c>
      <x:c r="I925" s="217" t="n">
        <x:v>976</x:v>
      </x:c>
      <x:c r="J925" s="217" t="str">
        <x:f>IF(I925&lt;='排名定義'!$B$5,"是","")</x:f>
        <x:v>是</x:v>
      </x:c>
      <x:c r="K925" s="217" t="n">
        <x:v>275</x:v>
      </x:c>
      <x:c r="L925" s="217" t="str">
        <x:f>IF(K925&lt;='排名定義'!$B$5,"是","")</x:f>
        <x:v>是</x:v>
      </x:c>
      <x:c r="M925" s="217" t="n">
        <x:f>COUNTIF(H925:L925,"是")</x:f>
        <x:v>3</x:v>
      </x:c>
      <x:c r="N925" s="217" t="str">
        <x:v>僅大幅變動</x:v>
      </x:c>
      <x:c r="O925" s="220" t="n">
        <x:v>39.65833333333333</x:v>
      </x:c>
      <x:c r="P925" s="220" t="n">
        <x:v>33.108333333333334</x:v>
      </x:c>
      <x:c r="Q925" s="220" t="n">
        <x:v>6.55</x:v>
      </x:c>
      <x:c r="R925" s="220" t="n">
        <x:v>0.16516074805631434</x:v>
      </x:c>
      <x:c r="S925" s="220" t="n">
        <x:v>93.09677419354838</x:v>
      </x:c>
      <x:c r="T925" s="220" t="n">
        <x:v>85.7741935483871</x:v>
      </x:c>
      <x:c r="U925" s="220" t="n">
        <x:v>7.32258064516129</x:v>
      </x:c>
      <x:c r="V925" s="218" t="n">
        <x:v>0.018433179723502304</x:v>
      </x:c>
      <x:c r="W925" s="217" t="n">
        <x:v>9</x:v>
      </x:c>
      <x:c r="X925" s="222" t="n">
        <x:v>1530</x:v>
      </x:c>
      <x:c r="Y925" s="217" t="n">
        <x:v>33</x:v>
      </x:c>
    </x:row>
    <x:row r="926">
      <x:c r="A926" s="216" t="n">
        <x:v>1185</x:v>
      </x:c>
      <x:c r="B926" s="216" t="str">
        <x:v>橋東里(忠孝東路)</x:v>
      </x:c>
      <x:c r="C926" s="216" t="str">
        <x:v>汐止區</x:v>
      </x:c>
      <x:c r="D926" s="216" t="n">
        <x:v>36</x:v>
      </x:c>
      <x:c r="E926" s="216" t="n">
        <x:v>120</x:v>
      </x:c>
      <x:c r="F926" s="219" t="n">
        <x:v>0.9994791666666667</x:v>
      </x:c>
      <x:c r="G926" s="216" t="n">
        <x:v>922</x:v>
      </x:c>
      <x:c r="H926" s="216" t="str">
        <x:f>IF(G926&lt;='排名定義'!$B$5,"是","")</x:f>
        <x:v>是</x:v>
      </x:c>
      <x:c r="I926" s="216" t="n">
        <x:v>917</x:v>
      </x:c>
      <x:c r="J926" s="216" t="str">
        <x:f>IF(I926&lt;='排名定義'!$B$5,"是","")</x:f>
        <x:v>是</x:v>
      </x:c>
      <x:c r="K926" s="216" t="n">
        <x:v>799</x:v>
      </x:c>
      <x:c r="L926" s="216" t="str">
        <x:f>IF(K926&lt;='排名定義'!$B$5,"是","")</x:f>
        <x:v>是</x:v>
      </x:c>
      <x:c r="M926" s="216" t="n">
        <x:f>COUNTIF(H926:L926,"是")</x:f>
        <x:v>3</x:v>
      </x:c>
      <x:c r="N926" s="216" t="str">
        <x:v>三份皆未入選</x:v>
      </x:c>
      <x:c r="O926" s="221" t="n">
        <x:v>39.63333333333333</x:v>
      </x:c>
      <x:c r="P926" s="221" t="n">
        <x:v>35.63333333333333</x:v>
      </x:c>
      <x:c r="Q926" s="221" t="n">
        <x:v>4</x:v>
      </x:c>
      <x:c r="R926" s="221" t="n">
        <x:v>0.10092514718250631</x:v>
      </x:c>
      <x:c r="S926" s="221" t="n">
        <x:v>63.935483870967744</x:v>
      </x:c>
      <x:c r="T926" s="221" t="n">
        <x:v>60.12903225806452</x:v>
      </x:c>
      <x:c r="U926" s="221" t="n">
        <x:v>3.806451612903226</x:v>
      </x:c>
      <x:c r="V926" s="219" t="n">
        <x:v>0.018433179723502304</x:v>
      </x:c>
      <x:c r="W926" s="216" t="n">
        <x:v>5</x:v>
      </x:c>
      <x:c r="X926" s="223" t="n">
        <x:v>510</x:v>
      </x:c>
      <x:c r="Y926" s="216" t="n">
        <x:v>36</x:v>
      </x:c>
    </x:row>
    <x:row r="927">
      <x:c r="A927" s="217" t="n">
        <x:v>1041</x:v>
      </x:c>
      <x:c r="B927" s="217" t="str">
        <x:v>鶯歌國中</x:v>
      </x:c>
      <x:c r="C927" s="217" t="str">
        <x:v>鶯歌區</x:v>
      </x:c>
      <x:c r="D927" s="217" t="n">
        <x:v>30</x:v>
      </x:c>
      <x:c r="E927" s="217" t="n">
        <x:v>120</x:v>
      </x:c>
      <x:c r="F927" s="218" t="n">
        <x:v>0.9994791666666667</x:v>
      </x:c>
      <x:c r="G927" s="217" t="n">
        <x:v>923</x:v>
      </x:c>
      <x:c r="H927" s="217" t="str">
        <x:f>IF(G927&lt;='排名定義'!$B$5,"是","")</x:f>
        <x:v>是</x:v>
      </x:c>
      <x:c r="I927" s="217" t="n">
        <x:v>919</x:v>
      </x:c>
      <x:c r="J927" s="217" t="str">
        <x:f>IF(I927&lt;='排名定義'!$B$5,"是","")</x:f>
        <x:v>是</x:v>
      </x:c>
      <x:c r="K927" s="217" t="n">
        <x:v>785</x:v>
      </x:c>
      <x:c r="L927" s="217" t="str">
        <x:f>IF(K927&lt;='排名定義'!$B$5,"是","")</x:f>
        <x:v>是</x:v>
      </x:c>
      <x:c r="M927" s="217" t="n">
        <x:f>COUNTIF(H927:L927,"是")</x:f>
        <x:v>3</x:v>
      </x:c>
      <x:c r="N927" s="217" t="str">
        <x:v>三份皆未入選</x:v>
      </x:c>
      <x:c r="O927" s="220" t="n">
        <x:v>39.541666666666664</x:v>
      </x:c>
      <x:c r="P927" s="220" t="n">
        <x:v>35.50833333333333</x:v>
      </x:c>
      <x:c r="Q927" s="220" t="n">
        <x:v>4.033333333333333</x:v>
      </x:c>
      <x:c r="R927" s="220" t="n">
        <x:v>0.10200210748155954</x:v>
      </x:c>
      <x:c r="S927" s="220" t="n">
        <x:v>65.41935483870968</x:v>
      </x:c>
      <x:c r="T927" s="220" t="n">
        <x:v>59.83870967741935</x:v>
      </x:c>
      <x:c r="U927" s="220" t="n">
        <x:v>5.580645161290323</x:v>
      </x:c>
      <x:c r="V927" s="218" t="n">
        <x:v>0.1152073732718894</x:v>
      </x:c>
      <x:c r="W927" s="217" t="n">
        <x:v>14</x:v>
      </x:c>
      <x:c r="X927" s="222" t="n">
        <x:v>1950</x:v>
      </x:c>
      <x:c r="Y927" s="217" t="n">
        <x:v>30</x:v>
      </x:c>
    </x:row>
    <x:row r="928">
      <x:c r="A928" s="216" t="n">
        <x:v>335</x:v>
      </x:c>
      <x:c r="B928" s="216" t="str">
        <x:v>元富一街/仁義街79巷口</x:v>
      </x:c>
      <x:c r="C928" s="216" t="str">
        <x:v>三重區</x:v>
      </x:c>
      <x:c r="D928" s="216" t="n">
        <x:v>15</x:v>
      </x:c>
      <x:c r="E928" s="216" t="n">
        <x:v>120</x:v>
      </x:c>
      <x:c r="F928" s="219" t="n">
        <x:v>0.9994791666666667</x:v>
      </x:c>
      <x:c r="G928" s="216" t="n">
        <x:v>924</x:v>
      </x:c>
      <x:c r="H928" s="216" t="str">
        <x:f>IF(G928&lt;='排名定義'!$B$5,"是","")</x:f>
        <x:v>是</x:v>
      </x:c>
      <x:c r="I928" s="216" t="n">
        <x:v>920</x:v>
      </x:c>
      <x:c r="J928" s="216" t="str">
        <x:f>IF(I928&lt;='排名定義'!$B$5,"是","")</x:f>
        <x:v>是</x:v>
      </x:c>
      <x:c r="K928" s="216" t="n">
        <x:v>847</x:v>
      </x:c>
      <x:c r="L928" s="216" t="str">
        <x:f>IF(K928&lt;='排名定義'!$B$5,"是","")</x:f>
        <x:v>是</x:v>
      </x:c>
      <x:c r="M928" s="216" t="n">
        <x:f>COUNTIF(H928:L928,"是")</x:f>
        <x:v>3</x:v>
      </x:c>
      <x:c r="N928" s="216" t="str">
        <x:v>三份皆未入選</x:v>
      </x:c>
      <x:c r="O928" s="221" t="n">
        <x:v>39.31666666666667</x:v>
      </x:c>
      <x:c r="P928" s="221" t="n">
        <x:v>35.458333333333336</x:v>
      </x:c>
      <x:c r="Q928" s="221" t="n">
        <x:v>3.8583333333333334</x:v>
      </x:c>
      <x:c r="R928" s="221" t="n">
        <x:v>0.09813480288257737</x:v>
      </x:c>
      <x:c r="S928" s="221" t="n">
        <x:v>52.645161290322584</x:v>
      </x:c>
      <x:c r="T928" s="221" t="n">
        <x:v>49.41935483870968</x:v>
      </x:c>
      <x:c r="U928" s="221" t="n">
        <x:v>3.225806451612903</x:v>
      </x:c>
      <x:c r="V928" s="219" t="n">
        <x:v>0.1313364055299539</x:v>
      </x:c>
      <x:c r="W928" s="216" t="n">
        <x:v>31</x:v>
      </x:c>
      <x:c r="X928" s="223" t="n">
        <x:v>3600</x:v>
      </x:c>
      <x:c r="Y928" s="216" t="n">
        <x:v>15</x:v>
      </x:c>
    </x:row>
    <x:row r="929">
      <x:c r="A929" s="217" t="n">
        <x:v>1277</x:v>
      </x:c>
      <x:c r="B929" s="217" t="str">
        <x:v>神農興德路口(恆美社區)</x:v>
      </x:c>
      <x:c r="C929" s="217" t="str">
        <x:v>三重區</x:v>
      </x:c>
      <x:c r="D929" s="217" t="n">
        <x:v>40</x:v>
      </x:c>
      <x:c r="E929" s="217" t="n">
        <x:v>120</x:v>
      </x:c>
      <x:c r="F929" s="218" t="n">
        <x:v>0.9994791666666667</x:v>
      </x:c>
      <x:c r="G929" s="217" t="n">
        <x:v>925</x:v>
      </x:c>
      <x:c r="H929" s="217" t="str">
        <x:f>IF(G929&lt;='排名定義'!$B$5,"是","")</x:f>
        <x:v>是</x:v>
      </x:c>
      <x:c r="I929" s="217" t="n">
        <x:v>921</x:v>
      </x:c>
      <x:c r="J929" s="217" t="str">
        <x:f>IF(I929&lt;='排名定義'!$B$5,"是","")</x:f>
        <x:v>是</x:v>
      </x:c>
      <x:c r="K929" s="217" t="n">
        <x:v>889</x:v>
      </x:c>
      <x:c r="L929" s="217" t="str">
        <x:f>IF(K929&lt;='排名定義'!$B$5,"是","")</x:f>
        <x:v>是</x:v>
      </x:c>
      <x:c r="M929" s="217" t="n">
        <x:f>COUNTIF(H929:L929,"是")</x:f>
        <x:v>3</x:v>
      </x:c>
      <x:c r="N929" s="217" t="str">
        <x:v>三份皆未入選</x:v>
      </x:c>
      <x:c r="O929" s="220" t="n">
        <x:v>39.18333333333333</x:v>
      </x:c>
      <x:c r="P929" s="220" t="n">
        <x:v>35.416666666666664</x:v>
      </x:c>
      <x:c r="Q929" s="220" t="n">
        <x:v>3.7666666666666666</x:v>
      </x:c>
      <x:c r="R929" s="220" t="n">
        <x:v>0.09612930667800935</x:v>
      </x:c>
      <x:c r="S929" s="220" t="n">
        <x:v>61.774193548387096</x:v>
      </x:c>
      <x:c r="T929" s="220" t="n">
        <x:v>58.645161290322584</x:v>
      </x:c>
      <x:c r="U929" s="220" t="n">
        <x:v>3.129032258064516</x:v>
      </x:c>
      <x:c r="V929" s="218" t="n">
        <x:v>0.02304147465437788</x:v>
      </x:c>
      <x:c r="W929" s="217" t="n">
        <x:v>5</x:v>
      </x:c>
      <x:c r="X929" s="222" t="n">
        <x:v>690</x:v>
      </x:c>
      <x:c r="Y929" s="217" t="n">
        <x:v>40</x:v>
      </x:c>
    </x:row>
    <x:row r="930">
      <x:c r="A930" s="216" t="n">
        <x:v>1032</x:v>
      </x:c>
      <x:c r="B930" s="216" t="str">
        <x:v>林口社區運動公園</x:v>
      </x:c>
      <x:c r="C930" s="216" t="str">
        <x:v>林口區</x:v>
      </x:c>
      <x:c r="D930" s="216" t="n">
        <x:v>30</x:v>
      </x:c>
      <x:c r="E930" s="216" t="n">
        <x:v>120</x:v>
      </x:c>
      <x:c r="F930" s="219" t="n">
        <x:v>0.9994791666666667</x:v>
      </x:c>
      <x:c r="G930" s="216" t="n">
        <x:v>926</x:v>
      </x:c>
      <x:c r="H930" s="216" t="str">
        <x:f>IF(G930&lt;='排名定義'!$B$5,"是","")</x:f>
        <x:v>是</x:v>
      </x:c>
      <x:c r="I930" s="216" t="n">
        <x:v>958</x:v>
      </x:c>
      <x:c r="J930" s="216" t="str">
        <x:f>IF(I930&lt;='排名定義'!$B$5,"是","")</x:f>
        <x:v>是</x:v>
      </x:c>
      <x:c r="K930" s="216" t="n">
        <x:v>471</x:v>
      </x:c>
      <x:c r="L930" s="216" t="str">
        <x:f>IF(K930&lt;='排名定義'!$B$5,"是","")</x:f>
        <x:v>是</x:v>
      </x:c>
      <x:c r="M930" s="216" t="n">
        <x:f>COUNTIF(H930:L930,"是")</x:f>
        <x:v>3</x:v>
      </x:c>
      <x:c r="N930" s="216" t="str">
        <x:v>三份皆未入選</x:v>
      </x:c>
      <x:c r="O930" s="221" t="n">
        <x:v>39.06666666666667</x:v>
      </x:c>
      <x:c r="P930" s="221" t="n">
        <x:v>33.775</x:v>
      </x:c>
      <x:c r="Q930" s="221" t="n">
        <x:v>5.291666666666667</x:v>
      </x:c>
      <x:c r="R930" s="221" t="n">
        <x:v>0.13545221843003413</x:v>
      </x:c>
      <x:c r="S930" s="221" t="n">
        <x:v>67.45161290322581</x:v>
      </x:c>
      <x:c r="T930" s="221" t="n">
        <x:v>62.41935483870968</x:v>
      </x:c>
      <x:c r="U930" s="221" t="n">
        <x:v>5.032258064516129</x:v>
      </x:c>
      <x:c r="V930" s="219" t="n">
        <x:v>0.1175115207373272</x:v>
      </x:c>
      <x:c r="W930" s="216" t="n">
        <x:v>28</x:v>
      </x:c>
      <x:c r="X930" s="223" t="n">
        <x:v>3540</x:v>
      </x:c>
      <x:c r="Y930" s="216" t="n">
        <x:v>30</x:v>
      </x:c>
    </x:row>
    <x:row r="931">
      <x:c r="A931" s="217" t="n">
        <x:v>130</x:v>
      </x:c>
      <x:c r="B931" s="217" t="str">
        <x:v>潭底溝休憩廣場</x:v>
      </x:c>
      <x:c r="C931" s="217" t="str">
        <x:v>新莊區</x:v>
      </x:c>
      <x:c r="D931" s="217" t="n">
        <x:v>10</x:v>
      </x:c>
      <x:c r="E931" s="217" t="n">
        <x:v>120</x:v>
      </x:c>
      <x:c r="F931" s="218" t="n">
        <x:v>0.9994791666666667</x:v>
      </x:c>
      <x:c r="G931" s="217" t="n">
        <x:v>927</x:v>
      </x:c>
      <x:c r="H931" s="217" t="str">
        <x:f>IF(G931&lt;='排名定義'!$B$5,"是","")</x:f>
        <x:v>是</x:v>
      </x:c>
      <x:c r="I931" s="217" t="n">
        <x:v>907</x:v>
      </x:c>
      <x:c r="J931" s="217" t="str">
        <x:f>IF(I931&lt;='排名定義'!$B$5,"是","")</x:f>
        <x:v>是</x:v>
      </x:c>
      <x:c r="K931" s="217" t="n">
        <x:v>1127</x:v>
      </x:c>
      <x:c r="L931" s="217" t="str">
        <x:f>IF(K931&lt;='排名定義'!$B$5,"是","")</x:f>
        <x:v>是</x:v>
      </x:c>
      <x:c r="M931" s="217" t="n">
        <x:f>COUNTIF(H931:L931,"是")</x:f>
        <x:v>3</x:v>
      </x:c>
      <x:c r="N931" s="217" t="str">
        <x:v>三份皆未入選</x:v>
      </x:c>
      <x:c r="O931" s="220" t="n">
        <x:v>39.041666666666664</x:v>
      </x:c>
      <x:c r="P931" s="220" t="n">
        <x:v>35.925</x:v>
      </x:c>
      <x:c r="Q931" s="220" t="n">
        <x:v>3.1166666666666667</x:v>
      </x:c>
      <x:c r="R931" s="220" t="n">
        <x:v>0.07982924226254003</x:v>
      </x:c>
      <x:c r="S931" s="220" t="n">
        <x:v>55.29032258064516</x:v>
      </x:c>
      <x:c r="T931" s="220" t="n">
        <x:v>51.41935483870968</x:v>
      </x:c>
      <x:c r="U931" s="220" t="n">
        <x:v>3.870967741935484</x:v>
      </x:c>
      <x:c r="V931" s="218" t="n">
        <x:v>0.10829493087557604</x:v>
      </x:c>
      <x:c r="W931" s="217" t="n">
        <x:v>24</x:v>
      </x:c>
      <x:c r="X931" s="222" t="n">
        <x:v>3690</x:v>
      </x:c>
      <x:c r="Y931" s="217" t="n">
        <x:v>10</x:v>
      </x:c>
    </x:row>
    <x:row r="932">
      <x:c r="A932" s="216" t="n">
        <x:v>874</x:v>
      </x:c>
      <x:c r="B932" s="216" t="str">
        <x:v>安和市民活動中心</x:v>
      </x:c>
      <x:c r="C932" s="216" t="str">
        <x:v>新店區</x:v>
      </x:c>
      <x:c r="D932" s="216" t="n">
        <x:v>25</x:v>
      </x:c>
      <x:c r="E932" s="216" t="n">
        <x:v>120</x:v>
      </x:c>
      <x:c r="F932" s="219" t="n">
        <x:v>0.9994791666666667</x:v>
      </x:c>
      <x:c r="G932" s="216" t="n">
        <x:v>928</x:v>
      </x:c>
      <x:c r="H932" s="216" t="str">
        <x:f>IF(G932&lt;='排名定義'!$B$5,"是","")</x:f>
        <x:v>是</x:v>
      </x:c>
      <x:c r="I932" s="216" t="n">
        <x:v>925</x:v>
      </x:c>
      <x:c r="J932" s="216" t="str">
        <x:f>IF(I932&lt;='排名定義'!$B$5,"是","")</x:f>
        <x:v>是</x:v>
      </x:c>
      <x:c r="K932" s="216" t="n">
        <x:v>893</x:v>
      </x:c>
      <x:c r="L932" s="216" t="str">
        <x:f>IF(K932&lt;='排名定義'!$B$5,"是","")</x:f>
        <x:v>是</x:v>
      </x:c>
      <x:c r="M932" s="216" t="n">
        <x:f>COUNTIF(H932:L932,"是")</x:f>
        <x:v>3</x:v>
      </x:c>
      <x:c r="N932" s="216" t="str">
        <x:v>三份皆未入選</x:v>
      </x:c>
      <x:c r="O932" s="221" t="n">
        <x:v>39.00833333333333</x:v>
      </x:c>
      <x:c r="P932" s="221" t="n">
        <x:v>35.25</x:v>
      </x:c>
      <x:c r="Q932" s="221" t="n">
        <x:v>3.7583333333333333</x:v>
      </x:c>
      <x:c r="R932" s="221" t="n">
        <x:v>0.09634693441572313</x:v>
      </x:c>
      <x:c r="S932" s="221" t="n">
        <x:v>55.45161290322581</x:v>
      </x:c>
      <x:c r="T932" s="221" t="n">
        <x:v>51.935483870967744</x:v>
      </x:c>
      <x:c r="U932" s="221" t="n">
        <x:v>3.5161290322580645</x:v>
      </x:c>
      <x:c r="V932" s="219" t="n">
        <x:v>0.09907834101382489</x:v>
      </x:c>
      <x:c r="W932" s="216" t="n">
        <x:v>20</x:v>
      </x:c>
      <x:c r="X932" s="223" t="n">
        <x:v>2970</x:v>
      </x:c>
      <x:c r="Y932" s="216" t="n">
        <x:v>25</x:v>
      </x:c>
    </x:row>
    <x:row r="933">
      <x:c r="A933" s="217" t="n">
        <x:v>564</x:v>
      </x:c>
      <x:c r="B933" s="217" t="str">
        <x:v>佳林國中(文化一路)</x:v>
      </x:c>
      <x:c r="C933" s="217" t="str">
        <x:v>林口區</x:v>
      </x:c>
      <x:c r="D933" s="217" t="n">
        <x:v>18</x:v>
      </x:c>
      <x:c r="E933" s="217" t="n">
        <x:v>120</x:v>
      </x:c>
      <x:c r="F933" s="218" t="n">
        <x:v>0.9994791666666667</x:v>
      </x:c>
      <x:c r="G933" s="217" t="n">
        <x:v>929</x:v>
      </x:c>
      <x:c r="H933" s="217" t="str">
        <x:f>IF(G933&lt;='排名定義'!$B$5,"是","")</x:f>
        <x:v>是</x:v>
      </x:c>
      <x:c r="I933" s="217" t="n">
        <x:v>929</x:v>
      </x:c>
      <x:c r="J933" s="217" t="str">
        <x:f>IF(I933&lt;='排名定義'!$B$5,"是","")</x:f>
        <x:v>是</x:v>
      </x:c>
      <x:c r="K933" s="217" t="n">
        <x:v>848</x:v>
      </x:c>
      <x:c r="L933" s="217" t="str">
        <x:f>IF(K933&lt;='排名定義'!$B$5,"是","")</x:f>
        <x:v>是</x:v>
      </x:c>
      <x:c r="M933" s="217" t="n">
        <x:f>COUNTIF(H933:L933,"是")</x:f>
        <x:v>3</x:v>
      </x:c>
      <x:c r="N933" s="217" t="str">
        <x:v>三份皆未入選</x:v>
      </x:c>
      <x:c r="O933" s="220" t="n">
        <x:v>38.88333333333333</x:v>
      </x:c>
      <x:c r="P933" s="220" t="n">
        <x:v>35.025</x:v>
      </x:c>
      <x:c r="Q933" s="220" t="n">
        <x:v>3.8583333333333334</x:v>
      </x:c>
      <x:c r="R933" s="220" t="n">
        <x:v>0.09922846120874411</x:v>
      </x:c>
      <x:c r="S933" s="220" t="n">
        <x:v>55.25806451612903</x:v>
      </x:c>
      <x:c r="T933" s="220" t="n">
        <x:v>50.354838709677416</x:v>
      </x:c>
      <x:c r="U933" s="220" t="n">
        <x:v>4.903225806451613</x:v>
      </x:c>
      <x:c r="V933" s="218" t="n">
        <x:v>0.08525345622119816</x:v>
      </x:c>
      <x:c r="W933" s="217" t="n">
        <x:v>13</x:v>
      </x:c>
      <x:c r="X933" s="222" t="n">
        <x:v>1770</x:v>
      </x:c>
      <x:c r="Y933" s="217" t="n">
        <x:v>18</x:v>
      </x:c>
    </x:row>
    <x:row r="934">
      <x:c r="A934" s="216" t="n">
        <x:v>1309</x:v>
      </x:c>
      <x:c r="B934" s="216" t="str">
        <x:v>環河西華江六路口(翠亨村社區)</x:v>
      </x:c>
      <x:c r="C934" s="216" t="str">
        <x:v>板橋區</x:v>
      </x:c>
      <x:c r="D934" s="216" t="n">
        <x:v>40</x:v>
      </x:c>
      <x:c r="E934" s="216" t="n">
        <x:v>120</x:v>
      </x:c>
      <x:c r="F934" s="219" t="n">
        <x:v>0.9994791666666667</x:v>
      </x:c>
      <x:c r="G934" s="216" t="n">
        <x:v>930</x:v>
      </x:c>
      <x:c r="H934" s="216" t="str">
        <x:f>IF(G934&lt;='排名定義'!$B$5,"是","")</x:f>
        <x:v>是</x:v>
      </x:c>
      <x:c r="I934" s="216" t="n">
        <x:v>949</x:v>
      </x:c>
      <x:c r="J934" s="216" t="str">
        <x:f>IF(I934&lt;='排名定義'!$B$5,"是","")</x:f>
        <x:v>是</x:v>
      </x:c>
      <x:c r="K934" s="216" t="n">
        <x:v>588</x:v>
      </x:c>
      <x:c r="L934" s="216" t="str">
        <x:f>IF(K934&lt;='排名定義'!$B$5,"是","")</x:f>
        <x:v>是</x:v>
      </x:c>
      <x:c r="M934" s="216" t="n">
        <x:f>COUNTIF(H934:L934,"是")</x:f>
        <x:v>3</x:v>
      </x:c>
      <x:c r="N934" s="216" t="str">
        <x:v>三份皆未入選</x:v>
      </x:c>
      <x:c r="O934" s="221" t="n">
        <x:v>38.88333333333333</x:v>
      </x:c>
      <x:c r="P934" s="221" t="n">
        <x:v>34.125</x:v>
      </x:c>
      <x:c r="Q934" s="221" t="n">
        <x:v>4.758333333333334</x:v>
      </x:c>
      <x:c r="R934" s="221" t="n">
        <x:v>0.12237462494642092</x:v>
      </x:c>
      <x:c r="S934" s="221" t="n">
        <x:v>55.38709677419355</x:v>
      </x:c>
      <x:c r="T934" s="221" t="n">
        <x:v>53.32258064516129</x:v>
      </x:c>
      <x:c r="U934" s="221" t="n">
        <x:v>2.064516129032258</x:v>
      </x:c>
      <x:c r="V934" s="219" t="n">
        <x:v>0.055299539170506916</x:v>
      </x:c>
      <x:c r="W934" s="216" t="n">
        <x:v>23</x:v>
      </x:c>
      <x:c r="X934" s="223" t="n">
        <x:v>2160</x:v>
      </x:c>
      <x:c r="Y934" s="216" t="n">
        <x:v>40</x:v>
      </x:c>
    </x:row>
    <x:row r="935">
      <x:c r="A935" s="217" t="n">
        <x:v>1101</x:v>
      </x:c>
      <x:c r="B935" s="217" t="str">
        <x:v>汐止區公所</x:v>
      </x:c>
      <x:c r="C935" s="217" t="str">
        <x:v>汐止區</x:v>
      </x:c>
      <x:c r="D935" s="217" t="n">
        <x:v>32</x:v>
      </x:c>
      <x:c r="E935" s="217" t="n">
        <x:v>120</x:v>
      </x:c>
      <x:c r="F935" s="218" t="n">
        <x:v>0.9994791666666667</x:v>
      </x:c>
      <x:c r="G935" s="217" t="n">
        <x:v>931</x:v>
      </x:c>
      <x:c r="H935" s="217" t="str">
        <x:f>IF(G935&lt;='排名定義'!$B$5,"是","")</x:f>
        <x:v>是</x:v>
      </x:c>
      <x:c r="I935" s="217" t="n">
        <x:v>926</x:v>
      </x:c>
      <x:c r="J935" s="217" t="str">
        <x:f>IF(I935&lt;='排名定義'!$B$5,"是","")</x:f>
        <x:v>是</x:v>
      </x:c>
      <x:c r="K935" s="217" t="n">
        <x:v>903</x:v>
      </x:c>
      <x:c r="L935" s="217" t="str">
        <x:f>IF(K935&lt;='排名定義'!$B$5,"是","")</x:f>
        <x:v>是</x:v>
      </x:c>
      <x:c r="M935" s="217" t="n">
        <x:f>COUNTIF(H935:L935,"是")</x:f>
        <x:v>3</x:v>
      </x:c>
      <x:c r="N935" s="217" t="str">
        <x:v>三份皆未入選</x:v>
      </x:c>
      <x:c r="O935" s="220" t="n">
        <x:v>38.833333333333336</x:v>
      </x:c>
      <x:c r="P935" s="220" t="n">
        <x:v>35.11666666666667</x:v>
      </x:c>
      <x:c r="Q935" s="220" t="n">
        <x:v>3.716666666666667</x:v>
      </x:c>
      <x:c r="R935" s="220" t="n">
        <x:v>0.09570815450643777</x:v>
      </x:c>
      <x:c r="S935" s="220" t="n">
        <x:v>68.38709677419355</x:v>
      </x:c>
      <x:c r="T935" s="220" t="n">
        <x:v>64.70967741935483</x:v>
      </x:c>
      <x:c r="U935" s="220" t="n">
        <x:v>3.6774193548387095</x:v>
      </x:c>
      <x:c r="V935" s="218" t="n">
        <x:v>0.002304147465437788</x:v>
      </x:c>
      <x:c r="W935" s="217" t="n">
        <x:v>3</x:v>
      </x:c>
      <x:c r="X935" s="222" t="n">
        <x:v>390</x:v>
      </x:c>
      <x:c r="Y935" s="217" t="n">
        <x:v>32</x:v>
      </x:c>
    </x:row>
    <x:row r="936">
      <x:c r="A936" s="216" t="n">
        <x:v>1424</x:v>
      </x:c>
      <x:c r="B936" s="216" t="str">
        <x:v>矽谷園區</x:v>
      </x:c>
      <x:c r="C936" s="216" t="str">
        <x:v>汐止區</x:v>
      </x:c>
      <x:c r="D936" s="216" t="n">
        <x:v>48</x:v>
      </x:c>
      <x:c r="E936" s="216" t="n">
        <x:v>120</x:v>
      </x:c>
      <x:c r="F936" s="219" t="n">
        <x:v>0.9994791666666667</x:v>
      </x:c>
      <x:c r="G936" s="216" t="n">
        <x:v>932</x:v>
      </x:c>
      <x:c r="H936" s="216" t="str">
        <x:f>IF(G936&lt;='排名定義'!$B$5,"是","")</x:f>
        <x:v>是</x:v>
      </x:c>
      <x:c r="I936" s="216" t="n">
        <x:v>931</x:v>
      </x:c>
      <x:c r="J936" s="216" t="str">
        <x:f>IF(I936&lt;='排名定義'!$B$5,"是","")</x:f>
        <x:v>是</x:v>
      </x:c>
      <x:c r="K936" s="216" t="n">
        <x:v>879</x:v>
      </x:c>
      <x:c r="L936" s="216" t="str">
        <x:f>IF(K936&lt;='排名定義'!$B$5,"是","")</x:f>
        <x:v>是</x:v>
      </x:c>
      <x:c r="M936" s="216" t="n">
        <x:f>COUNTIF(H936:L936,"是")</x:f>
        <x:v>3</x:v>
      </x:c>
      <x:c r="N936" s="216" t="str">
        <x:v>三份皆未入選</x:v>
      </x:c>
      <x:c r="O936" s="221" t="n">
        <x:v>38.8</x:v>
      </x:c>
      <x:c r="P936" s="221" t="n">
        <x:v>35.00833333333333</x:v>
      </x:c>
      <x:c r="Q936" s="221" t="n">
        <x:v>3.7916666666666665</x:v>
      </x:c>
      <x:c r="R936" s="221" t="n">
        <x:v>0.0977233676975945</x:v>
      </x:c>
      <x:c r="S936" s="221" t="n">
        <x:v>73.61290322580645</x:v>
      </x:c>
      <x:c r="T936" s="221" t="n">
        <x:v>69.83870967741936</x:v>
      </x:c>
      <x:c r="U936" s="221" t="n">
        <x:v>3.774193548387097</x:v>
      </x:c>
      <x:c r="V936" s="219" t="n">
        <x:v>0.018433179723502304</x:v>
      </x:c>
      <x:c r="W936" s="216" t="n">
        <x:v>6</x:v>
      </x:c>
      <x:c r="X936" s="223" t="n">
        <x:v>780</x:v>
      </x:c>
      <x:c r="Y936" s="216" t="n">
        <x:v>48</x:v>
      </x:c>
    </x:row>
    <x:row r="937">
      <x:c r="A937" s="217" t="n">
        <x:v>135</x:v>
      </x:c>
      <x:c r="B937" s="217" t="str">
        <x:v>中華愛國路口</x:v>
      </x:c>
      <x:c r="C937" s="217" t="str">
        <x:v>三峽區</x:v>
      </x:c>
      <x:c r="D937" s="217" t="n">
        <x:v>10</x:v>
      </x:c>
      <x:c r="E937" s="217" t="n">
        <x:v>120</x:v>
      </x:c>
      <x:c r="F937" s="218" t="n">
        <x:v>0.9994791666666667</x:v>
      </x:c>
      <x:c r="G937" s="217" t="n">
        <x:v>933</x:v>
      </x:c>
      <x:c r="H937" s="217" t="str">
        <x:f>IF(G937&lt;='排名定義'!$B$5,"是","")</x:f>
        <x:v>是</x:v>
      </x:c>
      <x:c r="I937" s="217" t="n">
        <x:v>909</x:v>
      </x:c>
      <x:c r="J937" s="217" t="str">
        <x:f>IF(I937&lt;='排名定義'!$B$5,"是","")</x:f>
        <x:v>是</x:v>
      </x:c>
      <x:c r="K937" s="217" t="n">
        <x:v>1215</x:v>
      </x:c>
      <x:c r="L937" s="217" t="str">
        <x:f>IF(K937&lt;='排名定義'!$B$5,"是","")</x:f>
        <x:v>是</x:v>
      </x:c>
      <x:c r="M937" s="217" t="n">
        <x:f>COUNTIF(H937:L937,"是")</x:f>
        <x:v>3</x:v>
      </x:c>
      <x:c r="N937" s="217" t="str">
        <x:v>三份皆未入選</x:v>
      </x:c>
      <x:c r="O937" s="220" t="n">
        <x:v>38.74166666666667</x:v>
      </x:c>
      <x:c r="P937" s="220" t="n">
        <x:v>35.891666666666666</x:v>
      </x:c>
      <x:c r="Q937" s="220" t="n">
        <x:v>2.85</x:v>
      </x:c>
      <x:c r="R937" s="220" t="n">
        <x:v>0.07356420735642073</x:v>
      </x:c>
      <x:c r="S937" s="220" t="n">
        <x:v>56.225806451612904</x:v>
      </x:c>
      <x:c r="T937" s="220" t="n">
        <x:v>53.29032258064516</x:v>
      </x:c>
      <x:c r="U937" s="220" t="n">
        <x:v>2.935483870967742</x:v>
      </x:c>
      <x:c r="V937" s="218" t="n">
        <x:v>0.1175115207373272</x:v>
      </x:c>
      <x:c r="W937" s="217" t="n">
        <x:v>18</x:v>
      </x:c>
      <x:c r="X937" s="222" t="n">
        <x:v>2730</x:v>
      </x:c>
      <x:c r="Y937" s="217" t="n">
        <x:v>10</x:v>
      </x:c>
    </x:row>
    <x:row r="938">
      <x:c r="A938" s="216" t="n">
        <x:v>781</x:v>
      </x:c>
      <x:c r="B938" s="216" t="str">
        <x:v>保長路51巷口</x:v>
      </x:c>
      <x:c r="C938" s="216" t="str">
        <x:v>汐止區</x:v>
      </x:c>
      <x:c r="D938" s="216" t="n">
        <x:v>21</x:v>
      </x:c>
      <x:c r="E938" s="216" t="n">
        <x:v>120</x:v>
      </x:c>
      <x:c r="F938" s="219" t="n">
        <x:v>0.9994791666666667</x:v>
      </x:c>
      <x:c r="G938" s="216" t="n">
        <x:v>934</x:v>
      </x:c>
      <x:c r="H938" s="216" t="str">
        <x:f>IF(G938&lt;='排名定義'!$B$5,"是","")</x:f>
        <x:v>是</x:v>
      </x:c>
      <x:c r="I938" s="216" t="n">
        <x:v>943</x:v>
      </x:c>
      <x:c r="J938" s="216" t="str">
        <x:f>IF(I938&lt;='排名定義'!$B$5,"是","")</x:f>
        <x:v>是</x:v>
      </x:c>
      <x:c r="K938" s="216" t="n">
        <x:v>698</x:v>
      </x:c>
      <x:c r="L938" s="216" t="str">
        <x:f>IF(K938&lt;='排名定義'!$B$5,"是","")</x:f>
        <x:v>是</x:v>
      </x:c>
      <x:c r="M938" s="216" t="n">
        <x:f>COUNTIF(H938:L938,"是")</x:f>
        <x:v>3</x:v>
      </x:c>
      <x:c r="N938" s="216" t="str">
        <x:v>三份皆未入選</x:v>
      </x:c>
      <x:c r="O938" s="221" t="n">
        <x:v>38.68333333333333</x:v>
      </x:c>
      <x:c r="P938" s="221" t="n">
        <x:v>34.38333333333333</x:v>
      </x:c>
      <x:c r="Q938" s="221" t="n">
        <x:v>4.3</x:v>
      </x:c>
      <x:c r="R938" s="221" t="n">
        <x:v>0.11115898319689789</x:v>
      </x:c>
      <x:c r="S938" s="221" t="n">
        <x:v>58.38709677419355</x:v>
      </x:c>
      <x:c r="T938" s="221" t="n">
        <x:v>54.38709677419355</x:v>
      </x:c>
      <x:c r="U938" s="221" t="n">
        <x:v>4</x:v>
      </x:c>
      <x:c r="V938" s="219" t="n">
        <x:v>0.03225806451612903</x:v>
      </x:c>
      <x:c r="W938" s="216" t="n">
        <x:v>11</x:v>
      </x:c>
      <x:c r="X938" s="223" t="n">
        <x:v>1170</x:v>
      </x:c>
      <x:c r="Y938" s="216" t="n">
        <x:v>21</x:v>
      </x:c>
    </x:row>
    <x:row r="939">
      <x:c r="A939" s="217" t="n">
        <x:v>899</x:v>
      </x:c>
      <x:c r="B939" s="217" t="str">
        <x:v>義山新市一路口</x:v>
      </x:c>
      <x:c r="C939" s="217" t="str">
        <x:v>淡水區</x:v>
      </x:c>
      <x:c r="D939" s="217" t="n">
        <x:v>25</x:v>
      </x:c>
      <x:c r="E939" s="217" t="n">
        <x:v>120</x:v>
      </x:c>
      <x:c r="F939" s="218" t="n">
        <x:v>0.9994791666666667</x:v>
      </x:c>
      <x:c r="G939" s="217" t="n">
        <x:v>935</x:v>
      </x:c>
      <x:c r="H939" s="217" t="str">
        <x:f>IF(G939&lt;='排名定義'!$B$5,"是","")</x:f>
        <x:v>是</x:v>
      </x:c>
      <x:c r="I939" s="217" t="n">
        <x:v>944</x:v>
      </x:c>
      <x:c r="J939" s="217" t="str">
        <x:f>IF(I939&lt;='排名定義'!$B$5,"是","")</x:f>
        <x:v>是</x:v>
      </x:c>
      <x:c r="K939" s="217" t="n">
        <x:v>702</x:v>
      </x:c>
      <x:c r="L939" s="217" t="str">
        <x:f>IF(K939&lt;='排名定義'!$B$5,"是","")</x:f>
        <x:v>是</x:v>
      </x:c>
      <x:c r="M939" s="217" t="n">
        <x:f>COUNTIF(H939:L939,"是")</x:f>
        <x:v>3</x:v>
      </x:c>
      <x:c r="N939" s="217" t="str">
        <x:v>三份皆未入選</x:v>
      </x:c>
      <x:c r="O939" s="220" t="n">
        <x:v>38.65</x:v>
      </x:c>
      <x:c r="P939" s="220" t="n">
        <x:v>34.358333333333334</x:v>
      </x:c>
      <x:c r="Q939" s="220" t="n">
        <x:v>4.291666666666667</x:v>
      </x:c>
      <x:c r="R939" s="220" t="n">
        <x:v>0.11103924105217766</x:v>
      </x:c>
      <x:c r="S939" s="220" t="n">
        <x:v>60.12903225806452</x:v>
      </x:c>
      <x:c r="T939" s="220" t="n">
        <x:v>56.03225806451613</x:v>
      </x:c>
      <x:c r="U939" s="220" t="n">
        <x:v>4.096774193548387</x:v>
      </x:c>
      <x:c r="V939" s="218" t="n">
        <x:v>0.020737327188940093</x:v>
      </x:c>
      <x:c r="W939" s="217" t="n">
        <x:v>5</x:v>
      </x:c>
      <x:c r="X939" s="222" t="n">
        <x:v>840</x:v>
      </x:c>
      <x:c r="Y939" s="217" t="n">
        <x:v>25</x:v>
      </x:c>
    </x:row>
    <x:row r="940">
      <x:c r="A940" s="216" t="n">
        <x:v>187</x:v>
      </x:c>
      <x:c r="B940" s="216" t="str">
        <x:v>松柏街50巷90弄口</x:v>
      </x:c>
      <x:c r="C940" s="216" t="str">
        <x:v>板橋區</x:v>
      </x:c>
      <x:c r="D940" s="216" t="n">
        <x:v>12</x:v>
      </x:c>
      <x:c r="E940" s="216" t="n">
        <x:v>120</x:v>
      </x:c>
      <x:c r="F940" s="219" t="n">
        <x:v>0.9994791666666667</x:v>
      </x:c>
      <x:c r="G940" s="216" t="n">
        <x:v>936</x:v>
      </x:c>
      <x:c r="H940" s="216" t="str">
        <x:f>IF(G940&lt;='排名定義'!$B$5,"是","")</x:f>
        <x:v>是</x:v>
      </x:c>
      <x:c r="I940" s="216" t="n">
        <x:v>923</x:v>
      </x:c>
      <x:c r="J940" s="216" t="str">
        <x:f>IF(I940&lt;='排名定義'!$B$5,"是","")</x:f>
        <x:v>是</x:v>
      </x:c>
      <x:c r="K940" s="216" t="n">
        <x:v>1081</x:v>
      </x:c>
      <x:c r="L940" s="216" t="str">
        <x:f>IF(K940&lt;='排名定義'!$B$5,"是","")</x:f>
        <x:v>是</x:v>
      </x:c>
      <x:c r="M940" s="216" t="n">
        <x:f>COUNTIF(H940:L940,"是")</x:f>
        <x:v>3</x:v>
      </x:c>
      <x:c r="N940" s="216" t="str">
        <x:v>三份皆未入選</x:v>
      </x:c>
      <x:c r="O940" s="221" t="n">
        <x:v>38.59166666666667</x:v>
      </x:c>
      <x:c r="P940" s="221" t="n">
        <x:v>35.34166666666667</x:v>
      </x:c>
      <x:c r="Q940" s="221" t="n">
        <x:v>3.25</x:v>
      </x:c>
      <x:c r="R940" s="221" t="n">
        <x:v>0.08421507233858778</x:v>
      </x:c>
      <x:c r="S940" s="221" t="n">
        <x:v>57.61290322580645</x:v>
      </x:c>
      <x:c r="T940" s="221" t="n">
        <x:v>54.225806451612904</x:v>
      </x:c>
      <x:c r="U940" s="221" t="n">
        <x:v>3.3870967741935485</x:v>
      </x:c>
      <x:c r="V940" s="219" t="n">
        <x:v>0.22580645161290322</x:v>
      </x:c>
      <x:c r="W940" s="216" t="n">
        <x:v>41</x:v>
      </x:c>
      <x:c r="X940" s="223" t="n">
        <x:v>5550</x:v>
      </x:c>
      <x:c r="Y940" s="216" t="n">
        <x:v>12</x:v>
      </x:c>
    </x:row>
    <x:row r="941">
      <x:c r="A941" s="217" t="n">
        <x:v>1205</x:v>
      </x:c>
      <x:c r="B941" s="217" t="str">
        <x:v>永和街65巷口</x:v>
      </x:c>
      <x:c r="C941" s="217" t="str">
        <x:v>鶯歌區</x:v>
      </x:c>
      <x:c r="D941" s="217" t="n">
        <x:v>37</x:v>
      </x:c>
      <x:c r="E941" s="217" t="n">
        <x:v>120</x:v>
      </x:c>
      <x:c r="F941" s="218" t="n">
        <x:v>0.9994791666666667</x:v>
      </x:c>
      <x:c r="G941" s="217" t="n">
        <x:v>937</x:v>
      </x:c>
      <x:c r="H941" s="217" t="str">
        <x:f>IF(G941&lt;='排名定義'!$B$5,"是","")</x:f>
        <x:v>是</x:v>
      </x:c>
      <x:c r="I941" s="217" t="n">
        <x:v>952</x:v>
      </x:c>
      <x:c r="J941" s="217" t="str">
        <x:f>IF(I941&lt;='排名定義'!$B$5,"是","")</x:f>
        <x:v>是</x:v>
      </x:c>
      <x:c r="K941" s="217" t="n">
        <x:v>612</x:v>
      </x:c>
      <x:c r="L941" s="217" t="str">
        <x:f>IF(K941&lt;='排名定義'!$B$5,"是","")</x:f>
        <x:v>是</x:v>
      </x:c>
      <x:c r="M941" s="217" t="n">
        <x:f>COUNTIF(H941:L941,"是")</x:f>
        <x:v>3</x:v>
      </x:c>
      <x:c r="N941" s="217" t="str">
        <x:v>三份皆未入選</x:v>
      </x:c>
      <x:c r="O941" s="220" t="n">
        <x:v>38.55833333333333</x:v>
      </x:c>
      <x:c r="P941" s="220" t="n">
        <x:v>33.925</x:v>
      </x:c>
      <x:c r="Q941" s="220" t="n">
        <x:v>4.633333333333334</x:v>
      </x:c>
      <x:c r="R941" s="220" t="n">
        <x:v>0.12016425329587206</x:v>
      </x:c>
      <x:c r="S941" s="220" t="n">
        <x:v>63.903225806451616</x:v>
      </x:c>
      <x:c r="T941" s="220" t="n">
        <x:v>58.806451612903224</x:v>
      </x:c>
      <x:c r="U941" s="220" t="n">
        <x:v>5.096774193548387</x:v>
      </x:c>
      <x:c r="V941" s="218" t="n">
        <x:v>0.02304147465437788</x:v>
      </x:c>
      <x:c r="W941" s="217" t="n">
        <x:v>3</x:v>
      </x:c>
      <x:c r="X941" s="222" t="n">
        <x:v>390</x:v>
      </x:c>
      <x:c r="Y941" s="217" t="n">
        <x:v>37</x:v>
      </x:c>
    </x:row>
    <x:row r="942">
      <x:c r="A942" s="216" t="n">
        <x:v>1089</x:v>
      </x:c>
      <x:c r="B942" s="216" t="str">
        <x:v>立言公園</x:v>
      </x:c>
      <x:c r="C942" s="216" t="str">
        <x:v>林口區</x:v>
      </x:c>
      <x:c r="D942" s="216" t="n">
        <x:v>31</x:v>
      </x:c>
      <x:c r="E942" s="216" t="n">
        <x:v>120</x:v>
      </x:c>
      <x:c r="F942" s="219" t="n">
        <x:v>0.9994791666666667</x:v>
      </x:c>
      <x:c r="G942" s="216" t="n">
        <x:v>938</x:v>
      </x:c>
      <x:c r="H942" s="216" t="str">
        <x:f>IF(G942&lt;='排名定義'!$B$5,"是","")</x:f>
        <x:v>是</x:v>
      </x:c>
      <x:c r="I942" s="216" t="n">
        <x:v>934</x:v>
      </x:c>
      <x:c r="J942" s="216" t="str">
        <x:f>IF(I942&lt;='排名定義'!$B$5,"是","")</x:f>
        <x:v>是</x:v>
      </x:c>
      <x:c r="K942" s="216" t="n">
        <x:v>925</x:v>
      </x:c>
      <x:c r="L942" s="216" t="str">
        <x:f>IF(K942&lt;='排名定義'!$B$5,"是","")</x:f>
        <x:v>是</x:v>
      </x:c>
      <x:c r="M942" s="216" t="n">
        <x:f>COUNTIF(H942:L942,"是")</x:f>
        <x:v>3</x:v>
      </x:c>
      <x:c r="N942" s="216" t="str">
        <x:v>三份皆未入選</x:v>
      </x:c>
      <x:c r="O942" s="221" t="n">
        <x:v>38.43333333333333</x:v>
      </x:c>
      <x:c r="P942" s="221" t="n">
        <x:v>34.791666666666664</x:v>
      </x:c>
      <x:c r="Q942" s="221" t="n">
        <x:v>3.6416666666666666</x:v>
      </x:c>
      <x:c r="R942" s="221" t="n">
        <x:v>0.09475281873373807</x:v>
      </x:c>
      <x:c r="S942" s="221" t="n">
        <x:v>59.903225806451616</x:v>
      </x:c>
      <x:c r="T942" s="221" t="n">
        <x:v>56.935483870967744</x:v>
      </x:c>
      <x:c r="U942" s="221" t="n">
        <x:v>2.967741935483871</x:v>
      </x:c>
      <x:c r="V942" s="219" t="n">
        <x:v>0</x:v>
      </x:c>
      <x:c r="W942" s="216" t="n">
        <x:v>0</x:v>
      </x:c>
      <x:c r="X942" s="223" t="n">
        <x:v>0</x:v>
      </x:c>
      <x:c r="Y942" s="216" t="n">
        <x:v>31</x:v>
      </x:c>
    </x:row>
    <x:row r="943">
      <x:c r="A943" s="217" t="n">
        <x:v>285</x:v>
      </x:c>
      <x:c r="B943" s="217" t="str">
        <x:v>立功公園</x:v>
      </x:c>
      <x:c r="C943" s="217" t="str">
        <x:v>林口區</x:v>
      </x:c>
      <x:c r="D943" s="217" t="n">
        <x:v>14</x:v>
      </x:c>
      <x:c r="E943" s="217" t="n">
        <x:v>120</x:v>
      </x:c>
      <x:c r="F943" s="218" t="n">
        <x:v>0.9994791666666667</x:v>
      </x:c>
      <x:c r="G943" s="217" t="n">
        <x:v>939</x:v>
      </x:c>
      <x:c r="H943" s="217" t="str">
        <x:f>IF(G943&lt;='排名定義'!$B$5,"是","")</x:f>
        <x:v>是</x:v>
      </x:c>
      <x:c r="I943" s="217" t="n">
        <x:v>930</x:v>
      </x:c>
      <x:c r="J943" s="217" t="str">
        <x:f>IF(I943&lt;='排名定義'!$B$5,"是","")</x:f>
        <x:v>是</x:v>
      </x:c>
      <x:c r="K943" s="217" t="n">
        <x:v>1014</x:v>
      </x:c>
      <x:c r="L943" s="217" t="str">
        <x:f>IF(K943&lt;='排名定義'!$B$5,"是","")</x:f>
        <x:v>是</x:v>
      </x:c>
      <x:c r="M943" s="217" t="n">
        <x:f>COUNTIF(H943:L943,"是")</x:f>
        <x:v>3</x:v>
      </x:c>
      <x:c r="N943" s="217" t="str">
        <x:v>三份皆未入選</x:v>
      </x:c>
      <x:c r="O943" s="220" t="n">
        <x:v>38.425</x:v>
      </x:c>
      <x:c r="P943" s="220" t="n">
        <x:v>35.016666666666666</x:v>
      </x:c>
      <x:c r="Q943" s="220" t="n">
        <x:v>3.408333333333333</x:v>
      </x:c>
      <x:c r="R943" s="220" t="n">
        <x:v>0.08870093255259164</x:v>
      </x:c>
      <x:c r="S943" s="220" t="n">
        <x:v>60.38709677419355</x:v>
      </x:c>
      <x:c r="T943" s="220" t="n">
        <x:v>57.67741935483871</x:v>
      </x:c>
      <x:c r="U943" s="220" t="n">
        <x:v>2.7096774193548385</x:v>
      </x:c>
      <x:c r="V943" s="218" t="n">
        <x:v>0.04608294930875576</x:v>
      </x:c>
      <x:c r="W943" s="217" t="n">
        <x:v>6</x:v>
      </x:c>
      <x:c r="X943" s="222" t="n">
        <x:v>1020</x:v>
      </x:c>
      <x:c r="Y943" s="217" t="n">
        <x:v>14</x:v>
      </x:c>
    </x:row>
    <x:row r="944">
      <x:c r="A944" s="216" t="n">
        <x:v>813</x:v>
      </x:c>
      <x:c r="B944" s="216" t="str">
        <x:v>民族二街明峰街口</x:v>
      </x:c>
      <x:c r="C944" s="216" t="str">
        <x:v>汐止區</x:v>
      </x:c>
      <x:c r="D944" s="216" t="n">
        <x:v>22</x:v>
      </x:c>
      <x:c r="E944" s="216" t="n">
        <x:v>120</x:v>
      </x:c>
      <x:c r="F944" s="219" t="n">
        <x:v>0.9994791666666667</x:v>
      </x:c>
      <x:c r="G944" s="216" t="n">
        <x:v>940</x:v>
      </x:c>
      <x:c r="H944" s="216" t="str">
        <x:f>IF(G944&lt;='排名定義'!$B$5,"是","")</x:f>
        <x:v>是</x:v>
      </x:c>
      <x:c r="I944" s="216" t="n">
        <x:v>939</x:v>
      </x:c>
      <x:c r="J944" s="216" t="str">
        <x:f>IF(I944&lt;='排名定義'!$B$5,"是","")</x:f>
        <x:v>是</x:v>
      </x:c>
      <x:c r="K944" s="216" t="n">
        <x:v>874</x:v>
      </x:c>
      <x:c r="L944" s="216" t="str">
        <x:f>IF(K944&lt;='排名定義'!$B$5,"是","")</x:f>
        <x:v>是</x:v>
      </x:c>
      <x:c r="M944" s="216" t="n">
        <x:f>COUNTIF(H944:L944,"是")</x:f>
        <x:v>3</x:v>
      </x:c>
      <x:c r="N944" s="216" t="str">
        <x:v>三份皆未入選</x:v>
      </x:c>
      <x:c r="O944" s="221" t="n">
        <x:v>38.416666666666664</x:v>
      </x:c>
      <x:c r="P944" s="221" t="n">
        <x:v>34.61666666666667</x:v>
      </x:c>
      <x:c r="Q944" s="221" t="n">
        <x:v>3.8</x:v>
      </x:c>
      <x:c r="R944" s="221" t="n">
        <x:v>0.09891540130151844</x:v>
      </x:c>
      <x:c r="S944" s="221" t="n">
        <x:v>61.32258064516129</x:v>
      </x:c>
      <x:c r="T944" s="221" t="n">
        <x:v>57.83870967741935</x:v>
      </x:c>
      <x:c r="U944" s="221" t="n">
        <x:v>3.4838709677419355</x:v>
      </x:c>
      <x:c r="V944" s="219" t="n">
        <x:v>0.002304147465437788</x:v>
      </x:c>
      <x:c r="W944" s="216" t="n">
        <x:v>1</x:v>
      </x:c>
      <x:c r="X944" s="223" t="n">
        <x:v>180</x:v>
      </x:c>
      <x:c r="Y944" s="216" t="n">
        <x:v>22</x:v>
      </x:c>
    </x:row>
    <x:row r="945">
      <x:c r="A945" s="217" t="n">
        <x:v>590</x:v>
      </x:c>
      <x:c r="B945" s="217" t="str">
        <x:v>青雲路434巷口</x:v>
      </x:c>
      <x:c r="C945" s="217" t="str">
        <x:v>土城區</x:v>
      </x:c>
      <x:c r="D945" s="217" t="n">
        <x:v>18</x:v>
      </x:c>
      <x:c r="E945" s="217" t="n">
        <x:v>120</x:v>
      </x:c>
      <x:c r="F945" s="218" t="n">
        <x:v>0.9994791666666667</x:v>
      </x:c>
      <x:c r="G945" s="217" t="n">
        <x:v>941</x:v>
      </x:c>
      <x:c r="H945" s="217" t="str">
        <x:f>IF(G945&lt;='排名定義'!$B$5,"是","")</x:f>
        <x:v>是</x:v>
      </x:c>
      <x:c r="I945" s="217" t="n">
        <x:v>928</x:v>
      </x:c>
      <x:c r="J945" s="217" t="str">
        <x:f>IF(I945&lt;='排名定義'!$B$5,"是","")</x:f>
        <x:v>是</x:v>
      </x:c>
      <x:c r="K945" s="217" t="n">
        <x:v>1038</x:v>
      </x:c>
      <x:c r="L945" s="217" t="str">
        <x:f>IF(K945&lt;='排名定義'!$B$5,"是","")</x:f>
        <x:v>是</x:v>
      </x:c>
      <x:c r="M945" s="217" t="n">
        <x:f>COUNTIF(H945:L945,"是")</x:f>
        <x:v>3</x:v>
      </x:c>
      <x:c r="N945" s="217" t="str">
        <x:v>三份皆未入選</x:v>
      </x:c>
      <x:c r="O945" s="220" t="n">
        <x:v>38.4</x:v>
      </x:c>
      <x:c r="P945" s="220" t="n">
        <x:v>35.041666666666664</x:v>
      </x:c>
      <x:c r="Q945" s="220" t="n">
        <x:v>3.3583333333333334</x:v>
      </x:c>
      <x:c r="R945" s="220" t="n">
        <x:v>0.08745659722222222</x:v>
      </x:c>
      <x:c r="S945" s="220" t="n">
        <x:v>51.064516129032256</x:v>
      </x:c>
      <x:c r="T945" s="220" t="n">
        <x:v>47.903225806451616</x:v>
      </x:c>
      <x:c r="U945" s="220" t="n">
        <x:v>3.161290322580645</x:v>
      </x:c>
      <x:c r="V945" s="218" t="n">
        <x:v>0.17050691244239632</x:v>
      </x:c>
      <x:c r="W945" s="217" t="n">
        <x:v>37</x:v>
      </x:c>
      <x:c r="X945" s="222" t="n">
        <x:v>3960</x:v>
      </x:c>
      <x:c r="Y945" s="217" t="n">
        <x:v>18</x:v>
      </x:c>
    </x:row>
    <x:row r="946">
      <x:c r="A946" s="216" t="n">
        <x:v>229</x:v>
      </x:c>
      <x:c r="B946" s="216" t="str">
        <x:v>台電台北西區營業處</x:v>
      </x:c>
      <x:c r="C946" s="216" t="str">
        <x:v>新莊區</x:v>
      </x:c>
      <x:c r="D946" s="216" t="n">
        <x:v>13</x:v>
      </x:c>
      <x:c r="E946" s="216" t="n">
        <x:v>120</x:v>
      </x:c>
      <x:c r="F946" s="219" t="n">
        <x:v>0.9994791666666667</x:v>
      </x:c>
      <x:c r="G946" s="216" t="n">
        <x:v>942</x:v>
      </x:c>
      <x:c r="H946" s="216" t="str">
        <x:f>IF(G946&lt;='排名定義'!$B$5,"是","")</x:f>
        <x:v>是</x:v>
      </x:c>
      <x:c r="I946" s="216" t="n">
        <x:v>924</x:v>
      </x:c>
      <x:c r="J946" s="216" t="str">
        <x:f>IF(I946&lt;='排名定義'!$B$5,"是","")</x:f>
        <x:v>是</x:v>
      </x:c>
      <x:c r="K946" s="216" t="n">
        <x:v>1175</x:v>
      </x:c>
      <x:c r="L946" s="216" t="str">
        <x:f>IF(K946&lt;='排名定義'!$B$5,"是","")</x:f>
        <x:v>是</x:v>
      </x:c>
      <x:c r="M946" s="216" t="n">
        <x:f>COUNTIF(H946:L946,"是")</x:f>
        <x:v>3</x:v>
      </x:c>
      <x:c r="N946" s="216" t="str">
        <x:v>三份皆未入選</x:v>
      </x:c>
      <x:c r="O946" s="221" t="n">
        <x:v>38.25</x:v>
      </x:c>
      <x:c r="P946" s="221" t="n">
        <x:v>35.275</x:v>
      </x:c>
      <x:c r="Q946" s="221" t="n">
        <x:v>2.975</x:v>
      </x:c>
      <x:c r="R946" s="221" t="n">
        <x:v>0.07777777777777778</x:v>
      </x:c>
      <x:c r="S946" s="221" t="n">
        <x:v>52.096774193548384</x:v>
      </x:c>
      <x:c r="T946" s="221" t="n">
        <x:v>48.41935483870968</x:v>
      </x:c>
      <x:c r="U946" s="221" t="n">
        <x:v>3.6774193548387095</x:v>
      </x:c>
      <x:c r="V946" s="219" t="n">
        <x:v>0.04838709677419355</x:v>
      </x:c>
      <x:c r="W946" s="216" t="n">
        <x:v>10</x:v>
      </x:c>
      <x:c r="X946" s="223" t="n">
        <x:v>1470</x:v>
      </x:c>
      <x:c r="Y946" s="216" t="n">
        <x:v>13</x:v>
      </x:c>
    </x:row>
    <x:row r="947">
      <x:c r="A947" s="217" t="n">
        <x:v>477</x:v>
      </x:c>
      <x:c r="B947" s="217" t="str">
        <x:v>國光街330巷口</x:v>
      </x:c>
      <x:c r="C947" s="217" t="str">
        <x:v>三峽區</x:v>
      </x:c>
      <x:c r="D947" s="217" t="n">
        <x:v>16</x:v>
      </x:c>
      <x:c r="E947" s="217" t="n">
        <x:v>120</x:v>
      </x:c>
      <x:c r="F947" s="218" t="n">
        <x:v>0.9994791666666667</x:v>
      </x:c>
      <x:c r="G947" s="217" t="n">
        <x:v>943</x:v>
      </x:c>
      <x:c r="H947" s="217" t="str">
        <x:f>IF(G947&lt;='排名定義'!$B$5,"是","")</x:f>
        <x:v>是</x:v>
      </x:c>
      <x:c r="I947" s="217" t="n">
        <x:v>938</x:v>
      </x:c>
      <x:c r="J947" s="217" t="str">
        <x:f>IF(I947&lt;='排名定義'!$B$5,"是","")</x:f>
        <x:v>是</x:v>
      </x:c>
      <x:c r="K947" s="217" t="n">
        <x:v>982</x:v>
      </x:c>
      <x:c r="L947" s="217" t="str">
        <x:f>IF(K947&lt;='排名定義'!$B$5,"是","")</x:f>
        <x:v>是</x:v>
      </x:c>
      <x:c r="M947" s="217" t="n">
        <x:f>COUNTIF(H947:L947,"是")</x:f>
        <x:v>3</x:v>
      </x:c>
      <x:c r="N947" s="217" t="str">
        <x:v>三份皆未入選</x:v>
      </x:c>
      <x:c r="O947" s="220" t="n">
        <x:v>38.1</x:v>
      </x:c>
      <x:c r="P947" s="220" t="n">
        <x:v>34.61666666666667</x:v>
      </x:c>
      <x:c r="Q947" s="220" t="n">
        <x:v>3.4833333333333334</x:v>
      </x:c>
      <x:c r="R947" s="220" t="n">
        <x:v>0.09142607174103237</x:v>
      </x:c>
      <x:c r="S947" s="220" t="n">
        <x:v>66.80645161290323</x:v>
      </x:c>
      <x:c r="T947" s="220" t="n">
        <x:v>63.935483870967744</x:v>
      </x:c>
      <x:c r="U947" s="220" t="n">
        <x:v>2.870967741935484</x:v>
      </x:c>
      <x:c r="V947" s="218" t="n">
        <x:v>0.08986175115207373</x:v>
      </x:c>
      <x:c r="W947" s="217" t="n">
        <x:v>12</x:v>
      </x:c>
      <x:c r="X947" s="222" t="n">
        <x:v>1770</x:v>
      </x:c>
      <x:c r="Y947" s="217" t="n">
        <x:v>16</x:v>
      </x:c>
    </x:row>
    <x:row r="948">
      <x:c r="A948" s="216" t="n">
        <x:v>617</x:v>
      </x:c>
      <x:c r="B948" s="216" t="str">
        <x:v>稚匯公園(華江三路)</x:v>
      </x:c>
      <x:c r="C948" s="216" t="str">
        <x:v>板橋區</x:v>
      </x:c>
      <x:c r="D948" s="216" t="n">
        <x:v>19</x:v>
      </x:c>
      <x:c r="E948" s="216" t="n">
        <x:v>120</x:v>
      </x:c>
      <x:c r="F948" s="219" t="n">
        <x:v>0.9994791666666667</x:v>
      </x:c>
      <x:c r="G948" s="216" t="n">
        <x:v>944</x:v>
      </x:c>
      <x:c r="H948" s="216" t="str">
        <x:f>IF(G948&lt;='排名定義'!$B$5,"是","")</x:f>
        <x:v>是</x:v>
      </x:c>
      <x:c r="I948" s="216" t="n">
        <x:v>937</x:v>
      </x:c>
      <x:c r="J948" s="216" t="str">
        <x:f>IF(I948&lt;='排名定義'!$B$5,"是","")</x:f>
        <x:v>是</x:v>
      </x:c>
      <x:c r="K948" s="216" t="n">
        <x:v>999</x:v>
      </x:c>
      <x:c r="L948" s="216" t="str">
        <x:f>IF(K948&lt;='排名定義'!$B$5,"是","")</x:f>
        <x:v>是</x:v>
      </x:c>
      <x:c r="M948" s="216" t="n">
        <x:f>COUNTIF(H948:L948,"是")</x:f>
        <x:v>3</x:v>
      </x:c>
      <x:c r="N948" s="216" t="str">
        <x:v>三份皆未入選</x:v>
      </x:c>
      <x:c r="O948" s="221" t="n">
        <x:v>38.075</x:v>
      </x:c>
      <x:c r="P948" s="221" t="n">
        <x:v>34.63333333333333</x:v>
      </x:c>
      <x:c r="Q948" s="221" t="n">
        <x:v>3.441666666666667</x:v>
      </x:c>
      <x:c r="R948" s="221" t="n">
        <x:v>0.0903917706281462</x:v>
      </x:c>
      <x:c r="S948" s="221" t="n">
        <x:v>53.74193548387097</x:v>
      </x:c>
      <x:c r="T948" s="221" t="n">
        <x:v>49.25806451612903</x:v>
      </x:c>
      <x:c r="U948" s="221" t="n">
        <x:v>4.483870967741935</x:v>
      </x:c>
      <x:c r="V948" s="219" t="n">
        <x:v>0.14746543778801843</x:v>
      </x:c>
      <x:c r="W948" s="216" t="n">
        <x:v>41</x:v>
      </x:c>
      <x:c r="X948" s="223" t="n">
        <x:v>4710</x:v>
      </x:c>
      <x:c r="Y948" s="216" t="n">
        <x:v>19</x:v>
      </x:c>
    </x:row>
    <x:row r="949">
      <x:c r="A949" s="217" t="n">
        <x:v>830</x:v>
      </x:c>
      <x:c r="B949" s="217" t="str">
        <x:v>思源路192巷口</x:v>
      </x:c>
      <x:c r="C949" s="217" t="str">
        <x:v>新莊區</x:v>
      </x:c>
      <x:c r="D949" s="217" t="n">
        <x:v>23</x:v>
      </x:c>
      <x:c r="E949" s="217" t="n">
        <x:v>120</x:v>
      </x:c>
      <x:c r="F949" s="218" t="n">
        <x:v>0.9994791666666667</x:v>
      </x:c>
      <x:c r="G949" s="217" t="n">
        <x:v>945</x:v>
      </x:c>
      <x:c r="H949" s="217" t="str">
        <x:f>IF(G949&lt;='排名定義'!$B$5,"是","")</x:f>
        <x:v>是</x:v>
      </x:c>
      <x:c r="I949" s="217" t="n">
        <x:v>950</x:v>
      </x:c>
      <x:c r="J949" s="217" t="str">
        <x:f>IF(I949&lt;='排名定義'!$B$5,"是","")</x:f>
        <x:v>是</x:v>
      </x:c>
      <x:c r="K949" s="217" t="n">
        <x:v>831</x:v>
      </x:c>
      <x:c r="L949" s="217" t="str">
        <x:f>IF(K949&lt;='排名定義'!$B$5,"是","")</x:f>
        <x:v>是</x:v>
      </x:c>
      <x:c r="M949" s="217" t="n">
        <x:f>COUNTIF(H949:L949,"是")</x:f>
        <x:v>3</x:v>
      </x:c>
      <x:c r="N949" s="217" t="str">
        <x:v>三份皆未入選</x:v>
      </x:c>
      <x:c r="O949" s="220" t="n">
        <x:v>38.025</x:v>
      </x:c>
      <x:c r="P949" s="220" t="n">
        <x:v>34.11666666666667</x:v>
      </x:c>
      <x:c r="Q949" s="220" t="n">
        <x:v>3.908333333333333</x:v>
      </x:c>
      <x:c r="R949" s="220" t="n">
        <x:v>0.10278325662941047</x:v>
      </x:c>
      <x:c r="S949" s="220" t="n">
        <x:v>57.45161290322581</x:v>
      </x:c>
      <x:c r="T949" s="220" t="n">
        <x:v>53.903225806451616</x:v>
      </x:c>
      <x:c r="U949" s="220" t="n">
        <x:v>3.5483870967741935</x:v>
      </x:c>
      <x:c r="V949" s="218" t="n">
        <x:v>0.07834101382488479</x:v>
      </x:c>
      <x:c r="W949" s="217" t="n">
        <x:v>21</x:v>
      </x:c>
      <x:c r="X949" s="222" t="n">
        <x:v>3150</x:v>
      </x:c>
      <x:c r="Y949" s="217" t="n">
        <x:v>23</x:v>
      </x:c>
    </x:row>
    <x:row r="950">
      <x:c r="A950" s="216" t="n">
        <x:v>248</x:v>
      </x:c>
      <x:c r="B950" s="216" t="str">
        <x:v>頂溪國小地下停車場</x:v>
      </x:c>
      <x:c r="C950" s="216" t="str">
        <x:v>永和區</x:v>
      </x:c>
      <x:c r="D950" s="216" t="n">
        <x:v>13</x:v>
      </x:c>
      <x:c r="E950" s="216" t="n">
        <x:v>120</x:v>
      </x:c>
      <x:c r="F950" s="219" t="n">
        <x:v>0.9994791666666667</x:v>
      </x:c>
      <x:c r="G950" s="216" t="n">
        <x:v>946</x:v>
      </x:c>
      <x:c r="H950" s="216" t="str">
        <x:f>IF(G950&lt;='排名定義'!$B$5,"是","")</x:f>
        <x:v>是</x:v>
      </x:c>
      <x:c r="I950" s="216" t="n">
        <x:v>932</x:v>
      </x:c>
      <x:c r="J950" s="216" t="str">
        <x:f>IF(I950&lt;='排名定義'!$B$5,"是","")</x:f>
        <x:v>是</x:v>
      </x:c>
      <x:c r="K950" s="216" t="n">
        <x:v>1152</x:v>
      </x:c>
      <x:c r="L950" s="216" t="str">
        <x:f>IF(K950&lt;='排名定義'!$B$5,"是","")</x:f>
        <x:v>是</x:v>
      </x:c>
      <x:c r="M950" s="216" t="n">
        <x:f>COUNTIF(H950:L950,"是")</x:f>
        <x:v>3</x:v>
      </x:c>
      <x:c r="N950" s="216" t="str">
        <x:v>三份皆未入選</x:v>
      </x:c>
      <x:c r="O950" s="221" t="n">
        <x:v>37.99166666666667</x:v>
      </x:c>
      <x:c r="P950" s="221" t="n">
        <x:v>34.94166666666667</x:v>
      </x:c>
      <x:c r="Q950" s="221" t="n">
        <x:v>3.05</x:v>
      </x:c>
      <x:c r="R950" s="221" t="n">
        <x:v>0.08028076332529063</x:v>
      </x:c>
      <x:c r="S950" s="221" t="n">
        <x:v>45.25806451612903</x:v>
      </x:c>
      <x:c r="T950" s="221" t="n">
        <x:v>42.74193548387097</x:v>
      </x:c>
      <x:c r="U950" s="221" t="n">
        <x:v>2.5161290322580645</x:v>
      </x:c>
      <x:c r="V950" s="219" t="n">
        <x:v>0.1152073732718894</x:v>
      </x:c>
      <x:c r="W950" s="216" t="n">
        <x:v>33</x:v>
      </x:c>
      <x:c r="X950" s="223" t="n">
        <x:v>3990</x:v>
      </x:c>
      <x:c r="Y950" s="216" t="n">
        <x:v>13</x:v>
      </x:c>
    </x:row>
    <x:row r="951">
      <x:c r="A951" s="217" t="n">
        <x:v>644</x:v>
      </x:c>
      <x:c r="B951" s="217" t="str">
        <x:v>台北花園廣場社區</x:v>
      </x:c>
      <x:c r="C951" s="217" t="str">
        <x:v>泰山區</x:v>
      </x:c>
      <x:c r="D951" s="217" t="n">
        <x:v>20</x:v>
      </x:c>
      <x:c r="E951" s="217" t="n">
        <x:v>120</x:v>
      </x:c>
      <x:c r="F951" s="218" t="n">
        <x:v>0.9994791666666667</x:v>
      </x:c>
      <x:c r="G951" s="217" t="n">
        <x:v>947</x:v>
      </x:c>
      <x:c r="H951" s="217" t="str">
        <x:f>IF(G951&lt;='排名定義'!$B$5,"是","")</x:f>
        <x:v>是</x:v>
      </x:c>
      <x:c r="I951" s="217" t="n">
        <x:v>951</x:v>
      </x:c>
      <x:c r="J951" s="217" t="str">
        <x:f>IF(I951&lt;='排名定義'!$B$5,"是","")</x:f>
        <x:v>是</x:v>
      </x:c>
      <x:c r="K951" s="217" t="n">
        <x:v>784</x:v>
      </x:c>
      <x:c r="L951" s="217" t="str">
        <x:f>IF(K951&lt;='排名定義'!$B$5,"是","")</x:f>
        <x:v>是</x:v>
      </x:c>
      <x:c r="M951" s="217" t="n">
        <x:f>COUNTIF(H951:L951,"是")</x:f>
        <x:v>3</x:v>
      </x:c>
      <x:c r="N951" s="217" t="str">
        <x:v>三份皆未入選</x:v>
      </x:c>
      <x:c r="O951" s="220" t="n">
        <x:v>37.983333333333334</x:v>
      </x:c>
      <x:c r="P951" s="220" t="n">
        <x:v>33.95</x:v>
      </x:c>
      <x:c r="Q951" s="220" t="n">
        <x:v>4.033333333333333</x:v>
      </x:c>
      <x:c r="R951" s="220" t="n">
        <x:v>0.10618692408951294</x:v>
      </x:c>
      <x:c r="S951" s="220" t="n">
        <x:v>55.87096774193548</x:v>
      </x:c>
      <x:c r="T951" s="220" t="n">
        <x:v>52.645161290322584</x:v>
      </x:c>
      <x:c r="U951" s="220" t="n">
        <x:v>3.225806451612903</x:v>
      </x:c>
      <x:c r="V951" s="218" t="n">
        <x:v>0.08986175115207373</x:v>
      </x:c>
      <x:c r="W951" s="217" t="n">
        <x:v>11</x:v>
      </x:c>
      <x:c r="X951" s="222" t="n">
        <x:v>1650</x:v>
      </x:c>
      <x:c r="Y951" s="217" t="n">
        <x:v>20</x:v>
      </x:c>
    </x:row>
    <x:row r="952">
      <x:c r="A952" s="216" t="n">
        <x:v>824</x:v>
      </x:c>
      <x:c r="B952" s="216" t="str">
        <x:v>龍米路二段205巷口</x:v>
      </x:c>
      <x:c r="C952" s="216" t="str">
        <x:v>八里區</x:v>
      </x:c>
      <x:c r="D952" s="216" t="n">
        <x:v>22</x:v>
      </x:c>
      <x:c r="E952" s="216" t="n">
        <x:v>84</x:v>
      </x:c>
      <x:c r="F952" s="219" t="n">
        <x:v>0.9995039682539683</x:v>
      </x:c>
      <x:c r="G952" s="216" t="n">
        <x:v>948</x:v>
      </x:c>
      <x:c r="H952" s="216" t="str">
        <x:f>IF(G952&lt;='排名定義'!$B$5,"是","")</x:f>
        <x:v>是</x:v>
      </x:c>
      <x:c r="I952" s="216" t="n">
        <x:v>961</x:v>
      </x:c>
      <x:c r="J952" s="216" t="str">
        <x:f>IF(I952&lt;='排名定義'!$B$5,"是","")</x:f>
        <x:v>是</x:v>
      </x:c>
      <x:c r="K952" s="216" t="n">
        <x:v>721</x:v>
      </x:c>
      <x:c r="L952" s="216" t="str">
        <x:f>IF(K952&lt;='排名定義'!$B$5,"是","")</x:f>
        <x:v>是</x:v>
      </x:c>
      <x:c r="M952" s="216" t="n">
        <x:f>COUNTIF(H952:L952,"是")</x:f>
        <x:v>3</x:v>
      </x:c>
      <x:c r="N952" s="216" t="str">
        <x:v>三份皆未入選</x:v>
      </x:c>
      <x:c r="O952" s="221" t="n">
        <x:v>37.86904761904762</x:v>
      </x:c>
      <x:c r="P952" s="221" t="n">
        <x:v>33.61904761904762</x:v>
      </x:c>
      <x:c r="Q952" s="221" t="n">
        <x:v>4.25</x:v>
      </x:c>
      <x:c r="R952" s="221" t="n">
        <x:v>0.11222885884941843</x:v>
      </x:c>
      <x:c r="S952" s="221" t="n">
        <x:v>75.38709677419355</x:v>
      </x:c>
      <x:c r="T952" s="221" t="n">
        <x:v>69.48387096774194</x:v>
      </x:c>
      <x:c r="U952" s="221" t="n">
        <x:v>5.903225806451613</x:v>
      </x:c>
      <x:c r="V952" s="219" t="n">
        <x:v>0.041474654377880185</x:v>
      </x:c>
      <x:c r="W952" s="216" t="n">
        <x:v>11</x:v>
      </x:c>
      <x:c r="X952" s="223" t="n">
        <x:v>1470</x:v>
      </x:c>
      <x:c r="Y952" s="216" t="n">
        <x:v>22</x:v>
      </x:c>
    </x:row>
    <x:row r="953">
      <x:c r="A953" s="217" t="n">
        <x:v>502</x:v>
      </x:c>
      <x:c r="B953" s="217" t="str">
        <x:v>慈化公園</x:v>
      </x:c>
      <x:c r="C953" s="217" t="str">
        <x:v>三重區</x:v>
      </x:c>
      <x:c r="D953" s="217" t="n">
        <x:v>16</x:v>
      </x:c>
      <x:c r="E953" s="217" t="n">
        <x:v>120</x:v>
      </x:c>
      <x:c r="F953" s="218" t="n">
        <x:v>0.9994791666666667</x:v>
      </x:c>
      <x:c r="G953" s="217" t="n">
        <x:v>949</x:v>
      </x:c>
      <x:c r="H953" s="217" t="str">
        <x:f>IF(G953&lt;='排名定義'!$B$5,"是","")</x:f>
        <x:v>是</x:v>
      </x:c>
      <x:c r="I953" s="217" t="n">
        <x:v>940</x:v>
      </x:c>
      <x:c r="J953" s="217" t="str">
        <x:f>IF(I953&lt;='排名定義'!$B$5,"是","")</x:f>
        <x:v>是</x:v>
      </x:c>
      <x:c r="K953" s="217" t="n">
        <x:v>1070</x:v>
      </x:c>
      <x:c r="L953" s="217" t="str">
        <x:f>IF(K953&lt;='排名定義'!$B$5,"是","")</x:f>
        <x:v>是</x:v>
      </x:c>
      <x:c r="M953" s="217" t="n">
        <x:f>COUNTIF(H953:L953,"是")</x:f>
        <x:v>3</x:v>
      </x:c>
      <x:c r="N953" s="217" t="str">
        <x:v>三份皆未入選</x:v>
      </x:c>
      <x:c r="O953" s="220" t="n">
        <x:v>37.86666666666667</x:v>
      </x:c>
      <x:c r="P953" s="220" t="n">
        <x:v>34.575</x:v>
      </x:c>
      <x:c r="Q953" s="220" t="n">
        <x:v>3.2916666666666665</x:v>
      </x:c>
      <x:c r="R953" s="220" t="n">
        <x:v>0.08692781690140845</x:v>
      </x:c>
      <x:c r="S953" s="220" t="n">
        <x:v>55.70967741935484</x:v>
      </x:c>
      <x:c r="T953" s="220" t="n">
        <x:v>53.064516129032256</x:v>
      </x:c>
      <x:c r="U953" s="220" t="n">
        <x:v>2.6451612903225805</x:v>
      </x:c>
      <x:c r="V953" s="218" t="n">
        <x:v>0.04608294930875576</x:v>
      </x:c>
      <x:c r="W953" s="217" t="n">
        <x:v>11</x:v>
      </x:c>
      <x:c r="X953" s="222" t="n">
        <x:v>1350</x:v>
      </x:c>
      <x:c r="Y953" s="217" t="n">
        <x:v>16</x:v>
      </x:c>
    </x:row>
    <x:row r="954">
      <x:c r="A954" s="216" t="n">
        <x:v>696</x:v>
      </x:c>
      <x:c r="B954" s="216" t="str">
        <x:v>三峽區礁溪行政中心</x:v>
      </x:c>
      <x:c r="C954" s="216" t="str">
        <x:v>三峽區</x:v>
      </x:c>
      <x:c r="D954" s="216" t="n">
        <x:v>20</x:v>
      </x:c>
      <x:c r="E954" s="216" t="n">
        <x:v>120</x:v>
      </x:c>
      <x:c r="F954" s="219" t="n">
        <x:v>0.9994791666666667</x:v>
      </x:c>
      <x:c r="G954" s="216" t="n">
        <x:v>950</x:v>
      </x:c>
      <x:c r="H954" s="216" t="str">
        <x:f>IF(G954&lt;='排名定義'!$B$5,"是","")</x:f>
        <x:v>是</x:v>
      </x:c>
      <x:c r="I954" s="216" t="n">
        <x:v>956</x:v>
      </x:c>
      <x:c r="J954" s="216" t="str">
        <x:f>IF(I954&lt;='排名定義'!$B$5,"是","")</x:f>
        <x:v>是</x:v>
      </x:c>
      <x:c r="K954" s="216" t="n">
        <x:v>796</x:v>
      </x:c>
      <x:c r="L954" s="216" t="str">
        <x:f>IF(K954&lt;='排名定義'!$B$5,"是","")</x:f>
        <x:v>是</x:v>
      </x:c>
      <x:c r="M954" s="216" t="n">
        <x:f>COUNTIF(H954:L954,"是")</x:f>
        <x:v>3</x:v>
      </x:c>
      <x:c r="N954" s="216" t="str">
        <x:v>三份皆未入選</x:v>
      </x:c>
      <x:c r="O954" s="221" t="n">
        <x:v>37.84166666666667</x:v>
      </x:c>
      <x:c r="P954" s="221" t="n">
        <x:v>33.84166666666667</x:v>
      </x:c>
      <x:c r="Q954" s="221" t="n">
        <x:v>4</x:v>
      </x:c>
      <x:c r="R954" s="221" t="n">
        <x:v>0.10570358951772738</x:v>
      </x:c>
      <x:c r="S954" s="221" t="n">
        <x:v>68.3225806451613</x:v>
      </x:c>
      <x:c r="T954" s="221" t="n">
        <x:v>64.96774193548387</x:v>
      </x:c>
      <x:c r="U954" s="221" t="n">
        <x:v>3.3548387096774195</x:v>
      </x:c>
      <x:c r="V954" s="219" t="n">
        <x:v>0.018433179723502304</x:v>
      </x:c>
      <x:c r="W954" s="216" t="n">
        <x:v>3</x:v>
      </x:c>
      <x:c r="X954" s="223" t="n">
        <x:v>330</x:v>
      </x:c>
      <x:c r="Y954" s="216" t="n">
        <x:v>20</x:v>
      </x:c>
    </x:row>
    <x:row r="955">
      <x:c r="A955" s="217" t="n">
        <x:v>178</x:v>
      </x:c>
      <x:c r="B955" s="217" t="str">
        <x:v>學府大德路口</x:v>
      </x:c>
      <x:c r="C955" s="217" t="str">
        <x:v>三峽區</x:v>
      </x:c>
      <x:c r="D955" s="217" t="n">
        <x:v>12</x:v>
      </x:c>
      <x:c r="E955" s="217" t="n">
        <x:v>120</x:v>
      </x:c>
      <x:c r="F955" s="218" t="n">
        <x:v>0.9994791666666667</x:v>
      </x:c>
      <x:c r="G955" s="217" t="n">
        <x:v>951</x:v>
      </x:c>
      <x:c r="H955" s="217" t="str">
        <x:f>IF(G955&lt;='排名定義'!$B$5,"是","")</x:f>
        <x:v>是</x:v>
      </x:c>
      <x:c r="I955" s="217" t="n">
        <x:v>935</x:v>
      </x:c>
      <x:c r="J955" s="217" t="str">
        <x:f>IF(I955&lt;='排名定義'!$B$5,"是","")</x:f>
        <x:v>是</x:v>
      </x:c>
      <x:c r="K955" s="217" t="n">
        <x:v>1114</x:v>
      </x:c>
      <x:c r="L955" s="217" t="str">
        <x:f>IF(K955&lt;='排名定義'!$B$5,"是","")</x:f>
        <x:v>是</x:v>
      </x:c>
      <x:c r="M955" s="217" t="n">
        <x:f>COUNTIF(H955:L955,"是")</x:f>
        <x:v>3</x:v>
      </x:c>
      <x:c r="N955" s="217" t="str">
        <x:v>三份皆未入選</x:v>
      </x:c>
      <x:c r="O955" s="220" t="n">
        <x:v>37.833333333333336</x:v>
      </x:c>
      <x:c r="P955" s="220" t="n">
        <x:v>34.675</x:v>
      </x:c>
      <x:c r="Q955" s="220" t="n">
        <x:v>3.158333333333333</x:v>
      </x:c>
      <x:c r="R955" s="220" t="n">
        <x:v>0.08348017621145375</x:v>
      </x:c>
      <x:c r="S955" s="220" t="n">
        <x:v>65.96774193548387</x:v>
      </x:c>
      <x:c r="T955" s="220" t="n">
        <x:v>62.87096774193548</x:v>
      </x:c>
      <x:c r="U955" s="220" t="n">
        <x:v>3.096774193548387</x:v>
      </x:c>
      <x:c r="V955" s="218" t="n">
        <x:v>0.07373271889400922</x:v>
      </x:c>
      <x:c r="W955" s="217" t="n">
        <x:v>26</x:v>
      </x:c>
      <x:c r="X955" s="222" t="n">
        <x:v>3600</x:v>
      </x:c>
      <x:c r="Y955" s="217" t="n">
        <x:v>12</x:v>
      </x:c>
    </x:row>
    <x:row r="956">
      <x:c r="A956" s="216" t="n">
        <x:v>177</x:v>
      </x:c>
      <x:c r="B956" s="216" t="str">
        <x:v>北新路二段228巷口</x:v>
      </x:c>
      <x:c r="C956" s="216" t="str">
        <x:v>新店區</x:v>
      </x:c>
      <x:c r="D956" s="216" t="n">
        <x:v>12</x:v>
      </x:c>
      <x:c r="E956" s="216" t="n">
        <x:v>120</x:v>
      </x:c>
      <x:c r="F956" s="219" t="n">
        <x:v>0.9994791666666667</x:v>
      </x:c>
      <x:c r="G956" s="216" t="n">
        <x:v>952</x:v>
      </x:c>
      <x:c r="H956" s="216" t="str">
        <x:f>IF(G956&lt;='排名定義'!$B$5,"是","")</x:f>
        <x:v>是</x:v>
      </x:c>
      <x:c r="I956" s="216" t="n">
        <x:v>941</x:v>
      </x:c>
      <x:c r="J956" s="216" t="str">
        <x:f>IF(I956&lt;='排名定義'!$B$5,"是","")</x:f>
        <x:v>是</x:v>
      </x:c>
      <x:c r="K956" s="216" t="n">
        <x:v>1096</x:v>
      </x:c>
      <x:c r="L956" s="216" t="str">
        <x:f>IF(K956&lt;='排名定義'!$B$5,"是","")</x:f>
        <x:v>是</x:v>
      </x:c>
      <x:c r="M956" s="216" t="n">
        <x:f>COUNTIF(H956:L956,"是")</x:f>
        <x:v>3</x:v>
      </x:c>
      <x:c r="N956" s="216" t="str">
        <x:v>三份皆未入選</x:v>
      </x:c>
      <x:c r="O956" s="221" t="n">
        <x:v>37.775</x:v>
      </x:c>
      <x:c r="P956" s="221" t="n">
        <x:v>34.56666666666667</x:v>
      </x:c>
      <x:c r="Q956" s="221" t="n">
        <x:v>3.2083333333333335</x:v>
      </x:c>
      <x:c r="R956" s="221" t="n">
        <x:v>0.08493271564085594</x:v>
      </x:c>
      <x:c r="S956" s="221" t="n">
        <x:v>62</x:v>
      </x:c>
      <x:c r="T956" s="221" t="n">
        <x:v>59.903225806451616</x:v>
      </x:c>
      <x:c r="U956" s="221" t="n">
        <x:v>2.096774193548387</x:v>
      </x:c>
      <x:c r="V956" s="219" t="n">
        <x:v>0.1774193548387097</x:v>
      </x:c>
      <x:c r="W956" s="216" t="n">
        <x:v>44</x:v>
      </x:c>
      <x:c r="X956" s="223" t="n">
        <x:v>6780</x:v>
      </x:c>
      <x:c r="Y956" s="216" t="n">
        <x:v>12</x:v>
      </x:c>
    </x:row>
    <x:row r="957">
      <x:c r="A957" s="217" t="n">
        <x:v>326</x:v>
      </x:c>
      <x:c r="B957" s="217" t="str">
        <x:v>中正路144巷口</x:v>
      </x:c>
      <x:c r="C957" s="217" t="str">
        <x:v>新店區</x:v>
      </x:c>
      <x:c r="D957" s="217" t="n">
        <x:v>15</x:v>
      </x:c>
      <x:c r="E957" s="217" t="n">
        <x:v>120</x:v>
      </x:c>
      <x:c r="F957" s="218" t="n">
        <x:v>0.9994791666666667</x:v>
      </x:c>
      <x:c r="G957" s="217" t="n">
        <x:v>953</x:v>
      </x:c>
      <x:c r="H957" s="217" t="str">
        <x:f>IF(G957&lt;='排名定義'!$B$5,"是","")</x:f>
        <x:v>是</x:v>
      </x:c>
      <x:c r="I957" s="217" t="n">
        <x:v>927</x:v>
      </x:c>
      <x:c r="J957" s="217" t="str">
        <x:f>IF(I957&lt;='排名定義'!$B$5,"是","")</x:f>
        <x:v>是</x:v>
      </x:c>
      <x:c r="K957" s="217" t="n">
        <x:v>1269</x:v>
      </x:c>
      <x:c r="L957" s="217" t="str">
        <x:f>IF(K957&lt;='排名定義'!$B$5,"是","")</x:f>
        <x:v>是</x:v>
      </x:c>
      <x:c r="M957" s="217" t="n">
        <x:f>COUNTIF(H957:L957,"是")</x:f>
        <x:v>3</x:v>
      </x:c>
      <x:c r="N957" s="217" t="str">
        <x:v>三份皆未入選</x:v>
      </x:c>
      <x:c r="O957" s="220" t="n">
        <x:v>37.675</x:v>
      </x:c>
      <x:c r="P957" s="220" t="n">
        <x:v>35.041666666666664</x:v>
      </x:c>
      <x:c r="Q957" s="220" t="n">
        <x:v>2.6333333333333333</x:v>
      </x:c>
      <x:c r="R957" s="220" t="n">
        <x:v>0.06989604069896041</x:v>
      </x:c>
      <x:c r="S957" s="220" t="n">
        <x:v>59.225806451612904</x:v>
      </x:c>
      <x:c r="T957" s="220" t="n">
        <x:v>54.61290322580645</x:v>
      </x:c>
      <x:c r="U957" s="220" t="n">
        <x:v>4.612903225806452</x:v>
      </x:c>
      <x:c r="V957" s="218" t="n">
        <x:v>0.14746543778801843</x:v>
      </x:c>
      <x:c r="W957" s="217" t="n">
        <x:v>35</x:v>
      </x:c>
      <x:c r="X957" s="222" t="n">
        <x:v>3900</x:v>
      </x:c>
      <x:c r="Y957" s="217" t="n">
        <x:v>15</x:v>
      </x:c>
    </x:row>
    <x:row r="958">
      <x:c r="A958" s="216" t="n">
        <x:v>200</x:v>
      </x:c>
      <x:c r="B958" s="216" t="str">
        <x:v>育英建國路口</x:v>
      </x:c>
      <x:c r="C958" s="216" t="str">
        <x:v>鶯歌區</x:v>
      </x:c>
      <x:c r="D958" s="216" t="n">
        <x:v>12</x:v>
      </x:c>
      <x:c r="E958" s="216" t="n">
        <x:v>120</x:v>
      </x:c>
      <x:c r="F958" s="219" t="n">
        <x:v>0.9994791666666667</x:v>
      </x:c>
      <x:c r="G958" s="216" t="n">
        <x:v>954</x:v>
      </x:c>
      <x:c r="H958" s="216" t="str">
        <x:f>IF(G958&lt;='排名定義'!$B$5,"是","")</x:f>
        <x:v>是</x:v>
      </x:c>
      <x:c r="I958" s="216" t="n">
        <x:v>942</x:v>
      </x:c>
      <x:c r="J958" s="216" t="str">
        <x:f>IF(I958&lt;='排名定義'!$B$5,"是","")</x:f>
        <x:v>是</x:v>
      </x:c>
      <x:c r="K958" s="216" t="n">
        <x:v>1115</x:v>
      </x:c>
      <x:c r="L958" s="216" t="str">
        <x:f>IF(K958&lt;='排名定義'!$B$5,"是","")</x:f>
        <x:v>是</x:v>
      </x:c>
      <x:c r="M958" s="216" t="n">
        <x:f>COUNTIF(H958:L958,"是")</x:f>
        <x:v>3</x:v>
      </x:c>
      <x:c r="N958" s="216" t="str">
        <x:v>三份皆未入選</x:v>
      </x:c>
      <x:c r="O958" s="221" t="n">
        <x:v>37.61666666666667</x:v>
      </x:c>
      <x:c r="P958" s="221" t="n">
        <x:v>34.458333333333336</x:v>
      </x:c>
      <x:c r="Q958" s="221" t="n">
        <x:v>3.158333333333333</x:v>
      </x:c>
      <x:c r="R958" s="221" t="n">
        <x:v>0.08396101019051838</x:v>
      </x:c>
      <x:c r="S958" s="221" t="n">
        <x:v>52.483870967741936</x:v>
      </x:c>
      <x:c r="T958" s="221" t="n">
        <x:v>48.38709677419355</x:v>
      </x:c>
      <x:c r="U958" s="221" t="n">
        <x:v>4.096774193548387</x:v>
      </x:c>
      <x:c r="V958" s="219" t="n">
        <x:v>0.06682027649769585</x:v>
      </x:c>
      <x:c r="W958" s="216" t="n">
        <x:v>17</x:v>
      </x:c>
      <x:c r="X958" s="223" t="n">
        <x:v>2220</x:v>
      </x:c>
      <x:c r="Y958" s="216" t="n">
        <x:v>12</x:v>
      </x:c>
    </x:row>
    <x:row r="959">
      <x:c r="A959" s="217" t="n">
        <x:v>818</x:v>
      </x:c>
      <x:c r="B959" s="217" t="str">
        <x:v>鶯歌陶瓷博物館</x:v>
      </x:c>
      <x:c r="C959" s="217" t="str">
        <x:v>鶯歌區</x:v>
      </x:c>
      <x:c r="D959" s="217" t="n">
        <x:v>22</x:v>
      </x:c>
      <x:c r="E959" s="217" t="n">
        <x:v>120</x:v>
      </x:c>
      <x:c r="F959" s="218" t="n">
        <x:v>0.9994791666666667</x:v>
      </x:c>
      <x:c r="G959" s="217" t="n">
        <x:v>955</x:v>
      </x:c>
      <x:c r="H959" s="217" t="str">
        <x:f>IF(G959&lt;='排名定義'!$B$5,"是","")</x:f>
        <x:v>是</x:v>
      </x:c>
      <x:c r="I959" s="217" t="n">
        <x:v>960</x:v>
      </x:c>
      <x:c r="J959" s="217" t="str">
        <x:f>IF(I959&lt;='排名定義'!$B$5,"是","")</x:f>
        <x:v>是</x:v>
      </x:c>
      <x:c r="K959" s="217" t="n">
        <x:v>816</x:v>
      </x:c>
      <x:c r="L959" s="217" t="str">
        <x:f>IF(K959&lt;='排名定義'!$B$5,"是","")</x:f>
        <x:v>是</x:v>
      </x:c>
      <x:c r="M959" s="217" t="n">
        <x:f>COUNTIF(H959:L959,"是")</x:f>
        <x:v>3</x:v>
      </x:c>
      <x:c r="N959" s="217" t="str">
        <x:v>三份皆未入選</x:v>
      </x:c>
      <x:c r="O959" s="220" t="n">
        <x:v>37.61666666666667</x:v>
      </x:c>
      <x:c r="P959" s="220" t="n">
        <x:v>33.666666666666664</x:v>
      </x:c>
      <x:c r="Q959" s="220" t="n">
        <x:v>3.95</x:v>
      </x:c>
      <x:c r="R959" s="220" t="n">
        <x:v>0.10500664599025254</x:v>
      </x:c>
      <x:c r="S959" s="220" t="n">
        <x:v>59.70967741935484</x:v>
      </x:c>
      <x:c r="T959" s="220" t="n">
        <x:v>55.903225806451616</x:v>
      </x:c>
      <x:c r="U959" s="220" t="n">
        <x:v>3.806451612903226</x:v>
      </x:c>
      <x:c r="V959" s="218" t="n">
        <x:v>0.020737327188940093</x:v>
      </x:c>
      <x:c r="W959" s="217" t="n">
        <x:v>4</x:v>
      </x:c>
      <x:c r="X959" s="222" t="n">
        <x:v>540</x:v>
      </x:c>
      <x:c r="Y959" s="217" t="n">
        <x:v>22</x:v>
      </x:c>
    </x:row>
    <x:row r="960">
      <x:c r="A960" s="216" t="n">
        <x:v>811</x:v>
      </x:c>
      <x:c r="B960" s="216" t="str">
        <x:v>南雅育智路口</x:v>
      </x:c>
      <x:c r="C960" s="216" t="str">
        <x:v>鶯歌區</x:v>
      </x:c>
      <x:c r="D960" s="216" t="n">
        <x:v>22</x:v>
      </x:c>
      <x:c r="E960" s="216" t="n">
        <x:v>120</x:v>
      </x:c>
      <x:c r="F960" s="219" t="n">
        <x:v>0.9994791666666667</x:v>
      </x:c>
      <x:c r="G960" s="216" t="n">
        <x:v>956</x:v>
      </x:c>
      <x:c r="H960" s="216" t="str">
        <x:f>IF(G960&lt;='排名定義'!$B$5,"是","")</x:f>
        <x:v>是</x:v>
      </x:c>
      <x:c r="I960" s="216" t="n">
        <x:v>973</x:v>
      </x:c>
      <x:c r="J960" s="216" t="str">
        <x:f>IF(I960&lt;='排名定義'!$B$5,"是","")</x:f>
        <x:v>是</x:v>
      </x:c>
      <x:c r="K960" s="216" t="n">
        <x:v>657</x:v>
      </x:c>
      <x:c r="L960" s="216" t="str">
        <x:f>IF(K960&lt;='排名定義'!$B$5,"是","")</x:f>
        <x:v>是</x:v>
      </x:c>
      <x:c r="M960" s="216" t="n">
        <x:f>COUNTIF(H960:L960,"是")</x:f>
        <x:v>3</x:v>
      </x:c>
      <x:c r="N960" s="216" t="str">
        <x:v>三份皆未入選</x:v>
      </x:c>
      <x:c r="O960" s="221" t="n">
        <x:v>37.6</x:v>
      </x:c>
      <x:c r="P960" s="221" t="n">
        <x:v>33.15</x:v>
      </x:c>
      <x:c r="Q960" s="221" t="n">
        <x:v>4.45</x:v>
      </x:c>
      <x:c r="R960" s="221" t="n">
        <x:v>0.11835106382978723</x:v>
      </x:c>
      <x:c r="S960" s="221" t="n">
        <x:v>53.29032258064516</x:v>
      </x:c>
      <x:c r="T960" s="221" t="n">
        <x:v>50.12903225806452</x:v>
      </x:c>
      <x:c r="U960" s="221" t="n">
        <x:v>3.161290322580645</x:v>
      </x:c>
      <x:c r="V960" s="219" t="n">
        <x:v>0.01152073732718894</x:v>
      </x:c>
      <x:c r="W960" s="216" t="n">
        <x:v>2</x:v>
      </x:c>
      <x:c r="X960" s="223" t="n">
        <x:v>300</x:v>
      </x:c>
      <x:c r="Y960" s="216" t="n">
        <x:v>22</x:v>
      </x:c>
    </x:row>
    <x:row r="961">
      <x:c r="A961" s="217" t="n">
        <x:v>929</x:v>
      </x:c>
      <x:c r="B961" s="217" t="str">
        <x:v>沙崙路151巷口</x:v>
      </x:c>
      <x:c r="C961" s="217" t="str">
        <x:v>淡水區</x:v>
      </x:c>
      <x:c r="D961" s="217" t="n">
        <x:v>26</x:v>
      </x:c>
      <x:c r="E961" s="217" t="n">
        <x:v>120</x:v>
      </x:c>
      <x:c r="F961" s="218" t="n">
        <x:v>0.9994791666666667</x:v>
      </x:c>
      <x:c r="G961" s="217" t="n">
        <x:v>957</x:v>
      </x:c>
      <x:c r="H961" s="217" t="str">
        <x:f>IF(G961&lt;='排名定義'!$B$5,"是","")</x:f>
        <x:v>是</x:v>
      </x:c>
      <x:c r="I961" s="217" t="n">
        <x:v>972</x:v>
      </x:c>
      <x:c r="J961" s="217" t="str">
        <x:f>IF(I961&lt;='排名定義'!$B$5,"是","")</x:f>
        <x:v>是</x:v>
      </x:c>
      <x:c r="K961" s="217" t="n">
        <x:v>695</x:v>
      </x:c>
      <x:c r="L961" s="217" t="str">
        <x:f>IF(K961&lt;='排名定義'!$B$5,"是","")</x:f>
        <x:v>是</x:v>
      </x:c>
      <x:c r="M961" s="217" t="n">
        <x:f>COUNTIF(H961:L961,"是")</x:f>
        <x:v>3</x:v>
      </x:c>
      <x:c r="N961" s="217" t="str">
        <x:v>三份皆未入選</x:v>
      </x:c>
      <x:c r="O961" s="220" t="n">
        <x:v>37.5</x:v>
      </x:c>
      <x:c r="P961" s="220" t="n">
        <x:v>33.19166666666667</x:v>
      </x:c>
      <x:c r="Q961" s="220" t="n">
        <x:v>4.308333333333334</x:v>
      </x:c>
      <x:c r="R961" s="220" t="n">
        <x:v>0.11488888888888889</x:v>
      </x:c>
      <x:c r="S961" s="220" t="n">
        <x:v>67.61290322580645</x:v>
      </x:c>
      <x:c r="T961" s="220" t="n">
        <x:v>62.41935483870968</x:v>
      </x:c>
      <x:c r="U961" s="220" t="n">
        <x:v>5.193548387096774</x:v>
      </x:c>
      <x:c r="V961" s="218" t="n">
        <x:v>0.029953917050691243</x:v>
      </x:c>
      <x:c r="W961" s="217" t="n">
        <x:v>5</x:v>
      </x:c>
      <x:c r="X961" s="222" t="n">
        <x:v>750</x:v>
      </x:c>
      <x:c r="Y961" s="217" t="n">
        <x:v>26</x:v>
      </x:c>
    </x:row>
    <x:row r="962">
      <x:c r="A962" s="216" t="n">
        <x:v>1176</x:v>
      </x:c>
      <x:c r="B962" s="216" t="str">
        <x:v>新店新和國小</x:v>
      </x:c>
      <x:c r="C962" s="216" t="str">
        <x:v>新店區</x:v>
      </x:c>
      <x:c r="D962" s="216" t="n">
        <x:v>36</x:v>
      </x:c>
      <x:c r="E962" s="216" t="n">
        <x:v>120</x:v>
      </x:c>
      <x:c r="F962" s="219" t="n">
        <x:v>0.9994791666666667</x:v>
      </x:c>
      <x:c r="G962" s="216" t="n">
        <x:v>958</x:v>
      </x:c>
      <x:c r="H962" s="216" t="str">
        <x:f>IF(G962&lt;='排名定義'!$B$5,"是","")</x:f>
        <x:v>是</x:v>
      </x:c>
      <x:c r="I962" s="216" t="n">
        <x:v>990</x:v>
      </x:c>
      <x:c r="J962" s="216" t="str">
        <x:f>IF(I962&lt;='排名定義'!$B$5,"是","")</x:f>
        <x:v>是</x:v>
      </x:c>
      <x:c r="K962" s="216" t="n">
        <x:v>474</x:v>
      </x:c>
      <x:c r="L962" s="216" t="str">
        <x:f>IF(K962&lt;='排名定義'!$B$5,"是","")</x:f>
        <x:v>是</x:v>
      </x:c>
      <x:c r="M962" s="216" t="n">
        <x:f>COUNTIF(H962:L962,"是")</x:f>
        <x:v>3</x:v>
      </x:c>
      <x:c r="N962" s="216" t="str">
        <x:v>三份皆未入選</x:v>
      </x:c>
      <x:c r="O962" s="221" t="n">
        <x:v>37.483333333333334</x:v>
      </x:c>
      <x:c r="P962" s="221" t="n">
        <x:v>32.2</x:v>
      </x:c>
      <x:c r="Q962" s="221" t="n">
        <x:v>5.283333333333333</x:v>
      </x:c>
      <x:c r="R962" s="221" t="n">
        <x:v>0.14095153401511784</x:v>
      </x:c>
      <x:c r="S962" s="221" t="n">
        <x:v>59.61290322580645</x:v>
      </x:c>
      <x:c r="T962" s="221" t="n">
        <x:v>52.87096774193548</x:v>
      </x:c>
      <x:c r="U962" s="221" t="n">
        <x:v>6.741935483870968</x:v>
      </x:c>
      <x:c r="V962" s="219" t="n">
        <x:v>0.002304147465437788</x:v>
      </x:c>
      <x:c r="W962" s="216" t="n">
        <x:v>2</x:v>
      </x:c>
      <x:c r="X962" s="223" t="n">
        <x:v>210</x:v>
      </x:c>
      <x:c r="Y962" s="216" t="n">
        <x:v>36</x:v>
      </x:c>
    </x:row>
    <x:row r="963">
      <x:c r="A963" s="217" t="n">
        <x:v>215</x:v>
      </x:c>
      <x:c r="B963" s="217" t="str">
        <x:v>蘆洲鷺江停車場</x:v>
      </x:c>
      <x:c r="C963" s="217" t="str">
        <x:v>蘆洲區</x:v>
      </x:c>
      <x:c r="D963" s="217" t="n">
        <x:v>12</x:v>
      </x:c>
      <x:c r="E963" s="217" t="n">
        <x:v>120</x:v>
      </x:c>
      <x:c r="F963" s="218" t="n">
        <x:v>0.9994791666666667</x:v>
      </x:c>
      <x:c r="G963" s="217" t="n">
        <x:v>959</x:v>
      </x:c>
      <x:c r="H963" s="217" t="str">
        <x:f>IF(G963&lt;='排名定義'!$B$5,"是","")</x:f>
        <x:v>是</x:v>
      </x:c>
      <x:c r="I963" s="217" t="n">
        <x:v>948</x:v>
      </x:c>
      <x:c r="J963" s="217" t="str">
        <x:f>IF(I963&lt;='排名定義'!$B$5,"是","")</x:f>
        <x:v>是</x:v>
      </x:c>
      <x:c r="K963" s="217" t="n">
        <x:v>1084</x:v>
      </x:c>
      <x:c r="L963" s="217" t="str">
        <x:f>IF(K963&lt;='排名定義'!$B$5,"是","")</x:f>
        <x:v>是</x:v>
      </x:c>
      <x:c r="M963" s="217" t="n">
        <x:f>COUNTIF(H963:L963,"是")</x:f>
        <x:v>3</x:v>
      </x:c>
      <x:c r="N963" s="217" t="str">
        <x:v>三份皆未入選</x:v>
      </x:c>
      <x:c r="O963" s="220" t="n">
        <x:v>37.43333333333333</x:v>
      </x:c>
      <x:c r="P963" s="220" t="n">
        <x:v>34.18333333333333</x:v>
      </x:c>
      <x:c r="Q963" s="220" t="n">
        <x:v>3.25</x:v>
      </x:c>
      <x:c r="R963" s="220" t="n">
        <x:v>0.08682101513802315</x:v>
      </x:c>
      <x:c r="S963" s="220" t="n">
        <x:v>53.70967741935484</x:v>
      </x:c>
      <x:c r="T963" s="220" t="n">
        <x:v>50.806451612903224</x:v>
      </x:c>
      <x:c r="U963" s="220" t="n">
        <x:v>2.903225806451613</x:v>
      </x:c>
      <x:c r="V963" s="218" t="n">
        <x:v>0.12442396313364056</x:v>
      </x:c>
      <x:c r="W963" s="217" t="n">
        <x:v>36</x:v>
      </x:c>
      <x:c r="X963" s="222" t="n">
        <x:v>3960</x:v>
      </x:c>
      <x:c r="Y963" s="217" t="n">
        <x:v>12</x:v>
      </x:c>
    </x:row>
    <x:row r="964">
      <x:c r="A964" s="216" t="n">
        <x:v>869</x:v>
      </x:c>
      <x:c r="B964" s="216" t="str">
        <x:v>五工路68巷口</x:v>
      </x:c>
      <x:c r="C964" s="216" t="str">
        <x:v>新莊區</x:v>
      </x:c>
      <x:c r="D964" s="216" t="n">
        <x:v>25</x:v>
      </x:c>
      <x:c r="E964" s="216" t="n">
        <x:v>120</x:v>
      </x:c>
      <x:c r="F964" s="219" t="n">
        <x:v>0.9994791666666667</x:v>
      </x:c>
      <x:c r="G964" s="216" t="n">
        <x:v>960</x:v>
      </x:c>
      <x:c r="H964" s="216" t="str">
        <x:f>IF(G964&lt;='排名定義'!$B$5,"是","")</x:f>
        <x:v>是</x:v>
      </x:c>
      <x:c r="I964" s="216" t="n">
        <x:v>962</x:v>
      </x:c>
      <x:c r="J964" s="216" t="str">
        <x:f>IF(I964&lt;='排名定義'!$B$5,"是","")</x:f>
        <x:v>是</x:v>
      </x:c>
      <x:c r="K964" s="216" t="n">
        <x:v>877</x:v>
      </x:c>
      <x:c r="L964" s="216" t="str">
        <x:f>IF(K964&lt;='排名定義'!$B$5,"是","")</x:f>
        <x:v>是</x:v>
      </x:c>
      <x:c r="M964" s="216" t="n">
        <x:f>COUNTIF(H964:L964,"是")</x:f>
        <x:v>3</x:v>
      </x:c>
      <x:c r="N964" s="216" t="str">
        <x:v>三份皆未入選</x:v>
      </x:c>
      <x:c r="O964" s="221" t="n">
        <x:v>37.4</x:v>
      </x:c>
      <x:c r="P964" s="221" t="n">
        <x:v>33.608333333333334</x:v>
      </x:c>
      <x:c r="Q964" s="221" t="n">
        <x:v>3.7916666666666665</x:v>
      </x:c>
      <x:c r="R964" s="221" t="n">
        <x:v>0.10138146167557932</x:v>
      </x:c>
      <x:c r="S964" s="221" t="n">
        <x:v>52.25806451612903</x:v>
      </x:c>
      <x:c r="T964" s="221" t="n">
        <x:v>49.74193548387097</x:v>
      </x:c>
      <x:c r="U964" s="221" t="n">
        <x:v>2.5161290322580645</x:v>
      </x:c>
      <x:c r="V964" s="219" t="n">
        <x:v>0.10138248847926268</x:v>
      </x:c>
      <x:c r="W964" s="216" t="n">
        <x:v>40</x:v>
      </x:c>
      <x:c r="X964" s="223" t="n">
        <x:v>5370</x:v>
      </x:c>
      <x:c r="Y964" s="216" t="n">
        <x:v>25</x:v>
      </x:c>
    </x:row>
    <x:row r="965">
      <x:c r="A965" s="217" t="n">
        <x:v>1303</x:v>
      </x:c>
      <x:c r="B965" s="217" t="str">
        <x:v>頂埔國小</x:v>
      </x:c>
      <x:c r="C965" s="217" t="str">
        <x:v>土城區</x:v>
      </x:c>
      <x:c r="D965" s="217" t="n">
        <x:v>40</x:v>
      </x:c>
      <x:c r="E965" s="217" t="n">
        <x:v>120</x:v>
      </x:c>
      <x:c r="F965" s="218" t="n">
        <x:v>0.9994791666666667</x:v>
      </x:c>
      <x:c r="G965" s="217" t="n">
        <x:v>961</x:v>
      </x:c>
      <x:c r="H965" s="217" t="str">
        <x:f>IF(G965&lt;='排名定義'!$B$5,"是","")</x:f>
        <x:v>是</x:v>
      </x:c>
      <x:c r="I965" s="217" t="n">
        <x:v>954</x:v>
      </x:c>
      <x:c r="J965" s="217" t="str">
        <x:f>IF(I965&lt;='排名定義'!$B$5,"是","")</x:f>
        <x:v>是</x:v>
      </x:c>
      <x:c r="K965" s="217" t="n">
        <x:v>959</x:v>
      </x:c>
      <x:c r="L965" s="217" t="str">
        <x:f>IF(K965&lt;='排名定義'!$B$5,"是","")</x:f>
        <x:v>是</x:v>
      </x:c>
      <x:c r="M965" s="217" t="n">
        <x:f>COUNTIF(H965:L965,"是")</x:f>
        <x:v>3</x:v>
      </x:c>
      <x:c r="N965" s="217" t="str">
        <x:v>三份皆未入選</x:v>
      </x:c>
      <x:c r="O965" s="220" t="n">
        <x:v>37.391666666666666</x:v>
      </x:c>
      <x:c r="P965" s="220" t="n">
        <x:v>33.85</x:v>
      </x:c>
      <x:c r="Q965" s="220" t="n">
        <x:v>3.5416666666666665</x:v>
      </x:c>
      <x:c r="R965" s="220" t="n">
        <x:v>0.09471807443726321</x:v>
      </x:c>
      <x:c r="S965" s="220" t="n">
        <x:v>69.7741935483871</x:v>
      </x:c>
      <x:c r="T965" s="220" t="n">
        <x:v>65.83870967741936</x:v>
      </x:c>
      <x:c r="U965" s="220" t="n">
        <x:v>3.935483870967742</x:v>
      </x:c>
      <x:c r="V965" s="218" t="n">
        <x:v>0.07373271889400922</x:v>
      </x:c>
      <x:c r="W965" s="217" t="n">
        <x:v>23</x:v>
      </x:c>
      <x:c r="X965" s="222" t="n">
        <x:v>2610</x:v>
      </x:c>
      <x:c r="Y965" s="217" t="n">
        <x:v>40</x:v>
      </x:c>
    </x:row>
    <x:row r="966">
      <x:c r="A966" s="216" t="n">
        <x:v>374</x:v>
      </x:c>
      <x:c r="B966" s="216" t="str">
        <x:v>水興公</x:v>
      </x:c>
      <x:c r="C966" s="216" t="str">
        <x:v>八里區</x:v>
      </x:c>
      <x:c r="D966" s="216" t="n">
        <x:v>15</x:v>
      </x:c>
      <x:c r="E966" s="216" t="n">
        <x:v>120</x:v>
      </x:c>
      <x:c r="F966" s="219" t="n">
        <x:v>0.9994791666666667</x:v>
      </x:c>
      <x:c r="G966" s="216" t="n">
        <x:v>962</x:v>
      </x:c>
      <x:c r="H966" s="216" t="str">
        <x:f>IF(G966&lt;='排名定義'!$B$5,"是","")</x:f>
        <x:v>是</x:v>
      </x:c>
      <x:c r="I966" s="216" t="n">
        <x:v>963</x:v>
      </x:c>
      <x:c r="J966" s="216" t="str">
        <x:f>IF(I966&lt;='排名定義'!$B$5,"是","")</x:f>
        <x:v>是</x:v>
      </x:c>
      <x:c r="K966" s="216" t="n">
        <x:v>887</x:v>
      </x:c>
      <x:c r="L966" s="216" t="str">
        <x:f>IF(K966&lt;='排名定義'!$B$5,"是","")</x:f>
        <x:v>是</x:v>
      </x:c>
      <x:c r="M966" s="216" t="n">
        <x:f>COUNTIF(H966:L966,"是")</x:f>
        <x:v>3</x:v>
      </x:c>
      <x:c r="N966" s="216" t="str">
        <x:v>三份皆未入選</x:v>
      </x:c>
      <x:c r="O966" s="221" t="n">
        <x:v>37.35</x:v>
      </x:c>
      <x:c r="P966" s="221" t="n">
        <x:v>33.583333333333336</x:v>
      </x:c>
      <x:c r="Q966" s="221" t="n">
        <x:v>3.7666666666666666</x:v>
      </x:c>
      <x:c r="R966" s="221" t="n">
        <x:v>0.10084783578759482</x:v>
      </x:c>
      <x:c r="S966" s="221" t="n">
        <x:v>77.87096774193549</x:v>
      </x:c>
      <x:c r="T966" s="221" t="n">
        <x:v>73</x:v>
      </x:c>
      <x:c r="U966" s="221" t="n">
        <x:v>4.870967741935484</x:v>
      </x:c>
      <x:c r="V966" s="219" t="n">
        <x:v>0.08064516129032258</x:v>
      </x:c>
      <x:c r="W966" s="216" t="n">
        <x:v>22</x:v>
      </x:c>
      <x:c r="X966" s="223" t="n">
        <x:v>3000</x:v>
      </x:c>
      <x:c r="Y966" s="216" t="n">
        <x:v>15</x:v>
      </x:c>
    </x:row>
    <x:row r="967">
      <x:c r="A967" s="217" t="n">
        <x:v>449</x:v>
      </x:c>
      <x:c r="B967" s="217" t="str">
        <x:v>塭仔底濕地公園(中華路)</x:v>
      </x:c>
      <x:c r="C967" s="217" t="str">
        <x:v>新莊區</x:v>
      </x:c>
      <x:c r="D967" s="217" t="n">
        <x:v>24</x:v>
      </x:c>
      <x:c r="E967" s="217" t="n">
        <x:v>120</x:v>
      </x:c>
      <x:c r="F967" s="218" t="n">
        <x:v>0.9994791666666667</x:v>
      </x:c>
      <x:c r="G967" s="217" t="n">
        <x:v>963</x:v>
      </x:c>
      <x:c r="H967" s="217" t="str">
        <x:f>IF(G967&lt;='排名定義'!$B$5,"是","")</x:f>
        <x:v>是</x:v>
      </x:c>
      <x:c r="I967" s="217" t="n">
        <x:v>957</x:v>
      </x:c>
      <x:c r="J967" s="217" t="str">
        <x:f>IF(I967&lt;='排名定義'!$B$5,"是","")</x:f>
        <x:v>是</x:v>
      </x:c>
      <x:c r="K967" s="217" t="n">
        <x:v>984</x:v>
      </x:c>
      <x:c r="L967" s="217" t="str">
        <x:f>IF(K967&lt;='排名定義'!$B$5,"是","")</x:f>
        <x:v>是</x:v>
      </x:c>
      <x:c r="M967" s="217" t="n">
        <x:f>COUNTIF(H967:L967,"是")</x:f>
        <x:v>3</x:v>
      </x:c>
      <x:c r="N967" s="217" t="str">
        <x:v>三份皆未入選</x:v>
      </x:c>
      <x:c r="O967" s="220" t="n">
        <x:v>37.25</x:v>
      </x:c>
      <x:c r="P967" s="220" t="n">
        <x:v>33.775</x:v>
      </x:c>
      <x:c r="Q967" s="220" t="n">
        <x:v>3.475</x:v>
      </x:c>
      <x:c r="R967" s="220" t="n">
        <x:v>0.09328859060402685</x:v>
      </x:c>
      <x:c r="S967" s="220" t="n">
        <x:v>55.064516129032256</x:v>
      </x:c>
      <x:c r="T967" s="220" t="n">
        <x:v>50.32258064516129</x:v>
      </x:c>
      <x:c r="U967" s="220" t="n">
        <x:v>4.741935483870968</x:v>
      </x:c>
      <x:c r="V967" s="218" t="n">
        <x:v>0.04608294930875576</x:v>
      </x:c>
      <x:c r="W967" s="217" t="n">
        <x:v>6</x:v>
      </x:c>
      <x:c r="X967" s="222" t="n">
        <x:v>1230</x:v>
      </x:c>
      <x:c r="Y967" s="217" t="n">
        <x:v>24</x:v>
      </x:c>
    </x:row>
    <x:row r="968">
      <x:c r="A968" s="216" t="n">
        <x:v>571</x:v>
      </x:c>
      <x:c r="B968" s="216" t="str">
        <x:v>學府大學路口</x:v>
      </x:c>
      <x:c r="C968" s="216" t="str">
        <x:v>三峽區</x:v>
      </x:c>
      <x:c r="D968" s="216" t="n">
        <x:v>18</x:v>
      </x:c>
      <x:c r="E968" s="216" t="n">
        <x:v>120</x:v>
      </x:c>
      <x:c r="F968" s="219" t="n">
        <x:v>0.9994791666666667</x:v>
      </x:c>
      <x:c r="G968" s="216" t="n">
        <x:v>964</x:v>
      </x:c>
      <x:c r="H968" s="216" t="str">
        <x:f>IF(G968&lt;='排名定義'!$B$5,"是","")</x:f>
        <x:v>是</x:v>
      </x:c>
      <x:c r="I968" s="216" t="n">
        <x:v>946</x:v>
      </x:c>
      <x:c r="J968" s="216" t="str">
        <x:f>IF(I968&lt;='排名定義'!$B$5,"是","")</x:f>
        <x:v>是</x:v>
      </x:c>
      <x:c r="K968" s="216" t="n">
        <x:v>1237</x:v>
      </x:c>
      <x:c r="L968" s="216" t="str">
        <x:f>IF(K968&lt;='排名定義'!$B$5,"是","")</x:f>
        <x:v>是</x:v>
      </x:c>
      <x:c r="M968" s="216" t="n">
        <x:f>COUNTIF(H968:L968,"是")</x:f>
        <x:v>3</x:v>
      </x:c>
      <x:c r="N968" s="216" t="str">
        <x:v>三份皆未入選</x:v>
      </x:c>
      <x:c r="O968" s="221" t="n">
        <x:v>37.06666666666667</x:v>
      </x:c>
      <x:c r="P968" s="221" t="n">
        <x:v>34.28333333333333</x:v>
      </x:c>
      <x:c r="Q968" s="221" t="n">
        <x:v>2.783333333333333</x:v>
      </x:c>
      <x:c r="R968" s="221" t="n">
        <x:v>0.07508992805755396</x:v>
      </x:c>
      <x:c r="S968" s="221" t="n">
        <x:v>66.3225806451613</x:v>
      </x:c>
      <x:c r="T968" s="221" t="n">
        <x:v>63.54838709677419</x:v>
      </x:c>
      <x:c r="U968" s="221" t="n">
        <x:v>2.774193548387097</x:v>
      </x:c>
      <x:c r="V968" s="219" t="n">
        <x:v>0.055299539170506916</x:v>
      </x:c>
      <x:c r="W968" s="216" t="n">
        <x:v>13</x:v>
      </x:c>
      <x:c r="X968" s="223" t="n">
        <x:v>1710</x:v>
      </x:c>
      <x:c r="Y968" s="216" t="n">
        <x:v>18</x:v>
      </x:c>
    </x:row>
    <x:row r="969">
      <x:c r="A969" s="217" t="n">
        <x:v>1307</x:v>
      </x:c>
      <x:c r="B969" s="217" t="str">
        <x:v>學府中正路口(A+社區)</x:v>
      </x:c>
      <x:c r="C969" s="217" t="str">
        <x:v>土城區</x:v>
      </x:c>
      <x:c r="D969" s="217" t="n">
        <x:v>40</x:v>
      </x:c>
      <x:c r="E969" s="217" t="n">
        <x:v>120</x:v>
      </x:c>
      <x:c r="F969" s="218" t="n">
        <x:v>0.9994791666666667</x:v>
      </x:c>
      <x:c r="G969" s="217" t="n">
        <x:v>965</x:v>
      </x:c>
      <x:c r="H969" s="217" t="str">
        <x:f>IF(G969&lt;='排名定義'!$B$5,"是","")</x:f>
        <x:v>是</x:v>
      </x:c>
      <x:c r="I969" s="217" t="n">
        <x:v>971</x:v>
      </x:c>
      <x:c r="J969" s="217" t="str">
        <x:f>IF(I969&lt;='排名定義'!$B$5,"是","")</x:f>
        <x:v>是</x:v>
      </x:c>
      <x:c r="K969" s="217" t="n">
        <x:v>875</x:v>
      </x:c>
      <x:c r="L969" s="217" t="str">
        <x:f>IF(K969&lt;='排名定義'!$B$5,"是","")</x:f>
        <x:v>是</x:v>
      </x:c>
      <x:c r="M969" s="217" t="n">
        <x:f>COUNTIF(H969:L969,"是")</x:f>
        <x:v>3</x:v>
      </x:c>
      <x:c r="N969" s="217" t="str">
        <x:v>三份皆未入選</x:v>
      </x:c>
      <x:c r="O969" s="220" t="n">
        <x:v>37.05833333333333</x:v>
      </x:c>
      <x:c r="P969" s="220" t="n">
        <x:v>33.25833333333333</x:v>
      </x:c>
      <x:c r="Q969" s="220" t="n">
        <x:v>3.8</x:v>
      </x:c>
      <x:c r="R969" s="220" t="n">
        <x:v>0.10254103890263098</x:v>
      </x:c>
      <x:c r="S969" s="220" t="n">
        <x:v>62.74193548387097</x:v>
      </x:c>
      <x:c r="T969" s="220" t="n">
        <x:v>58.83870967741935</x:v>
      </x:c>
      <x:c r="U969" s="220" t="n">
        <x:v>3.903225806451613</x:v>
      </x:c>
      <x:c r="V969" s="218" t="n">
        <x:v>0.03917050691244239</x:v>
      </x:c>
      <x:c r="W969" s="217" t="n">
        <x:v>12</x:v>
      </x:c>
      <x:c r="X969" s="222" t="n">
        <x:v>1680</x:v>
      </x:c>
      <x:c r="Y969" s="217" t="n">
        <x:v>40</x:v>
      </x:c>
    </x:row>
    <x:row r="970">
      <x:c r="A970" s="216" t="n">
        <x:v>720</x:v>
      </x:c>
      <x:c r="B970" s="216" t="str">
        <x:v>永德市民活動中心</x:v>
      </x:c>
      <x:c r="C970" s="216" t="str">
        <x:v>三重區</x:v>
      </x:c>
      <x:c r="D970" s="216" t="n">
        <x:v>20</x:v>
      </x:c>
      <x:c r="E970" s="216" t="n">
        <x:v>120</x:v>
      </x:c>
      <x:c r="F970" s="219" t="n">
        <x:v>0.9994791666666667</x:v>
      </x:c>
      <x:c r="G970" s="216" t="n">
        <x:v>966</x:v>
      </x:c>
      <x:c r="H970" s="216" t="str">
        <x:f>IF(G970&lt;='排名定義'!$B$5,"是","")</x:f>
        <x:v>是</x:v>
      </x:c>
      <x:c r="I970" s="216" t="n">
        <x:v>980</x:v>
      </x:c>
      <x:c r="J970" s="216" t="str">
        <x:f>IF(I970&lt;='排名定義'!$B$5,"是","")</x:f>
        <x:v>是</x:v>
      </x:c>
      <x:c r="K970" s="216" t="n">
        <x:v>759</x:v>
      </x:c>
      <x:c r="L970" s="216" t="str">
        <x:f>IF(K970&lt;='排名定義'!$B$5,"是","")</x:f>
        <x:v>是</x:v>
      </x:c>
      <x:c r="M970" s="216" t="n">
        <x:f>COUNTIF(H970:L970,"是")</x:f>
        <x:v>3</x:v>
      </x:c>
      <x:c r="N970" s="216" t="str">
        <x:v>三份皆未入選</x:v>
      </x:c>
      <x:c r="O970" s="221" t="n">
        <x:v>36.96666666666667</x:v>
      </x:c>
      <x:c r="P970" s="221" t="n">
        <x:v>32.858333333333334</x:v>
      </x:c>
      <x:c r="Q970" s="221" t="n">
        <x:v>4.108333333333333</x:v>
      </x:c>
      <x:c r="R970" s="221" t="n">
        <x:v>0.11113615870153291</x:v>
      </x:c>
      <x:c r="S970" s="221" t="n">
        <x:v>53.03225806451613</x:v>
      </x:c>
      <x:c r="T970" s="221" t="n">
        <x:v>49.32258064516129</x:v>
      </x:c>
      <x:c r="U970" s="221" t="n">
        <x:v>3.7096774193548385</x:v>
      </x:c>
      <x:c r="V970" s="219" t="n">
        <x:v>0.08064516129032258</x:v>
      </x:c>
      <x:c r="W970" s="216" t="n">
        <x:v>15</x:v>
      </x:c>
      <x:c r="X970" s="223" t="n">
        <x:v>1650</x:v>
      </x:c>
      <x:c r="Y970" s="216" t="n">
        <x:v>20</x:v>
      </x:c>
    </x:row>
    <x:row r="971">
      <x:c r="A971" s="217" t="n">
        <x:v>946</x:v>
      </x:c>
      <x:c r="B971" s="217" t="str">
        <x:v>頭前國小</x:v>
      </x:c>
      <x:c r="C971" s="217" t="str">
        <x:v>新莊區</x:v>
      </x:c>
      <x:c r="D971" s="217" t="n">
        <x:v>46</x:v>
      </x:c>
      <x:c r="E971" s="217" t="n">
        <x:v>120</x:v>
      </x:c>
      <x:c r="F971" s="218" t="n">
        <x:v>0.9994791666666667</x:v>
      </x:c>
      <x:c r="G971" s="217" t="n">
        <x:v>967</x:v>
      </x:c>
      <x:c r="H971" s="217" t="str">
        <x:f>IF(G971&lt;='排名定義'!$B$5,"是","")</x:f>
        <x:v>是</x:v>
      </x:c>
      <x:c r="I971" s="217" t="n">
        <x:v>964</x:v>
      </x:c>
      <x:c r="J971" s="217" t="str">
        <x:f>IF(I971&lt;='排名定義'!$B$5,"是","")</x:f>
        <x:v>是</x:v>
      </x:c>
      <x:c r="K971" s="217" t="n">
        <x:v>1016</x:v>
      </x:c>
      <x:c r="L971" s="217" t="str">
        <x:f>IF(K971&lt;='排名定義'!$B$5,"是","")</x:f>
        <x:v>是</x:v>
      </x:c>
      <x:c r="M971" s="217" t="n">
        <x:f>COUNTIF(H971:L971,"是")</x:f>
        <x:v>3</x:v>
      </x:c>
      <x:c r="N971" s="217" t="str">
        <x:v>三份皆未入選</x:v>
      </x:c>
      <x:c r="O971" s="220" t="n">
        <x:v>36.94166666666667</x:v>
      </x:c>
      <x:c r="P971" s="220" t="n">
        <x:v>33.53333333333333</x:v>
      </x:c>
      <x:c r="Q971" s="220" t="n">
        <x:v>3.408333333333333</x:v>
      </x:c>
      <x:c r="R971" s="220" t="n">
        <x:v>0.09226257613354387</x:v>
      </x:c>
      <x:c r="S971" s="220" t="n">
        <x:v>56.903225806451616</x:v>
      </x:c>
      <x:c r="T971" s="220" t="n">
        <x:v>52.41935483870968</x:v>
      </x:c>
      <x:c r="U971" s="220" t="n">
        <x:v>4.483870967741935</x:v>
      </x:c>
      <x:c r="V971" s="218" t="n">
        <x:v>0.02534562211981567</x:v>
      </x:c>
      <x:c r="W971" s="217" t="n">
        <x:v>5</x:v>
      </x:c>
      <x:c r="X971" s="222" t="n">
        <x:v>810</x:v>
      </x:c>
      <x:c r="Y971" s="217" t="n">
        <x:v>46</x:v>
      </x:c>
    </x:row>
    <x:row r="972">
      <x:c r="A972" s="216" t="n">
        <x:v>980</x:v>
      </x:c>
      <x:c r="B972" s="216" t="str">
        <x:v>康寧街307巷</x:v>
      </x:c>
      <x:c r="C972" s="216" t="str">
        <x:v>汐止區</x:v>
      </x:c>
      <x:c r="D972" s="216" t="n">
        <x:v>28</x:v>
      </x:c>
      <x:c r="E972" s="216" t="n">
        <x:v>120</x:v>
      </x:c>
      <x:c r="F972" s="219" t="n">
        <x:v>0.9994791666666667</x:v>
      </x:c>
      <x:c r="G972" s="216" t="n">
        <x:v>968</x:v>
      </x:c>
      <x:c r="H972" s="216" t="str">
        <x:f>IF(G972&lt;='排名定義'!$B$5,"是","")</x:f>
        <x:v>是</x:v>
      </x:c>
      <x:c r="I972" s="216" t="n">
        <x:v>968</x:v>
      </x:c>
      <x:c r="J972" s="216" t="str">
        <x:f>IF(I972&lt;='排名定義'!$B$5,"是","")</x:f>
        <x:v>是</x:v>
      </x:c>
      <x:c r="K972" s="216" t="n">
        <x:v>969</x:v>
      </x:c>
      <x:c r="L972" s="216" t="str">
        <x:f>IF(K972&lt;='排名定義'!$B$5,"是","")</x:f>
        <x:v>是</x:v>
      </x:c>
      <x:c r="M972" s="216" t="n">
        <x:f>COUNTIF(H972:L972,"是")</x:f>
        <x:v>3</x:v>
      </x:c>
      <x:c r="N972" s="216" t="str">
        <x:v>三份皆未入選</x:v>
      </x:c>
      <x:c r="O972" s="221" t="n">
        <x:v>36.891666666666666</x:v>
      </x:c>
      <x:c r="P972" s="221" t="n">
        <x:v>33.375</x:v>
      </x:c>
      <x:c r="Q972" s="221" t="n">
        <x:v>3.5166666666666666</x:v>
      </x:c>
      <x:c r="R972" s="221" t="n">
        <x:v>0.09532414727806642</x:v>
      </x:c>
      <x:c r="S972" s="221" t="n">
        <x:v>62.96774193548387</x:v>
      </x:c>
      <x:c r="T972" s="221" t="n">
        <x:v>58.87096774193548</x:v>
      </x:c>
      <x:c r="U972" s="221" t="n">
        <x:v>4.096774193548387</x:v>
      </x:c>
      <x:c r="V972" s="219" t="n">
        <x:v>0.02304147465437788</x:v>
      </x:c>
      <x:c r="W972" s="216" t="n">
        <x:v>4</x:v>
      </x:c>
      <x:c r="X972" s="223" t="n">
        <x:v>630</x:v>
      </x:c>
      <x:c r="Y972" s="216" t="n">
        <x:v>28</x:v>
      </x:c>
    </x:row>
    <x:row r="973">
      <x:c r="A973" s="217" t="n">
        <x:v>1138</x:v>
      </x:c>
      <x:c r="B973" s="217" t="str">
        <x:v>扶輪公園(忠孝路)</x:v>
      </x:c>
      <x:c r="C973" s="217" t="str">
        <x:v>林口區</x:v>
      </x:c>
      <x:c r="D973" s="217" t="n">
        <x:v>33</x:v>
      </x:c>
      <x:c r="E973" s="217" t="n">
        <x:v>120</x:v>
      </x:c>
      <x:c r="F973" s="218" t="n">
        <x:v>0.9994791666666667</x:v>
      </x:c>
      <x:c r="G973" s="217" t="n">
        <x:v>969</x:v>
      </x:c>
      <x:c r="H973" s="217" t="str">
        <x:f>IF(G973&lt;='排名定義'!$B$5,"是","")</x:f>
        <x:v>是</x:v>
      </x:c>
      <x:c r="I973" s="217" t="n">
        <x:v>970</x:v>
      </x:c>
      <x:c r="J973" s="217" t="str">
        <x:f>IF(I973&lt;='排名定義'!$B$5,"是","")</x:f>
        <x:v>是</x:v>
      </x:c>
      <x:c r="K973" s="217" t="n">
        <x:v>929</x:v>
      </x:c>
      <x:c r="L973" s="217" t="str">
        <x:f>IF(K973&lt;='排名定義'!$B$5,"是","")</x:f>
        <x:v>是</x:v>
      </x:c>
      <x:c r="M973" s="217" t="n">
        <x:f>COUNTIF(H973:L973,"是")</x:f>
        <x:v>3</x:v>
      </x:c>
      <x:c r="N973" s="217" t="str">
        <x:v>三份皆未入選</x:v>
      </x:c>
      <x:c r="O973" s="220" t="n">
        <x:v>36.891666666666666</x:v>
      </x:c>
      <x:c r="P973" s="220" t="n">
        <x:v>33.266666666666666</x:v>
      </x:c>
      <x:c r="Q973" s="220" t="n">
        <x:v>3.625</x:v>
      </x:c>
      <x:c r="R973" s="220" t="n">
        <x:v>0.09826067314208267</x:v>
      </x:c>
      <x:c r="S973" s="220" t="n">
        <x:v>59.45161290322581</x:v>
      </x:c>
      <x:c r="T973" s="220" t="n">
        <x:v>56.483870967741936</x:v>
      </x:c>
      <x:c r="U973" s="220" t="n">
        <x:v>2.967741935483871</x:v>
      </x:c>
      <x:c r="V973" s="218" t="n">
        <x:v>0.018433179723502304</x:v>
      </x:c>
      <x:c r="W973" s="217" t="n">
        <x:v>9</x:v>
      </x:c>
      <x:c r="X973" s="222" t="n">
        <x:v>1230</x:v>
      </x:c>
      <x:c r="Y973" s="217" t="n">
        <x:v>33</x:v>
      </x:c>
    </x:row>
    <x:row r="974">
      <x:c r="A974" s="216" t="n">
        <x:v>1167</x:v>
      </x:c>
      <x:c r="B974" s="216" t="str">
        <x:v>塭仔圳十米園道(幸福路口)</x:v>
      </x:c>
      <x:c r="C974" s="216" t="str">
        <x:v>新莊區</x:v>
      </x:c>
      <x:c r="D974" s="216" t="n">
        <x:v>35</x:v>
      </x:c>
      <x:c r="E974" s="216" t="n">
        <x:v>120</x:v>
      </x:c>
      <x:c r="F974" s="219" t="n">
        <x:v>0.9994791666666667</x:v>
      </x:c>
      <x:c r="G974" s="216" t="n">
        <x:v>970</x:v>
      </x:c>
      <x:c r="H974" s="216" t="str">
        <x:f>IF(G974&lt;='排名定義'!$B$5,"是","")</x:f>
        <x:v>是</x:v>
      </x:c>
      <x:c r="I974" s="216" t="n">
        <x:v>978</x:v>
      </x:c>
      <x:c r="J974" s="216" t="str">
        <x:f>IF(I974&lt;='排名定義'!$B$5,"是","")</x:f>
        <x:v>是</x:v>
      </x:c>
      <x:c r="K974" s="216" t="n">
        <x:v>859</x:v>
      </x:c>
      <x:c r="L974" s="216" t="str">
        <x:f>IF(K974&lt;='排名定義'!$B$5,"是","")</x:f>
        <x:v>是</x:v>
      </x:c>
      <x:c r="M974" s="216" t="n">
        <x:f>COUNTIF(H974:L974,"是")</x:f>
        <x:v>3</x:v>
      </x:c>
      <x:c r="N974" s="216" t="str">
        <x:v>三份皆未入選</x:v>
      </x:c>
      <x:c r="O974" s="221" t="n">
        <x:v>36.81666666666667</x:v>
      </x:c>
      <x:c r="P974" s="221" t="n">
        <x:v>32.975</x:v>
      </x:c>
      <x:c r="Q974" s="221" t="n">
        <x:v>3.841666666666667</x:v>
      </x:c>
      <x:c r="R974" s="221" t="n">
        <x:v>0.10434585785423268</x:v>
      </x:c>
      <x:c r="S974" s="221" t="n">
        <x:v>54.32258064516129</x:v>
      </x:c>
      <x:c r="T974" s="221" t="n">
        <x:v>50.774193548387096</x:v>
      </x:c>
      <x:c r="U974" s="221" t="n">
        <x:v>3.5483870967741935</x:v>
      </x:c>
      <x:c r="V974" s="219" t="n">
        <x:v>0.03917050691244239</x:v>
      </x:c>
      <x:c r="W974" s="216" t="n">
        <x:v>4</x:v>
      </x:c>
      <x:c r="X974" s="223" t="n">
        <x:v>600</x:v>
      </x:c>
      <x:c r="Y974" s="216" t="n">
        <x:v>35</x:v>
      </x:c>
    </x:row>
    <x:row r="975">
      <x:c r="A975" s="217" t="n">
        <x:v>228</x:v>
      </x:c>
      <x:c r="B975" s="217" t="str">
        <x:v>力行路二段91巷口</x:v>
      </x:c>
      <x:c r="C975" s="217" t="str">
        <x:v>三重區</x:v>
      </x:c>
      <x:c r="D975" s="217" t="n">
        <x:v>13</x:v>
      </x:c>
      <x:c r="E975" s="217" t="n">
        <x:v>120</x:v>
      </x:c>
      <x:c r="F975" s="218" t="n">
        <x:v>0.9994791666666667</x:v>
      </x:c>
      <x:c r="G975" s="217" t="n">
        <x:v>971</x:v>
      </x:c>
      <x:c r="H975" s="217" t="str">
        <x:f>IF(G975&lt;='排名定義'!$B$5,"是","")</x:f>
        <x:v>是</x:v>
      </x:c>
      <x:c r="I975" s="217" t="n">
        <x:v>955</x:v>
      </x:c>
      <x:c r="J975" s="217" t="str">
        <x:f>IF(I975&lt;='排名定義'!$B$5,"是","")</x:f>
        <x:v>是</x:v>
      </x:c>
      <x:c r="K975" s="217" t="n">
        <x:v>1202</x:v>
      </x:c>
      <x:c r="L975" s="217" t="str">
        <x:f>IF(K975&lt;='排名定義'!$B$5,"是","")</x:f>
        <x:v>是</x:v>
      </x:c>
      <x:c r="M975" s="217" t="n">
        <x:f>COUNTIF(H975:L975,"是")</x:f>
        <x:v>3</x:v>
      </x:c>
      <x:c r="N975" s="217" t="str">
        <x:v>三份皆未入選</x:v>
      </x:c>
      <x:c r="O975" s="220" t="n">
        <x:v>36.733333333333334</x:v>
      </x:c>
      <x:c r="P975" s="220" t="n">
        <x:v>33.84166666666667</x:v>
      </x:c>
      <x:c r="Q975" s="220" t="n">
        <x:v>2.8916666666666666</x:v>
      </x:c>
      <x:c r="R975" s="220" t="n">
        <x:v>0.07872050816696914</x:v>
      </x:c>
      <x:c r="S975" s="220" t="n">
        <x:v>54.32258064516129</x:v>
      </x:c>
      <x:c r="T975" s="220" t="n">
        <x:v>50.903225806451616</x:v>
      </x:c>
      <x:c r="U975" s="220" t="n">
        <x:v>3.4193548387096775</x:v>
      </x:c>
      <x:c r="V975" s="218" t="n">
        <x:v>0.0967741935483871</x:v>
      </x:c>
      <x:c r="W975" s="217" t="n">
        <x:v>29</x:v>
      </x:c>
      <x:c r="X975" s="222" t="n">
        <x:v>3570</x:v>
      </x:c>
      <x:c r="Y975" s="217" t="n">
        <x:v>13</x:v>
      </x:c>
    </x:row>
    <x:row r="976">
      <x:c r="A976" s="216" t="n">
        <x:v>1169</x:v>
      </x:c>
      <x:c r="B976" s="216" t="str">
        <x:v>興穀國小</x:v>
      </x:c>
      <x:c r="C976" s="216" t="str">
        <x:v>三重區</x:v>
      </x:c>
      <x:c r="D976" s="216" t="n">
        <x:v>35</x:v>
      </x:c>
      <x:c r="E976" s="216" t="n">
        <x:v>120</x:v>
      </x:c>
      <x:c r="F976" s="219" t="n">
        <x:v>0.9994791666666667</x:v>
      </x:c>
      <x:c r="G976" s="216" t="n">
        <x:v>972</x:v>
      </x:c>
      <x:c r="H976" s="216" t="str">
        <x:f>IF(G976&lt;='排名定義'!$B$5,"是","")</x:f>
        <x:v>是</x:v>
      </x:c>
      <x:c r="I976" s="216" t="n">
        <x:v>969</x:v>
      </x:c>
      <x:c r="J976" s="216" t="str">
        <x:f>IF(I976&lt;='排名定義'!$B$5,"是","")</x:f>
        <x:v>是</x:v>
      </x:c>
      <x:c r="K976" s="216" t="n">
        <x:v>1020</x:v>
      </x:c>
      <x:c r="L976" s="216" t="str">
        <x:f>IF(K976&lt;='排名定義'!$B$5,"是","")</x:f>
        <x:v>是</x:v>
      </x:c>
      <x:c r="M976" s="216" t="n">
        <x:f>COUNTIF(H976:L976,"是")</x:f>
        <x:v>3</x:v>
      </x:c>
      <x:c r="N976" s="216" t="str">
        <x:v>三份皆未入選</x:v>
      </x:c>
      <x:c r="O976" s="221" t="n">
        <x:v>36.69166666666667</x:v>
      </x:c>
      <x:c r="P976" s="221" t="n">
        <x:v>33.291666666666664</x:v>
      </x:c>
      <x:c r="Q976" s="221" t="n">
        <x:v>3.4</x:v>
      </x:c>
      <x:c r="R976" s="221" t="n">
        <x:v>0.09266409266409266</x:v>
      </x:c>
      <x:c r="S976" s="221" t="n">
        <x:v>56.483870967741936</x:v>
      </x:c>
      <x:c r="T976" s="221" t="n">
        <x:v>53.54838709677419</x:v>
      </x:c>
      <x:c r="U976" s="221" t="n">
        <x:v>2.935483870967742</x:v>
      </x:c>
      <x:c r="V976" s="219" t="n">
        <x:v>0.02534562211981567</x:v>
      </x:c>
      <x:c r="W976" s="216" t="n">
        <x:v>5</x:v>
      </x:c>
      <x:c r="X976" s="223" t="n">
        <x:v>510</x:v>
      </x:c>
      <x:c r="Y976" s="216" t="n">
        <x:v>35</x:v>
      </x:c>
    </x:row>
    <x:row r="977">
      <x:c r="A977" s="217" t="n">
        <x:v>134</x:v>
      </x:c>
      <x:c r="B977" s="217" t="str">
        <x:v>中興福德三路口</x:v>
      </x:c>
      <x:c r="C977" s="217" t="str">
        <x:v>汐止區</x:v>
      </x:c>
      <x:c r="D977" s="217" t="n">
        <x:v>10</x:v>
      </x:c>
      <x:c r="E977" s="217" t="n">
        <x:v>120</x:v>
      </x:c>
      <x:c r="F977" s="218" t="n">
        <x:v>0.9994791666666667</x:v>
      </x:c>
      <x:c r="G977" s="217" t="n">
        <x:v>973</x:v>
      </x:c>
      <x:c r="H977" s="217" t="str">
        <x:f>IF(G977&lt;='排名定義'!$B$5,"是","")</x:f>
        <x:v>是</x:v>
      </x:c>
      <x:c r="I977" s="217" t="n">
        <x:v>959</x:v>
      </x:c>
      <x:c r="J977" s="217" t="str">
        <x:f>IF(I977&lt;='排名定義'!$B$5,"是","")</x:f>
        <x:v>是</x:v>
      </x:c>
      <x:c r="K977" s="217" t="n">
        <x:v>1169</x:v>
      </x:c>
      <x:c r="L977" s="217" t="str">
        <x:f>IF(K977&lt;='排名定義'!$B$5,"是","")</x:f>
        <x:v>是</x:v>
      </x:c>
      <x:c r="M977" s="217" t="n">
        <x:f>COUNTIF(H977:L977,"是")</x:f>
        <x:v>3</x:v>
      </x:c>
      <x:c r="N977" s="217" t="str">
        <x:v>三份皆未入選</x:v>
      </x:c>
      <x:c r="O977" s="220" t="n">
        <x:v>36.666666666666664</x:v>
      </x:c>
      <x:c r="P977" s="220" t="n">
        <x:v>33.68333333333333</x:v>
      </x:c>
      <x:c r="Q977" s="220" t="n">
        <x:v>2.9833333333333334</x:v>
      </x:c>
      <x:c r="R977" s="220" t="n">
        <x:v>0.08136363636363636</x:v>
      </x:c>
      <x:c r="S977" s="220" t="n">
        <x:v>56.193548387096776</x:v>
      </x:c>
      <x:c r="T977" s="220" t="n">
        <x:v>53.41935483870968</x:v>
      </x:c>
      <x:c r="U977" s="220" t="n">
        <x:v>2.774193548387097</x:v>
      </x:c>
      <x:c r="V977" s="218" t="n">
        <x:v>0.10599078341013825</x:v>
      </x:c>
      <x:c r="W977" s="217" t="n">
        <x:v>22</x:v>
      </x:c>
      <x:c r="X977" s="222" t="n">
        <x:v>2760</x:v>
      </x:c>
      <x:c r="Y977" s="217" t="n">
        <x:v>10</x:v>
      </x:c>
    </x:row>
    <x:row r="978">
      <x:c r="A978" s="216" t="n">
        <x:v>1042</x:v>
      </x:c>
      <x:c r="B978" s="216" t="str">
        <x:v>龍門龍濱路口</x:v>
      </x:c>
      <x:c r="C978" s="216" t="str">
        <x:v>三重區</x:v>
      </x:c>
      <x:c r="D978" s="216" t="n">
        <x:v>30</x:v>
      </x:c>
      <x:c r="E978" s="216" t="n">
        <x:v>120</x:v>
      </x:c>
      <x:c r="F978" s="219" t="n">
        <x:v>0.9994791666666667</x:v>
      </x:c>
      <x:c r="G978" s="216" t="n">
        <x:v>974</x:v>
      </x:c>
      <x:c r="H978" s="216" t="str">
        <x:f>IF(G978&lt;='排名定義'!$B$5,"是","")</x:f>
        <x:v>是</x:v>
      </x:c>
      <x:c r="I978" s="216" t="n">
        <x:v>988</x:v>
      </x:c>
      <x:c r="J978" s="216" t="str">
        <x:f>IF(I978&lt;='排名定義'!$B$5,"是","")</x:f>
        <x:v>是</x:v>
      </x:c>
      <x:c r="K978" s="216" t="n">
        <x:v>676</x:v>
      </x:c>
      <x:c r="L978" s="216" t="str">
        <x:f>IF(K978&lt;='排名定義'!$B$5,"是","")</x:f>
        <x:v>是</x:v>
      </x:c>
      <x:c r="M978" s="216" t="n">
        <x:f>COUNTIF(H978:L978,"是")</x:f>
        <x:v>3</x:v>
      </x:c>
      <x:c r="N978" s="216" t="str">
        <x:v>三份皆未入選</x:v>
      </x:c>
      <x:c r="O978" s="221" t="n">
        <x:v>36.6</x:v>
      </x:c>
      <x:c r="P978" s="221" t="n">
        <x:v>32.21666666666667</x:v>
      </x:c>
      <x:c r="Q978" s="221" t="n">
        <x:v>4.383333333333334</x:v>
      </x:c>
      <x:c r="R978" s="221" t="n">
        <x:v>0.1197632058287796</x:v>
      </x:c>
      <x:c r="S978" s="221" t="n">
        <x:v>0</x:v>
      </x:c>
      <x:c r="T978" s="221" t="n">
        <x:v>0</x:v>
      </x:c>
      <x:c r="U978" s="221" t="n">
        <x:v>0</x:v>
      </x:c>
      <x:c r="V978" s="219" t="n">
        <x:v>1</x:v>
      </x:c>
      <x:c r="W978" s="216" t="n">
        <x:v>1</x:v>
      </x:c>
      <x:c r="X978" s="223" t="n">
        <x:v>44640</x:v>
      </x:c>
      <x:c r="Y978" s="216" t="n">
        <x:v>30</x:v>
      </x:c>
    </x:row>
    <x:row r="979">
      <x:c r="A979" s="217" t="n">
        <x:v>826</x:v>
      </x:c>
      <x:c r="B979" s="217" t="str">
        <x:v>中山路二段443巷口</x:v>
      </x:c>
      <x:c r="C979" s="217" t="str">
        <x:v>板橋區</x:v>
      </x:c>
      <x:c r="D979" s="217" t="n">
        <x:v>23</x:v>
      </x:c>
      <x:c r="E979" s="217" t="n">
        <x:v>120</x:v>
      </x:c>
      <x:c r="F979" s="218" t="n">
        <x:v>0.9994791666666667</x:v>
      </x:c>
      <x:c r="G979" s="217" t="n">
        <x:v>975</x:v>
      </x:c>
      <x:c r="H979" s="217" t="str">
        <x:f>IF(G979&lt;='排名定義'!$B$5,"是","")</x:f>
        <x:v>是</x:v>
      </x:c>
      <x:c r="I979" s="217" t="n">
        <x:v>977</x:v>
      </x:c>
      <x:c r="J979" s="217" t="str">
        <x:f>IF(I979&lt;='排名定義'!$B$5,"是","")</x:f>
        <x:v>是</x:v>
      </x:c>
      <x:c r="K979" s="217" t="n">
        <x:v>972</x:v>
      </x:c>
      <x:c r="L979" s="217" t="str">
        <x:f>IF(K979&lt;='排名定義'!$B$5,"是","")</x:f>
        <x:v>是</x:v>
      </x:c>
      <x:c r="M979" s="217" t="n">
        <x:f>COUNTIF(H979:L979,"是")</x:f>
        <x:v>3</x:v>
      </x:c>
      <x:c r="N979" s="217" t="str">
        <x:v>三份皆未入選</x:v>
      </x:c>
      <x:c r="O979" s="220" t="n">
        <x:v>36.56666666666667</x:v>
      </x:c>
      <x:c r="P979" s="220" t="n">
        <x:v>33.05833333333333</x:v>
      </x:c>
      <x:c r="Q979" s="220" t="n">
        <x:v>3.5083333333333333</x:v>
      </x:c>
      <x:c r="R979" s="220" t="n">
        <x:v>0.09594348222424795</x:v>
      </x:c>
      <x:c r="S979" s="220" t="n">
        <x:v>55.32258064516129</x:v>
      </x:c>
      <x:c r="T979" s="220" t="n">
        <x:v>52.45161290322581</x:v>
      </x:c>
      <x:c r="U979" s="220" t="n">
        <x:v>2.870967741935484</x:v>
      </x:c>
      <x:c r="V979" s="218" t="n">
        <x:v>0.07603686635944701</x:v>
      </x:c>
      <x:c r="W979" s="217" t="n">
        <x:v>19</x:v>
      </x:c>
      <x:c r="X979" s="222" t="n">
        <x:v>2430</x:v>
      </x:c>
      <x:c r="Y979" s="217" t="n">
        <x:v>23</x:v>
      </x:c>
    </x:row>
    <x:row r="980">
      <x:c r="A980" s="216" t="n">
        <x:v>544</x:v>
      </x:c>
      <x:c r="B980" s="216" t="str">
        <x:v>仁義街26巷</x:v>
      </x:c>
      <x:c r="C980" s="216" t="str">
        <x:v>三重區</x:v>
      </x:c>
      <x:c r="D980" s="216" t="n">
        <x:v>17</x:v>
      </x:c>
      <x:c r="E980" s="216" t="n">
        <x:v>120</x:v>
      </x:c>
      <x:c r="F980" s="219" t="n">
        <x:v>0.9994791666666667</x:v>
      </x:c>
      <x:c r="G980" s="216" t="n">
        <x:v>976</x:v>
      </x:c>
      <x:c r="H980" s="216" t="str">
        <x:f>IF(G980&lt;='排名定義'!$B$5,"是","")</x:f>
        <x:v>是</x:v>
      </x:c>
      <x:c r="I980" s="216" t="n">
        <x:v>974</x:v>
      </x:c>
      <x:c r="J980" s="216" t="str">
        <x:f>IF(I980&lt;='排名定義'!$B$5,"是","")</x:f>
        <x:v>是</x:v>
      </x:c>
      <x:c r="K980" s="216" t="n">
        <x:v>1033</x:v>
      </x:c>
      <x:c r="L980" s="216" t="str">
        <x:f>IF(K980&lt;='排名定義'!$B$5,"是","")</x:f>
        <x:v>是</x:v>
      </x:c>
      <x:c r="M980" s="216" t="n">
        <x:f>COUNTIF(H980:L980,"是")</x:f>
        <x:v>3</x:v>
      </x:c>
      <x:c r="N980" s="216" t="str">
        <x:v>三份皆未入選</x:v>
      </x:c>
      <x:c r="O980" s="221" t="n">
        <x:v>36.5</x:v>
      </x:c>
      <x:c r="P980" s="221" t="n">
        <x:v>33.13333333333333</x:v>
      </x:c>
      <x:c r="Q980" s="221" t="n">
        <x:v>3.3666666666666667</x:v>
      </x:c>
      <x:c r="R980" s="221" t="n">
        <x:v>0.09223744292237443</x:v>
      </x:c>
      <x:c r="S980" s="221" t="n">
        <x:v>51.645161290322584</x:v>
      </x:c>
      <x:c r="T980" s="221" t="n">
        <x:v>46.903225806451616</x:v>
      </x:c>
      <x:c r="U980" s="221" t="n">
        <x:v>4.741935483870968</x:v>
      </x:c>
      <x:c r="V980" s="219" t="n">
        <x:v>0.10599078341013825</x:v>
      </x:c>
      <x:c r="W980" s="216" t="n">
        <x:v>17</x:v>
      </x:c>
      <x:c r="X980" s="223" t="n">
        <x:v>2160</x:v>
      </x:c>
      <x:c r="Y980" s="216" t="n">
        <x:v>17</x:v>
      </x:c>
    </x:row>
    <x:row r="981">
      <x:c r="A981" s="217" t="n">
        <x:v>124</x:v>
      </x:c>
      <x:c r="B981" s="217" t="str">
        <x:v>永和勵行街口</x:v>
      </x:c>
      <x:c r="C981" s="217" t="str">
        <x:v>永和區</x:v>
      </x:c>
      <x:c r="D981" s="217" t="n">
        <x:v>10</x:v>
      </x:c>
      <x:c r="E981" s="217" t="n">
        <x:v>120</x:v>
      </x:c>
      <x:c r="F981" s="218" t="n">
        <x:v>0.9994791666666667</x:v>
      </x:c>
      <x:c r="G981" s="217" t="n">
        <x:v>977</x:v>
      </x:c>
      <x:c r="H981" s="217" t="str">
        <x:f>IF(G981&lt;='排名定義'!$B$5,"是","")</x:f>
        <x:v>是</x:v>
      </x:c>
      <x:c r="I981" s="217" t="n">
        <x:v>953</x:v>
      </x:c>
      <x:c r="J981" s="217" t="str">
        <x:f>IF(I981&lt;='排名定義'!$B$5,"是","")</x:f>
        <x:v>是</x:v>
      </x:c>
      <x:c r="K981" s="217" t="n">
        <x:v>1281</x:v>
      </x:c>
      <x:c r="L981" s="217" t="str">
        <x:f>IF(K981&lt;='排名定義'!$B$5,"是","")</x:f>
        <x:v>是</x:v>
      </x:c>
      <x:c r="M981" s="217" t="n">
        <x:f>COUNTIF(H981:L981,"是")</x:f>
        <x:v>3</x:v>
      </x:c>
      <x:c r="N981" s="217" t="str">
        <x:v>三份皆未入選</x:v>
      </x:c>
      <x:c r="O981" s="220" t="n">
        <x:v>36.475</x:v>
      </x:c>
      <x:c r="P981" s="220" t="n">
        <x:v>33.9</x:v>
      </x:c>
      <x:c r="Q981" s="220" t="n">
        <x:v>2.575</x:v>
      </x:c>
      <x:c r="R981" s="220" t="n">
        <x:v>0.07059629883481837</x:v>
      </x:c>
      <x:c r="S981" s="220" t="n">
        <x:v>48.67741935483871</x:v>
      </x:c>
      <x:c r="T981" s="220" t="n">
        <x:v>46.774193548387096</x:v>
      </x:c>
      <x:c r="U981" s="220" t="n">
        <x:v>1.903225806451613</x:v>
      </x:c>
      <x:c r="V981" s="218" t="n">
        <x:v>0.12442396313364056</x:v>
      </x:c>
      <x:c r="W981" s="217" t="n">
        <x:v>59</x:v>
      </x:c>
      <x:c r="X981" s="222" t="n">
        <x:v>6420</x:v>
      </x:c>
      <x:c r="Y981" s="217" t="n">
        <x:v>10</x:v>
      </x:c>
    </x:row>
    <x:row r="982">
      <x:c r="A982" s="216" t="n">
        <x:v>1000</x:v>
      </x:c>
      <x:c r="B982" s="216" t="str">
        <x:v>捷運小碧潭站(1號出口)</x:v>
      </x:c>
      <x:c r="C982" s="216" t="str">
        <x:v>新店區</x:v>
      </x:c>
      <x:c r="D982" s="216" t="n">
        <x:v>29</x:v>
      </x:c>
      <x:c r="E982" s="216" t="n">
        <x:v>120</x:v>
      </x:c>
      <x:c r="F982" s="219" t="n">
        <x:v>0.9994791666666667</x:v>
      </x:c>
      <x:c r="G982" s="216" t="n">
        <x:v>978</x:v>
      </x:c>
      <x:c r="H982" s="216" t="str">
        <x:f>IF(G982&lt;='排名定義'!$B$5,"是","")</x:f>
        <x:v>是</x:v>
      </x:c>
      <x:c r="I982" s="216" t="n">
        <x:v>984</x:v>
      </x:c>
      <x:c r="J982" s="216" t="str">
        <x:f>IF(I982&lt;='排名定義'!$B$5,"是","")</x:f>
        <x:v>是</x:v>
      </x:c>
      <x:c r="K982" s="216" t="n">
        <x:v>797</x:v>
      </x:c>
      <x:c r="L982" s="216" t="str">
        <x:f>IF(K982&lt;='排名定義'!$B$5,"是","")</x:f>
        <x:v>是</x:v>
      </x:c>
      <x:c r="M982" s="216" t="n">
        <x:f>COUNTIF(H982:L982,"是")</x:f>
        <x:v>3</x:v>
      </x:c>
      <x:c r="N982" s="216" t="str">
        <x:v>三份皆未入選</x:v>
      </x:c>
      <x:c r="O982" s="221" t="n">
        <x:v>36.475</x:v>
      </x:c>
      <x:c r="P982" s="221" t="n">
        <x:v>32.475</x:v>
      </x:c>
      <x:c r="Q982" s="221" t="n">
        <x:v>4</x:v>
      </x:c>
      <x:c r="R982" s="221" t="n">
        <x:v>0.10966415352981494</x:v>
      </x:c>
      <x:c r="S982" s="221" t="n">
        <x:v>60.806451612903224</x:v>
      </x:c>
      <x:c r="T982" s="221" t="n">
        <x:v>56.354838709677416</x:v>
      </x:c>
      <x:c r="U982" s="221" t="n">
        <x:v>4.451612903225806</x:v>
      </x:c>
      <x:c r="V982" s="219" t="n">
        <x:v>0.04608294930875576</x:v>
      </x:c>
      <x:c r="W982" s="216" t="n">
        <x:v>15</x:v>
      </x:c>
      <x:c r="X982" s="223" t="n">
        <x:v>1950</x:v>
      </x:c>
      <x:c r="Y982" s="216" t="n">
        <x:v>29</x:v>
      </x:c>
    </x:row>
    <x:row r="983">
      <x:c r="A983" s="217" t="n">
        <x:v>176</x:v>
      </x:c>
      <x:c r="B983" s="217" t="str">
        <x:v>北新新生街口</x:v>
      </x:c>
      <x:c r="C983" s="217" t="str">
        <x:v>新店區</x:v>
      </x:c>
      <x:c r="D983" s="217" t="n">
        <x:v>12</x:v>
      </x:c>
      <x:c r="E983" s="217" t="n">
        <x:v>120</x:v>
      </x:c>
      <x:c r="F983" s="218" t="n">
        <x:v>0.9994791666666667</x:v>
      </x:c>
      <x:c r="G983" s="217" t="n">
        <x:v>979</x:v>
      </x:c>
      <x:c r="H983" s="217" t="str">
        <x:f>IF(G983&lt;='排名定義'!$B$5,"是","")</x:f>
        <x:v>是</x:v>
      </x:c>
      <x:c r="I983" s="217" t="n">
        <x:v>965</x:v>
      </x:c>
      <x:c r="J983" s="217" t="str">
        <x:f>IF(I983&lt;='排名定義'!$B$5,"是","")</x:f>
        <x:v>是</x:v>
      </x:c>
      <x:c r="K983" s="217" t="n">
        <x:v>1170</x:v>
      </x:c>
      <x:c r="L983" s="217" t="str">
        <x:f>IF(K983&lt;='排名定義'!$B$5,"是","")</x:f>
        <x:v>是</x:v>
      </x:c>
      <x:c r="M983" s="217" t="n">
        <x:f>COUNTIF(H983:L983,"是")</x:f>
        <x:v>3</x:v>
      </x:c>
      <x:c r="N983" s="217" t="str">
        <x:v>三份皆未入選</x:v>
      </x:c>
      <x:c r="O983" s="220" t="n">
        <x:v>36.44166666666667</x:v>
      </x:c>
      <x:c r="P983" s="220" t="n">
        <x:v>33.458333333333336</x:v>
      </x:c>
      <x:c r="Q983" s="220" t="n">
        <x:v>2.9833333333333334</x:v>
      </x:c>
      <x:c r="R983" s="220" t="n">
        <x:v>0.08186599588383262</x:v>
      </x:c>
      <x:c r="S983" s="220" t="n">
        <x:v>53.483870967741936</x:v>
      </x:c>
      <x:c r="T983" s="220" t="n">
        <x:v>51.516129032258064</x:v>
      </x:c>
      <x:c r="U983" s="220" t="n">
        <x:v>1.967741935483871</x:v>
      </x:c>
      <x:c r="V983" s="218" t="n">
        <x:v>0.1382488479262673</x:v>
      </x:c>
      <x:c r="W983" s="217" t="n">
        <x:v>31</x:v>
      </x:c>
      <x:c r="X983" s="222" t="n">
        <x:v>3870</x:v>
      </x:c>
      <x:c r="Y983" s="217" t="n">
        <x:v>12</x:v>
      </x:c>
    </x:row>
    <x:row r="984">
      <x:c r="A984" s="216" t="n">
        <x:v>359</x:v>
      </x:c>
      <x:c r="B984" s="216" t="str">
        <x:v>德厚公園</x:v>
      </x:c>
      <x:c r="C984" s="216" t="str">
        <x:v>三重區</x:v>
      </x:c>
      <x:c r="D984" s="216" t="n">
        <x:v>15</x:v>
      </x:c>
      <x:c r="E984" s="216" t="n">
        <x:v>120</x:v>
      </x:c>
      <x:c r="F984" s="219" t="n">
        <x:v>0.9994791666666667</x:v>
      </x:c>
      <x:c r="G984" s="216" t="n">
        <x:v>980</x:v>
      </x:c>
      <x:c r="H984" s="216" t="str">
        <x:f>IF(G984&lt;='排名定義'!$B$5,"是","")</x:f>
        <x:v>是</x:v>
      </x:c>
      <x:c r="I984" s="216" t="n">
        <x:v>979</x:v>
      </x:c>
      <x:c r="J984" s="216" t="str">
        <x:f>IF(I984&lt;='排名定義'!$B$5,"是","")</x:f>
        <x:v>是</x:v>
      </x:c>
      <x:c r="K984" s="216" t="n">
        <x:v>981</x:v>
      </x:c>
      <x:c r="L984" s="216" t="str">
        <x:f>IF(K984&lt;='排名定義'!$B$5,"是","")</x:f>
        <x:v>是</x:v>
      </x:c>
      <x:c r="M984" s="216" t="n">
        <x:f>COUNTIF(H984:L984,"是")</x:f>
        <x:v>3</x:v>
      </x:c>
      <x:c r="N984" s="216" t="str">
        <x:v>三份皆未入選</x:v>
      </x:c>
      <x:c r="O984" s="221" t="n">
        <x:v>36.416666666666664</x:v>
      </x:c>
      <x:c r="P984" s="221" t="n">
        <x:v>32.93333333333333</x:v>
      </x:c>
      <x:c r="Q984" s="221" t="n">
        <x:v>3.4833333333333334</x:v>
      </x:c>
      <x:c r="R984" s="221" t="n">
        <x:v>0.09565217391304348</x:v>
      </x:c>
      <x:c r="S984" s="221" t="n">
        <x:v>54.096774193548384</x:v>
      </x:c>
      <x:c r="T984" s="221" t="n">
        <x:v>50.064516129032256</x:v>
      </x:c>
      <x:c r="U984" s="221" t="n">
        <x:v>4.032258064516129</x:v>
      </x:c>
      <x:c r="V984" s="219" t="n">
        <x:v>0.059907834101382486</x:v>
      </x:c>
      <x:c r="W984" s="216" t="n">
        <x:v>13</x:v>
      </x:c>
      <x:c r="X984" s="223" t="n">
        <x:v>1560</x:v>
      </x:c>
      <x:c r="Y984" s="216" t="n">
        <x:v>15</x:v>
      </x:c>
    </x:row>
    <x:row r="985">
      <x:c r="A985" s="217" t="n">
        <x:v>1105</x:v>
      </x:c>
      <x:c r="B985" s="217" t="str">
        <x:v>安光公園</x:v>
      </x:c>
      <x:c r="C985" s="217" t="str">
        <x:v>新店區</x:v>
      </x:c>
      <x:c r="D985" s="217" t="n">
        <x:v>32</x:v>
      </x:c>
      <x:c r="E985" s="217" t="n">
        <x:v>120</x:v>
      </x:c>
      <x:c r="F985" s="218" t="n">
        <x:v>0.9994791666666667</x:v>
      </x:c>
      <x:c r="G985" s="217" t="n">
        <x:v>981</x:v>
      </x:c>
      <x:c r="H985" s="217" t="str">
        <x:f>IF(G985&lt;='排名定義'!$B$5,"是","")</x:f>
        <x:v>是</x:v>
      </x:c>
      <x:c r="I985" s="217" t="n">
        <x:v>985</x:v>
      </x:c>
      <x:c r="J985" s="217" t="str">
        <x:f>IF(I985&lt;='排名定義'!$B$5,"是","")</x:f>
        <x:v>是</x:v>
      </x:c>
      <x:c r="K985" s="217" t="n">
        <x:v>824</x:v>
      </x:c>
      <x:c r="L985" s="217" t="str">
        <x:f>IF(K985&lt;='排名定義'!$B$5,"是","")</x:f>
        <x:v>是</x:v>
      </x:c>
      <x:c r="M985" s="217" t="n">
        <x:f>COUNTIF(H985:L985,"是")</x:f>
        <x:v>3</x:v>
      </x:c>
      <x:c r="N985" s="217" t="str">
        <x:v>三份皆未入選</x:v>
      </x:c>
      <x:c r="O985" s="220" t="n">
        <x:v>36.358333333333334</x:v>
      </x:c>
      <x:c r="P985" s="220" t="n">
        <x:v>32.43333333333333</x:v>
      </x:c>
      <x:c r="Q985" s="220" t="n">
        <x:v>3.925</x:v>
      </x:c>
      <x:c r="R985" s="220" t="n">
        <x:v>0.10795324318129727</x:v>
      </x:c>
      <x:c r="S985" s="220" t="n">
        <x:v>62.354838709677416</x:v>
      </x:c>
      <x:c r="T985" s="220" t="n">
        <x:v>57.61290322580645</x:v>
      </x:c>
      <x:c r="U985" s="220" t="n">
        <x:v>4.741935483870968</x:v>
      </x:c>
      <x:c r="V985" s="218" t="n">
        <x:v>0.04838709677419355</x:v>
      </x:c>
      <x:c r="W985" s="217" t="n">
        <x:v>8</x:v>
      </x:c>
      <x:c r="X985" s="222" t="n">
        <x:v>1230</x:v>
      </x:c>
      <x:c r="Y985" s="217" t="n">
        <x:v>32</x:v>
      </x:c>
    </x:row>
    <x:row r="986">
      <x:c r="A986" s="216" t="n">
        <x:v>574</x:v>
      </x:c>
      <x:c r="B986" s="216" t="str">
        <x:v>建國一路平面停車場</x:v>
      </x:c>
      <x:c r="C986" s="216" t="str">
        <x:v>新莊區</x:v>
      </x:c>
      <x:c r="D986" s="216" t="n">
        <x:v>18</x:v>
      </x:c>
      <x:c r="E986" s="216" t="n">
        <x:v>120</x:v>
      </x:c>
      <x:c r="F986" s="219" t="n">
        <x:v>0.9994791666666667</x:v>
      </x:c>
      <x:c r="G986" s="216" t="n">
        <x:v>982</x:v>
      </x:c>
      <x:c r="H986" s="216" t="str">
        <x:f>IF(G986&lt;='排名定義'!$B$5,"是","")</x:f>
        <x:v>是</x:v>
      </x:c>
      <x:c r="I986" s="216" t="n">
        <x:v>975</x:v>
      </x:c>
      <x:c r="J986" s="216" t="str">
        <x:f>IF(I986&lt;='排名定義'!$B$5,"是","")</x:f>
        <x:v>是</x:v>
      </x:c>
      <x:c r="K986" s="216" t="n">
        <x:v>1107</x:v>
      </x:c>
      <x:c r="L986" s="216" t="str">
        <x:f>IF(K986&lt;='排名定義'!$B$5,"是","")</x:f>
        <x:v>是</x:v>
      </x:c>
      <x:c r="M986" s="216" t="n">
        <x:f>COUNTIF(H986:L986,"是")</x:f>
        <x:v>3</x:v>
      </x:c>
      <x:c r="N986" s="216" t="str">
        <x:v>三份皆未入選</x:v>
      </x:c>
      <x:c r="O986" s="221" t="n">
        <x:v>36.31666666666667</x:v>
      </x:c>
      <x:c r="P986" s="221" t="n">
        <x:v>33.13333333333333</x:v>
      </x:c>
      <x:c r="Q986" s="221" t="n">
        <x:v>3.183333333333333</x:v>
      </x:c>
      <x:c r="R986" s="221" t="n">
        <x:v>0.08765488756310234</x:v>
      </x:c>
      <x:c r="S986" s="221" t="n">
        <x:v>53.32258064516129</x:v>
      </x:c>
      <x:c r="T986" s="221" t="n">
        <x:v>50.12903225806452</x:v>
      </x:c>
      <x:c r="U986" s="221" t="n">
        <x:v>3.193548387096774</x:v>
      </x:c>
      <x:c r="V986" s="219" t="n">
        <x:v>0.013824884792626729</x:v>
      </x:c>
      <x:c r="W986" s="216" t="n">
        <x:v>5</x:v>
      </x:c>
      <x:c r="X986" s="223" t="n">
        <x:v>660</x:v>
      </x:c>
      <x:c r="Y986" s="216" t="n">
        <x:v>18</x:v>
      </x:c>
    </x:row>
    <x:row r="987">
      <x:c r="A987" s="217" t="n">
        <x:v>399</x:v>
      </x:c>
      <x:c r="B987" s="217" t="str">
        <x:v>龍安福營路口</x:v>
      </x:c>
      <x:c r="C987" s="217" t="str">
        <x:v>新莊區</x:v>
      </x:c>
      <x:c r="D987" s="217" t="n">
        <x:v>15</x:v>
      </x:c>
      <x:c r="E987" s="217" t="n">
        <x:v>120</x:v>
      </x:c>
      <x:c r="F987" s="218" t="n">
        <x:v>0.9994791666666667</x:v>
      </x:c>
      <x:c r="G987" s="217" t="n">
        <x:v>983</x:v>
      </x:c>
      <x:c r="H987" s="217" t="str">
        <x:f>IF(G987&lt;='排名定義'!$B$5,"是","")</x:f>
        <x:v>是</x:v>
      </x:c>
      <x:c r="I987" s="217" t="n">
        <x:v>967</x:v>
      </x:c>
      <x:c r="J987" s="217" t="str">
        <x:f>IF(I987&lt;='排名定義'!$B$5,"是","")</x:f>
        <x:v>是</x:v>
      </x:c>
      <x:c r="K987" s="217" t="n">
        <x:v>1194</x:v>
      </x:c>
      <x:c r="L987" s="217" t="str">
        <x:f>IF(K987&lt;='排名定義'!$B$5,"是","")</x:f>
        <x:v>是</x:v>
      </x:c>
      <x:c r="M987" s="217" t="n">
        <x:f>COUNTIF(H987:L987,"是")</x:f>
        <x:v>3</x:v>
      </x:c>
      <x:c r="N987" s="217" t="str">
        <x:v>三份皆未入選</x:v>
      </x:c>
      <x:c r="O987" s="220" t="n">
        <x:v>36.291666666666664</x:v>
      </x:c>
      <x:c r="P987" s="220" t="n">
        <x:v>33.38333333333333</x:v>
      </x:c>
      <x:c r="Q987" s="220" t="n">
        <x:v>2.908333333333333</x:v>
      </x:c>
      <x:c r="R987" s="220" t="n">
        <x:v>0.08013777267508611</x:v>
      </x:c>
      <x:c r="S987" s="220" t="n">
        <x:v>55.645161290322584</x:v>
      </x:c>
      <x:c r="T987" s="220" t="n">
        <x:v>53.16129032258065</x:v>
      </x:c>
      <x:c r="U987" s="220" t="n">
        <x:v>2.4838709677419355</x:v>
      </x:c>
      <x:c r="V987" s="218" t="n">
        <x:v>0.18202764976958524</x:v>
      </x:c>
      <x:c r="W987" s="217" t="n">
        <x:v>43</x:v>
      </x:c>
      <x:c r="X987" s="222" t="n">
        <x:v>5580</x:v>
      </x:c>
      <x:c r="Y987" s="217" t="n">
        <x:v>15</x:v>
      </x:c>
    </x:row>
    <x:row r="988">
      <x:c r="A988" s="216" t="n">
        <x:v>668</x:v>
      </x:c>
      <x:c r="B988" s="216" t="str">
        <x:v>楓樹腳公園</x:v>
      </x:c>
      <x:c r="C988" s="216" t="str">
        <x:v>泰山區</x:v>
      </x:c>
      <x:c r="D988" s="216" t="n">
        <x:v>20</x:v>
      </x:c>
      <x:c r="E988" s="216" t="n">
        <x:v>120</x:v>
      </x:c>
      <x:c r="F988" s="219" t="n">
        <x:v>0.9994791666666667</x:v>
      </x:c>
      <x:c r="G988" s="216" t="n">
        <x:v>984</x:v>
      </x:c>
      <x:c r="H988" s="216" t="str">
        <x:f>IF(G988&lt;='排名定義'!$B$5,"是","")</x:f>
        <x:v>是</x:v>
      </x:c>
      <x:c r="I988" s="216" t="n">
        <x:v>982</x:v>
      </x:c>
      <x:c r="J988" s="216" t="str">
        <x:f>IF(I988&lt;='排名定義'!$B$5,"是","")</x:f>
        <x:v>是</x:v>
      </x:c>
      <x:c r="K988" s="216" t="n">
        <x:v>943</x:v>
      </x:c>
      <x:c r="L988" s="216" t="str">
        <x:f>IF(K988&lt;='排名定義'!$B$5,"是","")</x:f>
        <x:v>是</x:v>
      </x:c>
      <x:c r="M988" s="216" t="n">
        <x:f>COUNTIF(H988:L988,"是")</x:f>
        <x:v>3</x:v>
      </x:c>
      <x:c r="N988" s="216" t="str">
        <x:v>三份皆未入選</x:v>
      </x:c>
      <x:c r="O988" s="221" t="n">
        <x:v>36.291666666666664</x:v>
      </x:c>
      <x:c r="P988" s="221" t="n">
        <x:v>32.7</x:v>
      </x:c>
      <x:c r="Q988" s="221" t="n">
        <x:v>3.591666666666667</x:v>
      </x:c>
      <x:c r="R988" s="221" t="n">
        <x:v>0.0989667049368542</x:v>
      </x:c>
      <x:c r="S988" s="221" t="n">
        <x:v>53.225806451612904</x:v>
      </x:c>
      <x:c r="T988" s="221" t="n">
        <x:v>49.38709677419355</x:v>
      </x:c>
      <x:c r="U988" s="221" t="n">
        <x:v>3.838709677419355</x:v>
      </x:c>
      <x:c r="V988" s="219" t="n">
        <x:v>0.02304147465437788</x:v>
      </x:c>
      <x:c r="W988" s="216" t="n">
        <x:v>5</x:v>
      </x:c>
      <x:c r="X988" s="223" t="n">
        <x:v>780</x:v>
      </x:c>
      <x:c r="Y988" s="216" t="n">
        <x:v>20</x:v>
      </x:c>
    </x:row>
    <x:row r="989">
      <x:c r="A989" s="217" t="n">
        <x:v>962</x:v>
      </x:c>
      <x:c r="B989" s="217" t="str">
        <x:v>忠孝活動中心</x:v>
      </x:c>
      <x:c r="C989" s="217" t="str">
        <x:v>永和區</x:v>
      </x:c>
      <x:c r="D989" s="217" t="n">
        <x:v>28</x:v>
      </x:c>
      <x:c r="E989" s="217" t="n">
        <x:v>120</x:v>
      </x:c>
      <x:c r="F989" s="218" t="n">
        <x:v>0.9994791666666667</x:v>
      </x:c>
      <x:c r="G989" s="217" t="n">
        <x:v>985</x:v>
      </x:c>
      <x:c r="H989" s="217" t="str">
        <x:f>IF(G989&lt;='排名定義'!$B$5,"是","")</x:f>
        <x:v>是</x:v>
      </x:c>
      <x:c r="I989" s="217" t="n">
        <x:v>983</x:v>
      </x:c>
      <x:c r="J989" s="217" t="str">
        <x:f>IF(I989&lt;='排名定義'!$B$5,"是","")</x:f>
        <x:v>是</x:v>
      </x:c>
      <x:c r="K989" s="217" t="n">
        <x:v>914</x:v>
      </x:c>
      <x:c r="L989" s="217" t="str">
        <x:f>IF(K989&lt;='排名定義'!$B$5,"是","")</x:f>
        <x:v>是</x:v>
      </x:c>
      <x:c r="M989" s="217" t="n">
        <x:f>COUNTIF(H989:L989,"是")</x:f>
        <x:v>3</x:v>
      </x:c>
      <x:c r="N989" s="217" t="str">
        <x:v>三份皆未入選</x:v>
      </x:c>
      <x:c r="O989" s="220" t="n">
        <x:v>36.28333333333333</x:v>
      </x:c>
      <x:c r="P989" s="220" t="n">
        <x:v>32.608333333333334</x:v>
      </x:c>
      <x:c r="Q989" s="220" t="n">
        <x:v>3.675</x:v>
      </x:c>
      <x:c r="R989" s="220" t="n">
        <x:v>0.10128617363344052</x:v>
      </x:c>
      <x:c r="S989" s="220" t="n">
        <x:v>62.935483870967744</x:v>
      </x:c>
      <x:c r="T989" s="220" t="n">
        <x:v>57.96774193548387</x:v>
      </x:c>
      <x:c r="U989" s="220" t="n">
        <x:v>4.967741935483871</x:v>
      </x:c>
      <x:c r="V989" s="218" t="n">
        <x:v>0.07142857142857142</x:v>
      </x:c>
      <x:c r="W989" s="217" t="n">
        <x:v>11</x:v>
      </x:c>
      <x:c r="X989" s="222" t="n">
        <x:v>1830</x:v>
      </x:c>
      <x:c r="Y989" s="217" t="n">
        <x:v>28</x:v>
      </x:c>
    </x:row>
    <x:row r="990">
      <x:c r="A990" s="216" t="n">
        <x:v>472</x:v>
      </x:c>
      <x:c r="B990" s="216" t="str">
        <x:v>仁愛街458巷口</x:v>
      </x:c>
      <x:c r="C990" s="216" t="str">
        <x:v>三重區</x:v>
      </x:c>
      <x:c r="D990" s="216" t="n">
        <x:v>23</x:v>
      </x:c>
      <x:c r="E990" s="216" t="n">
        <x:v>120</x:v>
      </x:c>
      <x:c r="F990" s="219" t="n">
        <x:v>0.9994791666666667</x:v>
      </x:c>
      <x:c r="G990" s="216" t="n">
        <x:v>986</x:v>
      </x:c>
      <x:c r="H990" s="216" t="str">
        <x:f>IF(G990&lt;='排名定義'!$B$5,"是","")</x:f>
        <x:v>是</x:v>
      </x:c>
      <x:c r="I990" s="216" t="n">
        <x:v>989</x:v>
      </x:c>
      <x:c r="J990" s="216" t="str">
        <x:f>IF(I990&lt;='排名定義'!$B$5,"是","")</x:f>
        <x:v>是</x:v>
      </x:c>
      <x:c r="K990" s="216" t="n">
        <x:v>820</x:v>
      </x:c>
      <x:c r="L990" s="216" t="str">
        <x:f>IF(K990&lt;='排名定義'!$B$5,"是","")</x:f>
        <x:v>是</x:v>
      </x:c>
      <x:c r="M990" s="216" t="n">
        <x:f>COUNTIF(H990:L990,"是")</x:f>
        <x:v>3</x:v>
      </x:c>
      <x:c r="N990" s="216" t="str">
        <x:v>三份皆未入選</x:v>
      </x:c>
      <x:c r="O990" s="221" t="n">
        <x:v>36.141666666666666</x:v>
      </x:c>
      <x:c r="P990" s="221" t="n">
        <x:v>32.2</x:v>
      </x:c>
      <x:c r="Q990" s="221" t="n">
        <x:v>3.941666666666667</x:v>
      </x:c>
      <x:c r="R990" s="221" t="n">
        <x:v>0.10906156329259857</x:v>
      </x:c>
      <x:c r="S990" s="221" t="n">
        <x:v>61</x:v>
      </x:c>
      <x:c r="T990" s="221" t="n">
        <x:v>57.806451612903224</x:v>
      </x:c>
      <x:c r="U990" s="221" t="n">
        <x:v>3.193548387096774</x:v>
      </x:c>
      <x:c r="V990" s="219" t="n">
        <x:v>0.04608294930875576</x:v>
      </x:c>
      <x:c r="W990" s="216" t="n">
        <x:v>18</x:v>
      </x:c>
      <x:c r="X990" s="223" t="n">
        <x:v>1950</x:v>
      </x:c>
      <x:c r="Y990" s="216" t="n">
        <x:v>23</x:v>
      </x:c>
    </x:row>
    <x:row r="991">
      <x:c r="A991" s="217" t="n">
        <x:v>1311</x:v>
      </x:c>
      <x:c r="B991" s="217" t="str">
        <x:v>華南頂埔科技大樓</x:v>
      </x:c>
      <x:c r="C991" s="217" t="str">
        <x:v>土城區</x:v>
      </x:c>
      <x:c r="D991" s="217" t="n">
        <x:v>40</x:v>
      </x:c>
      <x:c r="E991" s="217" t="n">
        <x:v>120</x:v>
      </x:c>
      <x:c r="F991" s="218" t="n">
        <x:v>0.9994791666666667</x:v>
      </x:c>
      <x:c r="G991" s="217" t="n">
        <x:v>987</x:v>
      </x:c>
      <x:c r="H991" s="217" t="str">
        <x:f>IF(G991&lt;='排名定義'!$B$5,"是","")</x:f>
        <x:v>是</x:v>
      </x:c>
      <x:c r="I991" s="217" t="n">
        <x:v>981</x:v>
      </x:c>
      <x:c r="J991" s="217" t="str">
        <x:f>IF(I991&lt;='排名定義'!$B$5,"是","")</x:f>
        <x:v>是</x:v>
      </x:c>
      <x:c r="K991" s="217" t="n">
        <x:v>1071</x:v>
      </x:c>
      <x:c r="L991" s="217" t="str">
        <x:f>IF(K991&lt;='排名定義'!$B$5,"是","")</x:f>
        <x:v>是</x:v>
      </x:c>
      <x:c r="M991" s="217" t="n">
        <x:f>COUNTIF(H991:L991,"是")</x:f>
        <x:v>3</x:v>
      </x:c>
      <x:c r="N991" s="217" t="str">
        <x:v>三份皆未入選</x:v>
      </x:c>
      <x:c r="O991" s="220" t="n">
        <x:v>36.11666666666667</x:v>
      </x:c>
      <x:c r="P991" s="220" t="n">
        <x:v>32.825</x:v>
      </x:c>
      <x:c r="Q991" s="220" t="n">
        <x:v>3.2916666666666665</x:v>
      </x:c>
      <x:c r="R991" s="220" t="n">
        <x:v>0.09113982464236271</x:v>
      </x:c>
      <x:c r="S991" s="220" t="n">
        <x:v>67.16129032258064</x:v>
      </x:c>
      <x:c r="T991" s="220" t="n">
        <x:v>63.41935483870968</x:v>
      </x:c>
      <x:c r="U991" s="220" t="n">
        <x:v>3.7419354838709675</x:v>
      </x:c>
      <x:c r="V991" s="218" t="n">
        <x:v>0.0069124423963133645</x:v>
      </x:c>
      <x:c r="W991" s="217" t="n">
        <x:v>7</x:v>
      </x:c>
      <x:c r="X991" s="222" t="n">
        <x:v>810</x:v>
      </x:c>
      <x:c r="Y991" s="217" t="n">
        <x:v>40</x:v>
      </x:c>
    </x:row>
    <x:row r="992">
      <x:c r="A992" s="216" t="n">
        <x:v>1123</x:v>
      </x:c>
      <x:c r="B992" s="216" t="str">
        <x:v>鶯歌陶瓷老街</x:v>
      </x:c>
      <x:c r="C992" s="216" t="str">
        <x:v>鶯歌區</x:v>
      </x:c>
      <x:c r="D992" s="216" t="n">
        <x:v>33</x:v>
      </x:c>
      <x:c r="E992" s="216" t="n">
        <x:v>120</x:v>
      </x:c>
      <x:c r="F992" s="219" t="n">
        <x:v>0.9994791666666667</x:v>
      </x:c>
      <x:c r="G992" s="216" t="n">
        <x:v>988</x:v>
      </x:c>
      <x:c r="H992" s="216" t="str">
        <x:f>IF(G992&lt;='排名定義'!$B$5,"是","")</x:f>
        <x:v>是</x:v>
      </x:c>
      <x:c r="I992" s="216" t="n">
        <x:v>1002</x:v>
      </x:c>
      <x:c r="J992" s="216" t="str">
        <x:f>IF(I992&lt;='排名定義'!$B$5,"是","")</x:f>
        <x:v>是</x:v>
      </x:c>
      <x:c r="K992" s="216" t="n">
        <x:v>686</x:v>
      </x:c>
      <x:c r="L992" s="216" t="str">
        <x:f>IF(K992&lt;='排名定義'!$B$5,"是","")</x:f>
        <x:v>是</x:v>
      </x:c>
      <x:c r="M992" s="216" t="n">
        <x:f>COUNTIF(H992:L992,"是")</x:f>
        <x:v>3</x:v>
      </x:c>
      <x:c r="N992" s="216" t="str">
        <x:v>三份皆未入選</x:v>
      </x:c>
      <x:c r="O992" s="221" t="n">
        <x:v>36.108333333333334</x:v>
      </x:c>
      <x:c r="P992" s="221" t="n">
        <x:v>31.75</x:v>
      </x:c>
      <x:c r="Q992" s="221" t="n">
        <x:v>4.358333333333333</x:v>
      </x:c>
      <x:c r="R992" s="221" t="n">
        <x:v>0.12070159243018694</x:v>
      </x:c>
      <x:c r="S992" s="221" t="n">
        <x:v>61.54838709677419</x:v>
      </x:c>
      <x:c r="T992" s="221" t="n">
        <x:v>57.645161290322584</x:v>
      </x:c>
      <x:c r="U992" s="221" t="n">
        <x:v>3.903225806451613</x:v>
      </x:c>
      <x:c r="V992" s="219" t="n">
        <x:v>0</x:v>
      </x:c>
      <x:c r="W992" s="216" t="n">
        <x:v>0</x:v>
      </x:c>
      <x:c r="X992" s="223" t="n">
        <x:v>0</x:v>
      </x:c>
      <x:c r="Y992" s="216" t="n">
        <x:v>33</x:v>
      </x:c>
    </x:row>
    <x:row r="993">
      <x:c r="A993" s="217" t="n">
        <x:v>259</x:v>
      </x:c>
      <x:c r="B993" s="217" t="str">
        <x:v>三樹大學路口</x:v>
      </x:c>
      <x:c r="C993" s="217" t="str">
        <x:v>三峽區</x:v>
      </x:c>
      <x:c r="D993" s="217" t="n">
        <x:v>19</x:v>
      </x:c>
      <x:c r="E993" s="217" t="n">
        <x:v>120</x:v>
      </x:c>
      <x:c r="F993" s="218" t="n">
        <x:v>0.9994791666666667</x:v>
      </x:c>
      <x:c r="G993" s="217" t="n">
        <x:v>989</x:v>
      </x:c>
      <x:c r="H993" s="217" t="str">
        <x:f>IF(G993&lt;='排名定義'!$B$5,"是","")</x:f>
        <x:v>是</x:v>
      </x:c>
      <x:c r="I993" s="217" t="n">
        <x:v>966</x:v>
      </x:c>
      <x:c r="J993" s="217" t="str">
        <x:f>IF(I993&lt;='排名定義'!$B$5,"是","")</x:f>
        <x:v>是</x:v>
      </x:c>
      <x:c r="K993" s="217" t="n">
        <x:v>1292</x:v>
      </x:c>
      <x:c r="L993" s="217" t="str">
        <x:f>IF(K993&lt;='排名定義'!$B$5,"是","")</x:f>
        <x:v>是</x:v>
      </x:c>
      <x:c r="M993" s="217" t="n">
        <x:f>COUNTIF(H993:L993,"是")</x:f>
        <x:v>3</x:v>
      </x:c>
      <x:c r="N993" s="217" t="str">
        <x:v>三份皆未入選</x:v>
      </x:c>
      <x:c r="O993" s="220" t="n">
        <x:v>35.975</x:v>
      </x:c>
      <x:c r="P993" s="220" t="n">
        <x:v>33.45</x:v>
      </x:c>
      <x:c r="Q993" s="220" t="n">
        <x:v>2.525</x:v>
      </x:c>
      <x:c r="R993" s="220" t="n">
        <x:v>0.07018763029881862</x:v>
      </x:c>
      <x:c r="S993" s="220" t="n">
        <x:v>73.25806451612904</x:v>
      </x:c>
      <x:c r="T993" s="220" t="n">
        <x:v>69.83870967741936</x:v>
      </x:c>
      <x:c r="U993" s="220" t="n">
        <x:v>3.4193548387096775</x:v>
      </x:c>
      <x:c r="V993" s="218" t="n">
        <x:v>0.027649769585253458</x:v>
      </x:c>
      <x:c r="W993" s="217" t="n">
        <x:v>9</x:v>
      </x:c>
      <x:c r="X993" s="222" t="n">
        <x:v>1140</x:v>
      </x:c>
      <x:c r="Y993" s="217" t="n">
        <x:v>24</x:v>
      </x:c>
    </x:row>
    <x:row r="994">
      <x:c r="A994" s="216" t="n">
        <x:v>676</x:v>
      </x:c>
      <x:c r="B994" s="216" t="str">
        <x:v>港嘴活動中心</x:v>
      </x:c>
      <x:c r="C994" s="216" t="str">
        <x:v>板橋區</x:v>
      </x:c>
      <x:c r="D994" s="216" t="n">
        <x:v>20</x:v>
      </x:c>
      <x:c r="E994" s="216" t="n">
        <x:v>120</x:v>
      </x:c>
      <x:c r="F994" s="219" t="n">
        <x:v>0.9994791666666667</x:v>
      </x:c>
      <x:c r="G994" s="216" t="n">
        <x:v>990</x:v>
      </x:c>
      <x:c r="H994" s="216" t="str">
        <x:f>IF(G994&lt;='排名定義'!$B$5,"是","")</x:f>
        <x:v>是</x:v>
      </x:c>
      <x:c r="I994" s="216" t="n">
        <x:v>987</x:v>
      </x:c>
      <x:c r="J994" s="216" t="str">
        <x:f>IF(I994&lt;='排名定義'!$B$5,"是","")</x:f>
        <x:v>是</x:v>
      </x:c>
      <x:c r="K994" s="216" t="n">
        <x:v>955</x:v>
      </x:c>
      <x:c r="L994" s="216" t="str">
        <x:f>IF(K994&lt;='排名定義'!$B$5,"是","")</x:f>
        <x:v>是</x:v>
      </x:c>
      <x:c r="M994" s="216" t="n">
        <x:f>COUNTIF(H994:L994,"是")</x:f>
        <x:v>3</x:v>
      </x:c>
      <x:c r="N994" s="216" t="str">
        <x:v>三份皆未入選</x:v>
      </x:c>
      <x:c r="O994" s="221" t="n">
        <x:v>35.78333333333333</x:v>
      </x:c>
      <x:c r="P994" s="221" t="n">
        <x:v>32.225</x:v>
      </x:c>
      <x:c r="Q994" s="221" t="n">
        <x:v>3.558333333333333</x:v>
      </x:c>
      <x:c r="R994" s="221" t="n">
        <x:v>0.09944108057755006</x:v>
      </x:c>
      <x:c r="S994" s="221" t="n">
        <x:v>54.58064516129032</x:v>
      </x:c>
      <x:c r="T994" s="221" t="n">
        <x:v>51.83870967741935</x:v>
      </x:c>
      <x:c r="U994" s="221" t="n">
        <x:v>2.7419354838709675</x:v>
      </x:c>
      <x:c r="V994" s="219" t="n">
        <x:v>0.12903225806451613</x:v>
      </x:c>
      <x:c r="W994" s="216" t="n">
        <x:v>31</x:v>
      </x:c>
      <x:c r="X994" s="223" t="n">
        <x:v>3270</x:v>
      </x:c>
      <x:c r="Y994" s="216" t="n">
        <x:v>20</x:v>
      </x:c>
    </x:row>
    <x:row r="995">
      <x:c r="A995" s="217" t="n">
        <x:v>1229</x:v>
      </x:c>
      <x:c r="B995" s="217" t="str">
        <x:v>華江一華江六路口(仰真社區)</x:v>
      </x:c>
      <x:c r="C995" s="217" t="str">
        <x:v>板橋區</x:v>
      </x:c>
      <x:c r="D995" s="217" t="n">
        <x:v>38</x:v>
      </x:c>
      <x:c r="E995" s="217" t="n">
        <x:v>120</x:v>
      </x:c>
      <x:c r="F995" s="218" t="n">
        <x:v>0.9994791666666667</x:v>
      </x:c>
      <x:c r="G995" s="217" t="n">
        <x:v>991</x:v>
      </x:c>
      <x:c r="H995" s="217" t="str">
        <x:f>IF(G995&lt;='排名定義'!$B$5,"是","")</x:f>
        <x:v>是</x:v>
      </x:c>
      <x:c r="I995" s="217" t="n">
        <x:v>1010</x:v>
      </x:c>
      <x:c r="J995" s="217" t="str">
        <x:f>IF(I995&lt;='排名定義'!$B$5,"是","")</x:f>
        <x:v>是</x:v>
      </x:c>
      <x:c r="K995" s="217" t="n">
        <x:v>736</x:v>
      </x:c>
      <x:c r="L995" s="217" t="str">
        <x:f>IF(K995&lt;='排名定義'!$B$5,"是","")</x:f>
        <x:v>是</x:v>
      </x:c>
      <x:c r="M995" s="217" t="n">
        <x:f>COUNTIF(H995:L995,"是")</x:f>
        <x:v>3</x:v>
      </x:c>
      <x:c r="N995" s="217" t="str">
        <x:v>三份皆未入選</x:v>
      </x:c>
      <x:c r="O995" s="220" t="n">
        <x:v>35.74166666666667</x:v>
      </x:c>
      <x:c r="P995" s="220" t="n">
        <x:v>31.541666666666668</x:v>
      </x:c>
      <x:c r="Q995" s="220" t="n">
        <x:v>4.2</x:v>
      </x:c>
      <x:c r="R995" s="220" t="n">
        <x:v>0.11750990906971322</x:v>
      </x:c>
      <x:c r="S995" s="220" t="n">
        <x:v>53.41935483870968</x:v>
      </x:c>
      <x:c r="T995" s="220" t="n">
        <x:v>49.38709677419355</x:v>
      </x:c>
      <x:c r="U995" s="220" t="n">
        <x:v>4.032258064516129</x:v>
      </x:c>
      <x:c r="V995" s="218" t="n">
        <x:v>0.10829493087557604</x:v>
      </x:c>
      <x:c r="W995" s="217" t="n">
        <x:v>27</x:v>
      </x:c>
      <x:c r="X995" s="222" t="n">
        <x:v>2940</x:v>
      </x:c>
      <x:c r="Y995" s="217" t="n">
        <x:v>38</x:v>
      </x:c>
    </x:row>
    <x:row r="996">
      <x:c r="A996" s="216" t="n">
        <x:v>915</x:v>
      </x:c>
      <x:c r="B996" s="216" t="str">
        <x:v>遠東動力企業總部</x:v>
      </x:c>
      <x:c r="C996" s="216" t="str">
        <x:v>新莊區</x:v>
      </x:c>
      <x:c r="D996" s="216" t="n">
        <x:v>26</x:v>
      </x:c>
      <x:c r="E996" s="216" t="n">
        <x:v>120</x:v>
      </x:c>
      <x:c r="F996" s="219" t="n">
        <x:v>0.9994791666666667</x:v>
      </x:c>
      <x:c r="G996" s="216" t="n">
        <x:v>992</x:v>
      </x:c>
      <x:c r="H996" s="216" t="str">
        <x:f>IF(G996&lt;='排名定義'!$B$5,"是","")</x:f>
        <x:v>是</x:v>
      </x:c>
      <x:c r="I996" s="216" t="n">
        <x:v>998</x:v>
      </x:c>
      <x:c r="J996" s="216" t="str">
        <x:f>IF(I996&lt;='排名定義'!$B$5,"是","")</x:f>
        <x:v>是</x:v>
      </x:c>
      <x:c r="K996" s="216" t="n">
        <x:v>857</x:v>
      </x:c>
      <x:c r="L996" s="216" t="str">
        <x:f>IF(K996&lt;='排名定義'!$B$5,"是","")</x:f>
        <x:v>是</x:v>
      </x:c>
      <x:c r="M996" s="216" t="n">
        <x:f>COUNTIF(H996:L996,"是")</x:f>
        <x:v>3</x:v>
      </x:c>
      <x:c r="N996" s="216" t="str">
        <x:v>三份皆未入選</x:v>
      </x:c>
      <x:c r="O996" s="221" t="n">
        <x:v>35.7</x:v>
      </x:c>
      <x:c r="P996" s="221" t="n">
        <x:v>31.858333333333334</x:v>
      </x:c>
      <x:c r="Q996" s="221" t="n">
        <x:v>3.841666666666667</x:v>
      </x:c>
      <x:c r="R996" s="221" t="n">
        <x:v>0.10760971055088703</x:v>
      </x:c>
      <x:c r="S996" s="221" t="n">
        <x:v>55.45161290322581</x:v>
      </x:c>
      <x:c r="T996" s="221" t="n">
        <x:v>52.806451612903224</x:v>
      </x:c>
      <x:c r="U996" s="221" t="n">
        <x:v>2.6451612903225805</x:v>
      </x:c>
      <x:c r="V996" s="219" t="n">
        <x:v>0.03686635944700461</x:v>
      </x:c>
      <x:c r="W996" s="216" t="n">
        <x:v>19</x:v>
      </x:c>
      <x:c r="X996" s="223" t="n">
        <x:v>2280</x:v>
      </x:c>
      <x:c r="Y996" s="216" t="n">
        <x:v>26</x:v>
      </x:c>
    </x:row>
    <x:row r="997">
      <x:c r="A997" s="217" t="n">
        <x:v>743</x:v>
      </x:c>
      <x:c r="B997" s="217" t="str">
        <x:v>世貿國家公園社區</x:v>
      </x:c>
      <x:c r="C997" s="217" t="str">
        <x:v>汐止區</x:v>
      </x:c>
      <x:c r="D997" s="217" t="n">
        <x:v>20</x:v>
      </x:c>
      <x:c r="E997" s="217" t="n">
        <x:v>120</x:v>
      </x:c>
      <x:c r="F997" s="218" t="n">
        <x:v>0.9994791666666667</x:v>
      </x:c>
      <x:c r="G997" s="217" t="n">
        <x:v>993</x:v>
      </x:c>
      <x:c r="H997" s="217" t="str">
        <x:f>IF(G997&lt;='排名定義'!$B$5,"是","")</x:f>
        <x:v>是</x:v>
      </x:c>
      <x:c r="I997" s="217" t="n">
        <x:v>1005</x:v>
      </x:c>
      <x:c r="J997" s="217" t="str">
        <x:f>IF(I997&lt;='排名定義'!$B$5,"是","")</x:f>
        <x:v>是</x:v>
      </x:c>
      <x:c r="K997" s="217" t="n">
        <x:v>815</x:v>
      </x:c>
      <x:c r="L997" s="217" t="str">
        <x:f>IF(K997&lt;='排名定義'!$B$5,"是","")</x:f>
        <x:v>是</x:v>
      </x:c>
      <x:c r="M997" s="217" t="n">
        <x:f>COUNTIF(H997:L997,"是")</x:f>
        <x:v>3</x:v>
      </x:c>
      <x:c r="N997" s="217" t="str">
        <x:v>三份皆未入選</x:v>
      </x:c>
      <x:c r="O997" s="220" t="n">
        <x:v>35.61666666666667</x:v>
      </x:c>
      <x:c r="P997" s="220" t="n">
        <x:v>31.666666666666668</x:v>
      </x:c>
      <x:c r="Q997" s="220" t="n">
        <x:v>3.95</x:v>
      </x:c>
      <x:c r="R997" s="220" t="n">
        <x:v>0.1109031352363126</x:v>
      </x:c>
      <x:c r="S997" s="220" t="n">
        <x:v>64.03225806451613</x:v>
      </x:c>
      <x:c r="T997" s="220" t="n">
        <x:v>60</x:v>
      </x:c>
      <x:c r="U997" s="220" t="n">
        <x:v>4.032258064516129</x:v>
      </x:c>
      <x:c r="V997" s="218" t="n">
        <x:v>0.02304147465437788</x:v>
      </x:c>
      <x:c r="W997" s="217" t="n">
        <x:v>4</x:v>
      </x:c>
      <x:c r="X997" s="222" t="n">
        <x:v>960</x:v>
      </x:c>
      <x:c r="Y997" s="217" t="n">
        <x:v>20</x:v>
      </x:c>
    </x:row>
    <x:row r="998">
      <x:c r="A998" s="216" t="n">
        <x:v>573</x:v>
      </x:c>
      <x:c r="B998" s="216" t="str">
        <x:v>延吉街111巷1弄</x:v>
      </x:c>
      <x:c r="C998" s="216" t="str">
        <x:v>土城區</x:v>
      </x:c>
      <x:c r="D998" s="216" t="n">
        <x:v>18</x:v>
      </x:c>
      <x:c r="E998" s="216" t="n">
        <x:v>120</x:v>
      </x:c>
      <x:c r="F998" s="219" t="n">
        <x:v>0.9994791666666667</x:v>
      </x:c>
      <x:c r="G998" s="216" t="n">
        <x:v>994</x:v>
      </x:c>
      <x:c r="H998" s="216" t="str">
        <x:f>IF(G998&lt;='排名定義'!$B$5,"是","")</x:f>
        <x:v>是</x:v>
      </x:c>
      <x:c r="I998" s="216" t="n">
        <x:v>995</x:v>
      </x:c>
      <x:c r="J998" s="216" t="str">
        <x:f>IF(I998&lt;='排名定義'!$B$5,"是","")</x:f>
        <x:v>是</x:v>
      </x:c>
      <x:c r="K998" s="216" t="n">
        <x:v>941</x:v>
      </x:c>
      <x:c r="L998" s="216" t="str">
        <x:f>IF(K998&lt;='排名定義'!$B$5,"是","")</x:f>
        <x:v>是</x:v>
      </x:c>
      <x:c r="M998" s="216" t="n">
        <x:f>COUNTIF(H998:L998,"是")</x:f>
        <x:v>3</x:v>
      </x:c>
      <x:c r="N998" s="216" t="str">
        <x:v>三份皆未入選</x:v>
      </x:c>
      <x:c r="O998" s="221" t="n">
        <x:v>35.46666666666667</x:v>
      </x:c>
      <x:c r="P998" s="221" t="n">
        <x:v>31.875</x:v>
      </x:c>
      <x:c r="Q998" s="221" t="n">
        <x:v>3.591666666666667</x:v>
      </x:c>
      <x:c r="R998" s="221" t="n">
        <x:v>0.1012687969924812</x:v>
      </x:c>
      <x:c r="S998" s="221" t="n">
        <x:v>52.29032258064516</x:v>
      </x:c>
      <x:c r="T998" s="221" t="n">
        <x:v>49.12903225806452</x:v>
      </x:c>
      <x:c r="U998" s="221" t="n">
        <x:v>3.161290322580645</x:v>
      </x:c>
      <x:c r="V998" s="219" t="n">
        <x:v>0.10138248847926268</x:v>
      </x:c>
      <x:c r="W998" s="216" t="n">
        <x:v>20</x:v>
      </x:c>
      <x:c r="X998" s="223" t="n">
        <x:v>2550</x:v>
      </x:c>
      <x:c r="Y998" s="216" t="n">
        <x:v>18</x:v>
      </x:c>
    </x:row>
    <x:row r="999">
      <x:c r="A999" s="217" t="n">
        <x:v>1086</x:v>
      </x:c>
      <x:c r="B999" s="217" t="str">
        <x:v>永安圖書館</x:v>
      </x:c>
      <x:c r="C999" s="217" t="str">
        <x:v>蘆洲區</x:v>
      </x:c>
      <x:c r="D999" s="217" t="n">
        <x:v>31</x:v>
      </x:c>
      <x:c r="E999" s="217" t="n">
        <x:v>120</x:v>
      </x:c>
      <x:c r="F999" s="218" t="n">
        <x:v>0.9994791666666667</x:v>
      </x:c>
      <x:c r="G999" s="217" t="n">
        <x:v>995</x:v>
      </x:c>
      <x:c r="H999" s="217" t="str">
        <x:f>IF(G999&lt;='排名定義'!$B$5,"是","")</x:f>
        <x:v>是</x:v>
      </x:c>
      <x:c r="I999" s="217" t="n">
        <x:v>986</x:v>
      </x:c>
      <x:c r="J999" s="217" t="str">
        <x:f>IF(I999&lt;='排名定義'!$B$5,"是","")</x:f>
        <x:v>是</x:v>
      </x:c>
      <x:c r="K999" s="217" t="n">
        <x:v>1104</x:v>
      </x:c>
      <x:c r="L999" s="217" t="str">
        <x:f>IF(K999&lt;='排名定義'!$B$5,"是","")</x:f>
        <x:v>是</x:v>
      </x:c>
      <x:c r="M999" s="217" t="n">
        <x:f>COUNTIF(H999:L999,"是")</x:f>
        <x:v>3</x:v>
      </x:c>
      <x:c r="N999" s="217" t="str">
        <x:v>三份皆未入選</x:v>
      </x:c>
      <x:c r="O999" s="220" t="n">
        <x:v>35.458333333333336</x:v>
      </x:c>
      <x:c r="P999" s="220" t="n">
        <x:v>32.266666666666666</x:v>
      </x:c>
      <x:c r="Q999" s="220" t="n">
        <x:v>3.191666666666667</x:v>
      </x:c>
      <x:c r="R999" s="220" t="n">
        <x:v>0.0900117508813161</x:v>
      </x:c>
      <x:c r="S999" s="220" t="n">
        <x:v>55.935483870967744</x:v>
      </x:c>
      <x:c r="T999" s="220" t="n">
        <x:v>52.58064516129032</x:v>
      </x:c>
      <x:c r="U999" s="220" t="n">
        <x:v>3.3548387096774195</x:v>
      </x:c>
      <x:c r="V999" s="218" t="n">
        <x:v>0.020737327188940093</x:v>
      </x:c>
      <x:c r="W999" s="217" t="n">
        <x:v>4</x:v>
      </x:c>
      <x:c r="X999" s="222" t="n">
        <x:v>570</x:v>
      </x:c>
      <x:c r="Y999" s="217" t="n">
        <x:v>31</x:v>
      </x:c>
    </x:row>
    <x:row r="1000">
      <x:c r="A1000" s="216" t="n">
        <x:v>440</x:v>
      </x:c>
      <x:c r="B1000" s="216" t="str">
        <x:v>群光公園</x:v>
      </x:c>
      <x:c r="C1000" s="216" t="str">
        <x:v>三重區</x:v>
      </x:c>
      <x:c r="D1000" s="216" t="n">
        <x:v>15</x:v>
      </x:c>
      <x:c r="E1000" s="216" t="n">
        <x:v>120</x:v>
      </x:c>
      <x:c r="F1000" s="219" t="n">
        <x:v>0.9994791666666667</x:v>
      </x:c>
      <x:c r="G1000" s="216" t="n">
        <x:v>996</x:v>
      </x:c>
      <x:c r="H1000" s="216" t="str">
        <x:f>IF(G1000&lt;='排名定義'!$B$5,"是","")</x:f>
        <x:v>是</x:v>
      </x:c>
      <x:c r="I1000" s="216" t="n">
        <x:v>1012</x:v>
      </x:c>
      <x:c r="J1000" s="216" t="str">
        <x:f>IF(I1000&lt;='排名定義'!$B$5,"是","")</x:f>
        <x:v>是</x:v>
      </x:c>
      <x:c r="K1000" s="216" t="n">
        <x:v>806</x:v>
      </x:c>
      <x:c r="L1000" s="216" t="str">
        <x:f>IF(K1000&lt;='排名定義'!$B$5,"是","")</x:f>
        <x:v>是</x:v>
      </x:c>
      <x:c r="M1000" s="216" t="n">
        <x:f>COUNTIF(H1000:L1000,"是")</x:f>
        <x:v>3</x:v>
      </x:c>
      <x:c r="N1000" s="216" t="str">
        <x:v>三份皆未入選</x:v>
      </x:c>
      <x:c r="O1000" s="221" t="n">
        <x:v>35.45</x:v>
      </x:c>
      <x:c r="P1000" s="221" t="n">
        <x:v>31.483333333333334</x:v>
      </x:c>
      <x:c r="Q1000" s="221" t="n">
        <x:v>3.966666666666667</x:v>
      </x:c>
      <x:c r="R1000" s="221" t="n">
        <x:v>0.11189468735307946</x:v>
      </x:c>
      <x:c r="S1000" s="221" t="n">
        <x:v>52.064516129032256</x:v>
      </x:c>
      <x:c r="T1000" s="221" t="n">
        <x:v>48.516129032258064</x:v>
      </x:c>
      <x:c r="U1000" s="221" t="n">
        <x:v>3.5483870967741935</x:v>
      </x:c>
      <x:c r="V1000" s="219" t="n">
        <x:v>0.06451612903225806</x:v>
      </x:c>
      <x:c r="W1000" s="216" t="n">
        <x:v>15</x:v>
      </x:c>
      <x:c r="X1000" s="223" t="n">
        <x:v>1920</x:v>
      </x:c>
      <x:c r="Y1000" s="216" t="n">
        <x:v>15</x:v>
      </x:c>
    </x:row>
    <x:row r="1001">
      <x:c r="A1001" s="217" t="n">
        <x:v>878</x:v>
      </x:c>
      <x:c r="B1001" s="217" t="str">
        <x:v>樹林國民運動中心</x:v>
      </x:c>
      <x:c r="C1001" s="217" t="str">
        <x:v>樹林區</x:v>
      </x:c>
      <x:c r="D1001" s="217" t="n">
        <x:v>25</x:v>
      </x:c>
      <x:c r="E1001" s="217" t="n">
        <x:v>120</x:v>
      </x:c>
      <x:c r="F1001" s="218" t="n">
        <x:v>0.9994791666666667</x:v>
      </x:c>
      <x:c r="G1001" s="217" t="n">
        <x:v>997</x:v>
      </x:c>
      <x:c r="H1001" s="217" t="str">
        <x:f>IF(G1001&lt;='排名定義'!$B$5,"是","")</x:f>
        <x:v>是</x:v>
      </x:c>
      <x:c r="I1001" s="217" t="n">
        <x:v>1003</x:v>
      </x:c>
      <x:c r="J1001" s="217" t="str">
        <x:f>IF(I1001&lt;='排名定義'!$B$5,"是","")</x:f>
        <x:v>是</x:v>
      </x:c>
      <x:c r="K1001" s="217" t="n">
        <x:v>910</x:v>
      </x:c>
      <x:c r="L1001" s="217" t="str">
        <x:f>IF(K1001&lt;='排名定義'!$B$5,"是","")</x:f>
        <x:v>是</x:v>
      </x:c>
      <x:c r="M1001" s="217" t="n">
        <x:f>COUNTIF(H1001:L1001,"是")</x:f>
        <x:v>3</x:v>
      </x:c>
      <x:c r="N1001" s="217" t="str">
        <x:v>三份皆未入選</x:v>
      </x:c>
      <x:c r="O1001" s="220" t="n">
        <x:v>35.43333333333333</x:v>
      </x:c>
      <x:c r="P1001" s="220" t="n">
        <x:v>31.741666666666667</x:v>
      </x:c>
      <x:c r="Q1001" s="220" t="n">
        <x:v>3.691666666666667</x:v>
      </x:c>
      <x:c r="R1001" s="220" t="n">
        <x:v>0.1041862652869238</x:v>
      </x:c>
      <x:c r="S1001" s="220" t="n">
        <x:v>57.87096774193548</x:v>
      </x:c>
      <x:c r="T1001" s="220" t="n">
        <x:v>54.70967741935484</x:v>
      </x:c>
      <x:c r="U1001" s="220" t="n">
        <x:v>3.161290322580645</x:v>
      </x:c>
      <x:c r="V1001" s="218" t="n">
        <x:v>0.018433179723502304</x:v>
      </x:c>
      <x:c r="W1001" s="217" t="n">
        <x:v>5</x:v>
      </x:c>
      <x:c r="X1001" s="222" t="n">
        <x:v>780</x:v>
      </x:c>
      <x:c r="Y1001" s="217" t="n">
        <x:v>25</x:v>
      </x:c>
    </x:row>
    <x:row r="1002">
      <x:c r="A1002" s="216" t="n">
        <x:v>798</x:v>
      </x:c>
      <x:c r="B1002" s="216" t="str">
        <x:v>彩虹兒童公園</x:v>
      </x:c>
      <x:c r="C1002" s="216" t="str">
        <x:v>蘆洲區</x:v>
      </x:c>
      <x:c r="D1002" s="216" t="n">
        <x:v>22</x:v>
      </x:c>
      <x:c r="E1002" s="216" t="n">
        <x:v>120</x:v>
      </x:c>
      <x:c r="F1002" s="219" t="n">
        <x:v>0.9994791666666667</x:v>
      </x:c>
      <x:c r="G1002" s="216" t="n">
        <x:v>998</x:v>
      </x:c>
      <x:c r="H1002" s="216" t="str">
        <x:f>IF(G1002&lt;='排名定義'!$B$5,"是","")</x:f>
        <x:v>是</x:v>
      </x:c>
      <x:c r="I1002" s="216" t="n">
        <x:v>994</x:v>
      </x:c>
      <x:c r="J1002" s="216" t="str">
        <x:f>IF(I1002&lt;='排名定義'!$B$5,"是","")</x:f>
        <x:v>是</x:v>
      </x:c>
      <x:c r="K1002" s="216" t="n">
        <x:v>985</x:v>
      </x:c>
      <x:c r="L1002" s="216" t="str">
        <x:f>IF(K1002&lt;='排名定義'!$B$5,"是","")</x:f>
        <x:v>是</x:v>
      </x:c>
      <x:c r="M1002" s="216" t="n">
        <x:f>COUNTIF(H1002:L1002,"是")</x:f>
        <x:v>3</x:v>
      </x:c>
      <x:c r="N1002" s="216" t="str">
        <x:v>三份皆未入選</x:v>
      </x:c>
      <x:c r="O1002" s="221" t="n">
        <x:v>35.375</x:v>
      </x:c>
      <x:c r="P1002" s="221" t="n">
        <x:v>31.9</x:v>
      </x:c>
      <x:c r="Q1002" s="221" t="n">
        <x:v>3.475</x:v>
      </x:c>
      <x:c r="R1002" s="221" t="n">
        <x:v>0.09823321554770319</x:v>
      </x:c>
      <x:c r="S1002" s="221" t="n">
        <x:v>50.03225806451613</x:v>
      </x:c>
      <x:c r="T1002" s="221" t="n">
        <x:v>46.25806451612903</x:v>
      </x:c>
      <x:c r="U1002" s="221" t="n">
        <x:v>3.774193548387097</x:v>
      </x:c>
      <x:c r="V1002" s="219" t="n">
        <x:v>0.06451612903225806</x:v>
      </x:c>
      <x:c r="W1002" s="216" t="n">
        <x:v>10</x:v>
      </x:c>
      <x:c r="X1002" s="223" t="n">
        <x:v>1410</x:v>
      </x:c>
      <x:c r="Y1002" s="216" t="n">
        <x:v>22</x:v>
      </x:c>
    </x:row>
    <x:row r="1003">
      <x:c r="A1003" s="217" t="n">
        <x:v>884</x:v>
      </x:c>
      <x:c r="B1003" s="217" t="str">
        <x:v>疏洪東竹圍仔街口</x:v>
      </x:c>
      <x:c r="C1003" s="217" t="str">
        <x:v>三重區</x:v>
      </x:c>
      <x:c r="D1003" s="217" t="n">
        <x:v>25</x:v>
      </x:c>
      <x:c r="E1003" s="217" t="n">
        <x:v>120</x:v>
      </x:c>
      <x:c r="F1003" s="218" t="n">
        <x:v>0.9994791666666667</x:v>
      </x:c>
      <x:c r="G1003" s="217" t="n">
        <x:v>999</x:v>
      </x:c>
      <x:c r="H1003" s="217" t="str">
        <x:f>IF(G1003&lt;='排名定義'!$B$5,"是","")</x:f>
        <x:v>是</x:v>
      </x:c>
      <x:c r="I1003" s="217" t="n">
        <x:v>1025</x:v>
      </x:c>
      <x:c r="J1003" s="217" t="str">
        <x:f>IF(I1003&lt;='排名定義'!$B$5,"是","")</x:f>
        <x:v>是</x:v>
      </x:c>
      <x:c r="K1003" s="217" t="n">
        <x:v>675</x:v>
      </x:c>
      <x:c r="L1003" s="217" t="str">
        <x:f>IF(K1003&lt;='排名定義'!$B$5,"是","")</x:f>
        <x:v>是</x:v>
      </x:c>
      <x:c r="M1003" s="217" t="n">
        <x:f>COUNTIF(H1003:L1003,"是")</x:f>
        <x:v>3</x:v>
      </x:c>
      <x:c r="N1003" s="217" t="str">
        <x:v>三份皆未入選</x:v>
      </x:c>
      <x:c r="O1003" s="220" t="n">
        <x:v>35.375</x:v>
      </x:c>
      <x:c r="P1003" s="220" t="n">
        <x:v>30.991666666666667</x:v>
      </x:c>
      <x:c r="Q1003" s="220" t="n">
        <x:v>4.383333333333334</x:v>
      </x:c>
      <x:c r="R1003" s="220" t="n">
        <x:v>0.12391048292108363</x:v>
      </x:c>
      <x:c r="S1003" s="220" t="n">
        <x:v>60.16129032258065</x:v>
      </x:c>
      <x:c r="T1003" s="220" t="n">
        <x:v>56.83870967741935</x:v>
      </x:c>
      <x:c r="U1003" s="220" t="n">
        <x:v>3.3225806451612905</x:v>
      </x:c>
      <x:c r="V1003" s="218" t="n">
        <x:v>0.07834101382488479</x:v>
      </x:c>
      <x:c r="W1003" s="217" t="n">
        <x:v>13</x:v>
      </x:c>
      <x:c r="X1003" s="222" t="n">
        <x:v>1560</x:v>
      </x:c>
      <x:c r="Y1003" s="217" t="n">
        <x:v>25</x:v>
      </x:c>
    </x:row>
    <x:row r="1004">
      <x:c r="A1004" s="216" t="n">
        <x:v>1004</x:v>
      </x:c>
      <x:c r="B1004" s="216" t="str">
        <x:v>濱海路一段111巷口(西側)</x:v>
      </x:c>
      <x:c r="C1004" s="216" t="str">
        <x:v>淡水區</x:v>
      </x:c>
      <x:c r="D1004" s="216" t="n">
        <x:v>29</x:v>
      </x:c>
      <x:c r="E1004" s="216" t="n">
        <x:v>120</x:v>
      </x:c>
      <x:c r="F1004" s="219" t="n">
        <x:v>0.9994791666666667</x:v>
      </x:c>
      <x:c r="G1004" s="216" t="n">
        <x:v>1000</x:v>
      </x:c>
      <x:c r="H1004" s="216" t="str">
        <x:f>IF(G1004&lt;='排名定義'!$B$5,"是","")</x:f>
        <x:v>是</x:v>
      </x:c>
      <x:c r="I1004" s="216" t="n">
        <x:v>991</x:v>
      </x:c>
      <x:c r="J1004" s="216" t="str">
        <x:f>IF(I1004&lt;='排名定義'!$B$5,"是","")</x:f>
        <x:v>是</x:v>
      </x:c>
      <x:c r="K1004" s="216" t="n">
        <x:v>1109</x:v>
      </x:c>
      <x:c r="L1004" s="216" t="str">
        <x:f>IF(K1004&lt;='排名定義'!$B$5,"是","")</x:f>
        <x:v>是</x:v>
      </x:c>
      <x:c r="M1004" s="216" t="n">
        <x:f>COUNTIF(H1004:L1004,"是")</x:f>
        <x:v>3</x:v>
      </x:c>
      <x:c r="N1004" s="216" t="str">
        <x:v>三份皆未入選</x:v>
      </x:c>
      <x:c r="O1004" s="221" t="n">
        <x:v>35.325</x:v>
      </x:c>
      <x:c r="P1004" s="221" t="n">
        <x:v>32.141666666666666</x:v>
      </x:c>
      <x:c r="Q1004" s="221" t="n">
        <x:v>3.183333333333333</x:v>
      </x:c>
      <x:c r="R1004" s="221" t="n">
        <x:v>0.09011559330030668</x:v>
      </x:c>
      <x:c r="S1004" s="221" t="n">
        <x:v>57.54838709677419</x:v>
      </x:c>
      <x:c r="T1004" s="221" t="n">
        <x:v>54.54838709677419</x:v>
      </x:c>
      <x:c r="U1004" s="221" t="n">
        <x:v>3</x:v>
      </x:c>
      <x:c r="V1004" s="219" t="n">
        <x:v>0.07373271889400922</x:v>
      </x:c>
      <x:c r="W1004" s="216" t="n">
        <x:v>12</x:v>
      </x:c>
      <x:c r="X1004" s="223" t="n">
        <x:v>2250</x:v>
      </x:c>
      <x:c r="Y1004" s="216" t="n">
        <x:v>29</x:v>
      </x:c>
    </x:row>
    <x:row r="1005">
      <x:c r="A1005" s="217" t="n">
        <x:v>833</x:v>
      </x:c>
      <x:c r="B1005" s="217" t="str">
        <x:v>捷運永寧站(3號出口)</x:v>
      </x:c>
      <x:c r="C1005" s="217" t="str">
        <x:v>土城區</x:v>
      </x:c>
      <x:c r="D1005" s="217" t="n">
        <x:v>23</x:v>
      </x:c>
      <x:c r="E1005" s="217" t="n">
        <x:v>120</x:v>
      </x:c>
      <x:c r="F1005" s="218" t="n">
        <x:v>0.9994791666666667</x:v>
      </x:c>
      <x:c r="G1005" s="217" t="n">
        <x:v>1001</x:v>
      </x:c>
      <x:c r="H1005" s="217" t="str">
        <x:f>IF(G1005&lt;='排名定義'!$B$5,"是","")</x:f>
        <x:v>是</x:v>
      </x:c>
      <x:c r="I1005" s="217" t="n">
        <x:v>1001</x:v>
      </x:c>
      <x:c r="J1005" s="217" t="str">
        <x:f>IF(I1005&lt;='排名定義'!$B$5,"是","")</x:f>
        <x:v>是</x:v>
      </x:c>
      <x:c r="K1005" s="217" t="n">
        <x:v>1005</x:v>
      </x:c>
      <x:c r="L1005" s="217" t="str">
        <x:f>IF(K1005&lt;='排名定義'!$B$5,"是","")</x:f>
        <x:v>是</x:v>
      </x:c>
      <x:c r="M1005" s="217" t="n">
        <x:f>COUNTIF(H1005:L1005,"是")</x:f>
        <x:v>3</x:v>
      </x:c>
      <x:c r="N1005" s="217" t="str">
        <x:v>三份皆未入選</x:v>
      </x:c>
      <x:c r="O1005" s="220" t="n">
        <x:v>35.24166666666667</x:v>
      </x:c>
      <x:c r="P1005" s="220" t="n">
        <x:v>31.808333333333334</x:v>
      </x:c>
      <x:c r="Q1005" s="220" t="n">
        <x:v>3.433333333333333</x:v>
      </x:c>
      <x:c r="R1005" s="220" t="n">
        <x:v>0.09742255852447387</x:v>
      </x:c>
      <x:c r="S1005" s="220" t="n">
        <x:v>58.12903225806452</x:v>
      </x:c>
      <x:c r="T1005" s="220" t="n">
        <x:v>54.225806451612904</x:v>
      </x:c>
      <x:c r="U1005" s="220" t="n">
        <x:v>3.903225806451613</x:v>
      </x:c>
      <x:c r="V1005" s="218" t="n">
        <x:v>0.1152073732718894</x:v>
      </x:c>
      <x:c r="W1005" s="217" t="n">
        <x:v>30</x:v>
      </x:c>
      <x:c r="X1005" s="222" t="n">
        <x:v>3900</x:v>
      </x:c>
      <x:c r="Y1005" s="217" t="n">
        <x:v>23</x:v>
      </x:c>
    </x:row>
    <x:row r="1006">
      <x:c r="A1006" s="216" t="n">
        <x:v>543</x:v>
      </x:c>
      <x:c r="B1006" s="216" t="str">
        <x:v>五堵橋下籃球場</x:v>
      </x:c>
      <x:c r="C1006" s="216" t="str">
        <x:v>汐止區</x:v>
      </x:c>
      <x:c r="D1006" s="216" t="n">
        <x:v>17</x:v>
      </x:c>
      <x:c r="E1006" s="216" t="n">
        <x:v>120</x:v>
      </x:c>
      <x:c r="F1006" s="219" t="n">
        <x:v>0.9994791666666667</x:v>
      </x:c>
      <x:c r="G1006" s="216" t="n">
        <x:v>1002</x:v>
      </x:c>
      <x:c r="H1006" s="216" t="str">
        <x:f>IF(G1006&lt;='排名定義'!$B$5,"是","")</x:f>
        <x:v>是</x:v>
      </x:c>
      <x:c r="I1006" s="216" t="n">
        <x:v>992</x:v>
      </x:c>
      <x:c r="J1006" s="216" t="str">
        <x:f>IF(I1006&lt;='排名定義'!$B$5,"是","")</x:f>
        <x:v>是</x:v>
      </x:c>
      <x:c r="K1006" s="216" t="n">
        <x:v>1124</x:v>
      </x:c>
      <x:c r="L1006" s="216" t="str">
        <x:f>IF(K1006&lt;='排名定義'!$B$5,"是","")</x:f>
        <x:v>是</x:v>
      </x:c>
      <x:c r="M1006" s="216" t="n">
        <x:f>COUNTIF(H1006:L1006,"是")</x:f>
        <x:v>3</x:v>
      </x:c>
      <x:c r="N1006" s="216" t="str">
        <x:v>三份皆未入選</x:v>
      </x:c>
      <x:c r="O1006" s="221" t="n">
        <x:v>35.208333333333336</x:v>
      </x:c>
      <x:c r="P1006" s="221" t="n">
        <x:v>32.083333333333336</x:v>
      </x:c>
      <x:c r="Q1006" s="221" t="n">
        <x:v>3.125</x:v>
      </x:c>
      <x:c r="R1006" s="221" t="n">
        <x:v>0.08875739644970414</x:v>
      </x:c>
      <x:c r="S1006" s="221" t="n">
        <x:v>59.516129032258064</x:v>
      </x:c>
      <x:c r="T1006" s="221" t="n">
        <x:v>55.58064516129032</x:v>
      </x:c>
      <x:c r="U1006" s="221" t="n">
        <x:v>3.935483870967742</x:v>
      </x:c>
      <x:c r="V1006" s="219" t="n">
        <x:v>0.07373271889400922</x:v>
      </x:c>
      <x:c r="W1006" s="216" t="n">
        <x:v>16</x:v>
      </x:c>
      <x:c r="X1006" s="223" t="n">
        <x:v>2160</x:v>
      </x:c>
      <x:c r="Y1006" s="216" t="n">
        <x:v>17</x:v>
      </x:c>
    </x:row>
    <x:row r="1007">
      <x:c r="A1007" s="217" t="n">
        <x:v>773</x:v>
      </x:c>
      <x:c r="B1007" s="217" t="str">
        <x:v>沙崙新民街口</x:v>
      </x:c>
      <x:c r="C1007" s="217" t="str">
        <x:v>淡水區</x:v>
      </x:c>
      <x:c r="D1007" s="217" t="n">
        <x:v>21</x:v>
      </x:c>
      <x:c r="E1007" s="217" t="n">
        <x:v>120</x:v>
      </x:c>
      <x:c r="F1007" s="218" t="n">
        <x:v>0.9994791666666667</x:v>
      </x:c>
      <x:c r="G1007" s="217" t="n">
        <x:v>1003</x:v>
      </x:c>
      <x:c r="H1007" s="217" t="str">
        <x:f>IF(G1007&lt;='排名定義'!$B$5,"是","")</x:f>
        <x:v>是</x:v>
      </x:c>
      <x:c r="I1007" s="217" t="n">
        <x:v>1019</x:v>
      </x:c>
      <x:c r="J1007" s="217" t="str">
        <x:f>IF(I1007&lt;='排名定義'!$B$5,"是","")</x:f>
        <x:v>是</x:v>
      </x:c>
      <x:c r="K1007" s="217" t="n">
        <x:v>828</x:v>
      </x:c>
      <x:c r="L1007" s="217" t="str">
        <x:f>IF(K1007&lt;='排名定義'!$B$5,"是","")</x:f>
        <x:v>是</x:v>
      </x:c>
      <x:c r="M1007" s="217" t="n">
        <x:f>COUNTIF(H1007:L1007,"是")</x:f>
        <x:v>3</x:v>
      </x:c>
      <x:c r="N1007" s="217" t="str">
        <x:v>三份皆未入選</x:v>
      </x:c>
      <x:c r="O1007" s="220" t="n">
        <x:v>35.18333333333333</x:v>
      </x:c>
      <x:c r="P1007" s="220" t="n">
        <x:v>31.266666666666666</x:v>
      </x:c>
      <x:c r="Q1007" s="220" t="n">
        <x:v>3.9166666666666665</x:v>
      </x:c>
      <x:c r="R1007" s="220" t="n">
        <x:v>0.1113216485078162</x:v>
      </x:c>
      <x:c r="S1007" s="220" t="n">
        <x:v>55.12903225806452</x:v>
      </x:c>
      <x:c r="T1007" s="220" t="n">
        <x:v>52.32258064516129</x:v>
      </x:c>
      <x:c r="U1007" s="220" t="n">
        <x:v>2.806451612903226</x:v>
      </x:c>
      <x:c r="V1007" s="218" t="n">
        <x:v>0.03917050691244239</x:v>
      </x:c>
      <x:c r="W1007" s="217" t="n">
        <x:v>9</x:v>
      </x:c>
      <x:c r="X1007" s="222" t="n">
        <x:v>1200</x:v>
      </x:c>
      <x:c r="Y1007" s="217" t="n">
        <x:v>21</x:v>
      </x:c>
    </x:row>
    <x:row r="1008">
      <x:c r="A1008" s="216" t="n">
        <x:v>592</x:v>
      </x:c>
      <x:c r="B1008" s="216" t="str">
        <x:v>鳳五路122號前</x:v>
      </x:c>
      <x:c r="C1008" s="216" t="str">
        <x:v>鶯歌區</x:v>
      </x:c>
      <x:c r="D1008" s="216" t="n">
        <x:v>18</x:v>
      </x:c>
      <x:c r="E1008" s="216" t="n">
        <x:v>120</x:v>
      </x:c>
      <x:c r="F1008" s="219" t="n">
        <x:v>0.9994791666666667</x:v>
      </x:c>
      <x:c r="G1008" s="216" t="n">
        <x:v>1004</x:v>
      </x:c>
      <x:c r="H1008" s="216" t="str">
        <x:f>IF(G1008&lt;='排名定義'!$B$5,"是","")</x:f>
        <x:v>是</x:v>
      </x:c>
      <x:c r="I1008" s="216" t="n">
        <x:v>996</x:v>
      </x:c>
      <x:c r="J1008" s="216" t="str">
        <x:f>IF(I1008&lt;='排名定義'!$B$5,"是","")</x:f>
        <x:v>是</x:v>
      </x:c>
      <x:c r="K1008" s="216" t="n">
        <x:v>1065</x:v>
      </x:c>
      <x:c r="L1008" s="216" t="str">
        <x:f>IF(K1008&lt;='排名定義'!$B$5,"是","")</x:f>
        <x:v>是</x:v>
      </x:c>
      <x:c r="M1008" s="216" t="n">
        <x:f>COUNTIF(H1008:L1008,"是")</x:f>
        <x:v>3</x:v>
      </x:c>
      <x:c r="N1008" s="216" t="str">
        <x:v>三份皆未入選</x:v>
      </x:c>
      <x:c r="O1008" s="221" t="n">
        <x:v>35.175</x:v>
      </x:c>
      <x:c r="P1008" s="221" t="n">
        <x:v>31.866666666666667</x:v>
      </x:c>
      <x:c r="Q1008" s="221" t="n">
        <x:v>3.308333333333333</x:v>
      </x:c>
      <x:c r="R1008" s="221" t="n">
        <x:v>0.09405354181473584</x:v>
      </x:c>
      <x:c r="S1008" s="221" t="n">
        <x:v>54.96774193548387</x:v>
      </x:c>
      <x:c r="T1008" s="221" t="n">
        <x:v>50.74193548387097</x:v>
      </x:c>
      <x:c r="U1008" s="221" t="n">
        <x:v>4.225806451612903</x:v>
      </x:c>
      <x:c r="V1008" s="219" t="n">
        <x:v>0.06451612903225806</x:v>
      </x:c>
      <x:c r="W1008" s="216" t="n">
        <x:v>8</x:v>
      </x:c>
      <x:c r="X1008" s="223" t="n">
        <x:v>1140</x:v>
      </x:c>
      <x:c r="Y1008" s="216" t="n">
        <x:v>18</x:v>
      </x:c>
    </x:row>
    <x:row r="1009">
      <x:c r="A1009" s="217" t="n">
        <x:v>679</x:v>
      </x:c>
      <x:c r="B1009" s="217" t="str">
        <x:v>福德一路392巷口</x:v>
      </x:c>
      <x:c r="C1009" s="217" t="str">
        <x:v>汐止區</x:v>
      </x:c>
      <x:c r="D1009" s="217" t="n">
        <x:v>20</x:v>
      </x:c>
      <x:c r="E1009" s="217" t="n">
        <x:v>120</x:v>
      </x:c>
      <x:c r="F1009" s="218" t="n">
        <x:v>0.9994791666666667</x:v>
      </x:c>
      <x:c r="G1009" s="217" t="n">
        <x:v>1005</x:v>
      </x:c>
      <x:c r="H1009" s="217" t="str">
        <x:f>IF(G1009&lt;='排名定義'!$B$5,"是","")</x:f>
        <x:v>是</x:v>
      </x:c>
      <x:c r="I1009" s="217" t="n">
        <x:v>1024</x:v>
      </x:c>
      <x:c r="J1009" s="217" t="str">
        <x:f>IF(I1009&lt;='排名定義'!$B$5,"是","")</x:f>
        <x:v>是</x:v>
      </x:c>
      <x:c r="K1009" s="217" t="n">
        <x:v>742</x:v>
      </x:c>
      <x:c r="L1009" s="217" t="str">
        <x:f>IF(K1009&lt;='排名定義'!$B$5,"是","")</x:f>
        <x:v>是</x:v>
      </x:c>
      <x:c r="M1009" s="217" t="n">
        <x:f>COUNTIF(H1009:L1009,"是")</x:f>
        <x:v>3</x:v>
      </x:c>
      <x:c r="N1009" s="217" t="str">
        <x:v>三份皆未入選</x:v>
      </x:c>
      <x:c r="O1009" s="220" t="n">
        <x:v>35.175</x:v>
      </x:c>
      <x:c r="P1009" s="220" t="n">
        <x:v>31.008333333333333</x:v>
      </x:c>
      <x:c r="Q1009" s="220" t="n">
        <x:v>4.166666666666667</x:v>
      </x:c>
      <x:c r="R1009" s="220" t="n">
        <x:v>0.11845534233593935</x:v>
      </x:c>
      <x:c r="S1009" s="220" t="n">
        <x:v>54.61290322580645</x:v>
      </x:c>
      <x:c r="T1009" s="220" t="n">
        <x:v>50.32258064516129</x:v>
      </x:c>
      <x:c r="U1009" s="220" t="n">
        <x:v>4.290322580645161</x:v>
      </x:c>
      <x:c r="V1009" s="218" t="n">
        <x:v>0.027649769585253458</x:v>
      </x:c>
      <x:c r="W1009" s="217" t="n">
        <x:v>4</x:v>
      </x:c>
      <x:c r="X1009" s="222" t="n">
        <x:v>690</x:v>
      </x:c>
      <x:c r="Y1009" s="217" t="n">
        <x:v>20</x:v>
      </x:c>
    </x:row>
    <x:row r="1010">
      <x:c r="A1010" s="216" t="n">
        <x:v>889</x:v>
      </x:c>
      <x:c r="B1010" s="216" t="str">
        <x:v>光華公園</x:v>
      </x:c>
      <x:c r="C1010" s="216" t="str">
        <x:v>樹林區</x:v>
      </x:c>
      <x:c r="D1010" s="216" t="n">
        <x:v>25</x:v>
      </x:c>
      <x:c r="E1010" s="216" t="n">
        <x:v>120</x:v>
      </x:c>
      <x:c r="F1010" s="219" t="n">
        <x:v>0.9994791666666667</x:v>
      </x:c>
      <x:c r="G1010" s="216" t="n">
        <x:v>1006</x:v>
      </x:c>
      <x:c r="H1010" s="216" t="str">
        <x:f>IF(G1010&lt;='排名定義'!$B$5,"是","")</x:f>
        <x:v>是</x:v>
      </x:c>
      <x:c r="I1010" s="216" t="n">
        <x:v>1006</x:v>
      </x:c>
      <x:c r="J1010" s="216" t="str">
        <x:f>IF(I1010&lt;='排名定義'!$B$5,"是","")</x:f>
        <x:v>是</x:v>
      </x:c>
      <x:c r="K1010" s="216" t="n">
        <x:v>974</x:v>
      </x:c>
      <x:c r="L1010" s="216" t="str">
        <x:f>IF(K1010&lt;='排名定義'!$B$5,"是","")</x:f>
        <x:v>是</x:v>
      </x:c>
      <x:c r="M1010" s="216" t="n">
        <x:f>COUNTIF(H1010:L1010,"是")</x:f>
        <x:v>3</x:v>
      </x:c>
      <x:c r="N1010" s="216" t="str">
        <x:v>三份皆未入選</x:v>
      </x:c>
      <x:c r="O1010" s="221" t="n">
        <x:v>35.175</x:v>
      </x:c>
      <x:c r="P1010" s="221" t="n">
        <x:v>31.666666666666668</x:v>
      </x:c>
      <x:c r="Q1010" s="221" t="n">
        <x:v>3.5083333333333333</x:v>
      </x:c>
      <x:c r="R1010" s="221" t="n">
        <x:v>0.09973939824686093</x:v>
      </x:c>
      <x:c r="S1010" s="221" t="n">
        <x:v>54.87096774193548</x:v>
      </x:c>
      <x:c r="T1010" s="221" t="n">
        <x:v>52.064516129032256</x:v>
      </x:c>
      <x:c r="U1010" s="221" t="n">
        <x:v>2.806451612903226</x:v>
      </x:c>
      <x:c r="V1010" s="219" t="n">
        <x:v>0.03456221198156682</x:v>
      </x:c>
      <x:c r="W1010" s="216" t="n">
        <x:v>5</x:v>
      </x:c>
      <x:c r="X1010" s="223" t="n">
        <x:v>720</x:v>
      </x:c>
      <x:c r="Y1010" s="216" t="n">
        <x:v>25</x:v>
      </x:c>
    </x:row>
    <x:row r="1011">
      <x:c r="A1011" s="217" t="n">
        <x:v>525</x:v>
      </x:c>
      <x:c r="B1011" s="217" t="str">
        <x:v>土城國小(興城路)</x:v>
      </x:c>
      <x:c r="C1011" s="217" t="str">
        <x:v>土城區</x:v>
      </x:c>
      <x:c r="D1011" s="217" t="n">
        <x:v>17</x:v>
      </x:c>
      <x:c r="E1011" s="217" t="n">
        <x:v>120</x:v>
      </x:c>
      <x:c r="F1011" s="218" t="n">
        <x:v>0.9994791666666667</x:v>
      </x:c>
      <x:c r="G1011" s="217" t="n">
        <x:v>1007</x:v>
      </x:c>
      <x:c r="H1011" s="217" t="str">
        <x:f>IF(G1011&lt;='排名定義'!$B$5,"是","")</x:f>
        <x:v>是</x:v>
      </x:c>
      <x:c r="I1011" s="217" t="n">
        <x:v>1014</x:v>
      </x:c>
      <x:c r="J1011" s="217" t="str">
        <x:f>IF(I1011&lt;='排名定義'!$B$5,"是","")</x:f>
        <x:v>是</x:v>
      </x:c>
      <x:c r="K1011" s="217" t="n">
        <x:v>888</x:v>
      </x:c>
      <x:c r="L1011" s="217" t="str">
        <x:f>IF(K1011&lt;='排名定義'!$B$5,"是","")</x:f>
        <x:v>是</x:v>
      </x:c>
      <x:c r="M1011" s="217" t="n">
        <x:f>COUNTIF(H1011:L1011,"是")</x:f>
        <x:v>3</x:v>
      </x:c>
      <x:c r="N1011" s="217" t="str">
        <x:v>三份皆未入選</x:v>
      </x:c>
      <x:c r="O1011" s="220" t="n">
        <x:v>35.141666666666666</x:v>
      </x:c>
      <x:c r="P1011" s="220" t="n">
        <x:v>31.375</x:v>
      </x:c>
      <x:c r="Q1011" s="220" t="n">
        <x:v>3.7666666666666666</x:v>
      </x:c>
      <x:c r="R1011" s="220" t="n">
        <x:v>0.10718520275077069</x:v>
      </x:c>
      <x:c r="S1011" s="220" t="n">
        <x:v>49.483870967741936</x:v>
      </x:c>
      <x:c r="T1011" s="220" t="n">
        <x:v>46.096774193548384</x:v>
      </x:c>
      <x:c r="U1011" s="220" t="n">
        <x:v>3.3870967741935485</x:v>
      </x:c>
      <x:c r="V1011" s="218" t="n">
        <x:v>0.06682027649769585</x:v>
      </x:c>
      <x:c r="W1011" s="217" t="n">
        <x:v>17</x:v>
      </x:c>
      <x:c r="X1011" s="222" t="n">
        <x:v>2220</x:v>
      </x:c>
      <x:c r="Y1011" s="217" t="n">
        <x:v>17</x:v>
      </x:c>
    </x:row>
    <x:row r="1012">
      <x:c r="A1012" s="216" t="n">
        <x:v>879</x:v>
      </x:c>
      <x:c r="B1012" s="216" t="str">
        <x:v>民安東民全街口</x:v>
      </x:c>
      <x:c r="C1012" s="216" t="str">
        <x:v>新莊區</x:v>
      </x:c>
      <x:c r="D1012" s="216" t="n">
        <x:v>25</x:v>
      </x:c>
      <x:c r="E1012" s="216" t="n">
        <x:v>120</x:v>
      </x:c>
      <x:c r="F1012" s="219" t="n">
        <x:v>0.9994791666666667</x:v>
      </x:c>
      <x:c r="G1012" s="216" t="n">
        <x:v>1008</x:v>
      </x:c>
      <x:c r="H1012" s="216" t="str">
        <x:f>IF(G1012&lt;='排名定義'!$B$5,"是","")</x:f>
        <x:v>是</x:v>
      </x:c>
      <x:c r="I1012" s="216" t="n">
        <x:v>1004</x:v>
      </x:c>
      <x:c r="J1012" s="216" t="str">
        <x:f>IF(I1012&lt;='排名定義'!$B$5,"是","")</x:f>
        <x:v>是</x:v>
      </x:c>
      <x:c r="K1012" s="216" t="n">
        <x:v>1015</x:v>
      </x:c>
      <x:c r="L1012" s="216" t="str">
        <x:f>IF(K1012&lt;='排名定義'!$B$5,"是","")</x:f>
        <x:v>是</x:v>
      </x:c>
      <x:c r="M1012" s="216" t="n">
        <x:f>COUNTIF(H1012:L1012,"是")</x:f>
        <x:v>3</x:v>
      </x:c>
      <x:c r="N1012" s="216" t="str">
        <x:v>三份皆未入選</x:v>
      </x:c>
      <x:c r="O1012" s="221" t="n">
        <x:v>35.083333333333336</x:v>
      </x:c>
      <x:c r="P1012" s="221" t="n">
        <x:v>31.675</x:v>
      </x:c>
      <x:c r="Q1012" s="221" t="n">
        <x:v>3.408333333333333</x:v>
      </x:c>
      <x:c r="R1012" s="221" t="n">
        <x:v>0.09714964370546318</x:v>
      </x:c>
      <x:c r="S1012" s="221" t="n">
        <x:v>46.54838709677419</x:v>
      </x:c>
      <x:c r="T1012" s="221" t="n">
        <x:v>43.61290322580645</x:v>
      </x:c>
      <x:c r="U1012" s="221" t="n">
        <x:v>2.935483870967742</x:v>
      </x:c>
      <x:c r="V1012" s="219" t="n">
        <x:v>0.03456221198156682</x:v>
      </x:c>
      <x:c r="W1012" s="216" t="n">
        <x:v>7</x:v>
      </x:c>
      <x:c r="X1012" s="223" t="n">
        <x:v>930</x:v>
      </x:c>
      <x:c r="Y1012" s="216" t="n">
        <x:v>25</x:v>
      </x:c>
    </x:row>
    <x:row r="1013">
      <x:c r="A1013" s="217" t="n">
        <x:v>643</x:v>
      </x:c>
      <x:c r="B1013" s="217" t="str">
        <x:v>台北得意GO</x:v>
      </x:c>
      <x:c r="C1013" s="217" t="str">
        <x:v>五股區</x:v>
      </x:c>
      <x:c r="D1013" s="217" t="n">
        <x:v>20</x:v>
      </x:c>
      <x:c r="E1013" s="217" t="n">
        <x:v>120</x:v>
      </x:c>
      <x:c r="F1013" s="218" t="n">
        <x:v>0.9994791666666667</x:v>
      </x:c>
      <x:c r="G1013" s="217" t="n">
        <x:v>1009</x:v>
      </x:c>
      <x:c r="H1013" s="217" t="str">
        <x:f>IF(G1013&lt;='排名定義'!$B$5,"是","")</x:f>
        <x:v>是</x:v>
      </x:c>
      <x:c r="I1013" s="217" t="n">
        <x:v>997</x:v>
      </x:c>
      <x:c r="J1013" s="217" t="str">
        <x:f>IF(I1013&lt;='排名定義'!$B$5,"是","")</x:f>
        <x:v>是</x:v>
      </x:c>
      <x:c r="K1013" s="217" t="n">
        <x:v>1099</x:v>
      </x:c>
      <x:c r="L1013" s="217" t="str">
        <x:f>IF(K1013&lt;='排名定義'!$B$5,"是","")</x:f>
        <x:v>是</x:v>
      </x:c>
      <x:c r="M1013" s="217" t="n">
        <x:f>COUNTIF(H1013:L1013,"是")</x:f>
        <x:v>3</x:v>
      </x:c>
      <x:c r="N1013" s="217" t="str">
        <x:v>三份皆未入選</x:v>
      </x:c>
      <x:c r="O1013" s="220" t="n">
        <x:v>35.075</x:v>
      </x:c>
      <x:c r="P1013" s="220" t="n">
        <x:v>31.866666666666667</x:v>
      </x:c>
      <x:c r="Q1013" s="220" t="n">
        <x:v>3.2083333333333335</x:v>
      </x:c>
      <x:c r="R1013" s="220" t="n">
        <x:v>0.09147065811356617</x:v>
      </x:c>
      <x:c r="S1013" s="220" t="n">
        <x:v>52.74193548387097</x:v>
      </x:c>
      <x:c r="T1013" s="220" t="n">
        <x:v>49.096774193548384</x:v>
      </x:c>
      <x:c r="U1013" s="220" t="n">
        <x:v>3.6451612903225805</x:v>
      </x:c>
      <x:c r="V1013" s="218" t="n">
        <x:v>0.020737327188940093</x:v>
      </x:c>
      <x:c r="W1013" s="217" t="n">
        <x:v>5</x:v>
      </x:c>
      <x:c r="X1013" s="222" t="n">
        <x:v>780</x:v>
      </x:c>
      <x:c r="Y1013" s="217" t="n">
        <x:v>20</x:v>
      </x:c>
    </x:row>
    <x:row r="1014">
      <x:c r="A1014" s="216" t="n">
        <x:v>1005</x:v>
      </x:c>
      <x:c r="B1014" s="216" t="str">
        <x:v>臺北大學法學院(鳶飛大道)</x:v>
      </x:c>
      <x:c r="C1014" s="216" t="str">
        <x:v>三峽區</x:v>
      </x:c>
      <x:c r="D1014" s="216" t="n">
        <x:v>29</x:v>
      </x:c>
      <x:c r="E1014" s="216" t="n">
        <x:v>120</x:v>
      </x:c>
      <x:c r="F1014" s="219" t="n">
        <x:v>0.9994791666666667</x:v>
      </x:c>
      <x:c r="G1014" s="216" t="n">
        <x:v>1010</x:v>
      </x:c>
      <x:c r="H1014" s="216" t="str">
        <x:f>IF(G1014&lt;='排名定義'!$B$5,"是","")</x:f>
        <x:v>是</x:v>
      </x:c>
      <x:c r="I1014" s="216" t="n">
        <x:v>1017</x:v>
      </x:c>
      <x:c r="J1014" s="216" t="str">
        <x:f>IF(I1014&lt;='排名定義'!$B$5,"是","")</x:f>
        <x:v>是</x:v>
      </x:c>
      <x:c r="K1014" s="216" t="n">
        <x:v>897</x:v>
      </x:c>
      <x:c r="L1014" s="216" t="str">
        <x:f>IF(K1014&lt;='排名定義'!$B$5,"是","")</x:f>
        <x:v>是</x:v>
      </x:c>
      <x:c r="M1014" s="216" t="n">
        <x:f>COUNTIF(H1014:L1014,"是")</x:f>
        <x:v>3</x:v>
      </x:c>
      <x:c r="N1014" s="216" t="str">
        <x:v>三份皆未入選</x:v>
      </x:c>
      <x:c r="O1014" s="221" t="n">
        <x:v>35.075</x:v>
      </x:c>
      <x:c r="P1014" s="221" t="n">
        <x:v>31.341666666666665</x:v>
      </x:c>
      <x:c r="Q1014" s="221" t="n">
        <x:v>3.7333333333333334</x:v>
      </x:c>
      <x:c r="R1014" s="221" t="n">
        <x:v>0.10643858398669517</x:v>
      </x:c>
      <x:c r="S1014" s="221" t="n">
        <x:v>67.03225806451613</x:v>
      </x:c>
      <x:c r="T1014" s="221" t="n">
        <x:v>62.096774193548384</x:v>
      </x:c>
      <x:c r="U1014" s="221" t="n">
        <x:v>4.935483870967742</x:v>
      </x:c>
      <x:c r="V1014" s="219" t="n">
        <x:v>0.03686635944700461</x:v>
      </x:c>
      <x:c r="W1014" s="216" t="n">
        <x:v>7</x:v>
      </x:c>
      <x:c r="X1014" s="223" t="n">
        <x:v>900</x:v>
      </x:c>
      <x:c r="Y1014" s="216" t="n">
        <x:v>29</x:v>
      </x:c>
    </x:row>
    <x:row r="1015">
      <x:c r="A1015" s="217" t="n">
        <x:v>954</x:v>
      </x:c>
      <x:c r="B1015" s="217" t="str">
        <x:v>員山市場臨時平面停車場</x:v>
      </x:c>
      <x:c r="C1015" s="217" t="str">
        <x:v>中和區</x:v>
      </x:c>
      <x:c r="D1015" s="217" t="n">
        <x:v>27</x:v>
      </x:c>
      <x:c r="E1015" s="217" t="n">
        <x:v>120</x:v>
      </x:c>
      <x:c r="F1015" s="218" t="n">
        <x:v>0.9994791666666667</x:v>
      </x:c>
      <x:c r="G1015" s="217" t="n">
        <x:v>1011</x:v>
      </x:c>
      <x:c r="H1015" s="217" t="str">
        <x:f>IF(G1015&lt;='排名定義'!$B$5,"是","")</x:f>
        <x:v>是</x:v>
      </x:c>
      <x:c r="I1015" s="217" t="n">
        <x:v>1007</x:v>
      </x:c>
      <x:c r="J1015" s="217" t="str">
        <x:f>IF(I1015&lt;='排名定義'!$B$5,"是","")</x:f>
        <x:v>是</x:v>
      </x:c>
      <x:c r="K1015" s="217" t="n">
        <x:v>1019</x:v>
      </x:c>
      <x:c r="L1015" s="217" t="str">
        <x:f>IF(K1015&lt;='排名定義'!$B$5,"是","")</x:f>
        <x:v>是</x:v>
      </x:c>
      <x:c r="M1015" s="217" t="n">
        <x:f>COUNTIF(H1015:L1015,"是")</x:f>
        <x:v>3</x:v>
      </x:c>
      <x:c r="N1015" s="217" t="str">
        <x:v>三份皆未入選</x:v>
      </x:c>
      <x:c r="O1015" s="220" t="n">
        <x:v>35.05</x:v>
      </x:c>
      <x:c r="P1015" s="220" t="n">
        <x:v>31.65</x:v>
      </x:c>
      <x:c r="Q1015" s="220" t="n">
        <x:v>3.4</x:v>
      </x:c>
      <x:c r="R1015" s="220" t="n">
        <x:v>0.09700427960057062</x:v>
      </x:c>
      <x:c r="S1015" s="220" t="n">
        <x:v>59</x:v>
      </x:c>
      <x:c r="T1015" s="220" t="n">
        <x:v>55.54838709677419</x:v>
      </x:c>
      <x:c r="U1015" s="220" t="n">
        <x:v>3.4516129032258065</x:v>
      </x:c>
      <x:c r="V1015" s="218" t="n">
        <x:v>0.027649769585253458</x:v>
      </x:c>
      <x:c r="W1015" s="217" t="n">
        <x:v>5</x:v>
      </x:c>
      <x:c r="X1015" s="222" t="n">
        <x:v>570</x:v>
      </x:c>
      <x:c r="Y1015" s="217" t="n">
        <x:v>27</x:v>
      </x:c>
    </x:row>
    <x:row r="1016">
      <x:c r="A1016" s="216" t="n">
        <x:v>127</x:v>
      </x:c>
      <x:c r="B1016" s="216" t="str">
        <x:v>淡水行政中心</x:v>
      </x:c>
      <x:c r="C1016" s="216" t="str">
        <x:v>淡水區</x:v>
      </x:c>
      <x:c r="D1016" s="216" t="n">
        <x:v>10</x:v>
      </x:c>
      <x:c r="E1016" s="216" t="n">
        <x:v>120</x:v>
      </x:c>
      <x:c r="F1016" s="219" t="n">
        <x:v>0.9994791666666667</x:v>
      </x:c>
      <x:c r="G1016" s="216" t="n">
        <x:v>1012</x:v>
      </x:c>
      <x:c r="H1016" s="216" t="str">
        <x:f>IF(G1016&lt;='排名定義'!$B$5,"是","")</x:f>
        <x:v>是</x:v>
      </x:c>
      <x:c r="I1016" s="216" t="n">
        <x:v>999</x:v>
      </x:c>
      <x:c r="J1016" s="216" t="str">
        <x:f>IF(I1016&lt;='排名定義'!$B$5,"是","")</x:f>
        <x:v>是</x:v>
      </x:c>
      <x:c r="K1016" s="216" t="n">
        <x:v>1140</x:v>
      </x:c>
      <x:c r="L1016" s="216" t="str">
        <x:f>IF(K1016&lt;='排名定義'!$B$5,"是","")</x:f>
        <x:v>是</x:v>
      </x:c>
      <x:c r="M1016" s="216" t="n">
        <x:f>COUNTIF(H1016:L1016,"是")</x:f>
        <x:v>3</x:v>
      </x:c>
      <x:c r="N1016" s="216" t="str">
        <x:v>三份皆未入選</x:v>
      </x:c>
      <x:c r="O1016" s="221" t="n">
        <x:v>34.925</x:v>
      </x:c>
      <x:c r="P1016" s="221" t="n">
        <x:v>31.841666666666665</x:v>
      </x:c>
      <x:c r="Q1016" s="221" t="n">
        <x:v>3.0833333333333335</x:v>
      </x:c>
      <x:c r="R1016" s="221" t="n">
        <x:v>0.08828441899308041</x:v>
      </x:c>
      <x:c r="S1016" s="221" t="n">
        <x:v>47.064516129032256</x:v>
      </x:c>
      <x:c r="T1016" s="221" t="n">
        <x:v>45.16129032258065</x:v>
      </x:c>
      <x:c r="U1016" s="221" t="n">
        <x:v>1.903225806451613</x:v>
      </x:c>
      <x:c r="V1016" s="219" t="n">
        <x:v>0.195852534562212</x:v>
      </x:c>
      <x:c r="W1016" s="216" t="n">
        <x:v>55</x:v>
      </x:c>
      <x:c r="X1016" s="223" t="n">
        <x:v>7680</x:v>
      </x:c>
      <x:c r="Y1016" s="216" t="n">
        <x:v>10</x:v>
      </x:c>
    </x:row>
    <x:row r="1017">
      <x:c r="A1017" s="217" t="n">
        <x:v>128</x:v>
      </x:c>
      <x:c r="B1017" s="217" t="str">
        <x:v>淡金路38巷尾</x:v>
      </x:c>
      <x:c r="C1017" s="217" t="str">
        <x:v>淡水區</x:v>
      </x:c>
      <x:c r="D1017" s="217" t="n">
        <x:v>10</x:v>
      </x:c>
      <x:c r="E1017" s="217" t="n">
        <x:v>120</x:v>
      </x:c>
      <x:c r="F1017" s="218" t="n">
        <x:v>0.9994791666666667</x:v>
      </x:c>
      <x:c r="G1017" s="217" t="n">
        <x:v>1013</x:v>
      </x:c>
      <x:c r="H1017" s="217" t="str">
        <x:f>IF(G1017&lt;='排名定義'!$B$5,"是","")</x:f>
        <x:v>是</x:v>
      </x:c>
      <x:c r="I1017" s="217" t="n">
        <x:v>1011</x:v>
      </x:c>
      <x:c r="J1017" s="217" t="str">
        <x:f>IF(I1017&lt;='排名定義'!$B$5,"是","")</x:f>
        <x:v>是</x:v>
      </x:c>
      <x:c r="K1017" s="217" t="n">
        <x:v>1013</x:v>
      </x:c>
      <x:c r="L1017" s="217" t="str">
        <x:f>IF(K1017&lt;='排名定義'!$B$5,"是","")</x:f>
        <x:v>是</x:v>
      </x:c>
      <x:c r="M1017" s="217" t="n">
        <x:f>COUNTIF(H1017:L1017,"是")</x:f>
        <x:v>3</x:v>
      </x:c>
      <x:c r="N1017" s="217" t="str">
        <x:v>三份皆未入選</x:v>
      </x:c>
      <x:c r="O1017" s="220" t="n">
        <x:v>34.925</x:v>
      </x:c>
      <x:c r="P1017" s="220" t="n">
        <x:v>31.516666666666666</x:v>
      </x:c>
      <x:c r="Q1017" s="220" t="n">
        <x:v>3.408333333333333</x:v>
      </x:c>
      <x:c r="R1017" s="220" t="n">
        <x:v>0.09759007396802673</x:v>
      </x:c>
      <x:c r="S1017" s="220" t="n">
        <x:v>47.67741935483871</x:v>
      </x:c>
      <x:c r="T1017" s="220" t="n">
        <x:v>43.32258064516129</x:v>
      </x:c>
      <x:c r="U1017" s="220" t="n">
        <x:v>4.354838709677419</x:v>
      </x:c>
      <x:c r="V1017" s="218" t="n">
        <x:v>0.1359447004608295</x:v>
      </x:c>
      <x:c r="W1017" s="217" t="n">
        <x:v>50</x:v>
      </x:c>
      <x:c r="X1017" s="222" t="n">
        <x:v>8640</x:v>
      </x:c>
      <x:c r="Y1017" s="217" t="n">
        <x:v>10</x:v>
      </x:c>
    </x:row>
    <x:row r="1018">
      <x:c r="A1018" s="216" t="n">
        <x:v>892</x:v>
      </x:c>
      <x:c r="B1018" s="216" t="str">
        <x:v>大安市民活動中心</x:v>
      </x:c>
      <x:c r="C1018" s="216" t="str">
        <x:v>土城區</x:v>
      </x:c>
      <x:c r="D1018" s="216" t="n">
        <x:v>25</x:v>
      </x:c>
      <x:c r="E1018" s="216" t="n">
        <x:v>120</x:v>
      </x:c>
      <x:c r="F1018" s="219" t="n">
        <x:v>0.9994791666666667</x:v>
      </x:c>
      <x:c r="G1018" s="216" t="n">
        <x:v>1014</x:v>
      </x:c>
      <x:c r="H1018" s="216" t="str">
        <x:f>IF(G1018&lt;='排名定義'!$B$5,"是","")</x:f>
        <x:v>是</x:v>
      </x:c>
      <x:c r="I1018" s="216" t="n">
        <x:v>1026</x:v>
      </x:c>
      <x:c r="J1018" s="216" t="str">
        <x:f>IF(I1018&lt;='排名定義'!$B$5,"是","")</x:f>
        <x:v>是</x:v>
      </x:c>
      <x:c r="K1018" s="216" t="n">
        <x:v>817</x:v>
      </x:c>
      <x:c r="L1018" s="216" t="str">
        <x:f>IF(K1018&lt;='排名定義'!$B$5,"是","")</x:f>
        <x:v>是</x:v>
      </x:c>
      <x:c r="M1018" s="216" t="n">
        <x:f>COUNTIF(H1018:L1018,"是")</x:f>
        <x:v>3</x:v>
      </x:c>
      <x:c r="N1018" s="216" t="str">
        <x:v>三份皆未入選</x:v>
      </x:c>
      <x:c r="O1018" s="221" t="n">
        <x:v>34.916666666666664</x:v>
      </x:c>
      <x:c r="P1018" s="221" t="n">
        <x:v>30.966666666666665</x:v>
      </x:c>
      <x:c r="Q1018" s="221" t="n">
        <x:v>3.95</x:v>
      </x:c>
      <x:c r="R1018" s="221" t="n">
        <x:v>0.11312649164677804</x:v>
      </x:c>
      <x:c r="S1018" s="221" t="n">
        <x:v>49.67741935483871</x:v>
      </x:c>
      <x:c r="T1018" s="221" t="n">
        <x:v>46.483870967741936</x:v>
      </x:c>
      <x:c r="U1018" s="221" t="n">
        <x:v>3.193548387096774</x:v>
      </x:c>
      <x:c r="V1018" s="219" t="n">
        <x:v>0.052995391705069124</x:v>
      </x:c>
      <x:c r="W1018" s="216" t="n">
        <x:v>7</x:v>
      </x:c>
      <x:c r="X1018" s="223" t="n">
        <x:v>1350</x:v>
      </x:c>
      <x:c r="Y1018" s="216" t="n">
        <x:v>25</x:v>
      </x:c>
    </x:row>
    <x:row r="1019">
      <x:c r="A1019" s="217" t="n">
        <x:v>376</x:v>
      </x:c>
      <x:c r="B1019" s="217" t="str">
        <x:v>永平休閒廣場</x:v>
      </x:c>
      <x:c r="C1019" s="217" t="str">
        <x:v>新店區</x:v>
      </x:c>
      <x:c r="D1019" s="217" t="n">
        <x:v>15</x:v>
      </x:c>
      <x:c r="E1019" s="217" t="n">
        <x:v>120</x:v>
      </x:c>
      <x:c r="F1019" s="218" t="n">
        <x:v>0.9994791666666667</x:v>
      </x:c>
      <x:c r="G1019" s="217" t="n">
        <x:v>1015</x:v>
      </x:c>
      <x:c r="H1019" s="217" t="str">
        <x:f>IF(G1019&lt;='排名定義'!$B$5,"是","")</x:f>
        <x:v>是</x:v>
      </x:c>
      <x:c r="I1019" s="217" t="n">
        <x:v>1016</x:v>
      </x:c>
      <x:c r="J1019" s="217" t="str">
        <x:f>IF(I1019&lt;='排名定義'!$B$5,"是","")</x:f>
        <x:v>是</x:v>
      </x:c>
      <x:c r="K1019" s="217" t="n">
        <x:v>968</x:v>
      </x:c>
      <x:c r="L1019" s="217" t="str">
        <x:f>IF(K1019&lt;='排名定義'!$B$5,"是","")</x:f>
        <x:v>是</x:v>
      </x:c>
      <x:c r="M1019" s="217" t="n">
        <x:f>COUNTIF(H1019:L1019,"是")</x:f>
        <x:v>3</x:v>
      </x:c>
      <x:c r="N1019" s="217" t="str">
        <x:v>三份皆未入選</x:v>
      </x:c>
      <x:c r="O1019" s="220" t="n">
        <x:v>34.875</x:v>
      </x:c>
      <x:c r="P1019" s="220" t="n">
        <x:v>31.358333333333334</x:v>
      </x:c>
      <x:c r="Q1019" s="220" t="n">
        <x:v>3.5166666666666666</x:v>
      </x:c>
      <x:c r="R1019" s="220" t="n">
        <x:v>0.1008363201911589</x:v>
      </x:c>
      <x:c r="S1019" s="220" t="n">
        <x:v>49.45161290322581</x:v>
      </x:c>
      <x:c r="T1019" s="220" t="n">
        <x:v>46.67741935483871</x:v>
      </x:c>
      <x:c r="U1019" s="220" t="n">
        <x:v>2.774193548387097</x:v>
      </x:c>
      <x:c r="V1019" s="218" t="n">
        <x:v>0.01152073732718894</x:v>
      </x:c>
      <x:c r="W1019" s="217" t="n">
        <x:v>6</x:v>
      </x:c>
      <x:c r="X1019" s="222" t="n">
        <x:v>810</x:v>
      </x:c>
      <x:c r="Y1019" s="217" t="n">
        <x:v>15</x:v>
      </x:c>
    </x:row>
    <x:row r="1020">
      <x:c r="A1020" s="216" t="n">
        <x:v>1039</x:v>
      </x:c>
      <x:c r="B1020" s="216" t="str">
        <x:v>遠東動力企業總部(福營路)</x:v>
      </x:c>
      <x:c r="C1020" s="216" t="str">
        <x:v>新莊區</x:v>
      </x:c>
      <x:c r="D1020" s="216" t="n">
        <x:v>30</x:v>
      </x:c>
      <x:c r="E1020" s="216" t="n">
        <x:v>120</x:v>
      </x:c>
      <x:c r="F1020" s="219" t="n">
        <x:v>0.9994791666666667</x:v>
      </x:c>
      <x:c r="G1020" s="216" t="n">
        <x:v>1016</x:v>
      </x:c>
      <x:c r="H1020" s="216" t="str">
        <x:f>IF(G1020&lt;='排名定義'!$B$5,"是","")</x:f>
        <x:v>是</x:v>
      </x:c>
      <x:c r="I1020" s="216" t="n">
        <x:v>1000</x:v>
      </x:c>
      <x:c r="J1020" s="216" t="str">
        <x:f>IF(I1020&lt;='排名定義'!$B$5,"是","")</x:f>
        <x:v>是</x:v>
      </x:c>
      <x:c r="K1020" s="216" t="n">
        <x:v>1156</x:v>
      </x:c>
      <x:c r="L1020" s="216" t="str">
        <x:f>IF(K1020&lt;='排名定義'!$B$5,"是","")</x:f>
        <x:v>是</x:v>
      </x:c>
      <x:c r="M1020" s="216" t="n">
        <x:f>COUNTIF(H1020:L1020,"是")</x:f>
        <x:v>3</x:v>
      </x:c>
      <x:c r="N1020" s="216" t="str">
        <x:v>三份皆未入選</x:v>
      </x:c>
      <x:c r="O1020" s="221" t="n">
        <x:v>34.86666666666667</x:v>
      </x:c>
      <x:c r="P1020" s="221" t="n">
        <x:v>31.825</x:v>
      </x:c>
      <x:c r="Q1020" s="221" t="n">
        <x:v>3.0416666666666665</x:v>
      </x:c>
      <x:c r="R1020" s="221" t="n">
        <x:v>0.08723709369024857</x:v>
      </x:c>
      <x:c r="S1020" s="221" t="n">
        <x:v>56.03225806451613</x:v>
      </x:c>
      <x:c r="T1020" s="221" t="n">
        <x:v>53.38709677419355</x:v>
      </x:c>
      <x:c r="U1020" s="221" t="n">
        <x:v>2.6451612903225805</x:v>
      </x:c>
      <x:c r="V1020" s="219" t="n">
        <x:v>0.04377880184331797</x:v>
      </x:c>
      <x:c r="W1020" s="216" t="n">
        <x:v>16</x:v>
      </x:c>
      <x:c r="X1020" s="223" t="n">
        <x:v>2010</x:v>
      </x:c>
      <x:c r="Y1020" s="216" t="n">
        <x:v>30</x:v>
      </x:c>
    </x:row>
    <x:row r="1021">
      <x:c r="A1021" s="217" t="n">
        <x:v>456</x:v>
      </x:c>
      <x:c r="B1021" s="217" t="str">
        <x:v>長興橋</x:v>
      </x:c>
      <x:c r="C1021" s="217" t="str">
        <x:v>汐止區</x:v>
      </x:c>
      <x:c r="D1021" s="217" t="n">
        <x:v>15</x:v>
      </x:c>
      <x:c r="E1021" s="217" t="n">
        <x:v>120</x:v>
      </x:c>
      <x:c r="F1021" s="218" t="n">
        <x:v>0.9994791666666667</x:v>
      </x:c>
      <x:c r="G1021" s="217" t="n">
        <x:v>1017</x:v>
      </x:c>
      <x:c r="H1021" s="217" t="str">
        <x:f>IF(G1021&lt;='排名定義'!$B$5,"是","")</x:f>
        <x:v>是</x:v>
      </x:c>
      <x:c r="I1021" s="217" t="n">
        <x:v>1020</x:v>
      </x:c>
      <x:c r="J1021" s="217" t="str">
        <x:f>IF(I1021&lt;='排名定義'!$B$5,"是","")</x:f>
        <x:v>是</x:v>
      </x:c>
      <x:c r="K1021" s="217" t="n">
        <x:v>939</x:v>
      </x:c>
      <x:c r="L1021" s="217" t="str">
        <x:f>IF(K1021&lt;='排名定義'!$B$5,"是","")</x:f>
        <x:v>是</x:v>
      </x:c>
      <x:c r="M1021" s="217" t="n">
        <x:f>COUNTIF(H1021:L1021,"是")</x:f>
        <x:v>3</x:v>
      </x:c>
      <x:c r="N1021" s="217" t="str">
        <x:v>三份皆未入選</x:v>
      </x:c>
      <x:c r="O1021" s="220" t="n">
        <x:v>34.791666666666664</x:v>
      </x:c>
      <x:c r="P1021" s="220" t="n">
        <x:v>31.191666666666666</x:v>
      </x:c>
      <x:c r="Q1021" s="220" t="n">
        <x:v>3.6</x:v>
      </x:c>
      <x:c r="R1021" s="220" t="n">
        <x:v>0.10347305389221557</x:v>
      </x:c>
      <x:c r="S1021" s="220" t="n">
        <x:v>50.354838709677416</x:v>
      </x:c>
      <x:c r="T1021" s="220" t="n">
        <x:v>47.354838709677416</x:v>
      </x:c>
      <x:c r="U1021" s="220" t="n">
        <x:v>3</x:v>
      </x:c>
      <x:c r="V1021" s="218" t="n">
        <x:v>0.06912442396313365</x:v>
      </x:c>
      <x:c r="W1021" s="217" t="n">
        <x:v>10</x:v>
      </x:c>
      <x:c r="X1021" s="222" t="n">
        <x:v>1290</x:v>
      </x:c>
      <x:c r="Y1021" s="217" t="n">
        <x:v>15</x:v>
      </x:c>
    </x:row>
    <x:row r="1022">
      <x:c r="A1022" s="216" t="n">
        <x:v>808</x:v>
      </x:c>
      <x:c r="B1022" s="216" t="str">
        <x:v>鳳福鳳三路口</x:v>
      </x:c>
      <x:c r="C1022" s="216" t="str">
        <x:v>鶯歌區</x:v>
      </x:c>
      <x:c r="D1022" s="216" t="n">
        <x:v>22</x:v>
      </x:c>
      <x:c r="E1022" s="216" t="n">
        <x:v>120</x:v>
      </x:c>
      <x:c r="F1022" s="219" t="n">
        <x:v>0.9994791666666667</x:v>
      </x:c>
      <x:c r="G1022" s="216" t="n">
        <x:v>1018</x:v>
      </x:c>
      <x:c r="H1022" s="216" t="str">
        <x:f>IF(G1022&lt;='排名定義'!$B$5,"是","")</x:f>
        <x:v>是</x:v>
      </x:c>
      <x:c r="I1022" s="216" t="n">
        <x:v>1013</x:v>
      </x:c>
      <x:c r="J1022" s="216" t="str">
        <x:f>IF(I1022&lt;='排名定義'!$B$5,"是","")</x:f>
        <x:v>是</x:v>
      </x:c>
      <x:c r="K1022" s="216" t="n">
        <x:v>1061</x:v>
      </x:c>
      <x:c r="L1022" s="216" t="str">
        <x:f>IF(K1022&lt;='排名定義'!$B$5,"是","")</x:f>
        <x:v>是</x:v>
      </x:c>
      <x:c r="M1022" s="216" t="n">
        <x:f>COUNTIF(H1022:L1022,"是")</x:f>
        <x:v>3</x:v>
      </x:c>
      <x:c r="N1022" s="216" t="str">
        <x:v>三份皆未入選</x:v>
      </x:c>
      <x:c r="O1022" s="221" t="n">
        <x:v>34.74166666666667</x:v>
      </x:c>
      <x:c r="P1022" s="221" t="n">
        <x:v>31.416666666666668</x:v>
      </x:c>
      <x:c r="Q1022" s="221" t="n">
        <x:v>3.325</x:v>
      </x:c>
      <x:c r="R1022" s="221" t="n">
        <x:v>0.09570640441352843</x:v>
      </x:c>
      <x:c r="S1022" s="221" t="n">
        <x:v>56.58064516129032</x:v>
      </x:c>
      <x:c r="T1022" s="221" t="n">
        <x:v>52.225806451612904</x:v>
      </x:c>
      <x:c r="U1022" s="221" t="n">
        <x:v>4.354838709677419</x:v>
      </x:c>
      <x:c r="V1022" s="219" t="n">
        <x:v>0.029953917050691243</x:v>
      </x:c>
      <x:c r="W1022" s="216" t="n">
        <x:v>3</x:v>
      </x:c>
      <x:c r="X1022" s="223" t="n">
        <x:v>510</x:v>
      </x:c>
      <x:c r="Y1022" s="216" t="n">
        <x:v>22</x:v>
      </x:c>
    </x:row>
    <x:row r="1023">
      <x:c r="A1023" s="217" t="n">
        <x:v>751</x:v>
      </x:c>
      <x:c r="B1023" s="217" t="str">
        <x:v>龍埔自行車道(民生街1巷)</x:v>
      </x:c>
      <x:c r="C1023" s="217" t="str">
        <x:v>三峽區</x:v>
      </x:c>
      <x:c r="D1023" s="217" t="n">
        <x:v>20</x:v>
      </x:c>
      <x:c r="E1023" s="217" t="n">
        <x:v>120</x:v>
      </x:c>
      <x:c r="F1023" s="218" t="n">
        <x:v>0.9994791666666667</x:v>
      </x:c>
      <x:c r="G1023" s="217" t="n">
        <x:v>1019</x:v>
      </x:c>
      <x:c r="H1023" s="217" t="str">
        <x:f>IF(G1023&lt;='排名定義'!$B$5,"是","")</x:f>
        <x:v>是</x:v>
      </x:c>
      <x:c r="I1023" s="217" t="n">
        <x:v>1023</x:v>
      </x:c>
      <x:c r="J1023" s="217" t="str">
        <x:f>IF(I1023&lt;='排名定義'!$B$5,"是","")</x:f>
        <x:v>是</x:v>
      </x:c>
      <x:c r="K1023" s="217" t="n">
        <x:v>902</x:v>
      </x:c>
      <x:c r="L1023" s="217" t="str">
        <x:f>IF(K1023&lt;='排名定義'!$B$5,"是","")</x:f>
        <x:v>是</x:v>
      </x:c>
      <x:c r="M1023" s="217" t="n">
        <x:f>COUNTIF(H1023:L1023,"是")</x:f>
        <x:v>3</x:v>
      </x:c>
      <x:c r="N1023" s="217" t="str">
        <x:v>三份皆未入選</x:v>
      </x:c>
      <x:c r="O1023" s="220" t="n">
        <x:v>34.733333333333334</x:v>
      </x:c>
      <x:c r="P1023" s="220" t="n">
        <x:v>31.016666666666666</x:v>
      </x:c>
      <x:c r="Q1023" s="220" t="n">
        <x:v>3.716666666666667</x:v>
      </x:c>
      <x:c r="R1023" s="220" t="n">
        <x:v>0.10700575815738964</x:v>
      </x:c>
      <x:c r="S1023" s="220" t="n">
        <x:v>62.903225806451616</x:v>
      </x:c>
      <x:c r="T1023" s="220" t="n">
        <x:v>58.29032258064516</x:v>
      </x:c>
      <x:c r="U1023" s="220" t="n">
        <x:v>4.612903225806452</x:v>
      </x:c>
      <x:c r="V1023" s="218" t="n">
        <x:v>0.020737327188940093</x:v>
      </x:c>
      <x:c r="W1023" s="217" t="n">
        <x:v>3</x:v>
      </x:c>
      <x:c r="X1023" s="222" t="n">
        <x:v>540</x:v>
      </x:c>
      <x:c r="Y1023" s="217" t="n">
        <x:v>20</x:v>
      </x:c>
    </x:row>
    <x:row r="1024">
      <x:c r="A1024" s="216" t="n">
        <x:v>121</x:v>
      </x:c>
      <x:c r="B1024" s="216" t="str">
        <x:v>文化一路一段190巷口</x:v>
      </x:c>
      <x:c r="C1024" s="216" t="str">
        <x:v>林口區</x:v>
      </x:c>
      <x:c r="D1024" s="216" t="n">
        <x:v>10</x:v>
      </x:c>
      <x:c r="E1024" s="216" t="n">
        <x:v>120</x:v>
      </x:c>
      <x:c r="F1024" s="219" t="n">
        <x:v>0.9994791666666667</x:v>
      </x:c>
      <x:c r="G1024" s="216" t="n">
        <x:v>1020</x:v>
      </x:c>
      <x:c r="H1024" s="216" t="str">
        <x:f>IF(G1024&lt;='排名定義'!$B$5,"是","")</x:f>
        <x:v>是</x:v>
      </x:c>
      <x:c r="I1024" s="216" t="n">
        <x:v>1008</x:v>
      </x:c>
      <x:c r="J1024" s="216" t="str">
        <x:f>IF(I1024&lt;='排名定義'!$B$5,"是","")</x:f>
        <x:v>是</x:v>
      </x:c>
      <x:c r="K1024" s="216" t="n">
        <x:v>1168</x:v>
      </x:c>
      <x:c r="L1024" s="216" t="str">
        <x:f>IF(K1024&lt;='排名定義'!$B$5,"是","")</x:f>
        <x:v>是</x:v>
      </x:c>
      <x:c r="M1024" s="216" t="n">
        <x:f>COUNTIF(H1024:L1024,"是")</x:f>
        <x:v>3</x:v>
      </x:c>
      <x:c r="N1024" s="216" t="str">
        <x:v>三份皆未入選</x:v>
      </x:c>
      <x:c r="O1024" s="221" t="n">
        <x:v>34.59166666666667</x:v>
      </x:c>
      <x:c r="P1024" s="221" t="n">
        <x:v>31.608333333333334</x:v>
      </x:c>
      <x:c r="Q1024" s="221" t="n">
        <x:v>2.9833333333333334</x:v>
      </x:c>
      <x:c r="R1024" s="221" t="n">
        <x:v>0.08624427848711154</x:v>
      </x:c>
      <x:c r="S1024" s="221" t="n">
        <x:v>52.516129032258064</x:v>
      </x:c>
      <x:c r="T1024" s="221" t="n">
        <x:v>49.935483870967744</x:v>
      </x:c>
      <x:c r="U1024" s="221" t="n">
        <x:v>2.5806451612903225</x:v>
      </x:c>
      <x:c r="V1024" s="219" t="n">
        <x:v>0.10599078341013825</x:v>
      </x:c>
      <x:c r="W1024" s="216" t="n">
        <x:v>22</x:v>
      </x:c>
      <x:c r="X1024" s="223" t="n">
        <x:v>3420</x:v>
      </x:c>
      <x:c r="Y1024" s="216" t="n">
        <x:v>10</x:v>
      </x:c>
    </x:row>
    <x:row r="1025">
      <x:c r="A1025" s="217" t="n">
        <x:v>706</x:v>
      </x:c>
      <x:c r="B1025" s="217" t="str">
        <x:v>崇林國中</x:v>
      </x:c>
      <x:c r="C1025" s="217" t="str">
        <x:v>林口區</x:v>
      </x:c>
      <x:c r="D1025" s="217" t="n">
        <x:v>20</x:v>
      </x:c>
      <x:c r="E1025" s="217" t="n">
        <x:v>120</x:v>
      </x:c>
      <x:c r="F1025" s="218" t="n">
        <x:v>0.9994791666666667</x:v>
      </x:c>
      <x:c r="G1025" s="217" t="n">
        <x:v>1021</x:v>
      </x:c>
      <x:c r="H1025" s="217" t="str">
        <x:f>IF(G1025&lt;='排名定義'!$B$5,"是","")</x:f>
        <x:v>是</x:v>
      </x:c>
      <x:c r="I1025" s="217" t="n">
        <x:v>1042</x:v>
      </x:c>
      <x:c r="J1025" s="217" t="str">
        <x:f>IF(I1025&lt;='排名定義'!$B$5,"是","")</x:f>
        <x:v>是</x:v>
      </x:c>
      <x:c r="K1025" s="217" t="n">
        <x:v>644</x:v>
      </x:c>
      <x:c r="L1025" s="217" t="str">
        <x:f>IF(K1025&lt;='排名定義'!$B$5,"是","")</x:f>
        <x:v>是</x:v>
      </x:c>
      <x:c r="M1025" s="217" t="n">
        <x:f>COUNTIF(H1025:L1025,"是")</x:f>
        <x:v>3</x:v>
      </x:c>
      <x:c r="N1025" s="217" t="str">
        <x:v>三份皆未入選</x:v>
      </x:c>
      <x:c r="O1025" s="220" t="n">
        <x:v>34.53333333333333</x:v>
      </x:c>
      <x:c r="P1025" s="220" t="n">
        <x:v>30.05</x:v>
      </x:c>
      <x:c r="Q1025" s="220" t="n">
        <x:v>4.483333333333333</x:v>
      </x:c>
      <x:c r="R1025" s="220" t="n">
        <x:v>0.12982625482625482</x:v>
      </x:c>
      <x:c r="S1025" s="220" t="n">
        <x:v>49.54838709677419</x:v>
      </x:c>
      <x:c r="T1025" s="220" t="n">
        <x:v>44.645161290322584</x:v>
      </x:c>
      <x:c r="U1025" s="220" t="n">
        <x:v>4.903225806451613</x:v>
      </x:c>
      <x:c r="V1025" s="218" t="n">
        <x:v>0.09216589861751152</x:v>
      </x:c>
      <x:c r="W1025" s="217" t="n">
        <x:v>9</x:v>
      </x:c>
      <x:c r="X1025" s="222" t="n">
        <x:v>1590</x:v>
      </x:c>
      <x:c r="Y1025" s="217" t="n">
        <x:v>20</x:v>
      </x:c>
    </x:row>
    <x:row r="1026">
      <x:c r="A1026" s="216" t="n">
        <x:v>783</x:v>
      </x:c>
      <x:c r="B1026" s="216" t="str">
        <x:v>台水新莊服務所</x:v>
      </x:c>
      <x:c r="C1026" s="216" t="str">
        <x:v>新莊區</x:v>
      </x:c>
      <x:c r="D1026" s="216" t="n">
        <x:v>36</x:v>
      </x:c>
      <x:c r="E1026" s="216" t="n">
        <x:v>120</x:v>
      </x:c>
      <x:c r="F1026" s="219" t="n">
        <x:v>0.9994791666666667</x:v>
      </x:c>
      <x:c r="G1026" s="216" t="n">
        <x:v>1022</x:v>
      </x:c>
      <x:c r="H1026" s="216" t="str">
        <x:f>IF(G1026&lt;='排名定義'!$B$5,"是","")</x:f>
        <x:v>是</x:v>
      </x:c>
      <x:c r="I1026" s="216" t="n">
        <x:v>1035</x:v>
      </x:c>
      <x:c r="J1026" s="216" t="str">
        <x:f>IF(I1026&lt;='排名定義'!$B$5,"是","")</x:f>
        <x:v>是</x:v>
      </x:c>
      <x:c r="K1026" s="216" t="n">
        <x:v>745</x:v>
      </x:c>
      <x:c r="L1026" s="216" t="str">
        <x:f>IF(K1026&lt;='排名定義'!$B$5,"是","")</x:f>
        <x:v>是</x:v>
      </x:c>
      <x:c r="M1026" s="216" t="n">
        <x:f>COUNTIF(H1026:L1026,"是")</x:f>
        <x:v>3</x:v>
      </x:c>
      <x:c r="N1026" s="216" t="str">
        <x:v>三份皆未入選</x:v>
      </x:c>
      <x:c r="O1026" s="221" t="n">
        <x:v>34.53333333333333</x:v>
      </x:c>
      <x:c r="P1026" s="221" t="n">
        <x:v>30.375</x:v>
      </x:c>
      <x:c r="Q1026" s="221" t="n">
        <x:v>4.158333333333333</x:v>
      </x:c>
      <x:c r="R1026" s="221" t="n">
        <x:v>0.12041505791505791</x:v>
      </x:c>
      <x:c r="S1026" s="221" t="n">
        <x:v>54.193548387096776</x:v>
      </x:c>
      <x:c r="T1026" s="221" t="n">
        <x:v>50.12903225806452</x:v>
      </x:c>
      <x:c r="U1026" s="221" t="n">
        <x:v>4.064516129032258</x:v>
      </x:c>
      <x:c r="V1026" s="219" t="n">
        <x:v>0.1497695852534562</x:v>
      </x:c>
      <x:c r="W1026" s="216" t="n">
        <x:v>43</x:v>
      </x:c>
      <x:c r="X1026" s="223" t="n">
        <x:v>7920</x:v>
      </x:c>
      <x:c r="Y1026" s="216" t="n">
        <x:v>36</x:v>
      </x:c>
    </x:row>
    <x:row r="1027">
      <x:c r="A1027" s="217" t="n">
        <x:v>600</x:v>
      </x:c>
      <x:c r="B1027" s="217" t="str">
        <x:v>板橋435藝文特區</x:v>
      </x:c>
      <x:c r="C1027" s="217" t="str">
        <x:v>板橋區</x:v>
      </x:c>
      <x:c r="D1027" s="217" t="n">
        <x:v>18</x:v>
      </x:c>
      <x:c r="E1027" s="217" t="n">
        <x:v>120</x:v>
      </x:c>
      <x:c r="F1027" s="218" t="n">
        <x:v>0.9994791666666667</x:v>
      </x:c>
      <x:c r="G1027" s="217" t="n">
        <x:v>1023</x:v>
      </x:c>
      <x:c r="H1027" s="217" t="str">
        <x:f>IF(G1027&lt;='排名定義'!$B$5,"是","")</x:f>
        <x:v>是</x:v>
      </x:c>
      <x:c r="I1027" s="217" t="n">
        <x:v>1031</x:v>
      </x:c>
      <x:c r="J1027" s="217" t="str">
        <x:f>IF(I1027&lt;='排名定義'!$B$5,"是","")</x:f>
        <x:v>是</x:v>
      </x:c>
      <x:c r="K1027" s="217" t="n">
        <x:v>876</x:v>
      </x:c>
      <x:c r="L1027" s="217" t="str">
        <x:f>IF(K1027&lt;='排名定義'!$B$5,"是","")</x:f>
        <x:v>是</x:v>
      </x:c>
      <x:c r="M1027" s="217" t="n">
        <x:f>COUNTIF(H1027:L1027,"是")</x:f>
        <x:v>3</x:v>
      </x:c>
      <x:c r="N1027" s="217" t="str">
        <x:v>三份皆未入選</x:v>
      </x:c>
      <x:c r="O1027" s="220" t="n">
        <x:v>34.516666666666666</x:v>
      </x:c>
      <x:c r="P1027" s="220" t="n">
        <x:v>30.725</x:v>
      </x:c>
      <x:c r="Q1027" s="220" t="n">
        <x:v>3.7916666666666665</x:v>
      </x:c>
      <x:c r="R1027" s="220" t="n">
        <x:v>0.10985031385803959</x:v>
      </x:c>
      <x:c r="S1027" s="220" t="n">
        <x:v>53.25806451612903</x:v>
      </x:c>
      <x:c r="T1027" s="220" t="n">
        <x:v>50.096774193548384</x:v>
      </x:c>
      <x:c r="U1027" s="220" t="n">
        <x:v>3.161290322580645</x:v>
      </x:c>
      <x:c r="V1027" s="218" t="n">
        <x:v>0.0944700460829493</x:v>
      </x:c>
      <x:c r="W1027" s="217" t="n">
        <x:v>9</x:v>
      </x:c>
      <x:c r="X1027" s="222" t="n">
        <x:v>1440</x:v>
      </x:c>
      <x:c r="Y1027" s="217" t="n">
        <x:v>18</x:v>
      </x:c>
    </x:row>
    <x:row r="1028">
      <x:c r="A1028" s="216" t="n">
        <x:v>645</x:v>
      </x:c>
      <x:c r="B1028" s="216" t="str">
        <x:v>同興工建路口</x:v>
      </x:c>
      <x:c r="C1028" s="216" t="str">
        <x:v>汐止區</x:v>
      </x:c>
      <x:c r="D1028" s="216" t="n">
        <x:v>20</x:v>
      </x:c>
      <x:c r="E1028" s="216" t="n">
        <x:v>120</x:v>
      </x:c>
      <x:c r="F1028" s="219" t="n">
        <x:v>0.9994791666666667</x:v>
      </x:c>
      <x:c r="G1028" s="216" t="n">
        <x:v>1024</x:v>
      </x:c>
      <x:c r="H1028" s="216" t="str">
        <x:f>IF(G1028&lt;='排名定義'!$B$5,"是","")</x:f>
        <x:v>是</x:v>
      </x:c>
      <x:c r="I1028" s="216" t="n">
        <x:v>1022</x:v>
      </x:c>
      <x:c r="J1028" s="216" t="str">
        <x:f>IF(I1028&lt;='排名定義'!$B$5,"是","")</x:f>
        <x:v>是</x:v>
      </x:c>
      <x:c r="K1028" s="216" t="n">
        <x:v>1028</x:v>
      </x:c>
      <x:c r="L1028" s="216" t="str">
        <x:f>IF(K1028&lt;='排名定義'!$B$5,"是","")</x:f>
        <x:v>是</x:v>
      </x:c>
      <x:c r="M1028" s="216" t="n">
        <x:f>COUNTIF(H1028:L1028,"是")</x:f>
        <x:v>3</x:v>
      </x:c>
      <x:c r="N1028" s="216" t="str">
        <x:v>三份皆未入選</x:v>
      </x:c>
      <x:c r="O1028" s="221" t="n">
        <x:v>34.475</x:v>
      </x:c>
      <x:c r="P1028" s="221" t="n">
        <x:v>31.091666666666665</x:v>
      </x:c>
      <x:c r="Q1028" s="221" t="n">
        <x:v>3.3833333333333333</x:v>
      </x:c>
      <x:c r="R1028" s="221" t="n">
        <x:v>0.09813874788494077</x:v>
      </x:c>
      <x:c r="S1028" s="221" t="n">
        <x:v>52.70967741935484</x:v>
      </x:c>
      <x:c r="T1028" s="221" t="n">
        <x:v>49.354838709677416</x:v>
      </x:c>
      <x:c r="U1028" s="221" t="n">
        <x:v>3.3548387096774195</x:v>
      </x:c>
      <x:c r="V1028" s="219" t="n">
        <x:v>0.04838709677419355</x:v>
      </x:c>
      <x:c r="W1028" s="216" t="n">
        <x:v>9</x:v>
      </x:c>
      <x:c r="X1028" s="223" t="n">
        <x:v>1050</x:v>
      </x:c>
      <x:c r="Y1028" s="216" t="n">
        <x:v>20</x:v>
      </x:c>
    </x:row>
    <x:row r="1029">
      <x:c r="A1029" s="217" t="n">
        <x:v>924</x:v>
      </x:c>
      <x:c r="B1029" s="217" t="str">
        <x:v>介壽國小</x:v>
      </x:c>
      <x:c r="C1029" s="217" t="str">
        <x:v>三峽區</x:v>
      </x:c>
      <x:c r="D1029" s="217" t="n">
        <x:v>26</x:v>
      </x:c>
      <x:c r="E1029" s="217" t="n">
        <x:v>120</x:v>
      </x:c>
      <x:c r="F1029" s="218" t="n">
        <x:v>0.9994791666666667</x:v>
      </x:c>
      <x:c r="G1029" s="217" t="n">
        <x:v>1025</x:v>
      </x:c>
      <x:c r="H1029" s="217" t="str">
        <x:f>IF(G1029&lt;='排名定義'!$B$5,"是","")</x:f>
        <x:v>是</x:v>
      </x:c>
      <x:c r="I1029" s="217" t="n">
        <x:v>1018</x:v>
      </x:c>
      <x:c r="J1029" s="217" t="str">
        <x:f>IF(I1029&lt;='排名定義'!$B$5,"是","")</x:f>
        <x:v>是</x:v>
      </x:c>
      <x:c r="K1029" s="217" t="n">
        <x:v>1116</x:v>
      </x:c>
      <x:c r="L1029" s="217" t="str">
        <x:f>IF(K1029&lt;='排名定義'!$B$5,"是","")</x:f>
        <x:v>是</x:v>
      </x:c>
      <x:c r="M1029" s="217" t="n">
        <x:f>COUNTIF(H1029:L1029,"是")</x:f>
        <x:v>3</x:v>
      </x:c>
      <x:c r="N1029" s="217" t="str">
        <x:v>三份皆未入選</x:v>
      </x:c>
      <x:c r="O1029" s="220" t="n">
        <x:v>34.46666666666667</x:v>
      </x:c>
      <x:c r="P1029" s="220" t="n">
        <x:v>31.308333333333334</x:v>
      </x:c>
      <x:c r="Q1029" s="220" t="n">
        <x:v>3.158333333333333</x:v>
      </x:c>
      <x:c r="R1029" s="220" t="n">
        <x:v>0.09163442940038685</x:v>
      </x:c>
      <x:c r="S1029" s="220" t="n">
        <x:v>62.225806451612904</x:v>
      </x:c>
      <x:c r="T1029" s="220" t="n">
        <x:v>56.12903225806452</x:v>
      </x:c>
      <x:c r="U1029" s="220" t="n">
        <x:v>6.096774193548387</x:v>
      </x:c>
      <x:c r="V1029" s="218" t="n">
        <x:v>0.004608294930875576</x:v>
      </x:c>
      <x:c r="W1029" s="217" t="n">
        <x:v>1</x:v>
      </x:c>
      <x:c r="X1029" s="222" t="n">
        <x:v>210</x:v>
      </x:c>
      <x:c r="Y1029" s="217" t="n">
        <x:v>26</x:v>
      </x:c>
    </x:row>
    <x:row r="1030">
      <x:c r="A1030" s="216" t="n">
        <x:v>922</x:v>
      </x:c>
      <x:c r="B1030" s="216" t="str">
        <x:v>中興橋(環河南路254巷口)</x:v>
      </x:c>
      <x:c r="C1030" s="216" t="str">
        <x:v>三重區</x:v>
      </x:c>
      <x:c r="D1030" s="216" t="n">
        <x:v>26</x:v>
      </x:c>
      <x:c r="E1030" s="216" t="n">
        <x:v>120</x:v>
      </x:c>
      <x:c r="F1030" s="219" t="n">
        <x:v>0.9994791666666667</x:v>
      </x:c>
      <x:c r="G1030" s="216" t="n">
        <x:v>1026</x:v>
      </x:c>
      <x:c r="H1030" s="216" t="str">
        <x:f>IF(G1030&lt;='排名定義'!$B$5,"是","")</x:f>
        <x:v>是</x:v>
      </x:c>
      <x:c r="I1030" s="216" t="n">
        <x:v>1030</x:v>
      </x:c>
      <x:c r="J1030" s="216" t="str">
        <x:f>IF(I1030&lt;='排名定義'!$B$5,"是","")</x:f>
        <x:v>是</x:v>
      </x:c>
      <x:c r="K1030" s="216" t="n">
        <x:v>911</x:v>
      </x:c>
      <x:c r="L1030" s="216" t="str">
        <x:f>IF(K1030&lt;='排名定義'!$B$5,"是","")</x:f>
        <x:v>是</x:v>
      </x:c>
      <x:c r="M1030" s="216" t="n">
        <x:f>COUNTIF(H1030:L1030,"是")</x:f>
        <x:v>3</x:v>
      </x:c>
      <x:c r="N1030" s="216" t="str">
        <x:v>三份皆未入選</x:v>
      </x:c>
      <x:c r="O1030" s="221" t="n">
        <x:v>34.425</x:v>
      </x:c>
      <x:c r="P1030" s="221" t="n">
        <x:v>30.741666666666667</x:v>
      </x:c>
      <x:c r="Q1030" s="221" t="n">
        <x:v>3.683333333333333</x:v>
      </x:c>
      <x:c r="R1030" s="221" t="n">
        <x:v>0.10699588477366255</x:v>
      </x:c>
      <x:c r="S1030" s="221" t="n">
        <x:v>61.096774193548384</x:v>
      </x:c>
      <x:c r="T1030" s="221" t="n">
        <x:v>57.483870967741936</x:v>
      </x:c>
      <x:c r="U1030" s="221" t="n">
        <x:v>3.6129032258064515</x:v>
      </x:c>
      <x:c r="V1030" s="219" t="n">
        <x:v>0.04377880184331797</x:v>
      </x:c>
      <x:c r="W1030" s="216" t="n">
        <x:v>8</x:v>
      </x:c>
      <x:c r="X1030" s="223" t="n">
        <x:v>990</x:v>
      </x:c>
      <x:c r="Y1030" s="216" t="n">
        <x:v>26</x:v>
      </x:c>
    </x:row>
    <x:row r="1031">
      <x:c r="A1031" s="217" t="n">
        <x:v>119</x:v>
      </x:c>
      <x:c r="B1031" s="217" t="str">
        <x:v>延吉街47巷口</x:v>
      </x:c>
      <x:c r="C1031" s="217" t="str">
        <x:v>土城區</x:v>
      </x:c>
      <x:c r="D1031" s="217" t="n">
        <x:v>10</x:v>
      </x:c>
      <x:c r="E1031" s="217" t="n">
        <x:v>120</x:v>
      </x:c>
      <x:c r="F1031" s="218" t="n">
        <x:v>0.9994791666666667</x:v>
      </x:c>
      <x:c r="G1031" s="217" t="n">
        <x:v>1027</x:v>
      </x:c>
      <x:c r="H1031" s="217" t="str">
        <x:f>IF(G1031&lt;='排名定義'!$B$5,"是","")</x:f>
        <x:v>是</x:v>
      </x:c>
      <x:c r="I1031" s="217" t="n">
        <x:v>993</x:v>
      </x:c>
      <x:c r="J1031" s="217" t="str">
        <x:f>IF(I1031&lt;='排名定義'!$B$5,"是","")</x:f>
        <x:v>是</x:v>
      </x:c>
      <x:c r="K1031" s="217" t="n">
        <x:v>1295</x:v>
      </x:c>
      <x:c r="L1031" s="217" t="str">
        <x:f>IF(K1031&lt;='排名定義'!$B$5,"是","")</x:f>
        <x:v>是</x:v>
      </x:c>
      <x:c r="M1031" s="217" t="n">
        <x:f>COUNTIF(H1031:L1031,"是")</x:f>
        <x:v>3</x:v>
      </x:c>
      <x:c r="N1031" s="217" t="str">
        <x:v>三份皆未入選</x:v>
      </x:c>
      <x:c r="O1031" s="220" t="n">
        <x:v>34.40833333333333</x:v>
      </x:c>
      <x:c r="P1031" s="220" t="n">
        <x:v>31.925</x:v>
      </x:c>
      <x:c r="Q1031" s="220" t="n">
        <x:v>2.4833333333333334</x:v>
      </x:c>
      <x:c r="R1031" s="220" t="n">
        <x:v>0.0721724388471785</x:v>
      </x:c>
      <x:c r="S1031" s="220" t="n">
        <x:v>44.41935483870968</x:v>
      </x:c>
      <x:c r="T1031" s="220" t="n">
        <x:v>40.96774193548387</x:v>
      </x:c>
      <x:c r="U1031" s="220" t="n">
        <x:v>3.4516129032258065</x:v>
      </x:c>
      <x:c r="V1031" s="218" t="n">
        <x:v>0.10138248847926268</x:v>
      </x:c>
      <x:c r="W1031" s="217" t="n">
        <x:v>24</x:v>
      </x:c>
      <x:c r="X1031" s="222" t="n">
        <x:v>3030</x:v>
      </x:c>
      <x:c r="Y1031" s="217" t="n">
        <x:v>10</x:v>
      </x:c>
    </x:row>
    <x:row r="1032">
      <x:c r="A1032" s="216" t="n">
        <x:v>142</x:v>
      </x:c>
      <x:c r="B1032" s="216" t="str">
        <x:v>中正保安街三段口</x:v>
      </x:c>
      <x:c r="C1032" s="216" t="str">
        <x:v>樹林區</x:v>
      </x:c>
      <x:c r="D1032" s="216" t="n">
        <x:v>11</x:v>
      </x:c>
      <x:c r="E1032" s="216" t="n">
        <x:v>120</x:v>
      </x:c>
      <x:c r="F1032" s="219" t="n">
        <x:v>0.9994791666666667</x:v>
      </x:c>
      <x:c r="G1032" s="216" t="n">
        <x:v>1028</x:v>
      </x:c>
      <x:c r="H1032" s="216" t="str">
        <x:f>IF(G1032&lt;='排名定義'!$B$5,"是","")</x:f>
        <x:v>是</x:v>
      </x:c>
      <x:c r="I1032" s="216" t="n">
        <x:v>1009</x:v>
      </x:c>
      <x:c r="J1032" s="216" t="str">
        <x:f>IF(I1032&lt;='排名定義'!$B$5,"是","")</x:f>
        <x:v>是</x:v>
      </x:c>
      <x:c r="K1032" s="216" t="n">
        <x:v>1239</x:v>
      </x:c>
      <x:c r="L1032" s="216" t="str">
        <x:f>IF(K1032&lt;='排名定義'!$B$5,"是","")</x:f>
        <x:v>是</x:v>
      </x:c>
      <x:c r="M1032" s="216" t="n">
        <x:f>COUNTIF(H1032:L1032,"是")</x:f>
        <x:v>3</x:v>
      </x:c>
      <x:c r="N1032" s="216" t="str">
        <x:v>三份皆未入選</x:v>
      </x:c>
      <x:c r="O1032" s="221" t="n">
        <x:v>34.34166666666667</x:v>
      </x:c>
      <x:c r="P1032" s="221" t="n">
        <x:v>31.566666666666666</x:v>
      </x:c>
      <x:c r="Q1032" s="221" t="n">
        <x:v>2.775</x:v>
      </x:c>
      <x:c r="R1032" s="221" t="n">
        <x:v>0.08080562970152876</x:v>
      </x:c>
      <x:c r="S1032" s="221" t="n">
        <x:v>47.58064516129032</x:v>
      </x:c>
      <x:c r="T1032" s="221" t="n">
        <x:v>45.38709677419355</x:v>
      </x:c>
      <x:c r="U1032" s="221" t="n">
        <x:v>2.193548387096774</x:v>
      </x:c>
      <x:c r="V1032" s="219" t="n">
        <x:v>0.1313364055299539</x:v>
      </x:c>
      <x:c r="W1032" s="216" t="n">
        <x:v>38</x:v>
      </x:c>
      <x:c r="X1032" s="223" t="n">
        <x:v>4380</x:v>
      </x:c>
      <x:c r="Y1032" s="216" t="n">
        <x:v>11</x:v>
      </x:c>
    </x:row>
    <x:row r="1033">
      <x:c r="A1033" s="217" t="n">
        <x:v>422</x:v>
      </x:c>
      <x:c r="B1033" s="217" t="str">
        <x:v>彭厝里(福順街)</x:v>
      </x:c>
      <x:c r="C1033" s="217" t="str">
        <x:v>樹林區</x:v>
      </x:c>
      <x:c r="D1033" s="217" t="n">
        <x:v>15</x:v>
      </x:c>
      <x:c r="E1033" s="217" t="n">
        <x:v>120</x:v>
      </x:c>
      <x:c r="F1033" s="218" t="n">
        <x:v>0.9994791666666667</x:v>
      </x:c>
      <x:c r="G1033" s="217" t="n">
        <x:v>1029</x:v>
      </x:c>
      <x:c r="H1033" s="217" t="str">
        <x:f>IF(G1033&lt;='排名定義'!$B$5,"是","")</x:f>
        <x:v>是</x:v>
      </x:c>
      <x:c r="I1033" s="217" t="n">
        <x:v>1033</x:v>
      </x:c>
      <x:c r="J1033" s="217" t="str">
        <x:f>IF(I1033&lt;='排名定義'!$B$5,"是","")</x:f>
        <x:v>是</x:v>
      </x:c>
      <x:c r="K1033" s="217" t="n">
        <x:v>926</x:v>
      </x:c>
      <x:c r="L1033" s="217" t="str">
        <x:f>IF(K1033&lt;='排名定義'!$B$5,"是","")</x:f>
        <x:v>是</x:v>
      </x:c>
      <x:c r="M1033" s="217" t="n">
        <x:f>COUNTIF(H1033:L1033,"是")</x:f>
        <x:v>3</x:v>
      </x:c>
      <x:c r="N1033" s="217" t="str">
        <x:v>三份皆未入選</x:v>
      </x:c>
      <x:c r="O1033" s="220" t="n">
        <x:v>34.225</x:v>
      </x:c>
      <x:c r="P1033" s="220" t="n">
        <x:v>30.591666666666665</x:v>
      </x:c>
      <x:c r="Q1033" s="220" t="n">
        <x:v>3.6333333333333333</x:v>
      </x:c>
      <x:c r="R1033" s="220" t="n">
        <x:v>0.10616021426832238</x:v>
      </x:c>
      <x:c r="S1033" s="220" t="n">
        <x:v>49.903225806451616</x:v>
      </x:c>
      <x:c r="T1033" s="220" t="n">
        <x:v>47.193548387096776</x:v>
      </x:c>
      <x:c r="U1033" s="220" t="n">
        <x:v>2.7096774193548385</x:v>
      </x:c>
      <x:c r="V1033" s="218" t="n">
        <x:v>0.02534562211981567</x:v>
      </x:c>
      <x:c r="W1033" s="217" t="n">
        <x:v>6</x:v>
      </x:c>
      <x:c r="X1033" s="222" t="n">
        <x:v>990</x:v>
      </x:c>
      <x:c r="Y1033" s="217" t="n">
        <x:v>15</x:v>
      </x:c>
    </x:row>
    <x:row r="1034">
      <x:c r="A1034" s="216" t="n">
        <x:v>732</x:v>
      </x:c>
      <x:c r="B1034" s="216" t="str">
        <x:v>貴和市民活動中心</x:v>
      </x:c>
      <x:c r="C1034" s="216" t="str">
        <x:v>泰山區</x:v>
      </x:c>
      <x:c r="D1034" s="216" t="n">
        <x:v>20</x:v>
      </x:c>
      <x:c r="E1034" s="216" t="n">
        <x:v>120</x:v>
      </x:c>
      <x:c r="F1034" s="219" t="n">
        <x:v>0.9994791666666667</x:v>
      </x:c>
      <x:c r="G1034" s="216" t="n">
        <x:v>1030</x:v>
      </x:c>
      <x:c r="H1034" s="216" t="str">
        <x:f>IF(G1034&lt;='排名定義'!$B$5,"是","")</x:f>
        <x:v>是</x:v>
      </x:c>
      <x:c r="I1034" s="216" t="n">
        <x:v>1029</x:v>
      </x:c>
      <x:c r="J1034" s="216" t="str">
        <x:f>IF(I1034&lt;='排名定義'!$B$5,"是","")</x:f>
        <x:v>是</x:v>
      </x:c>
      <x:c r="K1034" s="216" t="n">
        <x:v>989</x:v>
      </x:c>
      <x:c r="L1034" s="216" t="str">
        <x:f>IF(K1034&lt;='排名定義'!$B$5,"是","")</x:f>
        <x:v>是</x:v>
      </x:c>
      <x:c r="M1034" s="216" t="n">
        <x:f>COUNTIF(H1034:L1034,"是")</x:f>
        <x:v>3</x:v>
      </x:c>
      <x:c r="N1034" s="216" t="str">
        <x:v>三份皆未入選</x:v>
      </x:c>
      <x:c r="O1034" s="221" t="n">
        <x:v>34.208333333333336</x:v>
      </x:c>
      <x:c r="P1034" s="221" t="n">
        <x:v>30.741666666666667</x:v>
      </x:c>
      <x:c r="Q1034" s="221" t="n">
        <x:v>3.466666666666667</x:v>
      </x:c>
      <x:c r="R1034" s="221" t="n">
        <x:v>0.10133982947624848</x:v>
      </x:c>
      <x:c r="S1034" s="221" t="n">
        <x:v>52.83870967741935</x:v>
      </x:c>
      <x:c r="T1034" s="221" t="n">
        <x:v>50.16129032258065</x:v>
      </x:c>
      <x:c r="U1034" s="221" t="n">
        <x:v>2.6774193548387095</x:v>
      </x:c>
      <x:c r="V1034" s="219" t="n">
        <x:v>0.03225806451612903</x:v>
      </x:c>
      <x:c r="W1034" s="216" t="n">
        <x:v>15</x:v>
      </x:c>
      <x:c r="X1034" s="223" t="n">
        <x:v>1830</x:v>
      </x:c>
      <x:c r="Y1034" s="216" t="n">
        <x:v>20</x:v>
      </x:c>
    </x:row>
    <x:row r="1035">
      <x:c r="A1035" s="217" t="n">
        <x:v>209</x:v>
      </x:c>
      <x:c r="B1035" s="217" t="str">
        <x:v>建六中正路口</x:v>
      </x:c>
      <x:c r="C1035" s="217" t="str">
        <x:v>中和區</x:v>
      </x:c>
      <x:c r="D1035" s="217" t="n">
        <x:v>12</x:v>
      </x:c>
      <x:c r="E1035" s="217" t="n">
        <x:v>120</x:v>
      </x:c>
      <x:c r="F1035" s="218" t="n">
        <x:v>0.9994791666666667</x:v>
      </x:c>
      <x:c r="G1035" s="217" t="n">
        <x:v>1031</x:v>
      </x:c>
      <x:c r="H1035" s="217" t="str">
        <x:f>IF(G1035&lt;='排名定義'!$B$5,"是","")</x:f>
        <x:v>是</x:v>
      </x:c>
      <x:c r="I1035" s="217" t="n">
        <x:v>1021</x:v>
      </x:c>
      <x:c r="J1035" s="217" t="str">
        <x:f>IF(I1035&lt;='排名定義'!$B$5,"是","")</x:f>
        <x:v>是</x:v>
      </x:c>
      <x:c r="K1035" s="217" t="n">
        <x:v>1146</x:v>
      </x:c>
      <x:c r="L1035" s="217" t="str">
        <x:f>IF(K1035&lt;='排名定義'!$B$5,"是","")</x:f>
        <x:v>是</x:v>
      </x:c>
      <x:c r="M1035" s="217" t="n">
        <x:f>COUNTIF(H1035:L1035,"是")</x:f>
        <x:v>3</x:v>
      </x:c>
      <x:c r="N1035" s="217" t="str">
        <x:v>三份皆未入選</x:v>
      </x:c>
      <x:c r="O1035" s="220" t="n">
        <x:v>34.175</x:v>
      </x:c>
      <x:c r="P1035" s="220" t="n">
        <x:v>31.1</x:v>
      </x:c>
      <x:c r="Q1035" s="220" t="n">
        <x:v>3.075</x:v>
      </x:c>
      <x:c r="R1035" s="220" t="n">
        <x:v>0.08997805413313825</x:v>
      </x:c>
      <x:c r="S1035" s="220" t="n">
        <x:v>47.32258064516129</x:v>
      </x:c>
      <x:c r="T1035" s="220" t="n">
        <x:v>44.354838709677416</x:v>
      </x:c>
      <x:c r="U1035" s="220" t="n">
        <x:v>2.967741935483871</x:v>
      </x:c>
      <x:c r="V1035" s="218" t="n">
        <x:v>0.07373271889400922</x:v>
      </x:c>
      <x:c r="W1035" s="217" t="n">
        <x:v>11</x:v>
      </x:c>
      <x:c r="X1035" s="222" t="n">
        <x:v>1560</x:v>
      </x:c>
      <x:c r="Y1035" s="217" t="n">
        <x:v>12</x:v>
      </x:c>
    </x:row>
    <x:row r="1036">
      <x:c r="A1036" s="216" t="n">
        <x:v>476</x:v>
      </x:c>
      <x:c r="B1036" s="216" t="str">
        <x:v>四維文化一路口</x:v>
      </x:c>
      <x:c r="C1036" s="216" t="str">
        <x:v>林口區</x:v>
      </x:c>
      <x:c r="D1036" s="216" t="n">
        <x:v>16</x:v>
      </x:c>
      <x:c r="E1036" s="216" t="n">
        <x:v>120</x:v>
      </x:c>
      <x:c r="F1036" s="219" t="n">
        <x:v>0.9994791666666667</x:v>
      </x:c>
      <x:c r="G1036" s="216" t="n">
        <x:v>1032</x:v>
      </x:c>
      <x:c r="H1036" s="216" t="str">
        <x:f>IF(G1036&lt;='排名定義'!$B$5,"是","")</x:f>
        <x:v>是</x:v>
      </x:c>
      <x:c r="I1036" s="216" t="n">
        <x:v>1032</x:v>
      </x:c>
      <x:c r="J1036" s="216" t="str">
        <x:f>IF(I1036&lt;='排名定義'!$B$5,"是","")</x:f>
        <x:v>是</x:v>
      </x:c>
      <x:c r="K1036" s="216" t="n">
        <x:v>994</x:v>
      </x:c>
      <x:c r="L1036" s="216" t="str">
        <x:f>IF(K1036&lt;='排名定義'!$B$5,"是","")</x:f>
        <x:v>是</x:v>
      </x:c>
      <x:c r="M1036" s="216" t="n">
        <x:f>COUNTIF(H1036:L1036,"是")</x:f>
        <x:v>3</x:v>
      </x:c>
      <x:c r="N1036" s="216" t="str">
        <x:v>三份皆未入選</x:v>
      </x:c>
      <x:c r="O1036" s="221" t="n">
        <x:v>34.11666666666667</x:v>
      </x:c>
      <x:c r="P1036" s="221" t="n">
        <x:v>30.658333333333335</x:v>
      </x:c>
      <x:c r="Q1036" s="221" t="n">
        <x:v>3.4583333333333335</x:v>
      </x:c>
      <x:c r="R1036" s="221" t="n">
        <x:v>0.10136785539814362</x:v>
      </x:c>
      <x:c r="S1036" s="221" t="n">
        <x:v>50.903225806451616</x:v>
      </x:c>
      <x:c r="T1036" s="221" t="n">
        <x:v>47.225806451612904</x:v>
      </x:c>
      <x:c r="U1036" s="221" t="n">
        <x:v>3.6774193548387095</x:v>
      </x:c>
      <x:c r="V1036" s="219" t="n">
        <x:v>0.029953917050691243</x:v>
      </x:c>
      <x:c r="W1036" s="216" t="n">
        <x:v>5</x:v>
      </x:c>
      <x:c r="X1036" s="223" t="n">
        <x:v>900</x:v>
      </x:c>
      <x:c r="Y1036" s="216" t="n">
        <x:v>16</x:v>
      </x:c>
    </x:row>
    <x:row r="1037">
      <x:c r="A1037" s="217" t="n">
        <x:v>1353</x:v>
      </x:c>
      <x:c r="B1037" s="217" t="str">
        <x:v>長安橋(吉祥街12巷)</x:v>
      </x:c>
      <x:c r="C1037" s="217" t="str">
        <x:v>汐止區</x:v>
      </x:c>
      <x:c r="D1037" s="217" t="n">
        <x:v>43</x:v>
      </x:c>
      <x:c r="E1037" s="217" t="n">
        <x:v>120</x:v>
      </x:c>
      <x:c r="F1037" s="218" t="n">
        <x:v>0.9994791666666667</x:v>
      </x:c>
      <x:c r="G1037" s="217" t="n">
        <x:v>1033</x:v>
      </x:c>
      <x:c r="H1037" s="217" t="str">
        <x:f>IF(G1037&lt;='排名定義'!$B$5,"是","")</x:f>
        <x:v>是</x:v>
      </x:c>
      <x:c r="I1037" s="217" t="n">
        <x:v>1053</x:v>
      </x:c>
      <x:c r="J1037" s="217" t="str">
        <x:f>IF(I1037&lt;='排名定義'!$B$5,"是","")</x:f>
        <x:v>是</x:v>
      </x:c>
      <x:c r="K1037" s="217" t="n">
        <x:v>614</x:v>
      </x:c>
      <x:c r="L1037" s="217" t="str">
        <x:f>IF(K1037&lt;='排名定義'!$B$5,"是","")</x:f>
        <x:v>是</x:v>
      </x:c>
      <x:c r="M1037" s="217" t="n">
        <x:f>COUNTIF(H1037:L1037,"是")</x:f>
        <x:v>3</x:v>
      </x:c>
      <x:c r="N1037" s="217" t="str">
        <x:v>三份皆未入選</x:v>
      </x:c>
      <x:c r="O1037" s="220" t="n">
        <x:v>34.11666666666667</x:v>
      </x:c>
      <x:c r="P1037" s="220" t="n">
        <x:v>29.5</x:v>
      </x:c>
      <x:c r="Q1037" s="220" t="n">
        <x:v>4.616666666666666</x:v>
      </x:c>
      <x:c r="R1037" s="220" t="n">
        <x:v>0.1353199804592086</x:v>
      </x:c>
      <x:c r="S1037" s="220" t="n">
        <x:v>57.38709677419355</x:v>
      </x:c>
      <x:c r="T1037" s="220" t="n">
        <x:v>53.54838709677419</x:v>
      </x:c>
      <x:c r="U1037" s="220" t="n">
        <x:v>3.838709677419355</x:v>
      </x:c>
      <x:c r="V1037" s="218" t="n">
        <x:v>0.004608294930875576</x:v>
      </x:c>
      <x:c r="W1037" s="217" t="n">
        <x:v>1</x:v>
      </x:c>
      <x:c r="X1037" s="222" t="n">
        <x:v>150</x:v>
      </x:c>
      <x:c r="Y1037" s="217" t="n">
        <x:v>43</x:v>
      </x:c>
    </x:row>
    <x:row r="1038">
      <x:c r="A1038" s="216" t="n">
        <x:v>224</x:v>
      </x:c>
      <x:c r="B1038" s="216" t="str">
        <x:v>中華裕華街口</x:v>
      </x:c>
      <x:c r="C1038" s="216" t="str">
        <x:v>土城區</x:v>
      </x:c>
      <x:c r="D1038" s="216" t="n">
        <x:v>13</x:v>
      </x:c>
      <x:c r="E1038" s="216" t="n">
        <x:v>120</x:v>
      </x:c>
      <x:c r="F1038" s="219" t="n">
        <x:v>0.9994791666666667</x:v>
      </x:c>
      <x:c r="G1038" s="216" t="n">
        <x:v>1034</x:v>
      </x:c>
      <x:c r="H1038" s="216" t="str">
        <x:f>IF(G1038&lt;='排名定義'!$B$5,"是","")</x:f>
        <x:v>是</x:v>
      </x:c>
      <x:c r="I1038" s="216" t="n">
        <x:v>1015</x:v>
      </x:c>
      <x:c r="J1038" s="216" t="str">
        <x:f>IF(I1038&lt;='排名定義'!$B$5,"是","")</x:f>
        <x:v>是</x:v>
      </x:c>
      <x:c r="K1038" s="216" t="n">
        <x:v>1257</x:v>
      </x:c>
      <x:c r="L1038" s="216" t="str">
        <x:f>IF(K1038&lt;='排名定義'!$B$5,"是","")</x:f>
        <x:v>是</x:v>
      </x:c>
      <x:c r="M1038" s="216" t="n">
        <x:f>COUNTIF(H1038:L1038,"是")</x:f>
        <x:v>3</x:v>
      </x:c>
      <x:c r="N1038" s="216" t="str">
        <x:v>三份皆未入選</x:v>
      </x:c>
      <x:c r="O1038" s="221" t="n">
        <x:v>34.03333333333333</x:v>
      </x:c>
      <x:c r="P1038" s="221" t="n">
        <x:v>31.366666666666667</x:v>
      </x:c>
      <x:c r="Q1038" s="221" t="n">
        <x:v>2.6666666666666665</x:v>
      </x:c>
      <x:c r="R1038" s="221" t="n">
        <x:v>0.07835455435847209</x:v>
      </x:c>
      <x:c r="S1038" s="221" t="n">
        <x:v>45.774193548387096</x:v>
      </x:c>
      <x:c r="T1038" s="221" t="n">
        <x:v>43.32258064516129</x:v>
      </x:c>
      <x:c r="U1038" s="221" t="n">
        <x:v>2.4516129032258065</x:v>
      </x:c>
      <x:c r="V1038" s="219" t="n">
        <x:v>0.0944700460829493</x:v>
      </x:c>
      <x:c r="W1038" s="216" t="n">
        <x:v>19</x:v>
      </x:c>
      <x:c r="X1038" s="223" t="n">
        <x:v>2250</x:v>
      </x:c>
      <x:c r="Y1038" s="216" t="n">
        <x:v>13</x:v>
      </x:c>
    </x:row>
    <x:row r="1039">
      <x:c r="A1039" s="217" t="n">
        <x:v>1071</x:v>
      </x:c>
      <x:c r="B1039" s="217" t="str">
        <x:v>二重埔市民活動中心</x:v>
      </x:c>
      <x:c r="C1039" s="217" t="str">
        <x:v>三重區</x:v>
      </x:c>
      <x:c r="D1039" s="217" t="n">
        <x:v>30</x:v>
      </x:c>
      <x:c r="E1039" s="217" t="n">
        <x:v>120</x:v>
      </x:c>
      <x:c r="F1039" s="218" t="n">
        <x:v>0.9994791666666667</x:v>
      </x:c>
      <x:c r="G1039" s="217" t="n">
        <x:v>1035</x:v>
      </x:c>
      <x:c r="H1039" s="217" t="str">
        <x:f>IF(G1039&lt;='排名定義'!$B$5,"是","")</x:f>
        <x:v>是</x:v>
      </x:c>
      <x:c r="I1039" s="217" t="n">
        <x:v>1046</x:v>
      </x:c>
      <x:c r="J1039" s="217" t="str">
        <x:f>IF(I1039&lt;='排名定義'!$B$5,"是","")</x:f>
        <x:v>是</x:v>
      </x:c>
      <x:c r="K1039" s="217" t="n">
        <x:v>773</x:v>
      </x:c>
      <x:c r="L1039" s="217" t="str">
        <x:f>IF(K1039&lt;='排名定義'!$B$5,"是","")</x:f>
        <x:v>是</x:v>
      </x:c>
      <x:c r="M1039" s="217" t="n">
        <x:f>COUNTIF(H1039:L1039,"是")</x:f>
        <x:v>3</x:v>
      </x:c>
      <x:c r="N1039" s="217" t="str">
        <x:v>三份皆未入選</x:v>
      </x:c>
      <x:c r="O1039" s="220" t="n">
        <x:v>33.958333333333336</x:v>
      </x:c>
      <x:c r="P1039" s="220" t="n">
        <x:v>29.875</x:v>
      </x:c>
      <x:c r="Q1039" s="220" t="n">
        <x:v>4.083333333333333</x:v>
      </x:c>
      <x:c r="R1039" s="220" t="n">
        <x:v>0.12024539877300613</x:v>
      </x:c>
      <x:c r="S1039" s="220" t="n">
        <x:v>50.16129032258065</x:v>
      </x:c>
      <x:c r="T1039" s="220" t="n">
        <x:v>46.96774193548387</x:v>
      </x:c>
      <x:c r="U1039" s="220" t="n">
        <x:v>3.193548387096774</x:v>
      </x:c>
      <x:c r="V1039" s="218" t="n">
        <x:v>0.06221198156682028</x:v>
      </x:c>
      <x:c r="W1039" s="217" t="n">
        <x:v>10</x:v>
      </x:c>
      <x:c r="X1039" s="222" t="n">
        <x:v>1110</x:v>
      </x:c>
      <x:c r="Y1039" s="217" t="n">
        <x:v>30</x:v>
      </x:c>
    </x:row>
    <x:row r="1040">
      <x:c r="A1040" s="216" t="n">
        <x:v>897</x:v>
      </x:c>
      <x:c r="B1040" s="216" t="str">
        <x:v>輕軌淡海新市鎮站</x:v>
      </x:c>
      <x:c r="C1040" s="216" t="str">
        <x:v>淡水區</x:v>
      </x:c>
      <x:c r="D1040" s="216" t="n">
        <x:v>25</x:v>
      </x:c>
      <x:c r="E1040" s="216" t="n">
        <x:v>120</x:v>
      </x:c>
      <x:c r="F1040" s="219" t="n">
        <x:v>0.9994791666666667</x:v>
      </x:c>
      <x:c r="G1040" s="216" t="n">
        <x:v>1036</x:v>
      </x:c>
      <x:c r="H1040" s="216" t="str">
        <x:f>IF(G1040&lt;='排名定義'!$B$5,"是","")</x:f>
        <x:v>是</x:v>
      </x:c>
      <x:c r="I1040" s="216" t="n">
        <x:v>1041</x:v>
      </x:c>
      <x:c r="J1040" s="216" t="str">
        <x:f>IF(I1040&lt;='排名定義'!$B$5,"是","")</x:f>
        <x:v>是</x:v>
      </x:c>
      <x:c r="K1040" s="216" t="n">
        <x:v>865</x:v>
      </x:c>
      <x:c r="L1040" s="216" t="str">
        <x:f>IF(K1040&lt;='排名定義'!$B$5,"是","")</x:f>
        <x:v>是</x:v>
      </x:c>
      <x:c r="M1040" s="216" t="n">
        <x:f>COUNTIF(H1040:L1040,"是")</x:f>
        <x:v>3</x:v>
      </x:c>
      <x:c r="N1040" s="216" t="str">
        <x:v>三份皆未入選</x:v>
      </x:c>
      <x:c r="O1040" s="221" t="n">
        <x:v>33.95</x:v>
      </x:c>
      <x:c r="P1040" s="221" t="n">
        <x:v>30.125</x:v>
      </x:c>
      <x:c r="Q1040" s="221" t="n">
        <x:v>3.825</x:v>
      </x:c>
      <x:c r="R1040" s="221" t="n">
        <x:v>0.11266568483063329</x:v>
      </x:c>
      <x:c r="S1040" s="221" t="n">
        <x:v>53.38709677419355</x:v>
      </x:c>
      <x:c r="T1040" s="221" t="n">
        <x:v>48.225806451612904</x:v>
      </x:c>
      <x:c r="U1040" s="221" t="n">
        <x:v>5.161290322580645</x:v>
      </x:c>
      <x:c r="V1040" s="219" t="n">
        <x:v>0.10138248847926268</x:v>
      </x:c>
      <x:c r="W1040" s="216" t="n">
        <x:v>21</x:v>
      </x:c>
      <x:c r="X1040" s="223" t="n">
        <x:v>3540</x:v>
      </x:c>
      <x:c r="Y1040" s="216" t="n">
        <x:v>25</x:v>
      </x:c>
    </x:row>
    <x:row r="1041">
      <x:c r="A1041" s="217" t="n">
        <x:v>323</x:v>
      </x:c>
      <x:c r="B1041" s="217" t="str">
        <x:v>中山路二段565巷</x:v>
      </x:c>
      <x:c r="C1041" s="217" t="str">
        <x:v>板橋區</x:v>
      </x:c>
      <x:c r="D1041" s="217" t="n">
        <x:v>15</x:v>
      </x:c>
      <x:c r="E1041" s="217" t="n">
        <x:v>120</x:v>
      </x:c>
      <x:c r="F1041" s="218" t="n">
        <x:v>0.9994791666666667</x:v>
      </x:c>
      <x:c r="G1041" s="217" t="n">
        <x:v>1037</x:v>
      </x:c>
      <x:c r="H1041" s="217" t="str">
        <x:f>IF(G1041&lt;='排名定義'!$B$5,"是","")</x:f>
        <x:v>是</x:v>
      </x:c>
      <x:c r="I1041" s="217" t="n">
        <x:v>1039</x:v>
      </x:c>
      <x:c r="J1041" s="217" t="str">
        <x:f>IF(I1041&lt;='排名定義'!$B$5,"是","")</x:f>
        <x:v>是</x:v>
      </x:c>
      <x:c r="K1041" s="217" t="n">
        <x:v>895</x:v>
      </x:c>
      <x:c r="L1041" s="217" t="str">
        <x:f>IF(K1041&lt;='排名定義'!$B$5,"是","")</x:f>
        <x:v>是</x:v>
      </x:c>
      <x:c r="M1041" s="217" t="n">
        <x:f>COUNTIF(H1041:L1041,"是")</x:f>
        <x:v>3</x:v>
      </x:c>
      <x:c r="N1041" s="217" t="str">
        <x:v>三份皆未入選</x:v>
      </x:c>
      <x:c r="O1041" s="220" t="n">
        <x:v>33.88333333333333</x:v>
      </x:c>
      <x:c r="P1041" s="220" t="n">
        <x:v>30.141666666666666</x:v>
      </x:c>
      <x:c r="Q1041" s="220" t="n">
        <x:v>3.7416666666666667</x:v>
      </x:c>
      <x:c r="R1041" s="220" t="n">
        <x:v>0.11042793900639448</x:v>
      </x:c>
      <x:c r="S1041" s="220" t="n">
        <x:v>51.16129032258065</x:v>
      </x:c>
      <x:c r="T1041" s="220" t="n">
        <x:v>47.483870967741936</x:v>
      </x:c>
      <x:c r="U1041" s="220" t="n">
        <x:v>3.6774193548387095</x:v>
      </x:c>
      <x:c r="V1041" s="218" t="n">
        <x:v>0.0576036866359447</x:v>
      </x:c>
      <x:c r="W1041" s="217" t="n">
        <x:v>12</x:v>
      </x:c>
      <x:c r="X1041" s="222" t="n">
        <x:v>1620</x:v>
      </x:c>
      <x:c r="Y1041" s="217" t="n">
        <x:v>15</x:v>
      </x:c>
    </x:row>
    <x:row r="1042">
      <x:c r="A1042" s="216" t="n">
        <x:v>925</x:v>
      </x:c>
      <x:c r="B1042" s="216" t="str">
        <x:v>新市二路二段</x:v>
      </x:c>
      <x:c r="C1042" s="216" t="str">
        <x:v>淡水區</x:v>
      </x:c>
      <x:c r="D1042" s="216" t="n">
        <x:v>26</x:v>
      </x:c>
      <x:c r="E1042" s="216" t="n">
        <x:v>120</x:v>
      </x:c>
      <x:c r="F1042" s="219" t="n">
        <x:v>0.9994791666666667</x:v>
      </x:c>
      <x:c r="G1042" s="216" t="n">
        <x:v>1038</x:v>
      </x:c>
      <x:c r="H1042" s="216" t="str">
        <x:f>IF(G1042&lt;='排名定義'!$B$5,"是","")</x:f>
        <x:v>是</x:v>
      </x:c>
      <x:c r="I1042" s="216" t="n">
        <x:v>1027</x:v>
      </x:c>
      <x:c r="J1042" s="216" t="str">
        <x:f>IF(I1042&lt;='排名定義'!$B$5,"是","")</x:f>
        <x:v>是</x:v>
      </x:c>
      <x:c r="K1042" s="216" t="n">
        <x:v>1181</x:v>
      </x:c>
      <x:c r="L1042" s="216" t="str">
        <x:f>IF(K1042&lt;='排名定義'!$B$5,"是","")</x:f>
        <x:v>是</x:v>
      </x:c>
      <x:c r="M1042" s="216" t="n">
        <x:f>COUNTIF(H1042:L1042,"是")</x:f>
        <x:v>3</x:v>
      </x:c>
      <x:c r="N1042" s="216" t="str">
        <x:v>三份皆未入選</x:v>
      </x:c>
      <x:c r="O1042" s="221" t="n">
        <x:v>33.88333333333333</x:v>
      </x:c>
      <x:c r="P1042" s="221" t="n">
        <x:v>30.925</x:v>
      </x:c>
      <x:c r="Q1042" s="221" t="n">
        <x:v>2.9583333333333335</x:v>
      </x:c>
      <x:c r="R1042" s="221" t="n">
        <x:v>0.08730939498278406</x:v>
      </x:c>
      <x:c r="S1042" s="221" t="n">
        <x:v>58.774193548387096</x:v>
      </x:c>
      <x:c r="T1042" s="221" t="n">
        <x:v>55.32258064516129</x:v>
      </x:c>
      <x:c r="U1042" s="221" t="n">
        <x:v>3.4516129032258065</x:v>
      </x:c>
      <x:c r="V1042" s="219" t="n">
        <x:v>0.06912442396313365</x:v>
      </x:c>
      <x:c r="W1042" s="216" t="n">
        <x:v>9</x:v>
      </x:c>
      <x:c r="X1042" s="223" t="n">
        <x:v>1200</x:v>
      </x:c>
      <x:c r="Y1042" s="216" t="n">
        <x:v>26</x:v>
      </x:c>
    </x:row>
    <x:row r="1043">
      <x:c r="A1043" s="217" t="n">
        <x:v>1388</x:v>
      </x:c>
      <x:c r="B1043" s="217" t="str">
        <x:v>輕軌淡金北新站</x:v>
      </x:c>
      <x:c r="C1043" s="217" t="str">
        <x:v>淡水區</x:v>
      </x:c>
      <x:c r="D1043" s="217" t="n">
        <x:v>45</x:v>
      </x:c>
      <x:c r="E1043" s="217" t="n">
        <x:v>120</x:v>
      </x:c>
      <x:c r="F1043" s="218" t="n">
        <x:v>0.9994791666666667</x:v>
      </x:c>
      <x:c r="G1043" s="217" t="n">
        <x:v>1039</x:v>
      </x:c>
      <x:c r="H1043" s="217" t="str">
        <x:f>IF(G1043&lt;='排名定義'!$B$5,"是","")</x:f>
        <x:v>是</x:v>
      </x:c>
      <x:c r="I1043" s="217" t="n">
        <x:v>1056</x:v>
      </x:c>
      <x:c r="J1043" s="217" t="str">
        <x:f>IF(I1043&lt;='排名定義'!$B$5,"是","")</x:f>
        <x:v>是</x:v>
      </x:c>
      <x:c r="K1043" s="217" t="n">
        <x:v>649</x:v>
      </x:c>
      <x:c r="L1043" s="217" t="str">
        <x:f>IF(K1043&lt;='排名定義'!$B$5,"是","")</x:f>
        <x:v>是</x:v>
      </x:c>
      <x:c r="M1043" s="217" t="n">
        <x:f>COUNTIF(H1043:L1043,"是")</x:f>
        <x:v>3</x:v>
      </x:c>
      <x:c r="N1043" s="217" t="str">
        <x:v>三份皆未入選</x:v>
      </x:c>
      <x:c r="O1043" s="220" t="n">
        <x:v>33.85</x:v>
      </x:c>
      <x:c r="P1043" s="220" t="n">
        <x:v>29.375</x:v>
      </x:c>
      <x:c r="Q1043" s="220" t="n">
        <x:v>4.475</x:v>
      </x:c>
      <x:c r="R1043" s="220" t="n">
        <x:v>0.13220088626292467</x:v>
      </x:c>
      <x:c r="S1043" s="220" t="n">
        <x:v>59.32258064516129</x:v>
      </x:c>
      <x:c r="T1043" s="220" t="n">
        <x:v>52.225806451612904</x:v>
      </x:c>
      <x:c r="U1043" s="220" t="n">
        <x:v>7.096774193548387</x:v>
      </x:c>
      <x:c r="V1043" s="218" t="n">
        <x:v>0.07373271889400922</x:v>
      </x:c>
      <x:c r="W1043" s="217" t="n">
        <x:v>12</x:v>
      </x:c>
      <x:c r="X1043" s="222" t="n">
        <x:v>1530</x:v>
      </x:c>
      <x:c r="Y1043" s="217" t="n">
        <x:v>45</x:v>
      </x:c>
    </x:row>
    <x:row r="1044">
      <x:c r="A1044" s="216" t="n">
        <x:v>299</x:v>
      </x:c>
      <x:c r="B1044" s="216" t="str">
        <x:v>大雅佳園路口</x:v>
      </x:c>
      <x:c r="C1044" s="216" t="str">
        <x:v>樹林區</x:v>
      </x:c>
      <x:c r="D1044" s="216" t="n">
        <x:v>14</x:v>
      </x:c>
      <x:c r="E1044" s="216" t="n">
        <x:v>120</x:v>
      </x:c>
      <x:c r="F1044" s="219" t="n">
        <x:v>0.9994791666666667</x:v>
      </x:c>
      <x:c r="G1044" s="216" t="n">
        <x:v>1040</x:v>
      </x:c>
      <x:c r="H1044" s="216" t="str">
        <x:f>IF(G1044&lt;='排名定義'!$B$5,"是","")</x:f>
        <x:v>是</x:v>
      </x:c>
      <x:c r="I1044" s="216" t="n">
        <x:v>1036</x:v>
      </x:c>
      <x:c r="J1044" s="216" t="str">
        <x:f>IF(I1044&lt;='排名定義'!$B$5,"是","")</x:f>
        <x:v>是</x:v>
      </x:c>
      <x:c r="K1044" s="216" t="n">
        <x:v>970</x:v>
      </x:c>
      <x:c r="L1044" s="216" t="str">
        <x:f>IF(K1044&lt;='排名定義'!$B$5,"是","")</x:f>
        <x:v>是</x:v>
      </x:c>
      <x:c r="M1044" s="216" t="n">
        <x:f>COUNTIF(H1044:L1044,"是")</x:f>
        <x:v>3</x:v>
      </x:c>
      <x:c r="N1044" s="216" t="str">
        <x:v>三份皆未入選</x:v>
      </x:c>
      <x:c r="O1044" s="221" t="n">
        <x:v>33.825</x:v>
      </x:c>
      <x:c r="P1044" s="221" t="n">
        <x:v>30.316666666666666</x:v>
      </x:c>
      <x:c r="Q1044" s="221" t="n">
        <x:v>3.5083333333333333</x:v>
      </x:c>
      <x:c r="R1044" s="221" t="n">
        <x:v>0.10372012811037201</x:v>
      </x:c>
      <x:c r="S1044" s="221" t="n">
        <x:v>58.03225806451613</x:v>
      </x:c>
      <x:c r="T1044" s="221" t="n">
        <x:v>55.12903225806452</x:v>
      </x:c>
      <x:c r="U1044" s="221" t="n">
        <x:v>2.903225806451613</x:v>
      </x:c>
      <x:c r="V1044" s="219" t="n">
        <x:v>0.06682027649769585</x:v>
      </x:c>
      <x:c r="W1044" s="216" t="n">
        <x:v>7</x:v>
      </x:c>
      <x:c r="X1044" s="223" t="n">
        <x:v>1260</x:v>
      </x:c>
      <x:c r="Y1044" s="216" t="n">
        <x:v>14</x:v>
      </x:c>
    </x:row>
    <x:row r="1045">
      <x:c r="A1045" s="217" t="n">
        <x:v>845</x:v>
      </x:c>
      <x:c r="B1045" s="217" t="str">
        <x:v>臺北大學行政大樓(法商大道)</x:v>
      </x:c>
      <x:c r="C1045" s="217" t="str">
        <x:v>三峽區</x:v>
      </x:c>
      <x:c r="D1045" s="217" t="n">
        <x:v>23</x:v>
      </x:c>
      <x:c r="E1045" s="217" t="n">
        <x:v>120</x:v>
      </x:c>
      <x:c r="F1045" s="218" t="n">
        <x:v>0.9994791666666667</x:v>
      </x:c>
      <x:c r="G1045" s="217" t="n">
        <x:v>1041</x:v>
      </x:c>
      <x:c r="H1045" s="217" t="str">
        <x:f>IF(G1045&lt;='排名定義'!$B$5,"是","")</x:f>
        <x:v>是</x:v>
      </x:c>
      <x:c r="I1045" s="217" t="n">
        <x:v>1045</x:v>
      </x:c>
      <x:c r="J1045" s="217" t="str">
        <x:f>IF(I1045&lt;='排名定義'!$B$5,"是","")</x:f>
        <x:v>是</x:v>
      </x:c>
      <x:c r="K1045" s="217" t="n">
        <x:v>829</x:v>
      </x:c>
      <x:c r="L1045" s="217" t="str">
        <x:f>IF(K1045&lt;='排名定義'!$B$5,"是","")</x:f>
        <x:v>是</x:v>
      </x:c>
      <x:c r="M1045" s="217" t="n">
        <x:f>COUNTIF(H1045:L1045,"是")</x:f>
        <x:v>3</x:v>
      </x:c>
      <x:c r="N1045" s="217" t="str">
        <x:v>三份皆未入選</x:v>
      </x:c>
      <x:c r="O1045" s="220" t="n">
        <x:v>33.80833333333333</x:v>
      </x:c>
      <x:c r="P1045" s="220" t="n">
        <x:v>29.891666666666666</x:v>
      </x:c>
      <x:c r="Q1045" s="220" t="n">
        <x:v>3.9166666666666665</x:v>
      </x:c>
      <x:c r="R1045" s="220" t="n">
        <x:v>0.11584914961794429</x:v>
      </x:c>
      <x:c r="S1045" s="220" t="n">
        <x:v>75.25806451612904</x:v>
      </x:c>
      <x:c r="T1045" s="220" t="n">
        <x:v>69.80645161290323</x:v>
      </x:c>
      <x:c r="U1045" s="220" t="n">
        <x:v>5.451612903225806</x:v>
      </x:c>
      <x:c r="V1045" s="218" t="n">
        <x:v>0.03917050691244239</x:v>
      </x:c>
      <x:c r="W1045" s="217" t="n">
        <x:v>6</x:v>
      </x:c>
      <x:c r="X1045" s="222" t="n">
        <x:v>780</x:v>
      </x:c>
      <x:c r="Y1045" s="217" t="n">
        <x:v>33</x:v>
      </x:c>
    </x:row>
    <x:row r="1046">
      <x:c r="A1046" s="216" t="n">
        <x:v>693</x:v>
      </x:c>
      <x:c r="B1046" s="216" t="str">
        <x:v>鳳福公園</x:v>
      </x:c>
      <x:c r="C1046" s="216" t="str">
        <x:v>鶯歌區</x:v>
      </x:c>
      <x:c r="D1046" s="216" t="n">
        <x:v>20</x:v>
      </x:c>
      <x:c r="E1046" s="216" t="n">
        <x:v>120</x:v>
      </x:c>
      <x:c r="F1046" s="219" t="n">
        <x:v>0.9994791666666667</x:v>
      </x:c>
      <x:c r="G1046" s="216" t="n">
        <x:v>1042</x:v>
      </x:c>
      <x:c r="H1046" s="216" t="str">
        <x:f>IF(G1046&lt;='排名定義'!$B$5,"是","")</x:f>
        <x:v>是</x:v>
      </x:c>
      <x:c r="I1046" s="216" t="n">
        <x:v>1038</x:v>
      </x:c>
      <x:c r="J1046" s="216" t="str">
        <x:f>IF(I1046&lt;='排名定義'!$B$5,"是","")</x:f>
        <x:v>是</x:v>
      </x:c>
      <x:c r="K1046" s="216" t="n">
        <x:v>949</x:v>
      </x:c>
      <x:c r="L1046" s="216" t="str">
        <x:f>IF(K1046&lt;='排名定義'!$B$5,"是","")</x:f>
        <x:v>是</x:v>
      </x:c>
      <x:c r="M1046" s="216" t="n">
        <x:f>COUNTIF(H1046:L1046,"是")</x:f>
        <x:v>3</x:v>
      </x:c>
      <x:c r="N1046" s="216" t="str">
        <x:v>三份皆未入選</x:v>
      </x:c>
      <x:c r="O1046" s="221" t="n">
        <x:v>33.74166666666667</x:v>
      </x:c>
      <x:c r="P1046" s="221" t="n">
        <x:v>30.158333333333335</x:v>
      </x:c>
      <x:c r="Q1046" s="221" t="n">
        <x:v>3.5833333333333335</x:v>
      </x:c>
      <x:c r="R1046" s="221" t="n">
        <x:v>0.10619906149666584</x:v>
      </x:c>
      <x:c r="S1046" s="221" t="n">
        <x:v>52.16129032258065</x:v>
      </x:c>
      <x:c r="T1046" s="221" t="n">
        <x:v>47.96774193548387</x:v>
      </x:c>
      <x:c r="U1046" s="221" t="n">
        <x:v>4.193548387096774</x:v>
      </x:c>
      <x:c r="V1046" s="219" t="n">
        <x:v>0.02304147465437788</x:v>
      </x:c>
      <x:c r="W1046" s="216" t="n">
        <x:v>6</x:v>
      </x:c>
      <x:c r="X1046" s="223" t="n">
        <x:v>930</x:v>
      </x:c>
      <x:c r="Y1046" s="216" t="n">
        <x:v>20</x:v>
      </x:c>
    </x:row>
    <x:row r="1047">
      <x:c r="A1047" s="217" t="n">
        <x:v>701</x:v>
      </x:c>
      <x:c r="B1047" s="217" t="str">
        <x:v>力行地下停車場</x:v>
      </x:c>
      <x:c r="C1047" s="217" t="str">
        <x:v>三重區</x:v>
      </x:c>
      <x:c r="D1047" s="217" t="n">
        <x:v>20</x:v>
      </x:c>
      <x:c r="E1047" s="217" t="n">
        <x:v>120</x:v>
      </x:c>
      <x:c r="F1047" s="218" t="n">
        <x:v>0.9994791666666667</x:v>
      </x:c>
      <x:c r="G1047" s="217" t="n">
        <x:v>1043</x:v>
      </x:c>
      <x:c r="H1047" s="217" t="str">
        <x:f>IF(G1047&lt;='排名定義'!$B$5,"是","")</x:f>
        <x:v>是</x:v>
      </x:c>
      <x:c r="I1047" s="217" t="n">
        <x:v>1049</x:v>
      </x:c>
      <x:c r="J1047" s="217" t="str">
        <x:f>IF(I1047&lt;='排名定義'!$B$5,"是","")</x:f>
        <x:v>是</x:v>
      </x:c>
      <x:c r="K1047" s="217" t="n">
        <x:v>809</x:v>
      </x:c>
      <x:c r="L1047" s="217" t="str">
        <x:f>IF(K1047&lt;='排名定義'!$B$5,"是","")</x:f>
        <x:v>是</x:v>
      </x:c>
      <x:c r="M1047" s="217" t="n">
        <x:f>COUNTIF(H1047:L1047,"是")</x:f>
        <x:v>3</x:v>
      </x:c>
      <x:c r="N1047" s="217" t="str">
        <x:v>三份皆未入選</x:v>
      </x:c>
      <x:c r="O1047" s="220" t="n">
        <x:v>33.666666666666664</x:v>
      </x:c>
      <x:c r="P1047" s="220" t="n">
        <x:v>29.7</x:v>
      </x:c>
      <x:c r="Q1047" s="220" t="n">
        <x:v>3.966666666666667</x:v>
      </x:c>
      <x:c r="R1047" s="220" t="n">
        <x:v>0.11782178217821782</x:v>
      </x:c>
      <x:c r="S1047" s="220" t="n">
        <x:v>46.806451612903224</x:v>
      </x:c>
      <x:c r="T1047" s="220" t="n">
        <x:v>43.064516129032256</x:v>
      </x:c>
      <x:c r="U1047" s="220" t="n">
        <x:v>3.7419354838709675</x:v>
      </x:c>
      <x:c r="V1047" s="218" t="n">
        <x:v>0.04838709677419355</x:v>
      </x:c>
      <x:c r="W1047" s="217" t="n">
        <x:v>31</x:v>
      </x:c>
      <x:c r="X1047" s="222" t="n">
        <x:v>3060</x:v>
      </x:c>
      <x:c r="Y1047" s="217" t="n">
        <x:v>20</x:v>
      </x:c>
    </x:row>
    <x:row r="1048">
      <x:c r="A1048" s="216" t="n">
        <x:v>685</x:v>
      </x:c>
      <x:c r="B1048" s="216" t="str">
        <x:v>臺鐵鳳鳴站(鶯歌路)</x:v>
      </x:c>
      <x:c r="C1048" s="216" t="str">
        <x:v>鶯歌區</x:v>
      </x:c>
      <x:c r="D1048" s="216" t="n">
        <x:v>20</x:v>
      </x:c>
      <x:c r="E1048" s="216" t="n">
        <x:v>120</x:v>
      </x:c>
      <x:c r="F1048" s="219" t="n">
        <x:v>0.9994791666666667</x:v>
      </x:c>
      <x:c r="G1048" s="216" t="n">
        <x:v>1044</x:v>
      </x:c>
      <x:c r="H1048" s="216" t="str">
        <x:f>IF(G1048&lt;='排名定義'!$B$5,"是","")</x:f>
        <x:v>是</x:v>
      </x:c>
      <x:c r="I1048" s="216" t="n">
        <x:v>1052</x:v>
      </x:c>
      <x:c r="J1048" s="216" t="str">
        <x:f>IF(I1048&lt;='排名定義'!$B$5,"是","")</x:f>
        <x:v>是</x:v>
      </x:c>
      <x:c r="K1048" s="216" t="n">
        <x:v>795</x:v>
      </x:c>
      <x:c r="L1048" s="216" t="str">
        <x:f>IF(K1048&lt;='排名定義'!$B$5,"是","")</x:f>
        <x:v>是</x:v>
      </x:c>
      <x:c r="M1048" s="216" t="n">
        <x:f>COUNTIF(H1048:L1048,"是")</x:f>
        <x:v>3</x:v>
      </x:c>
      <x:c r="N1048" s="216" t="str">
        <x:v>三份皆未入選</x:v>
      </x:c>
      <x:c r="O1048" s="221" t="n">
        <x:v>33.55833333333333</x:v>
      </x:c>
      <x:c r="P1048" s="221" t="n">
        <x:v>29.558333333333334</x:v>
      </x:c>
      <x:c r="Q1048" s="221" t="n">
        <x:v>4</x:v>
      </x:c>
      <x:c r="R1048" s="221" t="n">
        <x:v>0.11919543084181773</x:v>
      </x:c>
      <x:c r="S1048" s="221" t="n">
        <x:v>50.67741935483871</x:v>
      </x:c>
      <x:c r="T1048" s="221" t="n">
        <x:v>45.58064516129032</x:v>
      </x:c>
      <x:c r="U1048" s="221" t="n">
        <x:v>5.096774193548387</x:v>
      </x:c>
      <x:c r="V1048" s="219" t="n">
        <x:v>0.06912442396313365</x:v>
      </x:c>
      <x:c r="W1048" s="216" t="n">
        <x:v>50</x:v>
      </x:c>
      <x:c r="X1048" s="223" t="n">
        <x:v>5910</x:v>
      </x:c>
      <x:c r="Y1048" s="216" t="n">
        <x:v>20</x:v>
      </x:c>
    </x:row>
    <x:row r="1049">
      <x:c r="A1049" s="217" t="n">
        <x:v>863</x:v>
      </x:c>
      <x:c r="B1049" s="217" t="str">
        <x:v>林口國小</x:v>
      </x:c>
      <x:c r="C1049" s="217" t="str">
        <x:v>林口區</x:v>
      </x:c>
      <x:c r="D1049" s="217" t="n">
        <x:v>24</x:v>
      </x:c>
      <x:c r="E1049" s="217" t="n">
        <x:v>120</x:v>
      </x:c>
      <x:c r="F1049" s="218" t="n">
        <x:v>0.9994791666666667</x:v>
      </x:c>
      <x:c r="G1049" s="217" t="n">
        <x:v>1045</x:v>
      </x:c>
      <x:c r="H1049" s="217" t="str">
        <x:f>IF(G1049&lt;='排名定義'!$B$5,"是","")</x:f>
        <x:v>是</x:v>
      </x:c>
      <x:c r="I1049" s="217" t="n">
        <x:v>1044</x:v>
      </x:c>
      <x:c r="J1049" s="217" t="str">
        <x:f>IF(I1049&lt;='排名定義'!$B$5,"是","")</x:f>
        <x:v>是</x:v>
      </x:c>
      <x:c r="K1049" s="217" t="n">
        <x:v>977</x:v>
      </x:c>
      <x:c r="L1049" s="217" t="str">
        <x:f>IF(K1049&lt;='排名定義'!$B$5,"是","")</x:f>
        <x:v>是</x:v>
      </x:c>
      <x:c r="M1049" s="217" t="n">
        <x:f>COUNTIF(H1049:L1049,"是")</x:f>
        <x:v>3</x:v>
      </x:c>
      <x:c r="N1049" s="217" t="str">
        <x:v>三份皆未入選</x:v>
      </x:c>
      <x:c r="O1049" s="220" t="n">
        <x:v>33.483333333333334</x:v>
      </x:c>
      <x:c r="P1049" s="220" t="n">
        <x:v>29.991666666666667</x:v>
      </x:c>
      <x:c r="Q1049" s="220" t="n">
        <x:v>3.4916666666666667</x:v>
      </x:c>
      <x:c r="R1049" s="220" t="n">
        <x:v>0.10428073668491787</x:v>
      </x:c>
      <x:c r="S1049" s="220" t="n">
        <x:v>53.03225806451613</x:v>
      </x:c>
      <x:c r="T1049" s="220" t="n">
        <x:v>49.87096774193548</x:v>
      </x:c>
      <x:c r="U1049" s="220" t="n">
        <x:v>3.161290322580645</x:v>
      </x:c>
      <x:c r="V1049" s="218" t="n">
        <x:v>0.020737327188940093</x:v>
      </x:c>
      <x:c r="W1049" s="217" t="n">
        <x:v>3</x:v>
      </x:c>
      <x:c r="X1049" s="222" t="n">
        <x:v>660</x:v>
      </x:c>
      <x:c r="Y1049" s="217" t="n">
        <x:v>24</x:v>
      </x:c>
    </x:row>
    <x:row r="1050">
      <x:c r="A1050" s="216" t="n">
        <x:v>170</x:v>
      </x:c>
      <x:c r="B1050" s="216" t="str">
        <x:v>中正北重陽路口</x:v>
      </x:c>
      <x:c r="C1050" s="216" t="str">
        <x:v>三重區</x:v>
      </x:c>
      <x:c r="D1050" s="216" t="n">
        <x:v>12</x:v>
      </x:c>
      <x:c r="E1050" s="216" t="n">
        <x:v>120</x:v>
      </x:c>
      <x:c r="F1050" s="219" t="n">
        <x:v>0.9994791666666667</x:v>
      </x:c>
      <x:c r="G1050" s="216" t="n">
        <x:v>1046</x:v>
      </x:c>
      <x:c r="H1050" s="216" t="str">
        <x:f>IF(G1050&lt;='排名定義'!$B$5,"是","")</x:f>
        <x:v>是</x:v>
      </x:c>
      <x:c r="I1050" s="216" t="n">
        <x:v>1034</x:v>
      </x:c>
      <x:c r="J1050" s="216" t="str">
        <x:f>IF(I1050&lt;='排名定義'!$B$5,"是","")</x:f>
        <x:v>是</x:v>
      </x:c>
      <x:c r="K1050" s="216" t="n">
        <x:v>1173</x:v>
      </x:c>
      <x:c r="L1050" s="216" t="str">
        <x:f>IF(K1050&lt;='排名定義'!$B$5,"是","")</x:f>
        <x:v>是</x:v>
      </x:c>
      <x:c r="M1050" s="216" t="n">
        <x:f>COUNTIF(H1050:L1050,"是")</x:f>
        <x:v>3</x:v>
      </x:c>
      <x:c r="N1050" s="216" t="str">
        <x:v>三份皆未入選</x:v>
      </x:c>
      <x:c r="O1050" s="221" t="n">
        <x:v>33.40833333333333</x:v>
      </x:c>
      <x:c r="P1050" s="221" t="n">
        <x:v>30.433333333333334</x:v>
      </x:c>
      <x:c r="Q1050" s="221" t="n">
        <x:v>2.975</x:v>
      </x:c>
      <x:c r="R1050" s="221" t="n">
        <x:v>0.08904963831379396</x:v>
      </x:c>
      <x:c r="S1050" s="221" t="n">
        <x:v>46.41935483870968</x:v>
      </x:c>
      <x:c r="T1050" s="221" t="n">
        <x:v>44.516129032258064</x:v>
      </x:c>
      <x:c r="U1050" s="221" t="n">
        <x:v>1.903225806451613</x:v>
      </x:c>
      <x:c r="V1050" s="219" t="n">
        <x:v>0.12211981566820276</x:v>
      </x:c>
      <x:c r="W1050" s="216" t="n">
        <x:v>22</x:v>
      </x:c>
      <x:c r="X1050" s="223" t="n">
        <x:v>2730</x:v>
      </x:c>
      <x:c r="Y1050" s="216" t="n">
        <x:v>12</x:v>
      </x:c>
    </x:row>
    <x:row r="1051">
      <x:c r="A1051" s="217" t="n">
        <x:v>641</x:v>
      </x:c>
      <x:c r="B1051" s="217" t="str">
        <x:v>十四張歷史公園(南側)</x:v>
      </x:c>
      <x:c r="C1051" s="217" t="str">
        <x:v>新店區</x:v>
      </x:c>
      <x:c r="D1051" s="217" t="n">
        <x:v>20</x:v>
      </x:c>
      <x:c r="E1051" s="217" t="n">
        <x:v>120</x:v>
      </x:c>
      <x:c r="F1051" s="218" t="n">
        <x:v>0.9994791666666667</x:v>
      </x:c>
      <x:c r="G1051" s="217" t="n">
        <x:v>1047</x:v>
      </x:c>
      <x:c r="H1051" s="217" t="str">
        <x:f>IF(G1051&lt;='排名定義'!$B$5,"是","")</x:f>
        <x:v>是</x:v>
      </x:c>
      <x:c r="I1051" s="217" t="n">
        <x:v>1028</x:v>
      </x:c>
      <x:c r="J1051" s="217" t="str">
        <x:f>IF(I1051&lt;='排名定義'!$B$5,"是","")</x:f>
        <x:v>是</x:v>
      </x:c>
      <x:c r="K1051" s="217" t="n">
        <x:v>1277</x:v>
      </x:c>
      <x:c r="L1051" s="217" t="str">
        <x:f>IF(K1051&lt;='排名定義'!$B$5,"是","")</x:f>
        <x:v>是</x:v>
      </x:c>
      <x:c r="M1051" s="217" t="n">
        <x:f>COUNTIF(H1051:L1051,"是")</x:f>
        <x:v>3</x:v>
      </x:c>
      <x:c r="N1051" s="217" t="str">
        <x:v>三份皆未入選</x:v>
      </x:c>
      <x:c r="O1051" s="220" t="n">
        <x:v>33.4</x:v>
      </x:c>
      <x:c r="P1051" s="220" t="n">
        <x:v>30.8</x:v>
      </x:c>
      <x:c r="Q1051" s="220" t="n">
        <x:v>2.6</x:v>
      </x:c>
      <x:c r="R1051" s="220" t="n">
        <x:v>0.07784431137724551</x:v>
      </x:c>
      <x:c r="S1051" s="220" t="n">
        <x:v>52.29032258064516</x:v>
      </x:c>
      <x:c r="T1051" s="220" t="n">
        <x:v>49.193548387096776</x:v>
      </x:c>
      <x:c r="U1051" s="220" t="n">
        <x:v>3.096774193548387</x:v>
      </x:c>
      <x:c r="V1051" s="218" t="n">
        <x:v>0.12211981566820276</x:v>
      </x:c>
      <x:c r="W1051" s="217" t="n">
        <x:v>31</x:v>
      </x:c>
      <x:c r="X1051" s="222" t="n">
        <x:v>3810</x:v>
      </x:c>
      <x:c r="Y1051" s="217" t="n">
        <x:v>20</x:v>
      </x:c>
    </x:row>
    <x:row r="1052">
      <x:c r="A1052" s="216" t="n">
        <x:v>410</x:v>
      </x:c>
      <x:c r="B1052" s="216" t="str">
        <x:v>八里左岸自行車道(4.4K福德宮)</x:v>
      </x:c>
      <x:c r="C1052" s="216" t="str">
        <x:v>八里區</x:v>
      </x:c>
      <x:c r="D1052" s="216" t="n">
        <x:v>15</x:v>
      </x:c>
      <x:c r="E1052" s="216" t="n">
        <x:v>120</x:v>
      </x:c>
      <x:c r="F1052" s="219" t="n">
        <x:v>0.9994791666666667</x:v>
      </x:c>
      <x:c r="G1052" s="216" t="n">
        <x:v>1048</x:v>
      </x:c>
      <x:c r="H1052" s="216" t="str">
        <x:f>IF(G1052&lt;='排名定義'!$B$5,"是","")</x:f>
        <x:v>是</x:v>
      </x:c>
      <x:c r="I1052" s="216" t="n">
        <x:v>1037</x:v>
      </x:c>
      <x:c r="J1052" s="216" t="str">
        <x:f>IF(I1052&lt;='排名定義'!$B$5,"是","")</x:f>
        <x:v>是</x:v>
      </x:c>
      <x:c r="K1052" s="216" t="n">
        <x:v>1131</x:v>
      </x:c>
      <x:c r="L1052" s="216" t="str">
        <x:f>IF(K1052&lt;='排名定義'!$B$5,"是","")</x:f>
        <x:v>是</x:v>
      </x:c>
      <x:c r="M1052" s="216" t="n">
        <x:f>COUNTIF(H1052:L1052,"是")</x:f>
        <x:v>3</x:v>
      </x:c>
      <x:c r="N1052" s="216" t="str">
        <x:v>三份皆未入選</x:v>
      </x:c>
      <x:c r="O1052" s="221" t="n">
        <x:v>33.28333333333333</x:v>
      </x:c>
      <x:c r="P1052" s="221" t="n">
        <x:v>30.175</x:v>
      </x:c>
      <x:c r="Q1052" s="221" t="n">
        <x:v>3.1083333333333334</x:v>
      </x:c>
      <x:c r="R1052" s="221" t="n">
        <x:v>0.09339008512769154</x:v>
      </x:c>
      <x:c r="S1052" s="221" t="n">
        <x:v>61.645161290322584</x:v>
      </x:c>
      <x:c r="T1052" s="221" t="n">
        <x:v>56.645161290322584</x:v>
      </x:c>
      <x:c r="U1052" s="221" t="n">
        <x:v>5</x:v>
      </x:c>
      <x:c r="V1052" s="219" t="n">
        <x:v>0.055299539170506916</x:v>
      </x:c>
      <x:c r="W1052" s="216" t="n">
        <x:v>22</x:v>
      </x:c>
      <x:c r="X1052" s="223" t="n">
        <x:v>2430</x:v>
      </x:c>
      <x:c r="Y1052" s="216" t="n">
        <x:v>15</x:v>
      </x:c>
    </x:row>
    <x:row r="1053">
      <x:c r="A1053" s="217" t="n">
        <x:v>1061</x:v>
      </x:c>
      <x:c r="B1053" s="217" t="str">
        <x:v>柴埕市民活動中心</x:v>
      </x:c>
      <x:c r="C1053" s="217" t="str">
        <x:v>新店區</x:v>
      </x:c>
      <x:c r="D1053" s="217" t="n">
        <x:v>30</x:v>
      </x:c>
      <x:c r="E1053" s="217" t="n">
        <x:v>120</x:v>
      </x:c>
      <x:c r="F1053" s="218" t="n">
        <x:v>0.9994791666666667</x:v>
      </x:c>
      <x:c r="G1053" s="217" t="n">
        <x:v>1049</x:v>
      </x:c>
      <x:c r="H1053" s="217" t="str">
        <x:f>IF(G1053&lt;='排名定義'!$B$5,"是","")</x:f>
        <x:v>是</x:v>
      </x:c>
      <x:c r="I1053" s="217" t="n">
        <x:v>1040</x:v>
      </x:c>
      <x:c r="J1053" s="217" t="str">
        <x:f>IF(I1053&lt;='排名定義'!$B$5,"是","")</x:f>
        <x:v>是</x:v>
      </x:c>
      <x:c r="K1053" s="217" t="n">
        <x:v>1145</x:v>
      </x:c>
      <x:c r="L1053" s="217" t="str">
        <x:f>IF(K1053&lt;='排名定義'!$B$5,"是","")</x:f>
        <x:v>是</x:v>
      </x:c>
      <x:c r="M1053" s="217" t="n">
        <x:f>COUNTIF(H1053:L1053,"是")</x:f>
        <x:v>3</x:v>
      </x:c>
      <x:c r="N1053" s="217" t="str">
        <x:v>三份皆未入選</x:v>
      </x:c>
      <x:c r="O1053" s="220" t="n">
        <x:v>33.225</x:v>
      </x:c>
      <x:c r="P1053" s="220" t="n">
        <x:v>30.141666666666666</x:v>
      </x:c>
      <x:c r="Q1053" s="220" t="n">
        <x:v>3.0833333333333335</x:v>
      </x:c>
      <x:c r="R1053" s="220" t="n">
        <x:v>0.0928016052169551</x:v>
      </x:c>
      <x:c r="S1053" s="220" t="n">
        <x:v>51.12903225806452</x:v>
      </x:c>
      <x:c r="T1053" s="220" t="n">
        <x:v>48.38709677419355</x:v>
      </x:c>
      <x:c r="U1053" s="220" t="n">
        <x:v>2.7419354838709675</x:v>
      </x:c>
      <x:c r="V1053" s="218" t="n">
        <x:v>0.059907834101382486</x:v>
      </x:c>
      <x:c r="W1053" s="217" t="n">
        <x:v>8</x:v>
      </x:c>
      <x:c r="X1053" s="222" t="n">
        <x:v>1080</x:v>
      </x:c>
      <x:c r="Y1053" s="217" t="n">
        <x:v>30</x:v>
      </x:c>
    </x:row>
    <x:row r="1054">
      <x:c r="A1054" s="216" t="n">
        <x:v>358</x:v>
      </x:c>
      <x:c r="B1054" s="216" t="str">
        <x:v>復興化成路口</x:v>
      </x:c>
      <x:c r="C1054" s="216" t="str">
        <x:v>新莊區</x:v>
      </x:c>
      <x:c r="D1054" s="216" t="n">
        <x:v>15</x:v>
      </x:c>
      <x:c r="E1054" s="216" t="n">
        <x:v>120</x:v>
      </x:c>
      <x:c r="F1054" s="219" t="n">
        <x:v>0.9994791666666667</x:v>
      </x:c>
      <x:c r="G1054" s="216" t="n">
        <x:v>1050</x:v>
      </x:c>
      <x:c r="H1054" s="216" t="str">
        <x:f>IF(G1054&lt;='排名定義'!$B$5,"是","")</x:f>
        <x:v>是</x:v>
      </x:c>
      <x:c r="I1054" s="216" t="n">
        <x:v>1047</x:v>
      </x:c>
      <x:c r="J1054" s="216" t="str">
        <x:f>IF(I1054&lt;='排名定義'!$B$5,"是","")</x:f>
        <x:v>是</x:v>
      </x:c>
      <x:c r="K1054" s="216" t="n">
        <x:v>1031</x:v>
      </x:c>
      <x:c r="L1054" s="216" t="str">
        <x:f>IF(K1054&lt;='排名定義'!$B$5,"是","")</x:f>
        <x:v>是</x:v>
      </x:c>
      <x:c r="M1054" s="216" t="n">
        <x:f>COUNTIF(H1054:L1054,"是")</x:f>
        <x:v>3</x:v>
      </x:c>
      <x:c r="N1054" s="216" t="str">
        <x:v>三份皆未入選</x:v>
      </x:c>
      <x:c r="O1054" s="221" t="n">
        <x:v>33.175</x:v>
      </x:c>
      <x:c r="P1054" s="221" t="n">
        <x:v>29.808333333333334</x:v>
      </x:c>
      <x:c r="Q1054" s="221" t="n">
        <x:v>3.3666666666666667</x:v>
      </x:c>
      <x:c r="R1054" s="221" t="n">
        <x:v>0.10148203968852047</x:v>
      </x:c>
      <x:c r="S1054" s="221" t="n">
        <x:v>49.354838709677416</x:v>
      </x:c>
      <x:c r="T1054" s="221" t="n">
        <x:v>46.354838709677416</x:v>
      </x:c>
      <x:c r="U1054" s="221" t="n">
        <x:v>3</x:v>
      </x:c>
      <x:c r="V1054" s="219" t="n">
        <x:v>0.03456221198156682</x:v>
      </x:c>
      <x:c r="W1054" s="216" t="n">
        <x:v>6</x:v>
      </x:c>
      <x:c r="X1054" s="223" t="n">
        <x:v>1020</x:v>
      </x:c>
      <x:c r="Y1054" s="216" t="n">
        <x:v>15</x:v>
      </x:c>
    </x:row>
    <x:row r="1055">
      <x:c r="A1055" s="217" t="n">
        <x:v>704</x:v>
      </x:c>
      <x:c r="B1055" s="217" t="str">
        <x:v>大智中山路口</x:v>
      </x:c>
      <x:c r="C1055" s="217" t="str">
        <x:v>三峽區</x:v>
      </x:c>
      <x:c r="D1055" s="217" t="n">
        <x:v>20</x:v>
      </x:c>
      <x:c r="E1055" s="217" t="n">
        <x:v>120</x:v>
      </x:c>
      <x:c r="F1055" s="218" t="n">
        <x:v>0.9994791666666667</x:v>
      </x:c>
      <x:c r="G1055" s="217" t="n">
        <x:v>1051</x:v>
      </x:c>
      <x:c r="H1055" s="217" t="str">
        <x:f>IF(G1055&lt;='排名定義'!$B$5,"是","")</x:f>
        <x:v>是</x:v>
      </x:c>
      <x:c r="I1055" s="217" t="n">
        <x:v>1050</x:v>
      </x:c>
      <x:c r="J1055" s="217" t="str">
        <x:f>IF(I1055&lt;='排名定義'!$B$5,"是","")</x:f>
        <x:v>是</x:v>
      </x:c>
      <x:c r="K1055" s="217" t="n">
        <x:v>1011</x:v>
      </x:c>
      <x:c r="L1055" s="217" t="str">
        <x:f>IF(K1055&lt;='排名定義'!$B$5,"是","")</x:f>
        <x:v>是</x:v>
      </x:c>
      <x:c r="M1055" s="217" t="n">
        <x:f>COUNTIF(H1055:L1055,"是")</x:f>
        <x:v>3</x:v>
      </x:c>
      <x:c r="N1055" s="217" t="str">
        <x:v>三份皆未入選</x:v>
      </x:c>
      <x:c r="O1055" s="220" t="n">
        <x:v>33.06666666666667</x:v>
      </x:c>
      <x:c r="P1055" s="220" t="n">
        <x:v>29.65</x:v>
      </x:c>
      <x:c r="Q1055" s="220" t="n">
        <x:v>3.4166666666666665</x:v>
      </x:c>
      <x:c r="R1055" s="220" t="n">
        <x:v>0.10332661290322581</x:v>
      </x:c>
      <x:c r="S1055" s="220" t="n">
        <x:v>62.70967741935484</x:v>
      </x:c>
      <x:c r="T1055" s="220" t="n">
        <x:v>58.87096774193548</x:v>
      </x:c>
      <x:c r="U1055" s="220" t="n">
        <x:v>3.838709677419355</x:v>
      </x:c>
      <x:c r="V1055" s="218" t="n">
        <x:v>0.03456221198156682</x:v>
      </x:c>
      <x:c r="W1055" s="217" t="n">
        <x:v>10</x:v>
      </x:c>
      <x:c r="X1055" s="222" t="n">
        <x:v>1230</x:v>
      </x:c>
      <x:c r="Y1055" s="217" t="n">
        <x:v>20</x:v>
      </x:c>
    </x:row>
    <x:row r="1056">
      <x:c r="A1056" s="216" t="n">
        <x:v>761</x:v>
      </x:c>
      <x:c r="B1056" s="216" t="str">
        <x:v>中山立仁街口</x:v>
      </x:c>
      <x:c r="C1056" s="216" t="str">
        <x:v>樹林區</x:v>
      </x:c>
      <x:c r="D1056" s="216" t="n">
        <x:v>21</x:v>
      </x:c>
      <x:c r="E1056" s="216" t="n">
        <x:v>120</x:v>
      </x:c>
      <x:c r="F1056" s="219" t="n">
        <x:v>0.9994791666666667</x:v>
      </x:c>
      <x:c r="G1056" s="216" t="n">
        <x:v>1052</x:v>
      </x:c>
      <x:c r="H1056" s="216" t="str">
        <x:f>IF(G1056&lt;='排名定義'!$B$5,"是","")</x:f>
        <x:v>是</x:v>
      </x:c>
      <x:c r="I1056" s="216" t="n">
        <x:v>1051</x:v>
      </x:c>
      <x:c r="J1056" s="216" t="str">
        <x:f>IF(I1056&lt;='排名定義'!$B$5,"是","")</x:f>
        <x:v>是</x:v>
      </x:c>
      <x:c r="K1056" s="216" t="n">
        <x:v>1010</x:v>
      </x:c>
      <x:c r="L1056" s="216" t="str">
        <x:f>IF(K1056&lt;='排名定義'!$B$5,"是","")</x:f>
        <x:v>是</x:v>
      </x:c>
      <x:c r="M1056" s="216" t="n">
        <x:f>COUNTIF(H1056:L1056,"是")</x:f>
        <x:v>3</x:v>
      </x:c>
      <x:c r="N1056" s="216" t="str">
        <x:v>三份皆未入選</x:v>
      </x:c>
      <x:c r="O1056" s="221" t="n">
        <x:v>33.06666666666667</x:v>
      </x:c>
      <x:c r="P1056" s="221" t="n">
        <x:v>29.641666666666666</x:v>
      </x:c>
      <x:c r="Q1056" s="221" t="n">
        <x:v>3.425</x:v>
      </x:c>
      <x:c r="R1056" s="221" t="n">
        <x:v>0.10357862903225806</x:v>
      </x:c>
      <x:c r="S1056" s="221" t="n">
        <x:v>55.096774193548384</x:v>
      </x:c>
      <x:c r="T1056" s="221" t="n">
        <x:v>52.61290322580645</x:v>
      </x:c>
      <x:c r="U1056" s="221" t="n">
        <x:v>2.4838709677419355</x:v>
      </x:c>
      <x:c r="V1056" s="219" t="n">
        <x:v>0.06682027649769585</x:v>
      </x:c>
      <x:c r="W1056" s="216" t="n">
        <x:v>14</x:v>
      </x:c>
      <x:c r="X1056" s="223" t="n">
        <x:v>2550</x:v>
      </x:c>
      <x:c r="Y1056" s="216" t="n">
        <x:v>21</x:v>
      </x:c>
    </x:row>
    <x:row r="1057">
      <x:c r="A1057" s="217" t="n">
        <x:v>1479</x:v>
      </x:c>
      <x:c r="B1057" s="217" t="str">
        <x:v>藝文一永翠路口</x:v>
      </x:c>
      <x:c r="C1057" s="217" t="str">
        <x:v>板橋區</x:v>
      </x:c>
      <x:c r="D1057" s="217" t="n">
        <x:v>54</x:v>
      </x:c>
      <x:c r="E1057" s="217" t="n">
        <x:v>120</x:v>
      </x:c>
      <x:c r="F1057" s="218" t="n">
        <x:v>0.9994791666666667</x:v>
      </x:c>
      <x:c r="G1057" s="217" t="n">
        <x:v>1053</x:v>
      </x:c>
      <x:c r="H1057" s="217" t="str">
        <x:f>IF(G1057&lt;='排名定義'!$B$5,"是","")</x:f>
        <x:v>是</x:v>
      </x:c>
      <x:c r="I1057" s="217" t="n">
        <x:v>1057</x:v>
      </x:c>
      <x:c r="J1057" s="217" t="str">
        <x:f>IF(I1057&lt;='排名定義'!$B$5,"是","")</x:f>
        <x:v>是</x:v>
      </x:c>
      <x:c r="K1057" s="217" t="n">
        <x:v>956</x:v>
      </x:c>
      <x:c r="L1057" s="217" t="str">
        <x:f>IF(K1057&lt;='排名定義'!$B$5,"是","")</x:f>
        <x:v>是</x:v>
      </x:c>
      <x:c r="M1057" s="217" t="n">
        <x:f>COUNTIF(H1057:L1057,"是")</x:f>
        <x:v>3</x:v>
      </x:c>
      <x:c r="N1057" s="217" t="str">
        <x:v>三份皆未入選</x:v>
      </x:c>
      <x:c r="O1057" s="220" t="n">
        <x:v>32.891666666666666</x:v>
      </x:c>
      <x:c r="P1057" s="220" t="n">
        <x:v>29.333333333333332</x:v>
      </x:c>
      <x:c r="Q1057" s="220" t="n">
        <x:v>3.558333333333333</x:v>
      </x:c>
      <x:c r="R1057" s="220" t="n">
        <x:v>0.10818343045350899</x:v>
      </x:c>
      <x:c r="S1057" s="220" t="n">
        <x:v>56.225806451612904</x:v>
      </x:c>
      <x:c r="T1057" s="220" t="n">
        <x:v>52.61290322580645</x:v>
      </x:c>
      <x:c r="U1057" s="220" t="n">
        <x:v>3.6129032258064515</x:v>
      </x:c>
      <x:c r="V1057" s="218" t="n">
        <x:v>0.009216589861751152</x:v>
      </x:c>
      <x:c r="W1057" s="217" t="n">
        <x:v>2</x:v>
      </x:c>
      <x:c r="X1057" s="222" t="n">
        <x:v>180</x:v>
      </x:c>
      <x:c r="Y1057" s="217" t="n">
        <x:v>54</x:v>
      </x:c>
    </x:row>
    <x:row r="1058">
      <x:c r="A1058" s="216" t="n">
        <x:v>1304</x:v>
      </x:c>
      <x:c r="B1058" s="216" t="str">
        <x:v>香社一藝文街口(歡喜市社區)</x:v>
      </x:c>
      <x:c r="C1058" s="216" t="str">
        <x:v>板橋區</x:v>
      </x:c>
      <x:c r="D1058" s="216" t="n">
        <x:v>40</x:v>
      </x:c>
      <x:c r="E1058" s="216" t="n">
        <x:v>120</x:v>
      </x:c>
      <x:c r="F1058" s="219" t="n">
        <x:v>0.9994791666666667</x:v>
      </x:c>
      <x:c r="G1058" s="216" t="n">
        <x:v>1054</x:v>
      </x:c>
      <x:c r="H1058" s="216" t="str">
        <x:f>IF(G1058&lt;='排名定義'!$B$5,"是","")</x:f>
        <x:v>是</x:v>
      </x:c>
      <x:c r="I1058" s="216" t="n">
        <x:v>1064</x:v>
      </x:c>
      <x:c r="J1058" s="216" t="str">
        <x:f>IF(I1058&lt;='排名定義'!$B$5,"是","")</x:f>
        <x:v>是</x:v>
      </x:c>
      <x:c r="K1058" s="216" t="n">
        <x:v>768</x:v>
      </x:c>
      <x:c r="L1058" s="216" t="str">
        <x:f>IF(K1058&lt;='排名定義'!$B$5,"是","")</x:f>
        <x:v>是</x:v>
      </x:c>
      <x:c r="M1058" s="216" t="n">
        <x:f>COUNTIF(H1058:L1058,"是")</x:f>
        <x:v>3</x:v>
      </x:c>
      <x:c r="N1058" s="216" t="str">
        <x:v>三份皆未入選</x:v>
      </x:c>
      <x:c r="O1058" s="221" t="n">
        <x:v>32.81666666666667</x:v>
      </x:c>
      <x:c r="P1058" s="221" t="n">
        <x:v>28.725</x:v>
      </x:c>
      <x:c r="Q1058" s="221" t="n">
        <x:v>4.091666666666667</x:v>
      </x:c>
      <x:c r="R1058" s="221" t="n">
        <x:v>0.12468257998984256</x:v>
      </x:c>
      <x:c r="S1058" s="221" t="n">
        <x:v>51.96774193548387</x:v>
      </x:c>
      <x:c r="T1058" s="221" t="n">
        <x:v>49.064516129032256</x:v>
      </x:c>
      <x:c r="U1058" s="221" t="n">
        <x:v>2.903225806451613</x:v>
      </x:c>
      <x:c r="V1058" s="219" t="n">
        <x:v>0.029953917050691243</x:v>
      </x:c>
      <x:c r="W1058" s="216" t="n">
        <x:v>8</x:v>
      </x:c>
      <x:c r="X1058" s="223" t="n">
        <x:v>900</x:v>
      </x:c>
      <x:c r="Y1058" s="216" t="n">
        <x:v>40</x:v>
      </x:c>
    </x:row>
    <x:row r="1059">
      <x:c r="A1059" s="217" t="n">
        <x:v>1247</x:v>
      </x:c>
      <x:c r="B1059" s="217" t="str">
        <x:v>藝文二永翠路口(青峰社區)</x:v>
      </x:c>
      <x:c r="C1059" s="217" t="str">
        <x:v>板橋區</x:v>
      </x:c>
      <x:c r="D1059" s="217" t="n">
        <x:v>39</x:v>
      </x:c>
      <x:c r="E1059" s="217" t="n">
        <x:v>120</x:v>
      </x:c>
      <x:c r="F1059" s="218" t="n">
        <x:v>0.9994791666666667</x:v>
      </x:c>
      <x:c r="G1059" s="217" t="n">
        <x:v>1055</x:v>
      </x:c>
      <x:c r="H1059" s="217" t="str">
        <x:f>IF(G1059&lt;='排名定義'!$B$5,"是","")</x:f>
        <x:v>是</x:v>
      </x:c>
      <x:c r="I1059" s="217" t="n">
        <x:v>1054</x:v>
      </x:c>
      <x:c r="J1059" s="217" t="str">
        <x:f>IF(I1059&lt;='排名定義'!$B$5,"是","")</x:f>
        <x:v>是</x:v>
      </x:c>
      <x:c r="K1059" s="217" t="n">
        <x:v>1030</x:v>
      </x:c>
      <x:c r="L1059" s="217" t="str">
        <x:f>IF(K1059&lt;='排名定義'!$B$5,"是","")</x:f>
        <x:v>是</x:v>
      </x:c>
      <x:c r="M1059" s="217" t="n">
        <x:f>COUNTIF(H1059:L1059,"是")</x:f>
        <x:v>3</x:v>
      </x:c>
      <x:c r="N1059" s="217" t="str">
        <x:v>三份皆未入選</x:v>
      </x:c>
      <x:c r="O1059" s="220" t="n">
        <x:v>32.791666666666664</x:v>
      </x:c>
      <x:c r="P1059" s="220" t="n">
        <x:v>29.416666666666668</x:v>
      </x:c>
      <x:c r="Q1059" s="220" t="n">
        <x:v>3.375</x:v>
      </x:c>
      <x:c r="R1059" s="220" t="n">
        <x:v>0.10292249047013977</x:v>
      </x:c>
      <x:c r="S1059" s="220" t="n">
        <x:v>47.61290322580645</x:v>
      </x:c>
      <x:c r="T1059" s="220" t="n">
        <x:v>45.064516129032256</x:v>
      </x:c>
      <x:c r="U1059" s="220" t="n">
        <x:v>2.5483870967741935</x:v>
      </x:c>
      <x:c r="V1059" s="218" t="n">
        <x:v>0.05069124423963134</x:v>
      </x:c>
      <x:c r="W1059" s="217" t="n">
        <x:v>8</x:v>
      </x:c>
      <x:c r="X1059" s="222" t="n">
        <x:v>1110</x:v>
      </x:c>
      <x:c r="Y1059" s="217" t="n">
        <x:v>39</x:v>
      </x:c>
    </x:row>
    <x:row r="1060">
      <x:c r="A1060" s="216" t="n">
        <x:v>810</x:v>
      </x:c>
      <x:c r="B1060" s="216" t="str">
        <x:v>五股國民運動中心</x:v>
      </x:c>
      <x:c r="C1060" s="216" t="str">
        <x:v>五股區</x:v>
      </x:c>
      <x:c r="D1060" s="216" t="n">
        <x:v>22</x:v>
      </x:c>
      <x:c r="E1060" s="216" t="n">
        <x:v>120</x:v>
      </x:c>
      <x:c r="F1060" s="219" t="n">
        <x:v>0.9994791666666667</x:v>
      </x:c>
      <x:c r="G1060" s="216" t="n">
        <x:v>1056</x:v>
      </x:c>
      <x:c r="H1060" s="216" t="str">
        <x:f>IF(G1060&lt;='排名定義'!$B$5,"是","")</x:f>
        <x:v>是</x:v>
      </x:c>
      <x:c r="I1060" s="216" t="n">
        <x:v>1043</x:v>
      </x:c>
      <x:c r="J1060" s="216" t="str">
        <x:f>IF(I1060&lt;='排名定義'!$B$5,"是","")</x:f>
        <x:v>是</x:v>
      </x:c>
      <x:c r="K1060" s="216" t="n">
        <x:v>1249</x:v>
      </x:c>
      <x:c r="L1060" s="216" t="str">
        <x:f>IF(K1060&lt;='排名定義'!$B$5,"是","")</x:f>
        <x:v>是</x:v>
      </x:c>
      <x:c r="M1060" s="216" t="n">
        <x:f>COUNTIF(H1060:L1060,"是")</x:f>
        <x:v>3</x:v>
      </x:c>
      <x:c r="N1060" s="216" t="str">
        <x:v>三份皆未入選</x:v>
      </x:c>
      <x:c r="O1060" s="221" t="n">
        <x:v>32.725</x:v>
      </x:c>
      <x:c r="P1060" s="221" t="n">
        <x:v>30.008333333333333</x:v>
      </x:c>
      <x:c r="Q1060" s="221" t="n">
        <x:v>2.716666666666667</x:v>
      </x:c>
      <x:c r="R1060" s="221" t="n">
        <x:v>0.08301502419149479</x:v>
      </x:c>
      <x:c r="S1060" s="221" t="n">
        <x:v>70.87096774193549</x:v>
      </x:c>
      <x:c r="T1060" s="221" t="n">
        <x:v>67.64516129032258</x:v>
      </x:c>
      <x:c r="U1060" s="221" t="n">
        <x:v>3.225806451612903</x:v>
      </x:c>
      <x:c r="V1060" s="219" t="n">
        <x:v>0.03917050691244239</x:v>
      </x:c>
      <x:c r="W1060" s="216" t="n">
        <x:v>9</x:v>
      </x:c>
      <x:c r="X1060" s="223" t="n">
        <x:v>1110</x:v>
      </x:c>
      <x:c r="Y1060" s="216" t="n">
        <x:v>22</x:v>
      </x:c>
    </x:row>
    <x:row r="1061">
      <x:c r="A1061" s="217" t="n">
        <x:v>102</x:v>
      </x:c>
      <x:c r="B1061" s="217" t="str">
        <x:v>員林平面停車場</x:v>
      </x:c>
      <x:c r="C1061" s="217" t="str">
        <x:v>土城區</x:v>
      </x:c>
      <x:c r="D1061" s="217" t="n">
        <x:v>9</x:v>
      </x:c>
      <x:c r="E1061" s="217" t="n">
        <x:v>120</x:v>
      </x:c>
      <x:c r="F1061" s="218" t="n">
        <x:v>0.9994791666666667</x:v>
      </x:c>
      <x:c r="G1061" s="217" t="n">
        <x:v>1057</x:v>
      </x:c>
      <x:c r="H1061" s="217" t="str">
        <x:f>IF(G1061&lt;='排名定義'!$B$5,"是","")</x:f>
        <x:v>是</x:v>
      </x:c>
      <x:c r="I1061" s="217" t="n">
        <x:v>1065</x:v>
      </x:c>
      <x:c r="J1061" s="217" t="str">
        <x:f>IF(I1061&lt;='排名定義'!$B$5,"是","")</x:f>
        <x:v>是</x:v>
      </x:c>
      <x:c r="K1061" s="217" t="n">
        <x:v>872</x:v>
      </x:c>
      <x:c r="L1061" s="217" t="str">
        <x:f>IF(K1061&lt;='排名定義'!$B$5,"是","")</x:f>
        <x:v>是</x:v>
      </x:c>
      <x:c r="M1061" s="217" t="n">
        <x:f>COUNTIF(H1061:L1061,"是")</x:f>
        <x:v>3</x:v>
      </x:c>
      <x:c r="N1061" s="217" t="str">
        <x:v>三份皆未入選</x:v>
      </x:c>
      <x:c r="O1061" s="220" t="n">
        <x:v>32.475</x:v>
      </x:c>
      <x:c r="P1061" s="220" t="n">
        <x:v>28.675</x:v>
      </x:c>
      <x:c r="Q1061" s="220" t="n">
        <x:v>3.8</x:v>
      </x:c>
      <x:c r="R1061" s="220" t="n">
        <x:v>0.1170130869899923</x:v>
      </x:c>
      <x:c r="S1061" s="220" t="n">
        <x:v>43.193548387096776</x:v>
      </x:c>
      <x:c r="T1061" s="220" t="n">
        <x:v>40</x:v>
      </x:c>
      <x:c r="U1061" s="220" t="n">
        <x:v>3.193548387096774</x:v>
      </x:c>
      <x:c r="V1061" s="218" t="n">
        <x:v>0.1774193548387097</x:v>
      </x:c>
      <x:c r="W1061" s="217" t="n">
        <x:v>41</x:v>
      </x:c>
      <x:c r="X1061" s="222" t="n">
        <x:v>4950</x:v>
      </x:c>
      <x:c r="Y1061" s="217" t="n">
        <x:v>9</x:v>
      </x:c>
    </x:row>
    <x:row r="1062">
      <x:c r="A1062" s="216" t="n">
        <x:v>905</x:v>
      </x:c>
      <x:c r="B1062" s="216" t="str">
        <x:v>八德文化三路口</x:v>
      </x:c>
      <x:c r="C1062" s="216" t="str">
        <x:v>林口區</x:v>
      </x:c>
      <x:c r="D1062" s="216" t="n">
        <x:v>26</x:v>
      </x:c>
      <x:c r="E1062" s="216" t="n">
        <x:v>120</x:v>
      </x:c>
      <x:c r="F1062" s="219" t="n">
        <x:v>0.9994791666666667</x:v>
      </x:c>
      <x:c r="G1062" s="216" t="n">
        <x:v>1058</x:v>
      </x:c>
      <x:c r="H1062" s="216" t="str">
        <x:f>IF(G1062&lt;='排名定義'!$B$5,"是","")</x:f>
        <x:v>是</x:v>
      </x:c>
      <x:c r="I1062" s="216" t="n">
        <x:v>1061</x:v>
      </x:c>
      <x:c r="J1062" s="216" t="str">
        <x:f>IF(I1062&lt;='排名定義'!$B$5,"是","")</x:f>
        <x:v>是</x:v>
      </x:c>
      <x:c r="K1062" s="216" t="n">
        <x:v>934</x:v>
      </x:c>
      <x:c r="L1062" s="216" t="str">
        <x:f>IF(K1062&lt;='排名定義'!$B$5,"是","")</x:f>
        <x:v>是</x:v>
      </x:c>
      <x:c r="M1062" s="216" t="n">
        <x:f>COUNTIF(H1062:L1062,"是")</x:f>
        <x:v>3</x:v>
      </x:c>
      <x:c r="N1062" s="216" t="str">
        <x:v>三份皆未入選</x:v>
      </x:c>
      <x:c r="O1062" s="221" t="n">
        <x:v>32.44166666666667</x:v>
      </x:c>
      <x:c r="P1062" s="221" t="n">
        <x:v>28.833333333333332</x:v>
      </x:c>
      <x:c r="Q1062" s="221" t="n">
        <x:v>3.6083333333333334</x:v>
      </x:c>
      <x:c r="R1062" s="221" t="n">
        <x:v>0.11122527613665553</x:v>
      </x:c>
      <x:c r="S1062" s="221" t="n">
        <x:v>51.806451612903224</x:v>
      </x:c>
      <x:c r="T1062" s="221" t="n">
        <x:v>47.67741935483871</x:v>
      </x:c>
      <x:c r="U1062" s="221" t="n">
        <x:v>4.129032258064516</x:v>
      </x:c>
      <x:c r="V1062" s="219" t="n">
        <x:v>0.0576036866359447</x:v>
      </x:c>
      <x:c r="W1062" s="216" t="n">
        <x:v>21</x:v>
      </x:c>
      <x:c r="X1062" s="223" t="n">
        <x:v>2820</x:v>
      </x:c>
      <x:c r="Y1062" s="216" t="n">
        <x:v>26</x:v>
      </x:c>
    </x:row>
    <x:row r="1063">
      <x:c r="A1063" s="217" t="n">
        <x:v>604</x:v>
      </x:c>
      <x:c r="B1063" s="217" t="str">
        <x:v>谷王公園</x:v>
      </x:c>
      <x:c r="C1063" s="217" t="str">
        <x:v>三重區</x:v>
      </x:c>
      <x:c r="D1063" s="217" t="n">
        <x:v>18</x:v>
      </x:c>
      <x:c r="E1063" s="217" t="n">
        <x:v>120</x:v>
      </x:c>
      <x:c r="F1063" s="218" t="n">
        <x:v>0.9994791666666667</x:v>
      </x:c>
      <x:c r="G1063" s="217" t="n">
        <x:v>1059</x:v>
      </x:c>
      <x:c r="H1063" s="217" t="str">
        <x:f>IF(G1063&lt;='排名定義'!$B$5,"是","")</x:f>
        <x:v>是</x:v>
      </x:c>
      <x:c r="I1063" s="217" t="n">
        <x:v>1048</x:v>
      </x:c>
      <x:c r="J1063" s="217" t="str">
        <x:f>IF(I1063&lt;='排名定義'!$B$5,"是","")</x:f>
        <x:v>是</x:v>
      </x:c>
      <x:c r="K1063" s="217" t="n">
        <x:v>1270</x:v>
      </x:c>
      <x:c r="L1063" s="217" t="str">
        <x:f>IF(K1063&lt;='排名定義'!$B$5,"是","")</x:f>
        <x:v>是</x:v>
      </x:c>
      <x:c r="M1063" s="217" t="n">
        <x:f>COUNTIF(H1063:L1063,"是")</x:f>
        <x:v>3</x:v>
      </x:c>
      <x:c r="N1063" s="217" t="str">
        <x:v>三份皆未入選</x:v>
      </x:c>
      <x:c r="O1063" s="220" t="n">
        <x:v>32.40833333333333</x:v>
      </x:c>
      <x:c r="P1063" s="220" t="n">
        <x:v>29.783333333333335</x:v>
      </x:c>
      <x:c r="Q1063" s="220" t="n">
        <x:v>2.625</x:v>
      </x:c>
      <x:c r="R1063" s="220" t="n">
        <x:v>0.08099768578040627</x:v>
      </x:c>
      <x:c r="S1063" s="220" t="n">
        <x:v>55.74193548387097</x:v>
      </x:c>
      <x:c r="T1063" s="220" t="n">
        <x:v>53.225806451612904</x:v>
      </x:c>
      <x:c r="U1063" s="220" t="n">
        <x:v>2.5161290322580645</x:v>
      </x:c>
      <x:c r="V1063" s="218" t="n">
        <x:v>0.04377880184331797</x:v>
      </x:c>
      <x:c r="W1063" s="217" t="n">
        <x:v>10</x:v>
      </x:c>
      <x:c r="X1063" s="222" t="n">
        <x:v>1110</x:v>
      </x:c>
      <x:c r="Y1063" s="217" t="n">
        <x:v>18</x:v>
      </x:c>
    </x:row>
    <x:row r="1064">
      <x:c r="A1064" s="216" t="n">
        <x:v>893</x:v>
      </x:c>
      <x:c r="B1064" s="216" t="str">
        <x:v>文山國中</x:v>
      </x:c>
      <x:c r="C1064" s="216" t="str">
        <x:v>新店區</x:v>
      </x:c>
      <x:c r="D1064" s="216" t="n">
        <x:v>25</x:v>
      </x:c>
      <x:c r="E1064" s="216" t="n">
        <x:v>120</x:v>
      </x:c>
      <x:c r="F1064" s="219" t="n">
        <x:v>0.9994791666666667</x:v>
      </x:c>
      <x:c r="G1064" s="216" t="n">
        <x:v>1060</x:v>
      </x:c>
      <x:c r="H1064" s="216" t="str">
        <x:f>IF(G1064&lt;='排名定義'!$B$5,"是","")</x:f>
        <x:v>是</x:v>
      </x:c>
      <x:c r="I1064" s="216" t="n">
        <x:v>1087</x:v>
      </x:c>
      <x:c r="J1064" s="216" t="str">
        <x:f>IF(I1064&lt;='排名定義'!$B$5,"是","")</x:f>
        <x:v>是</x:v>
      </x:c>
      <x:c r="K1064" s="216" t="n">
        <x:v>580</x:v>
      </x:c>
      <x:c r="L1064" s="216" t="str">
        <x:f>IF(K1064&lt;='排名定義'!$B$5,"是","")</x:f>
        <x:v>是</x:v>
      </x:c>
      <x:c r="M1064" s="216" t="n">
        <x:f>COUNTIF(H1064:L1064,"是")</x:f>
        <x:v>3</x:v>
      </x:c>
      <x:c r="N1064" s="216" t="str">
        <x:v>三份皆未入選</x:v>
      </x:c>
      <x:c r="O1064" s="221" t="n">
        <x:v>32.36666666666667</x:v>
      </x:c>
      <x:c r="P1064" s="221" t="n">
        <x:v>27.583333333333332</x:v>
      </x:c>
      <x:c r="Q1064" s="221" t="n">
        <x:v>4.783333333333333</x:v>
      </x:c>
      <x:c r="R1064" s="221" t="n">
        <x:v>0.1477857878475798</x:v>
      </x:c>
      <x:c r="S1064" s="221" t="n">
        <x:v>50.58064516129032</x:v>
      </x:c>
      <x:c r="T1064" s="221" t="n">
        <x:v>46.12903225806452</x:v>
      </x:c>
      <x:c r="U1064" s="221" t="n">
        <x:v>4.451612903225806</x:v>
      </x:c>
      <x:c r="V1064" s="219" t="n">
        <x:v>0.013824884792626729</x:v>
      </x:c>
      <x:c r="W1064" s="216" t="n">
        <x:v>5</x:v>
      </x:c>
      <x:c r="X1064" s="223" t="n">
        <x:v>570</x:v>
      </x:c>
      <x:c r="Y1064" s="216" t="n">
        <x:v>25</x:v>
      </x:c>
    </x:row>
    <x:row r="1065">
      <x:c r="A1065" s="217" t="n">
        <x:v>1025</x:v>
      </x:c>
      <x:c r="B1065" s="217" t="str">
        <x:v>宏匯思源廣場</x:v>
      </x:c>
      <x:c r="C1065" s="217" t="str">
        <x:v>新莊區</x:v>
      </x:c>
      <x:c r="D1065" s="217" t="n">
        <x:v>30</x:v>
      </x:c>
      <x:c r="E1065" s="217" t="n">
        <x:v>120</x:v>
      </x:c>
      <x:c r="F1065" s="218" t="n">
        <x:v>0.9994791666666667</x:v>
      </x:c>
      <x:c r="G1065" s="217" t="n">
        <x:v>1061</x:v>
      </x:c>
      <x:c r="H1065" s="217" t="str">
        <x:f>IF(G1065&lt;='排名定義'!$B$5,"是","")</x:f>
        <x:v>是</x:v>
      </x:c>
      <x:c r="I1065" s="217" t="n">
        <x:v>1101</x:v>
      </x:c>
      <x:c r="J1065" s="217" t="str">
        <x:f>IF(I1065&lt;='排名定義'!$B$5,"是","")</x:f>
        <x:v>是</x:v>
      </x:c>
      <x:c r="K1065" s="217" t="n">
        <x:v>442</x:v>
      </x:c>
      <x:c r="L1065" s="217" t="str">
        <x:f>IF(K1065&lt;='排名定義'!$B$5,"是","")</x:f>
        <x:v>是</x:v>
      </x:c>
      <x:c r="M1065" s="217" t="n">
        <x:f>COUNTIF(H1065:L1065,"是")</x:f>
        <x:v>3</x:v>
      </x:c>
      <x:c r="N1065" s="217" t="str">
        <x:v>三份皆未入選</x:v>
      </x:c>
      <x:c r="O1065" s="220" t="n">
        <x:v>32.36666666666667</x:v>
      </x:c>
      <x:c r="P1065" s="220" t="n">
        <x:v>26.9</x:v>
      </x:c>
      <x:c r="Q1065" s="220" t="n">
        <x:v>5.466666666666667</x:v>
      </x:c>
      <x:c r="R1065" s="220" t="n">
        <x:v>0.16889804325437693</x:v>
      </x:c>
      <x:c r="S1065" s="220" t="n">
        <x:v>47.83870967741935</x:v>
      </x:c>
      <x:c r="T1065" s="220" t="n">
        <x:v>45.645161290322584</x:v>
      </x:c>
      <x:c r="U1065" s="220" t="n">
        <x:v>2.193548387096774</x:v>
      </x:c>
      <x:c r="V1065" s="218" t="n">
        <x:v>0.06451612903225806</x:v>
      </x:c>
      <x:c r="W1065" s="217" t="n">
        <x:v>18</x:v>
      </x:c>
      <x:c r="X1065" s="222" t="n">
        <x:v>2790</x:v>
      </x:c>
      <x:c r="Y1065" s="217" t="n">
        <x:v>30</x:v>
      </x:c>
    </x:row>
    <x:row r="1066">
      <x:c r="A1066" s="216" t="n">
        <x:v>886</x:v>
      </x:c>
      <x:c r="B1066" s="216" t="str">
        <x:v>義學國小</x:v>
      </x:c>
      <x:c r="C1066" s="216" t="str">
        <x:v>泰山區</x:v>
      </x:c>
      <x:c r="D1066" s="216" t="n">
        <x:v>25</x:v>
      </x:c>
      <x:c r="E1066" s="216" t="n">
        <x:v>120</x:v>
      </x:c>
      <x:c r="F1066" s="219" t="n">
        <x:v>0.9994791666666667</x:v>
      </x:c>
      <x:c r="G1066" s="216" t="n">
        <x:v>1062</x:v>
      </x:c>
      <x:c r="H1066" s="216" t="str">
        <x:f>IF(G1066&lt;='排名定義'!$B$5,"是","")</x:f>
        <x:v>是</x:v>
      </x:c>
      <x:c r="I1066" s="216" t="n">
        <x:v>1072</x:v>
      </x:c>
      <x:c r="J1066" s="216" t="str">
        <x:f>IF(I1066&lt;='排名定義'!$B$5,"是","")</x:f>
        <x:v>是</x:v>
      </x:c>
      <x:c r="K1066" s="216" t="n">
        <x:v>779</x:v>
      </x:c>
      <x:c r="L1066" s="216" t="str">
        <x:f>IF(K1066&lt;='排名定義'!$B$5,"是","")</x:f>
        <x:v>是</x:v>
      </x:c>
      <x:c r="M1066" s="216" t="n">
        <x:f>COUNTIF(H1066:L1066,"是")</x:f>
        <x:v>3</x:v>
      </x:c>
      <x:c r="N1066" s="216" t="str">
        <x:v>三份皆未入選</x:v>
      </x:c>
      <x:c r="O1066" s="221" t="n">
        <x:v>32.3</x:v>
      </x:c>
      <x:c r="P1066" s="221" t="n">
        <x:v>28.233333333333334</x:v>
      </x:c>
      <x:c r="Q1066" s="221" t="n">
        <x:v>4.066666666666666</x:v>
      </x:c>
      <x:c r="R1066" s="221" t="n">
        <x:v>0.1259029927760578</x:v>
      </x:c>
      <x:c r="S1066" s="221" t="n">
        <x:v>51.806451612903224</x:v>
      </x:c>
      <x:c r="T1066" s="221" t="n">
        <x:v>47.645161290322584</x:v>
      </x:c>
      <x:c r="U1066" s="221" t="n">
        <x:v>4.161290322580645</x:v>
      </x:c>
      <x:c r="V1066" s="219" t="n">
        <x:v>0.0576036866359447</x:v>
      </x:c>
      <x:c r="W1066" s="216" t="n">
        <x:v>5</x:v>
      </x:c>
      <x:c r="X1066" s="223" t="n">
        <x:v>1050</x:v>
      </x:c>
      <x:c r="Y1066" s="216" t="n">
        <x:v>25</x:v>
      </x:c>
    </x:row>
    <x:row r="1067">
      <x:c r="A1067" s="217" t="n">
        <x:v>656</x:v>
      </x:c>
      <x:c r="B1067" s="217" t="str">
        <x:v>忠福南勢一街口</x:v>
      </x:c>
      <x:c r="C1067" s="217" t="str">
        <x:v>林口區</x:v>
      </x:c>
      <x:c r="D1067" s="217" t="n">
        <x:v>20</x:v>
      </x:c>
      <x:c r="E1067" s="217" t="n">
        <x:v>120</x:v>
      </x:c>
      <x:c r="F1067" s="218" t="n">
        <x:v>0.9994791666666667</x:v>
      </x:c>
      <x:c r="G1067" s="217" t="n">
        <x:v>1063</x:v>
      </x:c>
      <x:c r="H1067" s="217" t="str">
        <x:f>IF(G1067&lt;='排名定義'!$B$5,"是","")</x:f>
        <x:v>是</x:v>
      </x:c>
      <x:c r="I1067" s="217" t="n">
        <x:v>1060</x:v>
      </x:c>
      <x:c r="J1067" s="217" t="str">
        <x:f>IF(I1067&lt;='排名定義'!$B$5,"是","")</x:f>
        <x:v>是</x:v>
      </x:c>
      <x:c r="K1067" s="217" t="n">
        <x:v>1002</x:v>
      </x:c>
      <x:c r="L1067" s="217" t="str">
        <x:f>IF(K1067&lt;='排名定義'!$B$5,"是","")</x:f>
        <x:v>是</x:v>
      </x:c>
      <x:c r="M1067" s="217" t="n">
        <x:f>COUNTIF(H1067:L1067,"是")</x:f>
        <x:v>3</x:v>
      </x:c>
      <x:c r="N1067" s="217" t="str">
        <x:v>三份皆未入選</x:v>
      </x:c>
      <x:c r="O1067" s="220" t="n">
        <x:v>32.275</x:v>
      </x:c>
      <x:c r="P1067" s="220" t="n">
        <x:v>28.841666666666665</x:v>
      </x:c>
      <x:c r="Q1067" s="220" t="n">
        <x:v>3.433333333333333</x:v>
      </x:c>
      <x:c r="R1067" s="220" t="n">
        <x:v>0.10637748515362767</x:v>
      </x:c>
      <x:c r="S1067" s="220" t="n">
        <x:v>51.25806451612903</x:v>
      </x:c>
      <x:c r="T1067" s="220" t="n">
        <x:v>48.38709677419355</x:v>
      </x:c>
      <x:c r="U1067" s="220" t="n">
        <x:v>2.870967741935484</x:v>
      </x:c>
      <x:c r="V1067" s="218" t="n">
        <x:v>0.009216589861751152</x:v>
      </x:c>
      <x:c r="W1067" s="217" t="n">
        <x:v>2</x:v>
      </x:c>
      <x:c r="X1067" s="222" t="n">
        <x:v>480</x:v>
      </x:c>
      <x:c r="Y1067" s="217" t="n">
        <x:v>20</x:v>
      </x:c>
    </x:row>
    <x:row r="1068">
      <x:c r="A1068" s="216" t="n">
        <x:v>172</x:v>
      </x:c>
      <x:c r="B1068" s="216" t="str">
        <x:v>仁信段平面停車場</x:v>
      </x:c>
      <x:c r="C1068" s="216" t="str">
        <x:v>三重區</x:v>
      </x:c>
      <x:c r="D1068" s="216" t="n">
        <x:v>12</x:v>
      </x:c>
      <x:c r="E1068" s="216" t="n">
        <x:v>120</x:v>
      </x:c>
      <x:c r="F1068" s="219" t="n">
        <x:v>0.9994791666666667</x:v>
      </x:c>
      <x:c r="G1068" s="216" t="n">
        <x:v>1064</x:v>
      </x:c>
      <x:c r="H1068" s="216" t="str">
        <x:f>IF(G1068&lt;='排名定義'!$B$5,"是","")</x:f>
        <x:v>是</x:v>
      </x:c>
      <x:c r="I1068" s="216" t="n">
        <x:v>1059</x:v>
      </x:c>
      <x:c r="J1068" s="216" t="str">
        <x:f>IF(I1068&lt;='排名定義'!$B$5,"是","")</x:f>
        <x:v>是</x:v>
      </x:c>
      <x:c r="K1068" s="216" t="n">
        <x:v>1095</x:v>
      </x:c>
      <x:c r="L1068" s="216" t="str">
        <x:f>IF(K1068&lt;='排名定義'!$B$5,"是","")</x:f>
        <x:v>是</x:v>
      </x:c>
      <x:c r="M1068" s="216" t="n">
        <x:f>COUNTIF(H1068:L1068,"是")</x:f>
        <x:v>3</x:v>
      </x:c>
      <x:c r="N1068" s="216" t="str">
        <x:v>三份皆未入選</x:v>
      </x:c>
      <x:c r="O1068" s="221" t="n">
        <x:v>32.24166666666667</x:v>
      </x:c>
      <x:c r="P1068" s="221" t="n">
        <x:v>29.025</x:v>
      </x:c>
      <x:c r="Q1068" s="221" t="n">
        <x:v>3.216666666666667</x:v>
      </x:c>
      <x:c r="R1068" s="221" t="n">
        <x:v>0.0997673817523908</x:v>
      </x:c>
      <x:c r="S1068" s="221" t="n">
        <x:v>42.225806451612904</x:v>
      </x:c>
      <x:c r="T1068" s="221" t="n">
        <x:v>39.645161290322584</x:v>
      </x:c>
      <x:c r="U1068" s="221" t="n">
        <x:v>2.5806451612903225</x:v>
      </x:c>
      <x:c r="V1068" s="219" t="n">
        <x:v>0.10138248847926268</x:v>
      </x:c>
      <x:c r="W1068" s="216" t="n">
        <x:v>26</x:v>
      </x:c>
      <x:c r="X1068" s="223" t="n">
        <x:v>3180</x:v>
      </x:c>
      <x:c r="Y1068" s="216" t="n">
        <x:v>12</x:v>
      </x:c>
    </x:row>
    <x:row r="1069">
      <x:c r="A1069" s="217" t="n">
        <x:v>327</x:v>
      </x:c>
      <x:c r="B1069" s="217" t="str">
        <x:v>丹鳳國小</x:v>
      </x:c>
      <x:c r="C1069" s="217" t="str">
        <x:v>新莊區</x:v>
      </x:c>
      <x:c r="D1069" s="217" t="n">
        <x:v>15</x:v>
      </x:c>
      <x:c r="E1069" s="217" t="n">
        <x:v>120</x:v>
      </x:c>
      <x:c r="F1069" s="218" t="n">
        <x:v>0.9994791666666667</x:v>
      </x:c>
      <x:c r="G1069" s="217" t="n">
        <x:v>1065</x:v>
      </x:c>
      <x:c r="H1069" s="217" t="str">
        <x:f>IF(G1069&lt;='排名定義'!$B$5,"是","")</x:f>
        <x:v>是</x:v>
      </x:c>
      <x:c r="I1069" s="217" t="n">
        <x:v>1055</x:v>
      </x:c>
      <x:c r="J1069" s="217" t="str">
        <x:f>IF(I1069&lt;='排名定義'!$B$5,"是","")</x:f>
        <x:v>是</x:v>
      </x:c>
      <x:c r="K1069" s="217" t="n">
        <x:v>1230</x:v>
      </x:c>
      <x:c r="L1069" s="217" t="str">
        <x:f>IF(K1069&lt;='排名定義'!$B$5,"是","")</x:f>
        <x:v>是</x:v>
      </x:c>
      <x:c r="M1069" s="217" t="n">
        <x:f>COUNTIF(H1069:L1069,"是")</x:f>
        <x:v>3</x:v>
      </x:c>
      <x:c r="N1069" s="217" t="str">
        <x:v>三份皆未入選</x:v>
      </x:c>
      <x:c r="O1069" s="220" t="n">
        <x:v>32.19166666666667</x:v>
      </x:c>
      <x:c r="P1069" s="220" t="n">
        <x:v>29.375</x:v>
      </x:c>
      <x:c r="Q1069" s="220" t="n">
        <x:v>2.816666666666667</x:v>
      </x:c>
      <x:c r="R1069" s="220" t="n">
        <x:v>0.0874967641729226</x:v>
      </x:c>
      <x:c r="S1069" s="220" t="n">
        <x:v>50.774193548387096</x:v>
      </x:c>
      <x:c r="T1069" s="220" t="n">
        <x:v>48.645161290322584</x:v>
      </x:c>
      <x:c r="U1069" s="220" t="n">
        <x:v>2.129032258064516</x:v>
      </x:c>
      <x:c r="V1069" s="218" t="n">
        <x:v>0.05069124423963134</x:v>
      </x:c>
      <x:c r="W1069" s="217" t="n">
        <x:v>21</x:v>
      </x:c>
      <x:c r="X1069" s="222" t="n">
        <x:v>2340</x:v>
      </x:c>
      <x:c r="Y1069" s="217" t="n">
        <x:v>15</x:v>
      </x:c>
    </x:row>
    <x:row r="1070">
      <x:c r="A1070" s="216" t="n">
        <x:v>710</x:v>
      </x:c>
      <x:c r="B1070" s="216" t="str">
        <x:v>新北市立圖書館鶯歌分館</x:v>
      </x:c>
      <x:c r="C1070" s="216" t="str">
        <x:v>鶯歌區</x:v>
      </x:c>
      <x:c r="D1070" s="216" t="n">
        <x:v>20</x:v>
      </x:c>
      <x:c r="E1070" s="216" t="n">
        <x:v>120</x:v>
      </x:c>
      <x:c r="F1070" s="219" t="n">
        <x:v>0.9994791666666667</x:v>
      </x:c>
      <x:c r="G1070" s="216" t="n">
        <x:v>1066</x:v>
      </x:c>
      <x:c r="H1070" s="216" t="str">
        <x:f>IF(G1070&lt;='排名定義'!$B$5,"是","")</x:f>
        <x:v>是</x:v>
      </x:c>
      <x:c r="I1070" s="216" t="n">
        <x:v>1073</x:v>
      </x:c>
      <x:c r="J1070" s="216" t="str">
        <x:f>IF(I1070&lt;='排名定義'!$B$5,"是","")</x:f>
        <x:v>是</x:v>
      </x:c>
      <x:c r="K1070" s="216" t="n">
        <x:v>856</x:v>
      </x:c>
      <x:c r="L1070" s="216" t="str">
        <x:f>IF(K1070&lt;='排名定義'!$B$5,"是","")</x:f>
        <x:v>是</x:v>
      </x:c>
      <x:c r="M1070" s="216" t="n">
        <x:f>COUNTIF(H1070:L1070,"是")</x:f>
        <x:v>3</x:v>
      </x:c>
      <x:c r="N1070" s="216" t="str">
        <x:v>三份皆未入選</x:v>
      </x:c>
      <x:c r="O1070" s="221" t="n">
        <x:v>32.041666666666664</x:v>
      </x:c>
      <x:c r="P1070" s="221" t="n">
        <x:v>28.2</x:v>
      </x:c>
      <x:c r="Q1070" s="221" t="n">
        <x:v>3.841666666666667</x:v>
      </x:c>
      <x:c r="R1070" s="221" t="n">
        <x:v>0.11989596879063719</x:v>
      </x:c>
      <x:c r="S1070" s="221" t="n">
        <x:v>54.61290322580645</x:v>
      </x:c>
      <x:c r="T1070" s="221" t="n">
        <x:v>51.096774193548384</x:v>
      </x:c>
      <x:c r="U1070" s="221" t="n">
        <x:v>3.5161290322580645</x:v>
      </x:c>
      <x:c r="V1070" s="219" t="n">
        <x:v>0.03686635944700461</x:v>
      </x:c>
      <x:c r="W1070" s="216" t="n">
        <x:v>4</x:v>
      </x:c>
      <x:c r="X1070" s="223" t="n">
        <x:v>810</x:v>
      </x:c>
      <x:c r="Y1070" s="216" t="n">
        <x:v>20</x:v>
      </x:c>
    </x:row>
    <x:row r="1071">
      <x:c r="A1071" s="217" t="n">
        <x:v>859</x:v>
      </x:c>
      <x:c r="B1071" s="217" t="str">
        <x:v>頂崁公園</x:v>
      </x:c>
      <x:c r="C1071" s="217" t="str">
        <x:v>三重區</x:v>
      </x:c>
      <x:c r="D1071" s="217" t="n">
        <x:v>24</x:v>
      </x:c>
      <x:c r="E1071" s="217" t="n">
        <x:v>120</x:v>
      </x:c>
      <x:c r="F1071" s="218" t="n">
        <x:v>0.9994791666666667</x:v>
      </x:c>
      <x:c r="G1071" s="217" t="n">
        <x:v>1067</x:v>
      </x:c>
      <x:c r="H1071" s="217" t="str">
        <x:f>IF(G1071&lt;='排名定義'!$B$5,"是","")</x:f>
        <x:v>是</x:v>
      </x:c>
      <x:c r="I1071" s="217" t="n">
        <x:v>1062</x:v>
      </x:c>
      <x:c r="J1071" s="217" t="str">
        <x:f>IF(I1071&lt;='排名定義'!$B$5,"是","")</x:f>
        <x:v>是</x:v>
      </x:c>
      <x:c r="K1071" s="217" t="n">
        <x:v>1112</x:v>
      </x:c>
      <x:c r="L1071" s="217" t="str">
        <x:f>IF(K1071&lt;='排名定義'!$B$5,"是","")</x:f>
        <x:v>是</x:v>
      </x:c>
      <x:c r="M1071" s="217" t="n">
        <x:f>COUNTIF(H1071:L1071,"是")</x:f>
        <x:v>3</x:v>
      </x:c>
      <x:c r="N1071" s="217" t="str">
        <x:v>三份皆未入選</x:v>
      </x:c>
      <x:c r="O1071" s="220" t="n">
        <x:v>31.991666666666667</x:v>
      </x:c>
      <x:c r="P1071" s="220" t="n">
        <x:v>28.816666666666666</x:v>
      </x:c>
      <x:c r="Q1071" s="220" t="n">
        <x:v>3.175</x:v>
      </x:c>
      <x:c r="R1071" s="220" t="n">
        <x:v>0.09924459494660068</x:v>
      </x:c>
      <x:c r="S1071" s="220" t="n">
        <x:v>47.87096774193548</x:v>
      </x:c>
      <x:c r="T1071" s="220" t="n">
        <x:v>45.32258064516129</x:v>
      </x:c>
      <x:c r="U1071" s="220" t="n">
        <x:v>2.5483870967741935</x:v>
      </x:c>
      <x:c r="V1071" s="218" t="n">
        <x:v>0.04377880184331797</x:v>
      </x:c>
      <x:c r="W1071" s="217" t="n">
        <x:v>11</x:v>
      </x:c>
      <x:c r="X1071" s="222" t="n">
        <x:v>1200</x:v>
      </x:c>
      <x:c r="Y1071" s="217" t="n">
        <x:v>24</x:v>
      </x:c>
    </x:row>
    <x:row r="1072">
      <x:c r="A1072" s="216" t="n">
        <x:v>817</x:v>
      </x:c>
      <x:c r="B1072" s="216" t="str">
        <x:v>頭前運動公園(頭前路)</x:v>
      </x:c>
      <x:c r="C1072" s="216" t="str">
        <x:v>新莊區</x:v>
      </x:c>
      <x:c r="D1072" s="216" t="n">
        <x:v>22</x:v>
      </x:c>
      <x:c r="E1072" s="216" t="n">
        <x:v>120</x:v>
      </x:c>
      <x:c r="F1072" s="219" t="n">
        <x:v>0.9994791666666667</x:v>
      </x:c>
      <x:c r="G1072" s="216" t="n">
        <x:v>1068</x:v>
      </x:c>
      <x:c r="H1072" s="216" t="str">
        <x:f>IF(G1072&lt;='排名定義'!$B$5,"是","")</x:f>
        <x:v>是</x:v>
      </x:c>
      <x:c r="I1072" s="216" t="n">
        <x:v>1058</x:v>
      </x:c>
      <x:c r="J1072" s="216" t="str">
        <x:f>IF(I1072&lt;='排名定義'!$B$5,"是","")</x:f>
        <x:v>是</x:v>
      </x:c>
      <x:c r="K1072" s="216" t="n">
        <x:v>1200</x:v>
      </x:c>
      <x:c r="L1072" s="216" t="str">
        <x:f>IF(K1072&lt;='排名定義'!$B$5,"是","")</x:f>
        <x:v>是</x:v>
      </x:c>
      <x:c r="M1072" s="216" t="n">
        <x:f>COUNTIF(H1072:L1072,"是")</x:f>
        <x:v>3</x:v>
      </x:c>
      <x:c r="N1072" s="216" t="str">
        <x:v>三份皆未入選</x:v>
      </x:c>
      <x:c r="O1072" s="221" t="n">
        <x:v>31.941666666666666</x:v>
      </x:c>
      <x:c r="P1072" s="221" t="n">
        <x:v>29.041666666666668</x:v>
      </x:c>
      <x:c r="Q1072" s="221" t="n">
        <x:v>2.9</x:v>
      </x:c>
      <x:c r="R1072" s="221" t="n">
        <x:v>0.0907905035220454</x:v>
      </x:c>
      <x:c r="S1072" s="221" t="n">
        <x:v>58.064516129032256</x:v>
      </x:c>
      <x:c r="T1072" s="221" t="n">
        <x:v>55.67741935483871</x:v>
      </x:c>
      <x:c r="U1072" s="221" t="n">
        <x:v>2.3870967741935485</x:v>
      </x:c>
      <x:c r="V1072" s="219" t="n">
        <x:v>0.0576036866359447</x:v>
      </x:c>
      <x:c r="W1072" s="216" t="n">
        <x:v>12</x:v>
      </x:c>
      <x:c r="X1072" s="223" t="n">
        <x:v>1890</x:v>
      </x:c>
      <x:c r="Y1072" s="216" t="n">
        <x:v>22</x:v>
      </x:c>
    </x:row>
    <x:row r="1073">
      <x:c r="A1073" s="217" t="n">
        <x:v>632</x:v>
      </x:c>
      <x:c r="B1073" s="217" t="str">
        <x:v>五工二五工一路口(泰博科技)</x:v>
      </x:c>
      <x:c r="C1073" s="217" t="str">
        <x:v>五股區</x:v>
      </x:c>
      <x:c r="D1073" s="217" t="n">
        <x:v>20</x:v>
      </x:c>
      <x:c r="E1073" s="217" t="n">
        <x:v>120</x:v>
      </x:c>
      <x:c r="F1073" s="218" t="n">
        <x:v>0.9994791666666667</x:v>
      </x:c>
      <x:c r="G1073" s="217" t="n">
        <x:v>1069</x:v>
      </x:c>
      <x:c r="H1073" s="217" t="str">
        <x:f>IF(G1073&lt;='排名定義'!$B$5,"是","")</x:f>
        <x:v>是</x:v>
      </x:c>
      <x:c r="I1073" s="217" t="n">
        <x:v>1094</x:v>
      </x:c>
      <x:c r="J1073" s="217" t="str">
        <x:f>IF(I1073&lt;='排名定義'!$B$5,"是","")</x:f>
        <x:v>是</x:v>
      </x:c>
      <x:c r="K1073" s="217" t="n">
        <x:v>565</x:v>
      </x:c>
      <x:c r="L1073" s="217" t="str">
        <x:f>IF(K1073&lt;='排名定義'!$B$5,"是","")</x:f>
        <x:v>是</x:v>
      </x:c>
      <x:c r="M1073" s="217" t="n">
        <x:f>COUNTIF(H1073:L1073,"是")</x:f>
        <x:v>3</x:v>
      </x:c>
      <x:c r="N1073" s="217" t="str">
        <x:v>三份皆未入選</x:v>
      </x:c>
      <x:c r="O1073" s="220" t="n">
        <x:v>31.933333333333334</x:v>
      </x:c>
      <x:c r="P1073" s="220" t="n">
        <x:v>27.091666666666665</x:v>
      </x:c>
      <x:c r="Q1073" s="220" t="n">
        <x:v>4.841666666666667</x:v>
      </x:c>
      <x:c r="R1073" s="220" t="n">
        <x:v>0.15161795407098122</x:v>
      </x:c>
      <x:c r="S1073" s="220" t="n">
        <x:v>47.45161290322581</x:v>
      </x:c>
      <x:c r="T1073" s="220" t="n">
        <x:v>43.354838709677416</x:v>
      </x:c>
      <x:c r="U1073" s="220" t="n">
        <x:v>4.096774193548387</x:v>
      </x:c>
      <x:c r="V1073" s="218" t="n">
        <x:v>0.05069124423963134</x:v>
      </x:c>
      <x:c r="W1073" s="217" t="n">
        <x:v>12</x:v>
      </x:c>
      <x:c r="X1073" s="222" t="n">
        <x:v>1860</x:v>
      </x:c>
      <x:c r="Y1073" s="217" t="n">
        <x:v>20</x:v>
      </x:c>
    </x:row>
    <x:row r="1074">
      <x:c r="A1074" s="216" t="n">
        <x:v>565</x:v>
      </x:c>
      <x:c r="B1074" s="216" t="str">
        <x:v>光復興德路口(東南側)</x:v>
      </x:c>
      <x:c r="C1074" s="216" t="str">
        <x:v>三重區</x:v>
      </x:c>
      <x:c r="D1074" s="216" t="n">
        <x:v>18</x:v>
      </x:c>
      <x:c r="E1074" s="216" t="n">
        <x:v>120</x:v>
      </x:c>
      <x:c r="F1074" s="219" t="n">
        <x:v>0.9994791666666667</x:v>
      </x:c>
      <x:c r="G1074" s="216" t="n">
        <x:v>1070</x:v>
      </x:c>
      <x:c r="H1074" s="216" t="str">
        <x:f>IF(G1074&lt;='排名定義'!$B$5,"是","")</x:f>
        <x:v>是</x:v>
      </x:c>
      <x:c r="I1074" s="216" t="n">
        <x:v>1066</x:v>
      </x:c>
      <x:c r="J1074" s="216" t="str">
        <x:f>IF(I1074&lt;='排名定義'!$B$5,"是","")</x:f>
        <x:v>是</x:v>
      </x:c>
      <x:c r="K1074" s="216" t="n">
        <x:v>1098</x:v>
      </x:c>
      <x:c r="L1074" s="216" t="str">
        <x:f>IF(K1074&lt;='排名定義'!$B$5,"是","")</x:f>
        <x:v>是</x:v>
      </x:c>
      <x:c r="M1074" s="216" t="n">
        <x:f>COUNTIF(H1074:L1074,"是")</x:f>
        <x:v>3</x:v>
      </x:c>
      <x:c r="N1074" s="216" t="str">
        <x:v>三份皆未入選</x:v>
      </x:c>
      <x:c r="O1074" s="221" t="n">
        <x:v>31.85</x:v>
      </x:c>
      <x:c r="P1074" s="221" t="n">
        <x:v>28.641666666666666</x:v>
      </x:c>
      <x:c r="Q1074" s="221" t="n">
        <x:v>3.2083333333333335</x:v>
      </x:c>
      <x:c r="R1074" s="221" t="n">
        <x:v>0.10073260073260074</x:v>
      </x:c>
      <x:c r="S1074" s="221" t="n">
        <x:v>38.25806451612903</x:v>
      </x:c>
      <x:c r="T1074" s="221" t="n">
        <x:v>35.58064516129032</x:v>
      </x:c>
      <x:c r="U1074" s="221" t="n">
        <x:v>2.6774193548387095</x:v>
      </x:c>
      <x:c r="V1074" s="219" t="n">
        <x:v>0.10829493087557604</x:v>
      </x:c>
      <x:c r="W1074" s="216" t="n">
        <x:v>25</x:v>
      </x:c>
      <x:c r="X1074" s="223" t="n">
        <x:v>4950</x:v>
      </x:c>
      <x:c r="Y1074" s="216" t="n">
        <x:v>18</x:v>
      </x:c>
    </x:row>
    <x:row r="1075">
      <x:c r="A1075" s="217" t="n">
        <x:v>923</x:v>
      </x:c>
      <x:c r="B1075" s="217" t="str">
        <x:v>仁愛街112巷</x:v>
      </x:c>
      <x:c r="C1075" s="217" t="str">
        <x:v>三重區</x:v>
      </x:c>
      <x:c r="D1075" s="217" t="n">
        <x:v>26</x:v>
      </x:c>
      <x:c r="E1075" s="217" t="n">
        <x:v>120</x:v>
      </x:c>
      <x:c r="F1075" s="218" t="n">
        <x:v>0.9994791666666667</x:v>
      </x:c>
      <x:c r="G1075" s="217" t="n">
        <x:v>1071</x:v>
      </x:c>
      <x:c r="H1075" s="217" t="str">
        <x:f>IF(G1075&lt;='排名定義'!$B$5,"是","")</x:f>
        <x:v>是</x:v>
      </x:c>
      <x:c r="I1075" s="217" t="n">
        <x:v>1078</x:v>
      </x:c>
      <x:c r="J1075" s="217" t="str">
        <x:f>IF(I1075&lt;='排名定義'!$B$5,"是","")</x:f>
        <x:v>是</x:v>
      </x:c>
      <x:c r="K1075" s="217" t="n">
        <x:v>870</x:v>
      </x:c>
      <x:c r="L1075" s="217" t="str">
        <x:f>IF(K1075&lt;='排名定義'!$B$5,"是","")</x:f>
        <x:v>是</x:v>
      </x:c>
      <x:c r="M1075" s="217" t="n">
        <x:f>COUNTIF(H1075:L1075,"是")</x:f>
        <x:v>3</x:v>
      </x:c>
      <x:c r="N1075" s="217" t="str">
        <x:v>三份皆未入選</x:v>
      </x:c>
      <x:c r="O1075" s="220" t="n">
        <x:v>31.783333333333335</x:v>
      </x:c>
      <x:c r="P1075" s="220" t="n">
        <x:v>27.966666666666665</x:v>
      </x:c>
      <x:c r="Q1075" s="220" t="n">
        <x:v>3.816666666666667</x:v>
      </x:c>
      <x:c r="R1075" s="220" t="n">
        <x:v>0.12008390141583639</x:v>
      </x:c>
      <x:c r="S1075" s="220" t="n">
        <x:v>50.74193548387097</x:v>
      </x:c>
      <x:c r="T1075" s="220" t="n">
        <x:v>45.61290322580645</x:v>
      </x:c>
      <x:c r="U1075" s="220" t="n">
        <x:v>5.129032258064516</x:v>
      </x:c>
      <x:c r="V1075" s="218" t="n">
        <x:v>0.07834101382488479</x:v>
      </x:c>
      <x:c r="W1075" s="217" t="n">
        <x:v>20</x:v>
      </x:c>
      <x:c r="X1075" s="222" t="n">
        <x:v>2340</x:v>
      </x:c>
      <x:c r="Y1075" s="217" t="n">
        <x:v>26</x:v>
      </x:c>
    </x:row>
    <x:row r="1076">
      <x:c r="A1076" s="216" t="n">
        <x:v>907</x:v>
      </x:c>
      <x:c r="B1076" s="216" t="str">
        <x:v>味王街</x:v>
      </x:c>
      <x:c r="C1076" s="216" t="str">
        <x:v>樹林區</x:v>
      </x:c>
      <x:c r="D1076" s="216" t="n">
        <x:v>26</x:v>
      </x:c>
      <x:c r="E1076" s="216" t="n">
        <x:v>120</x:v>
      </x:c>
      <x:c r="F1076" s="219" t="n">
        <x:v>0.9994791666666667</x:v>
      </x:c>
      <x:c r="G1076" s="216" t="n">
        <x:v>1072</x:v>
      </x:c>
      <x:c r="H1076" s="216" t="str">
        <x:f>IF(G1076&lt;='排名定義'!$B$5,"是","")</x:f>
        <x:v>是</x:v>
      </x:c>
      <x:c r="I1076" s="216" t="n">
        <x:v>1091</x:v>
      </x:c>
      <x:c r="J1076" s="216" t="str">
        <x:f>IF(I1076&lt;='排名定義'!$B$5,"是","")</x:f>
        <x:v>是</x:v>
      </x:c>
      <x:c r="K1076" s="216" t="n">
        <x:v>651</x:v>
      </x:c>
      <x:c r="L1076" s="216" t="str">
        <x:f>IF(K1076&lt;='排名定義'!$B$5,"是","")</x:f>
        <x:v>是</x:v>
      </x:c>
      <x:c r="M1076" s="216" t="n">
        <x:f>COUNTIF(H1076:L1076,"是")</x:f>
        <x:v>3</x:v>
      </x:c>
      <x:c r="N1076" s="216" t="str">
        <x:v>三份皆未入選</x:v>
      </x:c>
      <x:c r="O1076" s="221" t="n">
        <x:v>31.675</x:v>
      </x:c>
      <x:c r="P1076" s="221" t="n">
        <x:v>27.208333333333332</x:v>
      </x:c>
      <x:c r="Q1076" s="221" t="n">
        <x:v>4.466666666666667</x:v>
      </x:c>
      <x:c r="R1076" s="221" t="n">
        <x:v>0.14101552223099184</x:v>
      </x:c>
      <x:c r="S1076" s="221" t="n">
        <x:v>61.225806451612904</x:v>
      </x:c>
      <x:c r="T1076" s="221" t="n">
        <x:v>57.58064516129032</x:v>
      </x:c>
      <x:c r="U1076" s="221" t="n">
        <x:v>3.6451612903225805</x:v>
      </x:c>
      <x:c r="V1076" s="219" t="n">
        <x:v>0.09216589861751152</x:v>
      </x:c>
      <x:c r="W1076" s="216" t="n">
        <x:v>14</x:v>
      </x:c>
      <x:c r="X1076" s="223" t="n">
        <x:v>1710</x:v>
      </x:c>
      <x:c r="Y1076" s="216" t="n">
        <x:v>26</x:v>
      </x:c>
    </x:row>
    <x:row r="1077">
      <x:c r="A1077" s="217" t="n">
        <x:v>652</x:v>
      </x:c>
      <x:c r="B1077" s="217" t="str">
        <x:v>安溪國中</x:v>
      </x:c>
      <x:c r="C1077" s="217" t="str">
        <x:v>三峽區</x:v>
      </x:c>
      <x:c r="D1077" s="217" t="n">
        <x:v>20</x:v>
      </x:c>
      <x:c r="E1077" s="217" t="n">
        <x:v>120</x:v>
      </x:c>
      <x:c r="F1077" s="218" t="n">
        <x:v>0.9994791666666667</x:v>
      </x:c>
      <x:c r="G1077" s="217" t="n">
        <x:v>1073</x:v>
      </x:c>
      <x:c r="H1077" s="217" t="str">
        <x:f>IF(G1077&lt;='排名定義'!$B$5,"是","")</x:f>
        <x:v>是</x:v>
      </x:c>
      <x:c r="I1077" s="217" t="n">
        <x:v>1063</x:v>
      </x:c>
      <x:c r="J1077" s="217" t="str">
        <x:f>IF(I1077&lt;='排名定義'!$B$5,"是","")</x:f>
        <x:v>是</x:v>
      </x:c>
      <x:c r="K1077" s="217" t="n">
        <x:v>1208</x:v>
      </x:c>
      <x:c r="L1077" s="217" t="str">
        <x:f>IF(K1077&lt;='排名定義'!$B$5,"是","")</x:f>
        <x:v>是</x:v>
      </x:c>
      <x:c r="M1077" s="217" t="n">
        <x:f>COUNTIF(H1077:L1077,"是")</x:f>
        <x:v>3</x:v>
      </x:c>
      <x:c r="N1077" s="217" t="str">
        <x:v>三份皆未入選</x:v>
      </x:c>
      <x:c r="O1077" s="220" t="n">
        <x:v>31.666666666666668</x:v>
      </x:c>
      <x:c r="P1077" s="220" t="n">
        <x:v>28.783333333333335</x:v>
      </x:c>
      <x:c r="Q1077" s="220" t="n">
        <x:v>2.8833333333333333</x:v>
      </x:c>
      <x:c r="R1077" s="220" t="n">
        <x:v>0.09105263157894737</x:v>
      </x:c>
      <x:c r="S1077" s="220" t="n">
        <x:v>39.483870967741936</x:v>
      </x:c>
      <x:c r="T1077" s="220" t="n">
        <x:v>35.67741935483871</x:v>
      </x:c>
      <x:c r="U1077" s="220" t="n">
        <x:v>3.806451612903226</x:v>
      </x:c>
      <x:c r="V1077" s="218" t="n">
        <x:v>0.26036866359447003</x:v>
      </x:c>
      <x:c r="W1077" s="217" t="n">
        <x:v>6</x:v>
      </x:c>
      <x:c r="X1077" s="222" t="n">
        <x:v>10140</x:v>
      </x:c>
      <x:c r="Y1077" s="217" t="n">
        <x:v>20</x:v>
      </x:c>
    </x:row>
    <x:row r="1078">
      <x:c r="A1078" s="216" t="n">
        <x:v>201</x:v>
      </x:c>
      <x:c r="B1078" s="216" t="str">
        <x:v>莒光四村停車場</x:v>
      </x:c>
      <x:c r="C1078" s="216" t="str">
        <x:v>土城區</x:v>
      </x:c>
      <x:c r="D1078" s="216" t="n">
        <x:v>12</x:v>
      </x:c>
      <x:c r="E1078" s="216" t="n">
        <x:v>120</x:v>
      </x:c>
      <x:c r="F1078" s="219" t="n">
        <x:v>0.9994791666666667</x:v>
      </x:c>
      <x:c r="G1078" s="216" t="n">
        <x:v>1074</x:v>
      </x:c>
      <x:c r="H1078" s="216" t="str">
        <x:f>IF(G1078&lt;='排名定義'!$B$5,"是","")</x:f>
        <x:v>是</x:v>
      </x:c>
      <x:c r="I1078" s="216" t="n">
        <x:v>1069</x:v>
      </x:c>
      <x:c r="J1078" s="216" t="str">
        <x:f>IF(I1078&lt;='排名定義'!$B$5,"是","")</x:f>
        <x:v>是</x:v>
      </x:c>
      <x:c r="K1078" s="216" t="n">
        <x:v>1089</x:v>
      </x:c>
      <x:c r="L1078" s="216" t="str">
        <x:f>IF(K1078&lt;='排名定義'!$B$5,"是","")</x:f>
        <x:v>是</x:v>
      </x:c>
      <x:c r="M1078" s="216" t="n">
        <x:f>COUNTIF(H1078:L1078,"是")</x:f>
        <x:v>3</x:v>
      </x:c>
      <x:c r="N1078" s="216" t="str">
        <x:v>三份皆未入選</x:v>
      </x:c>
      <x:c r="O1078" s="221" t="n">
        <x:v>31.633333333333333</x:v>
      </x:c>
      <x:c r="P1078" s="221" t="n">
        <x:v>28.408333333333335</x:v>
      </x:c>
      <x:c r="Q1078" s="221" t="n">
        <x:v>3.225</x:v>
      </x:c>
      <x:c r="R1078" s="221" t="n">
        <x:v>0.10194942044257113</x:v>
      </x:c>
      <x:c r="S1078" s="221" t="n">
        <x:v>48.225806451612904</x:v>
      </x:c>
      <x:c r="T1078" s="221" t="n">
        <x:v>45.74193548387097</x:v>
      </x:c>
      <x:c r="U1078" s="221" t="n">
        <x:v>2.4838709677419355</x:v>
      </x:c>
      <x:c r="V1078" s="219" t="n">
        <x:v>0.06912442396313365</x:v>
      </x:c>
      <x:c r="W1078" s="216" t="n">
        <x:v>9</x:v>
      </x:c>
      <x:c r="X1078" s="223" t="n">
        <x:v>1530</x:v>
      </x:c>
      <x:c r="Y1078" s="216" t="n">
        <x:v>12</x:v>
      </x:c>
    </x:row>
    <x:row r="1079">
      <x:c r="A1079" s="217" t="n">
        <x:v>302</x:v>
      </x:c>
      <x:c r="B1079" s="217" t="str">
        <x:v>新市一中山北路口</x:v>
      </x:c>
      <x:c r="C1079" s="217" t="str">
        <x:v>淡水區</x:v>
      </x:c>
      <x:c r="D1079" s="217" t="n">
        <x:v>14</x:v>
      </x:c>
      <x:c r="E1079" s="217" t="n">
        <x:v>120</x:v>
      </x:c>
      <x:c r="F1079" s="218" t="n">
        <x:v>0.9994791666666667</x:v>
      </x:c>
      <x:c r="G1079" s="217" t="n">
        <x:v>1075</x:v>
      </x:c>
      <x:c r="H1079" s="217" t="str">
        <x:f>IF(G1079&lt;='排名定義'!$B$5,"是","")</x:f>
        <x:v>是</x:v>
      </x:c>
      <x:c r="I1079" s="217" t="n">
        <x:v>1068</x:v>
      </x:c>
      <x:c r="J1079" s="217" t="str">
        <x:f>IF(I1079&lt;='排名定義'!$B$5,"是","")</x:f>
        <x:v>是</x:v>
      </x:c>
      <x:c r="K1079" s="217" t="n">
        <x:v>1106</x:v>
      </x:c>
      <x:c r="L1079" s="217" t="str">
        <x:f>IF(K1079&lt;='排名定義'!$B$5,"是","")</x:f>
        <x:v>是</x:v>
      </x:c>
      <x:c r="M1079" s="217" t="n">
        <x:f>COUNTIF(H1079:L1079,"是")</x:f>
        <x:v>3</x:v>
      </x:c>
      <x:c r="N1079" s="217" t="str">
        <x:v>三份皆未入選</x:v>
      </x:c>
      <x:c r="O1079" s="220" t="n">
        <x:v>31.633333333333333</x:v>
      </x:c>
      <x:c r="P1079" s="220" t="n">
        <x:v>28.45</x:v>
      </x:c>
      <x:c r="Q1079" s="220" t="n">
        <x:v>3.183333333333333</x:v>
      </x:c>
      <x:c r="R1079" s="220" t="n">
        <x:v>0.10063224446786091</x:v>
      </x:c>
      <x:c r="S1079" s="220" t="n">
        <x:v>45.806451612903224</x:v>
      </x:c>
      <x:c r="T1079" s="220" t="n">
        <x:v>42.096774193548384</x:v>
      </x:c>
      <x:c r="U1079" s="220" t="n">
        <x:v>3.7096774193548385</x:v>
      </x:c>
      <x:c r="V1079" s="218" t="n">
        <x:v>0.11059907834101383</x:v>
      </x:c>
      <x:c r="W1079" s="217" t="n">
        <x:v>23</x:v>
      </x:c>
      <x:c r="X1079" s="222" t="n">
        <x:v>2640</x:v>
      </x:c>
      <x:c r="Y1079" s="217" t="n">
        <x:v>14</x:v>
      </x:c>
    </x:row>
    <x:row r="1080">
      <x:c r="A1080" s="216" t="n">
        <x:v>896</x:v>
      </x:c>
      <x:c r="B1080" s="216" t="str">
        <x:v>竿蓁市民活動中心</x:v>
      </x:c>
      <x:c r="C1080" s="216" t="str">
        <x:v>淡水區</x:v>
      </x:c>
      <x:c r="D1080" s="216" t="n">
        <x:v>25</x:v>
      </x:c>
      <x:c r="E1080" s="216" t="n">
        <x:v>120</x:v>
      </x:c>
      <x:c r="F1080" s="219" t="n">
        <x:v>0.9994791666666667</x:v>
      </x:c>
      <x:c r="G1080" s="216" t="n">
        <x:v>1076</x:v>
      </x:c>
      <x:c r="H1080" s="216" t="str">
        <x:f>IF(G1080&lt;='排名定義'!$B$5,"是","")</x:f>
        <x:v>是</x:v>
      </x:c>
      <x:c r="I1080" s="216" t="n">
        <x:v>1081</x:v>
      </x:c>
      <x:c r="J1080" s="216" t="str">
        <x:f>IF(I1080&lt;='排名定義'!$B$5,"是","")</x:f>
        <x:v>是</x:v>
      </x:c>
      <x:c r="K1080" s="216" t="n">
        <x:v>896</x:v>
      </x:c>
      <x:c r="L1080" s="216" t="str">
        <x:f>IF(K1080&lt;='排名定義'!$B$5,"是","")</x:f>
        <x:v>是</x:v>
      </x:c>
      <x:c r="M1080" s="216" t="n">
        <x:f>COUNTIF(H1080:L1080,"是")</x:f>
        <x:v>3</x:v>
      </x:c>
      <x:c r="N1080" s="216" t="str">
        <x:v>三份皆未入選</x:v>
      </x:c>
      <x:c r="O1080" s="221" t="n">
        <x:v>31.591666666666665</x:v>
      </x:c>
      <x:c r="P1080" s="221" t="n">
        <x:v>27.858333333333334</x:v>
      </x:c>
      <x:c r="Q1080" s="221" t="n">
        <x:v>3.7333333333333334</x:v>
      </x:c>
      <x:c r="R1080" s="221" t="n">
        <x:v>0.11817462410973358</x:v>
      </x:c>
      <x:c r="S1080" s="221" t="n">
        <x:v>45.935483870967744</x:v>
      </x:c>
      <x:c r="T1080" s="221" t="n">
        <x:v>42.806451612903224</x:v>
      </x:c>
      <x:c r="U1080" s="221" t="n">
        <x:v>3.129032258064516</x:v>
      </x:c>
      <x:c r="V1080" s="219" t="n">
        <x:v>0.013824884792626729</x:v>
      </x:c>
      <x:c r="W1080" s="216" t="n">
        <x:v>7</x:v>
      </x:c>
      <x:c r="X1080" s="223" t="n">
        <x:v>810</x:v>
      </x:c>
      <x:c r="Y1080" s="216" t="n">
        <x:v>25</x:v>
      </x:c>
    </x:row>
    <x:row r="1081">
      <x:c r="A1081" s="217" t="n">
        <x:v>877</x:v>
      </x:c>
      <x:c r="B1081" s="217" t="str">
        <x:v>柑園五里聯合活動中心</x:v>
      </x:c>
      <x:c r="C1081" s="217" t="str">
        <x:v>樹林區</x:v>
      </x:c>
      <x:c r="D1081" s="217" t="n">
        <x:v>25</x:v>
      </x:c>
      <x:c r="E1081" s="217" t="n">
        <x:v>120</x:v>
      </x:c>
      <x:c r="F1081" s="218" t="n">
        <x:v>0.9994791666666667</x:v>
      </x:c>
      <x:c r="G1081" s="217" t="n">
        <x:v>1077</x:v>
      </x:c>
      <x:c r="H1081" s="217" t="str">
        <x:f>IF(G1081&lt;='排名定義'!$B$5,"是","")</x:f>
        <x:v>是</x:v>
      </x:c>
      <x:c r="I1081" s="217" t="n">
        <x:v>1067</x:v>
      </x:c>
      <x:c r="J1081" s="217" t="str">
        <x:f>IF(I1081&lt;='排名定義'!$B$5,"是","")</x:f>
        <x:v>是</x:v>
      </x:c>
      <x:c r="K1081" s="217" t="n">
        <x:v>1151</x:v>
      </x:c>
      <x:c r="L1081" s="217" t="str">
        <x:f>IF(K1081&lt;='排名定義'!$B$5,"是","")</x:f>
        <x:v>是</x:v>
      </x:c>
      <x:c r="M1081" s="217" t="n">
        <x:f>COUNTIF(H1081:L1081,"是")</x:f>
        <x:v>3</x:v>
      </x:c>
      <x:c r="N1081" s="217" t="str">
        <x:v>三份皆未入選</x:v>
      </x:c>
      <x:c r="O1081" s="220" t="n">
        <x:v>31.533333333333335</x:v>
      </x:c>
      <x:c r="P1081" s="220" t="n">
        <x:v>28.475</x:v>
      </x:c>
      <x:c r="Q1081" s="220" t="n">
        <x:v>3.058333333333333</x:v>
      </x:c>
      <x:c r="R1081" s="220" t="n">
        <x:v>0.09698731501057083</x:v>
      </x:c>
      <x:c r="S1081" s="220" t="n">
        <x:v>49.74193548387097</x:v>
      </x:c>
      <x:c r="T1081" s="220" t="n">
        <x:v>45.38709677419355</x:v>
      </x:c>
      <x:c r="U1081" s="220" t="n">
        <x:v>4.354838709677419</x:v>
      </x:c>
      <x:c r="V1081" s="218" t="n">
        <x:v>0.0069124423963133645</x:v>
      </x:c>
      <x:c r="W1081" s="217" t="n">
        <x:v>1</x:v>
      </x:c>
      <x:c r="X1081" s="222" t="n">
        <x:v>210</x:v>
      </x:c>
      <x:c r="Y1081" s="217" t="n">
        <x:v>25</x:v>
      </x:c>
    </x:row>
    <x:row r="1082">
      <x:c r="A1082" s="216" t="n">
        <x:v>1055</x:v>
      </x:c>
      <x:c r="B1082" s="216" t="str">
        <x:v>大同建成路口</x:v>
      </x:c>
      <x:c r="C1082" s="216" t="str">
        <x:v>汐止區</x:v>
      </x:c>
      <x:c r="D1082" s="216" t="n">
        <x:v>30</x:v>
      </x:c>
      <x:c r="E1082" s="216" t="n">
        <x:v>120</x:v>
      </x:c>
      <x:c r="F1082" s="219" t="n">
        <x:v>0.9994791666666667</x:v>
      </x:c>
      <x:c r="G1082" s="216" t="n">
        <x:v>1078</x:v>
      </x:c>
      <x:c r="H1082" s="216" t="str">
        <x:f>IF(G1082&lt;='排名定義'!$B$5,"是","")</x:f>
        <x:v>是</x:v>
      </x:c>
      <x:c r="I1082" s="216" t="n">
        <x:v>1075</x:v>
      </x:c>
      <x:c r="J1082" s="216" t="str">
        <x:f>IF(I1082&lt;='排名定義'!$B$5,"是","")</x:f>
        <x:v>是</x:v>
      </x:c>
      <x:c r="K1082" s="216" t="n">
        <x:v>1035</x:v>
      </x:c>
      <x:c r="L1082" s="216" t="str">
        <x:f>IF(K1082&lt;='排名定義'!$B$5,"是","")</x:f>
        <x:v>是</x:v>
      </x:c>
      <x:c r="M1082" s="216" t="n">
        <x:f>COUNTIF(H1082:L1082,"是")</x:f>
        <x:v>3</x:v>
      </x:c>
      <x:c r="N1082" s="216" t="str">
        <x:v>三份皆未入選</x:v>
      </x:c>
      <x:c r="O1082" s="221" t="n">
        <x:v>31.533333333333335</x:v>
      </x:c>
      <x:c r="P1082" s="221" t="n">
        <x:v>28.166666666666668</x:v>
      </x:c>
      <x:c r="Q1082" s="221" t="n">
        <x:v>3.3666666666666667</x:v>
      </x:c>
      <x:c r="R1082" s="221" t="n">
        <x:v>0.10676532769556026</x:v>
      </x:c>
      <x:c r="S1082" s="221" t="n">
        <x:v>57.32258064516129</x:v>
      </x:c>
      <x:c r="T1082" s="221" t="n">
        <x:v>53.354838709677416</x:v>
      </x:c>
      <x:c r="U1082" s="221" t="n">
        <x:v>3.967741935483871</x:v>
      </x:c>
      <x:c r="V1082" s="219" t="n">
        <x:v>0.013824884792626729</x:v>
      </x:c>
      <x:c r="W1082" s="216" t="n">
        <x:v>6</x:v>
      </x:c>
      <x:c r="X1082" s="223" t="n">
        <x:v>840</x:v>
      </x:c>
      <x:c r="Y1082" s="216" t="n">
        <x:v>30</x:v>
      </x:c>
    </x:row>
    <x:row r="1083">
      <x:c r="A1083" s="217" t="n">
        <x:v>969</x:v>
      </x:c>
      <x:c r="B1083" s="217" t="str">
        <x:v>瑞芳火車站</x:v>
      </x:c>
      <x:c r="C1083" s="217" t="str">
        <x:v>瑞芳區</x:v>
      </x:c>
      <x:c r="D1083" s="217" t="n">
        <x:v>28</x:v>
      </x:c>
      <x:c r="E1083" s="217" t="n">
        <x:v>120</x:v>
      </x:c>
      <x:c r="F1083" s="218" t="n">
        <x:v>0.9994791666666667</x:v>
      </x:c>
      <x:c r="G1083" s="217" t="n">
        <x:v>1079</x:v>
      </x:c>
      <x:c r="H1083" s="217" t="str">
        <x:f>IF(G1083&lt;='排名定義'!$B$5,"是","")</x:f>
        <x:v>是</x:v>
      </x:c>
      <x:c r="I1083" s="217" t="n">
        <x:v>1093</x:v>
      </x:c>
      <x:c r="J1083" s="217" t="str">
        <x:f>IF(I1083&lt;='排名定義'!$B$5,"是","")</x:f>
        <x:v>是</x:v>
      </x:c>
      <x:c r="K1083" s="217" t="n">
        <x:v>690</x:v>
      </x:c>
      <x:c r="L1083" s="217" t="str">
        <x:f>IF(K1083&lt;='排名定義'!$B$5,"是","")</x:f>
        <x:v>是</x:v>
      </x:c>
      <x:c r="M1083" s="217" t="n">
        <x:f>COUNTIF(H1083:L1083,"是")</x:f>
        <x:v>3</x:v>
      </x:c>
      <x:c r="N1083" s="217" t="str">
        <x:v>三份皆未入選</x:v>
      </x:c>
      <x:c r="O1083" s="220" t="n">
        <x:v>31.525</x:v>
      </x:c>
      <x:c r="P1083" s="220" t="n">
        <x:v>27.183333333333334</x:v>
      </x:c>
      <x:c r="Q1083" s="220" t="n">
        <x:v>4.341666666666667</x:v>
      </x:c>
      <x:c r="R1083" s="220" t="n">
        <x:v>0.13772138514406557</x:v>
      </x:c>
      <x:c r="S1083" s="220" t="n">
        <x:v>60.064516129032256</x:v>
      </x:c>
      <x:c r="T1083" s="220" t="n">
        <x:v>57.12903225806452</x:v>
      </x:c>
      <x:c r="U1083" s="220" t="n">
        <x:v>2.935483870967742</x:v>
      </x:c>
      <x:c r="V1083" s="218" t="n">
        <x:v>0.041474654377880185</x:v>
      </x:c>
      <x:c r="W1083" s="217" t="n">
        <x:v>22</x:v>
      </x:c>
      <x:c r="X1083" s="222" t="n">
        <x:v>3090</x:v>
      </x:c>
      <x:c r="Y1083" s="217" t="n">
        <x:v>28</x:v>
      </x:c>
    </x:row>
    <x:row r="1084">
      <x:c r="A1084" s="216" t="n">
        <x:v>816</x:v>
      </x:c>
      <x:c r="B1084" s="216" t="str">
        <x:v>輕軌崁頂站(西側)</x:v>
      </x:c>
      <x:c r="C1084" s="216" t="str">
        <x:v>淡水區</x:v>
      </x:c>
      <x:c r="D1084" s="216" t="n">
        <x:v>22</x:v>
      </x:c>
      <x:c r="E1084" s="216" t="n">
        <x:v>120</x:v>
      </x:c>
      <x:c r="F1084" s="219" t="n">
        <x:v>0.9994791666666667</x:v>
      </x:c>
      <x:c r="G1084" s="216" t="n">
        <x:v>1080</x:v>
      </x:c>
      <x:c r="H1084" s="216" t="str">
        <x:f>IF(G1084&lt;='排名定義'!$B$5,"是","")</x:f>
        <x:v>是</x:v>
      </x:c>
      <x:c r="I1084" s="216" t="n">
        <x:v>1080</x:v>
      </x:c>
      <x:c r="J1084" s="216" t="str">
        <x:f>IF(I1084&lt;='排名定義'!$B$5,"是","")</x:f>
        <x:v>是</x:v>
      </x:c>
      <x:c r="K1084" s="216" t="n">
        <x:v>944</x:v>
      </x:c>
      <x:c r="L1084" s="216" t="str">
        <x:f>IF(K1084&lt;='排名定義'!$B$5,"是","")</x:f>
        <x:v>是</x:v>
      </x:c>
      <x:c r="M1084" s="216" t="n">
        <x:f>COUNTIF(H1084:L1084,"是")</x:f>
        <x:v>3</x:v>
      </x:c>
      <x:c r="N1084" s="216" t="str">
        <x:v>三份皆未入選</x:v>
      </x:c>
      <x:c r="O1084" s="221" t="n">
        <x:v>31.458333333333332</x:v>
      </x:c>
      <x:c r="P1084" s="221" t="n">
        <x:v>27.866666666666667</x:v>
      </x:c>
      <x:c r="Q1084" s="221" t="n">
        <x:v>3.591666666666667</x:v>
      </x:c>
      <x:c r="R1084" s="221" t="n">
        <x:v>0.11417218543046358</x:v>
      </x:c>
      <x:c r="S1084" s="221" t="n">
        <x:v>49.87096774193548</x:v>
      </x:c>
      <x:c r="T1084" s="221" t="n">
        <x:v>46.67741935483871</x:v>
      </x:c>
      <x:c r="U1084" s="221" t="n">
        <x:v>3.193548387096774</x:v>
      </x:c>
      <x:c r="V1084" s="219" t="n">
        <x:v>0.0069124423963133645</x:v>
      </x:c>
      <x:c r="W1084" s="216" t="n">
        <x:v>0</x:v>
      </x:c>
      <x:c r="X1084" s="223" t="n">
        <x:v>150</x:v>
      </x:c>
      <x:c r="Y1084" s="216" t="n">
        <x:v>22</x:v>
      </x:c>
    </x:row>
    <x:row r="1085">
      <x:c r="A1085" s="217" t="n">
        <x:v>688</x:v>
      </x:c>
      <x:c r="B1085" s="217" t="str">
        <x:v>萬板高架橋下停車場</x:v>
      </x:c>
      <x:c r="C1085" s="217" t="str">
        <x:v>板橋區</x:v>
      </x:c>
      <x:c r="D1085" s="217" t="n">
        <x:v>20</x:v>
      </x:c>
      <x:c r="E1085" s="217" t="n">
        <x:v>120</x:v>
      </x:c>
      <x:c r="F1085" s="218" t="n">
        <x:v>0.9994791666666667</x:v>
      </x:c>
      <x:c r="G1085" s="217" t="n">
        <x:v>1081</x:v>
      </x:c>
      <x:c r="H1085" s="217" t="str">
        <x:f>IF(G1085&lt;='排名定義'!$B$5,"是","")</x:f>
        <x:v>是</x:v>
      </x:c>
      <x:c r="I1085" s="217" t="n">
        <x:v>1074</x:v>
      </x:c>
      <x:c r="J1085" s="217" t="str">
        <x:f>IF(I1085&lt;='排名定義'!$B$5,"是","")</x:f>
        <x:v>是</x:v>
      </x:c>
      <x:c r="K1085" s="217" t="n">
        <x:v>1108</x:v>
      </x:c>
      <x:c r="L1085" s="217" t="str">
        <x:f>IF(K1085&lt;='排名定義'!$B$5,"是","")</x:f>
        <x:v>是</x:v>
      </x:c>
      <x:c r="M1085" s="217" t="n">
        <x:f>COUNTIF(H1085:L1085,"是")</x:f>
        <x:v>3</x:v>
      </x:c>
      <x:c r="N1085" s="217" t="str">
        <x:v>三份皆未入選</x:v>
      </x:c>
      <x:c r="O1085" s="220" t="n">
        <x:v>31.35</x:v>
      </x:c>
      <x:c r="P1085" s="220" t="n">
        <x:v>28.166666666666668</x:v>
      </x:c>
      <x:c r="Q1085" s="220" t="n">
        <x:v>3.183333333333333</x:v>
      </x:c>
      <x:c r="R1085" s="220" t="n">
        <x:v>0.10154173312068049</x:v>
      </x:c>
      <x:c r="S1085" s="220" t="n">
        <x:v>52.87096774193548</x:v>
      </x:c>
      <x:c r="T1085" s="220" t="n">
        <x:v>49.74193548387097</x:v>
      </x:c>
      <x:c r="U1085" s="220" t="n">
        <x:v>3.129032258064516</x:v>
      </x:c>
      <x:c r="V1085" s="218" t="n">
        <x:v>0.029953917050691243</x:v>
      </x:c>
      <x:c r="W1085" s="217" t="n">
        <x:v>13</x:v>
      </x:c>
      <x:c r="X1085" s="222" t="n">
        <x:v>1680</x:v>
      </x:c>
      <x:c r="Y1085" s="217" t="n">
        <x:v>20</x:v>
      </x:c>
    </x:row>
    <x:row r="1086">
      <x:c r="A1086" s="216" t="n">
        <x:v>730</x:v>
      </x:c>
      <x:c r="B1086" s="216" t="str">
        <x:v>西盛館</x:v>
      </x:c>
      <x:c r="C1086" s="216" t="str">
        <x:v>新莊區</x:v>
      </x:c>
      <x:c r="D1086" s="216" t="n">
        <x:v>20</x:v>
      </x:c>
      <x:c r="E1086" s="216" t="n">
        <x:v>120</x:v>
      </x:c>
      <x:c r="F1086" s="219" t="n">
        <x:v>0.9994791666666667</x:v>
      </x:c>
      <x:c r="G1086" s="216" t="n">
        <x:v>1082</x:v>
      </x:c>
      <x:c r="H1086" s="216" t="str">
        <x:f>IF(G1086&lt;='排名定義'!$B$5,"是","")</x:f>
        <x:v>是</x:v>
      </x:c>
      <x:c r="I1086" s="216" t="n">
        <x:v>1077</x:v>
      </x:c>
      <x:c r="J1086" s="216" t="str">
        <x:f>IF(I1086&lt;='排名定義'!$B$5,"是","")</x:f>
        <x:v>是</x:v>
      </x:c>
      <x:c r="K1086" s="216" t="n">
        <x:v>1101</x:v>
      </x:c>
      <x:c r="L1086" s="216" t="str">
        <x:f>IF(K1086&lt;='排名定義'!$B$5,"是","")</x:f>
        <x:v>是</x:v>
      </x:c>
      <x:c r="M1086" s="216" t="n">
        <x:f>COUNTIF(H1086:L1086,"是")</x:f>
        <x:v>3</x:v>
      </x:c>
      <x:c r="N1086" s="216" t="str">
        <x:v>三份皆未入選</x:v>
      </x:c>
      <x:c r="O1086" s="221" t="n">
        <x:v>31.216666666666665</x:v>
      </x:c>
      <x:c r="P1086" s="221" t="n">
        <x:v>28.016666666666666</x:v>
      </x:c>
      <x:c r="Q1086" s="221" t="n">
        <x:v>3.2</x:v>
      </x:c>
      <x:c r="R1086" s="221" t="n">
        <x:v>0.10250934329951948</x:v>
      </x:c>
      <x:c r="S1086" s="221" t="n">
        <x:v>43.903225806451616</x:v>
      </x:c>
      <x:c r="T1086" s="221" t="n">
        <x:v>41.483870967741936</x:v>
      </x:c>
      <x:c r="U1086" s="221" t="n">
        <x:v>2.4193548387096775</x:v>
      </x:c>
      <x:c r="V1086" s="219" t="n">
        <x:v>0.018433179723502304</x:v>
      </x:c>
      <x:c r="W1086" s="216" t="n">
        <x:v>2</x:v>
      </x:c>
      <x:c r="X1086" s="223" t="n">
        <x:v>360</x:v>
      </x:c>
      <x:c r="Y1086" s="216" t="n">
        <x:v>20</x:v>
      </x:c>
    </x:row>
    <x:row r="1087">
      <x:c r="A1087" s="217" t="n">
        <x:v>776</x:v>
      </x:c>
      <x:c r="B1087" s="217" t="str">
        <x:v>輕軌安康站</x:v>
      </x:c>
      <x:c r="C1087" s="217" t="str">
        <x:v>新店區</x:v>
      </x:c>
      <x:c r="D1087" s="217" t="n">
        <x:v>21</x:v>
      </x:c>
      <x:c r="E1087" s="217" t="n">
        <x:v>120</x:v>
      </x:c>
      <x:c r="F1087" s="218" t="n">
        <x:v>0.9994791666666667</x:v>
      </x:c>
      <x:c r="G1087" s="217" t="n">
        <x:v>1083</x:v>
      </x:c>
      <x:c r="H1087" s="217" t="str">
        <x:f>IF(G1087&lt;='排名定義'!$B$5,"是","")</x:f>
        <x:v>是</x:v>
      </x:c>
      <x:c r="I1087" s="217" t="n">
        <x:v>1083</x:v>
      </x:c>
      <x:c r="J1087" s="217" t="str">
        <x:f>IF(I1087&lt;='排名定義'!$B$5,"是","")</x:f>
        <x:v>是</x:v>
      </x:c>
      <x:c r="K1087" s="217" t="n">
        <x:v>990</x:v>
      </x:c>
      <x:c r="L1087" s="217" t="str">
        <x:f>IF(K1087&lt;='排名定義'!$B$5,"是","")</x:f>
        <x:v>是</x:v>
      </x:c>
      <x:c r="M1087" s="217" t="n">
        <x:f>COUNTIF(H1087:L1087,"是")</x:f>
        <x:v>3</x:v>
      </x:c>
      <x:c r="N1087" s="217" t="str">
        <x:v>三份皆未入選</x:v>
      </x:c>
      <x:c r="O1087" s="220" t="n">
        <x:v>31.2</x:v>
      </x:c>
      <x:c r="P1087" s="220" t="n">
        <x:v>27.733333333333334</x:v>
      </x:c>
      <x:c r="Q1087" s="220" t="n">
        <x:v>3.466666666666667</x:v>
      </x:c>
      <x:c r="R1087" s="220" t="n">
        <x:v>0.1111111111111111</x:v>
      </x:c>
      <x:c r="S1087" s="220" t="n">
        <x:v>50.41935483870968</x:v>
      </x:c>
      <x:c r="T1087" s="220" t="n">
        <x:v>46.74193548387097</x:v>
      </x:c>
      <x:c r="U1087" s="220" t="n">
        <x:v>3.6774193548387095</x:v>
      </x:c>
      <x:c r="V1087" s="218" t="n">
        <x:v>0.03917050691244239</x:v>
      </x:c>
      <x:c r="W1087" s="217" t="n">
        <x:v>10</x:v>
      </x:c>
      <x:c r="X1087" s="222" t="n">
        <x:v>1230</x:v>
      </x:c>
      <x:c r="Y1087" s="217" t="n">
        <x:v>21</x:v>
      </x:c>
    </x:row>
    <x:row r="1088">
      <x:c r="A1088" s="216" t="n">
        <x:v>249</x:v>
      </x:c>
      <x:c r="B1088" s="216" t="str">
        <x:v>光復光榮巷口</x:v>
      </x:c>
      <x:c r="C1088" s="216" t="str">
        <x:v>板橋區</x:v>
      </x:c>
      <x:c r="D1088" s="216" t="n">
        <x:v>13</x:v>
      </x:c>
      <x:c r="E1088" s="216" t="n">
        <x:v>120</x:v>
      </x:c>
      <x:c r="F1088" s="219" t="n">
        <x:v>0.9994791666666667</x:v>
      </x:c>
      <x:c r="G1088" s="216" t="n">
        <x:v>1084</x:v>
      </x:c>
      <x:c r="H1088" s="216" t="str">
        <x:f>IF(G1088&lt;='排名定義'!$B$5,"是","")</x:f>
        <x:v>是</x:v>
      </x:c>
      <x:c r="I1088" s="216" t="n">
        <x:v>1070</x:v>
      </x:c>
      <x:c r="J1088" s="216" t="str">
        <x:f>IF(I1088&lt;='排名定義'!$B$5,"是","")</x:f>
        <x:v>是</x:v>
      </x:c>
      <x:c r="K1088" s="216" t="n">
        <x:v>1226</x:v>
      </x:c>
      <x:c r="L1088" s="216" t="str">
        <x:f>IF(K1088&lt;='排名定義'!$B$5,"是","")</x:f>
        <x:v>是</x:v>
      </x:c>
      <x:c r="M1088" s="216" t="n">
        <x:f>COUNTIF(H1088:L1088,"是")</x:f>
        <x:v>3</x:v>
      </x:c>
      <x:c r="N1088" s="216" t="str">
        <x:v>三份皆未入選</x:v>
      </x:c>
      <x:c r="O1088" s="221" t="n">
        <x:v>31.191666666666666</x:v>
      </x:c>
      <x:c r="P1088" s="221" t="n">
        <x:v>28.358333333333334</x:v>
      </x:c>
      <x:c r="Q1088" s="221" t="n">
        <x:v>2.8333333333333335</x:v>
      </x:c>
      <x:c r="R1088" s="221" t="n">
        <x:v>0.09083622762489982</x:v>
      </x:c>
      <x:c r="S1088" s="221" t="n">
        <x:v>50.67741935483871</x:v>
      </x:c>
      <x:c r="T1088" s="221" t="n">
        <x:v>47.61290322580645</x:v>
      </x:c>
      <x:c r="U1088" s="221" t="n">
        <x:v>3.064516129032258</x:v>
      </x:c>
      <x:c r="V1088" s="219" t="n">
        <x:v>0.0576036866359447</x:v>
      </x:c>
      <x:c r="W1088" s="216" t="n">
        <x:v>11</x:v>
      </x:c>
      <x:c r="X1088" s="223" t="n">
        <x:v>1770</x:v>
      </x:c>
      <x:c r="Y1088" s="216" t="n">
        <x:v>13</x:v>
      </x:c>
    </x:row>
    <x:row r="1089">
      <x:c r="A1089" s="217" t="n">
        <x:v>551</x:v>
      </x:c>
      <x:c r="B1089" s="217" t="str">
        <x:v>鳳鳴機器人公園</x:v>
      </x:c>
      <x:c r="C1089" s="217" t="str">
        <x:v>鶯歌區</x:v>
      </x:c>
      <x:c r="D1089" s="217" t="n">
        <x:v>17</x:v>
      </x:c>
      <x:c r="E1089" s="217" t="n">
        <x:v>120</x:v>
      </x:c>
      <x:c r="F1089" s="218" t="n">
        <x:v>0.9994791666666667</x:v>
      </x:c>
      <x:c r="G1089" s="217" t="n">
        <x:v>1085</x:v>
      </x:c>
      <x:c r="H1089" s="217" t="str">
        <x:f>IF(G1089&lt;='排名定義'!$B$5,"是","")</x:f>
        <x:v>是</x:v>
      </x:c>
      <x:c r="I1089" s="217" t="n">
        <x:v>1085</x:v>
      </x:c>
      <x:c r="J1089" s="217" t="str">
        <x:f>IF(I1089&lt;='排名定義'!$B$5,"是","")</x:f>
        <x:v>是</x:v>
      </x:c>
      <x:c r="K1089" s="217" t="n">
        <x:v>963</x:v>
      </x:c>
      <x:c r="L1089" s="217" t="str">
        <x:f>IF(K1089&lt;='排名定義'!$B$5,"是","")</x:f>
        <x:v>是</x:v>
      </x:c>
      <x:c r="M1089" s="217" t="n">
        <x:f>COUNTIF(H1089:L1089,"是")</x:f>
        <x:v>3</x:v>
      </x:c>
      <x:c r="N1089" s="217" t="str">
        <x:v>三份皆未入選</x:v>
      </x:c>
      <x:c r="O1089" s="220" t="n">
        <x:v>31.166666666666668</x:v>
      </x:c>
      <x:c r="P1089" s="220" t="n">
        <x:v>27.641666666666666</x:v>
      </x:c>
      <x:c r="Q1089" s="220" t="n">
        <x:v>3.525</x:v>
      </x:c>
      <x:c r="R1089" s="220" t="n">
        <x:v>0.11310160427807486</x:v>
      </x:c>
      <x:c r="S1089" s="220" t="n">
        <x:v>47.70967741935484</x:v>
      </x:c>
      <x:c r="T1089" s="220" t="n">
        <x:v>44.41935483870968</x:v>
      </x:c>
      <x:c r="U1089" s="220" t="n">
        <x:v>3.2903225806451615</x:v>
      </x:c>
      <x:c r="V1089" s="218" t="n">
        <x:v>0.016129032258064516</x:v>
      </x:c>
      <x:c r="W1089" s="217" t="n">
        <x:v>1</x:v>
      </x:c>
      <x:c r="X1089" s="222" t="n">
        <x:v>270</x:v>
      </x:c>
      <x:c r="Y1089" s="217" t="n">
        <x:v>17</x:v>
      </x:c>
    </x:row>
    <x:row r="1090">
      <x:c r="A1090" s="216" t="n">
        <x:v>588</x:v>
      </x:c>
      <x:c r="B1090" s="216" t="str">
        <x:v>生態南公園</x:v>
      </x:c>
      <x:c r="C1090" s="216" t="str">
        <x:v>板橋區</x:v>
      </x:c>
      <x:c r="D1090" s="216" t="n">
        <x:v>18</x:v>
      </x:c>
      <x:c r="E1090" s="216" t="n">
        <x:v>120</x:v>
      </x:c>
      <x:c r="F1090" s="219" t="n">
        <x:v>0.9994791666666667</x:v>
      </x:c>
      <x:c r="G1090" s="216" t="n">
        <x:v>1086</x:v>
      </x:c>
      <x:c r="H1090" s="216" t="str">
        <x:f>IF(G1090&lt;='排名定義'!$B$5,"是","")</x:f>
        <x:v>是</x:v>
      </x:c>
      <x:c r="I1090" s="216" t="n">
        <x:v>1071</x:v>
      </x:c>
      <x:c r="J1090" s="216" t="str">
        <x:f>IF(I1090&lt;='排名定義'!$B$5,"是","")</x:f>
        <x:v>是</x:v>
      </x:c>
      <x:c r="K1090" s="216" t="n">
        <x:v>1210</x:v>
      </x:c>
      <x:c r="L1090" s="216" t="str">
        <x:f>IF(K1090&lt;='排名定義'!$B$5,"是","")</x:f>
        <x:v>是</x:v>
      </x:c>
      <x:c r="M1090" s="216" t="n">
        <x:f>COUNTIF(H1090:L1090,"是")</x:f>
        <x:v>3</x:v>
      </x:c>
      <x:c r="N1090" s="216" t="str">
        <x:v>三份皆未入選</x:v>
      </x:c>
      <x:c r="O1090" s="221" t="n">
        <x:v>31.158333333333335</x:v>
      </x:c>
      <x:c r="P1090" s="221" t="n">
        <x:v>28.283333333333335</x:v>
      </x:c>
      <x:c r="Q1090" s="221" t="n">
        <x:v>2.875</x:v>
      </x:c>
      <x:c r="R1090" s="221" t="n">
        <x:v>0.09227066060443968</x:v>
      </x:c>
      <x:c r="S1090" s="221" t="n">
        <x:v>39.54838709677419</x:v>
      </x:c>
      <x:c r="T1090" s="221" t="n">
        <x:v>35.96774193548387</x:v>
      </x:c>
      <x:c r="U1090" s="221" t="n">
        <x:v>3.5806451612903225</x:v>
      </x:c>
      <x:c r="V1090" s="219" t="n">
        <x:v>0.059907834101382486</x:v>
      </x:c>
      <x:c r="W1090" s="216" t="n">
        <x:v>33</x:v>
      </x:c>
      <x:c r="X1090" s="223" t="n">
        <x:v>5370</x:v>
      </x:c>
      <x:c r="Y1090" s="216" t="n">
        <x:v>18</x:v>
      </x:c>
    </x:row>
    <x:row r="1091">
      <x:c r="A1091" s="217" t="n">
        <x:v>532</x:v>
      </x:c>
      <x:c r="B1091" s="217" t="str">
        <x:v>民安國小(東側)</x:v>
      </x:c>
      <x:c r="C1091" s="217" t="str">
        <x:v>新莊區</x:v>
      </x:c>
      <x:c r="D1091" s="217" t="n">
        <x:v>17</x:v>
      </x:c>
      <x:c r="E1091" s="217" t="n">
        <x:v>120</x:v>
      </x:c>
      <x:c r="F1091" s="218" t="n">
        <x:v>0.9994791666666667</x:v>
      </x:c>
      <x:c r="G1091" s="217" t="n">
        <x:v>1087</x:v>
      </x:c>
      <x:c r="H1091" s="217" t="str">
        <x:f>IF(G1091&lt;='排名定義'!$B$5,"是","")</x:f>
        <x:v>是</x:v>
      </x:c>
      <x:c r="I1091" s="217" t="n">
        <x:v>1076</x:v>
      </x:c>
      <x:c r="J1091" s="217" t="str">
        <x:f>IF(I1091&lt;='排名定義'!$B$5,"是","")</x:f>
        <x:v>是</x:v>
      </x:c>
      <x:c r="K1091" s="217" t="n">
        <x:v>1166</x:v>
      </x:c>
      <x:c r="L1091" s="217" t="str">
        <x:f>IF(K1091&lt;='排名定義'!$B$5,"是","")</x:f>
        <x:v>是</x:v>
      </x:c>
      <x:c r="M1091" s="217" t="n">
        <x:f>COUNTIF(H1091:L1091,"是")</x:f>
        <x:v>3</x:v>
      </x:c>
      <x:c r="N1091" s="217" t="str">
        <x:v>三份皆未入選</x:v>
      </x:c>
      <x:c r="O1091" s="220" t="n">
        <x:v>31.1</x:v>
      </x:c>
      <x:c r="P1091" s="220" t="n">
        <x:v>28.108333333333334</x:v>
      </x:c>
      <x:c r="Q1091" s="220" t="n">
        <x:v>2.9916666666666667</x:v>
      </x:c>
      <x:c r="R1091" s="220" t="n">
        <x:v>0.09619506966773848</x:v>
      </x:c>
      <x:c r="S1091" s="220" t="n">
        <x:v>46.38709677419355</x:v>
      </x:c>
      <x:c r="T1091" s="220" t="n">
        <x:v>43.54838709677419</x:v>
      </x:c>
      <x:c r="U1091" s="220" t="n">
        <x:v>2.838709677419355</x:v>
      </x:c>
      <x:c r="V1091" s="218" t="n">
        <x:v>0.016129032258064516</x:v>
      </x:c>
      <x:c r="W1091" s="217" t="n">
        <x:v>7</x:v>
      </x:c>
      <x:c r="X1091" s="222" t="n">
        <x:v>750</x:v>
      </x:c>
      <x:c r="Y1091" s="217" t="n">
        <x:v>17</x:v>
      </x:c>
    </x:row>
    <x:row r="1092">
      <x:c r="A1092" s="216" t="n">
        <x:v>337</x:v>
      </x:c>
      <x:c r="B1092" s="216" t="str">
        <x:v>八德中華路口</x:v>
      </x:c>
      <x:c r="C1092" s="216" t="str">
        <x:v>樹林區</x:v>
      </x:c>
      <x:c r="D1092" s="216" t="n">
        <x:v>15</x:v>
      </x:c>
      <x:c r="E1092" s="216" t="n">
        <x:v>120</x:v>
      </x:c>
      <x:c r="F1092" s="219" t="n">
        <x:v>0.9994791666666667</x:v>
      </x:c>
      <x:c r="G1092" s="216" t="n">
        <x:v>1088</x:v>
      </x:c>
      <x:c r="H1092" s="216" t="str">
        <x:f>IF(G1092&lt;='排名定義'!$B$5,"是","")</x:f>
        <x:v>是</x:v>
      </x:c>
      <x:c r="I1092" s="216" t="n">
        <x:v>1079</x:v>
      </x:c>
      <x:c r="J1092" s="216" t="str">
        <x:f>IF(I1092&lt;='排名定義'!$B$5,"是","")</x:f>
        <x:v>是</x:v>
      </x:c>
      <x:c r="K1092" s="216" t="n">
        <x:v>1123</x:v>
      </x:c>
      <x:c r="L1092" s="216" t="str">
        <x:f>IF(K1092&lt;='排名定義'!$B$5,"是","")</x:f>
        <x:v>是</x:v>
      </x:c>
      <x:c r="M1092" s="216" t="n">
        <x:f>COUNTIF(H1092:L1092,"是")</x:f>
        <x:v>3</x:v>
      </x:c>
      <x:c r="N1092" s="216" t="str">
        <x:v>三份皆未入選</x:v>
      </x:c>
      <x:c r="O1092" s="221" t="n">
        <x:v>31.058333333333334</x:v>
      </x:c>
      <x:c r="P1092" s="221" t="n">
        <x:v>27.933333333333334</x:v>
      </x:c>
      <x:c r="Q1092" s="221" t="n">
        <x:v>3.125</x:v>
      </x:c>
      <x:c r="R1092" s="221" t="n">
        <x:v>0.10061711832573116</x:v>
      </x:c>
      <x:c r="S1092" s="221" t="n">
        <x:v>49.193548387096776</x:v>
      </x:c>
      <x:c r="T1092" s="221" t="n">
        <x:v>47.225806451612904</x:v>
      </x:c>
      <x:c r="U1092" s="221" t="n">
        <x:v>1.967741935483871</x:v>
      </x:c>
      <x:c r="V1092" s="219" t="n">
        <x:v>0.06682027649769585</x:v>
      </x:c>
      <x:c r="W1092" s="216" t="n">
        <x:v>16</x:v>
      </x:c>
      <x:c r="X1092" s="223" t="n">
        <x:v>2100</x:v>
      </x:c>
      <x:c r="Y1092" s="216" t="n">
        <x:v>15</x:v>
      </x:c>
    </x:row>
    <x:row r="1093">
      <x:c r="A1093" s="217" t="n">
        <x:v>1375</x:v>
      </x:c>
      <x:c r="B1093" s="217" t="str">
        <x:v>捷運紅樹林站</x:v>
      </x:c>
      <x:c r="C1093" s="217" t="str">
        <x:v>淡水區</x:v>
      </x:c>
      <x:c r="D1093" s="217" t="n">
        <x:v>44</x:v>
      </x:c>
      <x:c r="E1093" s="217" t="n">
        <x:v>120</x:v>
      </x:c>
      <x:c r="F1093" s="218" t="n">
        <x:v>0.9994791666666667</x:v>
      </x:c>
      <x:c r="G1093" s="217" t="n">
        <x:v>1089</x:v>
      </x:c>
      <x:c r="H1093" s="217" t="str">
        <x:f>IF(G1093&lt;='排名定義'!$B$5,"是","")</x:f>
        <x:v>是</x:v>
      </x:c>
      <x:c r="I1093" s="217" t="n">
        <x:v>1102</x:v>
      </x:c>
      <x:c r="J1093" s="217" t="str">
        <x:f>IF(I1093&lt;='排名定義'!$B$5,"是","")</x:f>
        <x:v>是</x:v>
      </x:c>
      <x:c r="K1093" s="217" t="n">
        <x:v>719</x:v>
      </x:c>
      <x:c r="L1093" s="217" t="str">
        <x:f>IF(K1093&lt;='排名定義'!$B$5,"是","")</x:f>
        <x:v>是</x:v>
      </x:c>
      <x:c r="M1093" s="217" t="n">
        <x:f>COUNTIF(H1093:L1093,"是")</x:f>
        <x:v>3</x:v>
      </x:c>
      <x:c r="N1093" s="217" t="str">
        <x:v>三份皆未入選</x:v>
      </x:c>
      <x:c r="O1093" s="220" t="n">
        <x:v>31.033333333333335</x:v>
      </x:c>
      <x:c r="P1093" s="220" t="n">
        <x:v>26.775</x:v>
      </x:c>
      <x:c r="Q1093" s="220" t="n">
        <x:v>4.258333333333334</x:v>
      </x:c>
      <x:c r="R1093" s="220" t="n">
        <x:v>0.13721804511278196</x:v>
      </x:c>
      <x:c r="S1093" s="220" t="n">
        <x:v>55.225806451612904</x:v>
      </x:c>
      <x:c r="T1093" s="220" t="n">
        <x:v>51.225806451612904</x:v>
      </x:c>
      <x:c r="U1093" s="220" t="n">
        <x:v>4</x:v>
      </x:c>
      <x:c r="V1093" s="218" t="n">
        <x:v>0.009216589861751152</x:v>
      </x:c>
      <x:c r="W1093" s="217" t="n">
        <x:v>3</x:v>
      </x:c>
      <x:c r="X1093" s="222" t="n">
        <x:v>660</x:v>
      </x:c>
      <x:c r="Y1093" s="217" t="n">
        <x:v>44</x:v>
      </x:c>
    </x:row>
    <x:row r="1094">
      <x:c r="A1094" s="216" t="n">
        <x:v>357</x:v>
      </x:c>
      <x:c r="B1094" s="216" t="str">
        <x:v>廣停一機車停車場</x:v>
      </x:c>
      <x:c r="C1094" s="216" t="str">
        <x:v>新莊區</x:v>
      </x:c>
      <x:c r="D1094" s="216" t="n">
        <x:v>15</x:v>
      </x:c>
      <x:c r="E1094" s="216" t="n">
        <x:v>120</x:v>
      </x:c>
      <x:c r="F1094" s="219" t="n">
        <x:v>0.9994791666666667</x:v>
      </x:c>
      <x:c r="G1094" s="216" t="n">
        <x:v>1090</x:v>
      </x:c>
      <x:c r="H1094" s="216" t="str">
        <x:f>IF(G1094&lt;='排名定義'!$B$5,"是","")</x:f>
        <x:v>是</x:v>
      </x:c>
      <x:c r="I1094" s="216" t="n">
        <x:v>1089</x:v>
      </x:c>
      <x:c r="J1094" s="216" t="str">
        <x:f>IF(I1094&lt;='排名定義'!$B$5,"是","")</x:f>
        <x:v>是</x:v>
      </x:c>
      <x:c r="K1094" s="216" t="n">
        <x:v>908</x:v>
      </x:c>
      <x:c r="L1094" s="216" t="str">
        <x:f>IF(K1094&lt;='排名定義'!$B$5,"是","")</x:f>
        <x:v>是</x:v>
      </x:c>
      <x:c r="M1094" s="216" t="n">
        <x:f>COUNTIF(H1094:L1094,"是")</x:f>
        <x:v>3</x:v>
      </x:c>
      <x:c r="N1094" s="216" t="str">
        <x:v>三份皆未入選</x:v>
      </x:c>
      <x:c r="O1094" s="221" t="n">
        <x:v>30.991666666666667</x:v>
      </x:c>
      <x:c r="P1094" s="221" t="n">
        <x:v>27.3</x:v>
      </x:c>
      <x:c r="Q1094" s="221" t="n">
        <x:v>3.691666666666667</x:v>
      </x:c>
      <x:c r="R1094" s="221" t="n">
        <x:v>0.11911804248453886</x:v>
      </x:c>
      <x:c r="S1094" s="221" t="n">
        <x:v>44.45161290322581</x:v>
      </x:c>
      <x:c r="T1094" s="221" t="n">
        <x:v>41.16129032258065</x:v>
      </x:c>
      <x:c r="U1094" s="221" t="n">
        <x:v>3.2903225806451615</x:v>
      </x:c>
      <x:c r="V1094" s="219" t="n">
        <x:v>0.15898617511520738</x:v>
      </x:c>
      <x:c r="W1094" s="216" t="n">
        <x:v>51</x:v>
      </x:c>
      <x:c r="X1094" s="223" t="n">
        <x:v>7470</x:v>
      </x:c>
      <x:c r="Y1094" s="216" t="n">
        <x:v>15</x:v>
      </x:c>
    </x:row>
    <x:row r="1095">
      <x:c r="A1095" s="217" t="n">
        <x:v>1358</x:v>
      </x:c>
      <x:c r="B1095" s="217" t="str">
        <x:v>四維國凱街口(立天下社區)</x:v>
      </x:c>
      <x:c r="C1095" s="217" t="str">
        <x:v>樹林區</x:v>
      </x:c>
      <x:c r="D1095" s="217" t="n">
        <x:v>44</x:v>
      </x:c>
      <x:c r="E1095" s="217" t="n">
        <x:v>120</x:v>
      </x:c>
      <x:c r="F1095" s="218" t="n">
        <x:v>0.9994791666666667</x:v>
      </x:c>
      <x:c r="G1095" s="217" t="n">
        <x:v>1091</x:v>
      </x:c>
      <x:c r="H1095" s="217" t="str">
        <x:f>IF(G1095&lt;='排名定義'!$B$5,"是","")</x:f>
        <x:v>是</x:v>
      </x:c>
      <x:c r="I1095" s="217" t="n">
        <x:v>1107</x:v>
      </x:c>
      <x:c r="J1095" s="217" t="str">
        <x:f>IF(I1095&lt;='排名定義'!$B$5,"是","")</x:f>
        <x:v>是</x:v>
      </x:c>
      <x:c r="K1095" s="217" t="n">
        <x:v>737</x:v>
      </x:c>
      <x:c r="L1095" s="217" t="str">
        <x:f>IF(K1095&lt;='排名定義'!$B$5,"是","")</x:f>
        <x:v>是</x:v>
      </x:c>
      <x:c r="M1095" s="217" t="n">
        <x:f>COUNTIF(H1095:L1095,"是")</x:f>
        <x:v>3</x:v>
      </x:c>
      <x:c r="N1095" s="217" t="str">
        <x:v>三份皆未入選</x:v>
      </x:c>
      <x:c r="O1095" s="220" t="n">
        <x:v>30.85</x:v>
      </x:c>
      <x:c r="P1095" s="220" t="n">
        <x:v>26.65</x:v>
      </x:c>
      <x:c r="Q1095" s="220" t="n">
        <x:v>4.2</x:v>
      </x:c>
      <x:c r="R1095" s="220" t="n">
        <x:v>0.13614262560777957</x:v>
      </x:c>
      <x:c r="S1095" s="220" t="n">
        <x:v>46.41935483870968</x:v>
      </x:c>
      <x:c r="T1095" s="220" t="n">
        <x:v>43.61290322580645</x:v>
      </x:c>
      <x:c r="U1095" s="220" t="n">
        <x:v>2.806451612903226</x:v>
      </x:c>
      <x:c r="V1095" s="218" t="n">
        <x:v>0.052995391705069124</x:v>
      </x:c>
      <x:c r="W1095" s="217" t="n">
        <x:v>8</x:v>
      </x:c>
      <x:c r="X1095" s="222" t="n">
        <x:v>990</x:v>
      </x:c>
      <x:c r="Y1095" s="217" t="n">
        <x:v>44</x:v>
      </x:c>
    </x:row>
    <x:row r="1096">
      <x:c r="A1096" s="216" t="n">
        <x:v>537</x:v>
      </x:c>
      <x:c r="B1096" s="216" t="str">
        <x:v>莒光華安街口</x:v>
      </x:c>
      <x:c r="C1096" s="216" t="str">
        <x:v>中和區</x:v>
      </x:c>
      <x:c r="D1096" s="216" t="n">
        <x:v>17</x:v>
      </x:c>
      <x:c r="E1096" s="216" t="n">
        <x:v>116</x:v>
      </x:c>
      <x:c r="F1096" s="219" t="n">
        <x:v>0.9899425287356322</x:v>
      </x:c>
      <x:c r="G1096" s="216" t="n">
        <x:v>1092</x:v>
      </x:c>
      <x:c r="H1096" s="216" t="str">
        <x:f>IF(G1096&lt;='排名定義'!$B$5,"是","")</x:f>
        <x:v>是</x:v>
      </x:c>
      <x:c r="I1096" s="216" t="n">
        <x:v>1090</x:v>
      </x:c>
      <x:c r="J1096" s="216" t="str">
        <x:f>IF(I1096&lt;='排名定義'!$B$5,"是","")</x:f>
        <x:v>是</x:v>
      </x:c>
      <x:c r="K1096" s="216" t="n">
        <x:v>936</x:v>
      </x:c>
      <x:c r="L1096" s="216" t="str">
        <x:f>IF(K1096&lt;='排名定義'!$B$5,"是","")</x:f>
        <x:v>是</x:v>
      </x:c>
      <x:c r="M1096" s="216" t="n">
        <x:f>COUNTIF(H1096:L1096,"是")</x:f>
        <x:v>3</x:v>
      </x:c>
      <x:c r="N1096" s="216" t="str">
        <x:v>三份皆未入選</x:v>
      </x:c>
      <x:c r="O1096" s="221" t="n">
        <x:v>30.836206896551722</x:v>
      </x:c>
      <x:c r="P1096" s="221" t="n">
        <x:v>27.232758620689655</x:v>
      </x:c>
      <x:c r="Q1096" s="221" t="n">
        <x:v>3.603448275862069</x:v>
      </x:c>
      <x:c r="R1096" s="221" t="n">
        <x:v>0.11685770198490356</x:v>
      </x:c>
      <x:c r="S1096" s="221" t="n">
        <x:v>50.935483870967744</x:v>
      </x:c>
      <x:c r="T1096" s="221" t="n">
        <x:v>47.87096774193548</x:v>
      </x:c>
      <x:c r="U1096" s="221" t="n">
        <x:v>3.064516129032258</x:v>
      </x:c>
      <x:c r="V1096" s="219" t="n">
        <x:v>0.04377880184331797</x:v>
      </x:c>
      <x:c r="W1096" s="216" t="n">
        <x:v>10</x:v>
      </x:c>
      <x:c r="X1096" s="223" t="n">
        <x:v>1320</x:v>
      </x:c>
      <x:c r="Y1096" s="216" t="n">
        <x:v>17</x:v>
      </x:c>
    </x:row>
    <x:row r="1097">
      <x:c r="A1097" s="217" t="n">
        <x:v>1402</x:v>
      </x:c>
      <x:c r="B1097" s="217" t="str">
        <x:v>十三行博物館</x:v>
      </x:c>
      <x:c r="C1097" s="217" t="str">
        <x:v>八里區</x:v>
      </x:c>
      <x:c r="D1097" s="217" t="n">
        <x:v>46</x:v>
      </x:c>
      <x:c r="E1097" s="217" t="n">
        <x:v>120</x:v>
      </x:c>
      <x:c r="F1097" s="218" t="n">
        <x:v>0.9994791666666667</x:v>
      </x:c>
      <x:c r="G1097" s="217" t="n">
        <x:v>1093</x:v>
      </x:c>
      <x:c r="H1097" s="217" t="str">
        <x:f>IF(G1097&lt;='排名定義'!$B$5,"是","")</x:f>
        <x:v>是</x:v>
      </x:c>
      <x:c r="I1097" s="217" t="n">
        <x:v>1115</x:v>
      </x:c>
      <x:c r="J1097" s="217" t="str">
        <x:f>IF(I1097&lt;='排名定義'!$B$5,"是","")</x:f>
        <x:v>是</x:v>
      </x:c>
      <x:c r="K1097" s="217" t="n">
        <x:v>681</x:v>
      </x:c>
      <x:c r="L1097" s="217" t="str">
        <x:f>IF(K1097&lt;='排名定義'!$B$5,"是","")</x:f>
        <x:v>是</x:v>
      </x:c>
      <x:c r="M1097" s="217" t="n">
        <x:f>COUNTIF(H1097:L1097,"是")</x:f>
        <x:v>3</x:v>
      </x:c>
      <x:c r="N1097" s="217" t="str">
        <x:v>三份皆未入選</x:v>
      </x:c>
      <x:c r="O1097" s="220" t="n">
        <x:v>30.808333333333334</x:v>
      </x:c>
      <x:c r="P1097" s="220" t="n">
        <x:v>26.441666666666666</x:v>
      </x:c>
      <x:c r="Q1097" s="220" t="n">
        <x:v>4.366666666666666</x:v>
      </x:c>
      <x:c r="R1097" s="220" t="n">
        <x:v>0.14173654314308898</x:v>
      </x:c>
      <x:c r="S1097" s="220" t="n">
        <x:v>81.61290322580645</x:v>
      </x:c>
      <x:c r="T1097" s="220" t="n">
        <x:v>74.2258064516129</x:v>
      </x:c>
      <x:c r="U1097" s="220" t="n">
        <x:v>7.387096774193548</x:v>
      </x:c>
      <x:c r="V1097" s="218" t="n">
        <x:v>0.06451612903225806</x:v>
      </x:c>
      <x:c r="W1097" s="217" t="n">
        <x:v>10</x:v>
      </x:c>
      <x:c r="X1097" s="222" t="n">
        <x:v>1890</x:v>
      </x:c>
      <x:c r="Y1097" s="217" t="n">
        <x:v>46</x:v>
      </x:c>
    </x:row>
    <x:row r="1098">
      <x:c r="A1098" s="216" t="n">
        <x:v>1401</x:v>
      </x:c>
      <x:c r="B1098" s="216" t="str">
        <x:v>中正思源路口(西南側)</x:v>
      </x:c>
      <x:c r="C1098" s="216" t="str">
        <x:v>新莊區</x:v>
      </x:c>
      <x:c r="D1098" s="216" t="n">
        <x:v>46</x:v>
      </x:c>
      <x:c r="E1098" s="216" t="n">
        <x:v>120</x:v>
      </x:c>
      <x:c r="F1098" s="219" t="n">
        <x:v>0.9994791666666667</x:v>
      </x:c>
      <x:c r="G1098" s="216" t="n">
        <x:v>1094</x:v>
      </x:c>
      <x:c r="H1098" s="216" t="str">
        <x:f>IF(G1098&lt;='排名定義'!$B$5,"是","")</x:f>
        <x:v>是</x:v>
      </x:c>
      <x:c r="I1098" s="216" t="n">
        <x:v>1098</x:v>
      </x:c>
      <x:c r="J1098" s="216" t="str">
        <x:f>IF(I1098&lt;='排名定義'!$B$5,"是","")</x:f>
        <x:v>是</x:v>
      </x:c>
      <x:c r="K1098" s="216" t="n">
        <x:v>883</x:v>
      </x:c>
      <x:c r="L1098" s="216" t="str">
        <x:f>IF(K1098&lt;='排名定義'!$B$5,"是","")</x:f>
        <x:v>是</x:v>
      </x:c>
      <x:c r="M1098" s="216" t="n">
        <x:f>COUNTIF(H1098:L1098,"是")</x:f>
        <x:v>3</x:v>
      </x:c>
      <x:c r="N1098" s="216" t="str">
        <x:v>三份皆未入選</x:v>
      </x:c>
      <x:c r="O1098" s="221" t="n">
        <x:v>30.775</x:v>
      </x:c>
      <x:c r="P1098" s="221" t="n">
        <x:v>26.991666666666667</x:v>
      </x:c>
      <x:c r="Q1098" s="221" t="n">
        <x:v>3.783333333333333</x:v>
      </x:c>
      <x:c r="R1098" s="221" t="n">
        <x:v>0.12293528296777688</x:v>
      </x:c>
      <x:c r="S1098" s="221" t="n">
        <x:v>44.61290322580645</x:v>
      </x:c>
      <x:c r="T1098" s="221" t="n">
        <x:v>41.54838709677419</x:v>
      </x:c>
      <x:c r="U1098" s="221" t="n">
        <x:v>3.064516129032258</x:v>
      </x:c>
      <x:c r="V1098" s="219" t="n">
        <x:v>0.002304147465437788</x:v>
      </x:c>
      <x:c r="W1098" s="216" t="n">
        <x:v>5</x:v>
      </x:c>
      <x:c r="X1098" s="223" t="n">
        <x:v>510</x:v>
      </x:c>
      <x:c r="Y1098" s="216" t="n">
        <x:v>46</x:v>
      </x:c>
    </x:row>
    <x:row r="1099">
      <x:c r="A1099" s="217" t="n">
        <x:v>942</x:v>
      </x:c>
      <x:c r="B1099" s="217" t="str">
        <x:v>新莊快樂公園</x:v>
      </x:c>
      <x:c r="C1099" s="217" t="str">
        <x:v>新莊區</x:v>
      </x:c>
      <x:c r="D1099" s="217" t="n">
        <x:v>27</x:v>
      </x:c>
      <x:c r="E1099" s="217" t="n">
        <x:v>120</x:v>
      </x:c>
      <x:c r="F1099" s="218" t="n">
        <x:v>0.9994791666666667</x:v>
      </x:c>
      <x:c r="G1099" s="217" t="n">
        <x:v>1095</x:v>
      </x:c>
      <x:c r="H1099" s="217" t="str">
        <x:f>IF(G1099&lt;='排名定義'!$B$5,"是","")</x:f>
        <x:v>是</x:v>
      </x:c>
      <x:c r="I1099" s="217" t="n">
        <x:v>1112</x:v>
      </x:c>
      <x:c r="J1099" s="217" t="str">
        <x:f>IF(I1099&lt;='排名定義'!$B$5,"是","")</x:f>
        <x:v>是</x:v>
      </x:c>
      <x:c r="K1099" s="217" t="n">
        <x:v>733</x:v>
      </x:c>
      <x:c r="L1099" s="217" t="str">
        <x:f>IF(K1099&lt;='排名定義'!$B$5,"是","")</x:f>
        <x:v>是</x:v>
      </x:c>
      <x:c r="M1099" s="217" t="n">
        <x:f>COUNTIF(H1099:L1099,"是")</x:f>
        <x:v>3</x:v>
      </x:c>
      <x:c r="N1099" s="217" t="str">
        <x:v>三份皆未入選</x:v>
      </x:c>
      <x:c r="O1099" s="220" t="n">
        <x:v>30.7</x:v>
      </x:c>
      <x:c r="P1099" s="220" t="n">
        <x:v>26.5</x:v>
      </x:c>
      <x:c r="Q1099" s="220" t="n">
        <x:v>4.2</x:v>
      </x:c>
      <x:c r="R1099" s="220" t="n">
        <x:v>0.13680781758957655</x:v>
      </x:c>
      <x:c r="S1099" s="220" t="n">
        <x:v>52.516129032258064</x:v>
      </x:c>
      <x:c r="T1099" s="220" t="n">
        <x:v>48.38709677419355</x:v>
      </x:c>
      <x:c r="U1099" s="220" t="n">
        <x:v>4.129032258064516</x:v>
      </x:c>
      <x:c r="V1099" s="218" t="n">
        <x:v>0.020737327188940093</x:v>
      </x:c>
      <x:c r="W1099" s="217" t="n">
        <x:v>3</x:v>
      </x:c>
      <x:c r="X1099" s="222" t="n">
        <x:v>330</x:v>
      </x:c>
      <x:c r="Y1099" s="217" t="n">
        <x:v>27</x:v>
      </x:c>
    </x:row>
    <x:row r="1100">
      <x:c r="A1100" s="216" t="n">
        <x:v>937</x:v>
      </x:c>
      <x:c r="B1100" s="216" t="str">
        <x:v>大安中央路口</x:v>
      </x:c>
      <x:c r="C1100" s="216" t="str">
        <x:v>土城區</x:v>
      </x:c>
      <x:c r="D1100" s="216" t="n">
        <x:v>27</x:v>
      </x:c>
      <x:c r="E1100" s="216" t="n">
        <x:v>120</x:v>
      </x:c>
      <x:c r="F1100" s="219" t="n">
        <x:v>0.9994791666666667</x:v>
      </x:c>
      <x:c r="G1100" s="216" t="n">
        <x:v>1096</x:v>
      </x:c>
      <x:c r="H1100" s="216" t="str">
        <x:f>IF(G1100&lt;='排名定義'!$B$5,"是","")</x:f>
        <x:v>是</x:v>
      </x:c>
      <x:c r="I1100" s="216" t="n">
        <x:v>1105</x:v>
      </x:c>
      <x:c r="J1100" s="216" t="str">
        <x:f>IF(I1100&lt;='排名定義'!$B$5,"是","")</x:f>
        <x:v>是</x:v>
      </x:c>
      <x:c r="K1100" s="216" t="n">
        <x:v>830</x:v>
      </x:c>
      <x:c r="L1100" s="216" t="str">
        <x:f>IF(K1100&lt;='排名定義'!$B$5,"是","")</x:f>
        <x:v>是</x:v>
      </x:c>
      <x:c r="M1100" s="216" t="n">
        <x:f>COUNTIF(H1100:L1100,"是")</x:f>
        <x:v>3</x:v>
      </x:c>
      <x:c r="N1100" s="216" t="str">
        <x:v>三份皆未入選</x:v>
      </x:c>
      <x:c r="O1100" s="221" t="n">
        <x:v>30.575</x:v>
      </x:c>
      <x:c r="P1100" s="221" t="n">
        <x:v>26.658333333333335</x:v>
      </x:c>
      <x:c r="Q1100" s="221" t="n">
        <x:v>3.9166666666666665</x:v>
      </x:c>
      <x:c r="R1100" s="221" t="n">
        <x:v>0.1281002998092123</x:v>
      </x:c>
      <x:c r="S1100" s="221" t="n">
        <x:v>45.096774193548384</x:v>
      </x:c>
      <x:c r="T1100" s="221" t="n">
        <x:v>41.74193548387097</x:v>
      </x:c>
      <x:c r="U1100" s="221" t="n">
        <x:v>3.3548387096774195</x:v>
      </x:c>
      <x:c r="V1100" s="219" t="n">
        <x:v>0.07603686635944701</x:v>
      </x:c>
      <x:c r="W1100" s="216" t="n">
        <x:v>13</x:v>
      </x:c>
      <x:c r="X1100" s="223" t="n">
        <x:v>1500</x:v>
      </x:c>
      <x:c r="Y1100" s="216" t="n">
        <x:v>27</x:v>
      </x:c>
    </x:row>
    <x:row r="1101">
      <x:c r="A1101" s="217" t="n">
        <x:v>959</x:v>
      </x:c>
      <x:c r="B1101" s="217" t="str">
        <x:v>土城區公所</x:v>
      </x:c>
      <x:c r="C1101" s="217" t="str">
        <x:v>土城區</x:v>
      </x:c>
      <x:c r="D1101" s="217" t="n">
        <x:v>28</x:v>
      </x:c>
      <x:c r="E1101" s="217" t="n">
        <x:v>120</x:v>
      </x:c>
      <x:c r="F1101" s="218" t="n">
        <x:v>0.9994791666666667</x:v>
      </x:c>
      <x:c r="G1101" s="217" t="n">
        <x:v>1097</x:v>
      </x:c>
      <x:c r="H1101" s="217" t="str">
        <x:f>IF(G1101&lt;='排名定義'!$B$5,"是","")</x:f>
        <x:v>是</x:v>
      </x:c>
      <x:c r="I1101" s="217" t="n">
        <x:v>1092</x:v>
      </x:c>
      <x:c r="J1101" s="217" t="str">
        <x:f>IF(I1101&lt;='排名定義'!$B$5,"是","")</x:f>
        <x:v>是</x:v>
      </x:c>
      <x:c r="K1101" s="217" t="n">
        <x:v>1054</x:v>
      </x:c>
      <x:c r="L1101" s="217" t="str">
        <x:f>IF(K1101&lt;='排名定義'!$B$5,"是","")</x:f>
        <x:v>是</x:v>
      </x:c>
      <x:c r="M1101" s="217" t="n">
        <x:f>COUNTIF(H1101:L1101,"是")</x:f>
        <x:v>3</x:v>
      </x:c>
      <x:c r="N1101" s="217" t="str">
        <x:v>三份皆未入選</x:v>
      </x:c>
      <x:c r="O1101" s="220" t="n">
        <x:v>30.541666666666668</x:v>
      </x:c>
      <x:c r="P1101" s="220" t="n">
        <x:v>27.208333333333332</x:v>
      </x:c>
      <x:c r="Q1101" s="220" t="n">
        <x:v>3.3333333333333335</x:v>
      </x:c>
      <x:c r="R1101" s="220" t="n">
        <x:v>0.10914051841746249</x:v>
      </x:c>
      <x:c r="S1101" s="220" t="n">
        <x:v>52.12903225806452</x:v>
      </x:c>
      <x:c r="T1101" s="220" t="n">
        <x:v>48.29032258064516</x:v>
      </x:c>
      <x:c r="U1101" s="220" t="n">
        <x:v>3.838709677419355</x:v>
      </x:c>
      <x:c r="V1101" s="218" t="n">
        <x:v>0.018433179723502304</x:v>
      </x:c>
      <x:c r="W1101" s="217" t="n">
        <x:v>23</x:v>
      </x:c>
      <x:c r="X1101" s="222" t="n">
        <x:v>2490</x:v>
      </x:c>
      <x:c r="Y1101" s="217" t="n">
        <x:v>28</x:v>
      </x:c>
    </x:row>
    <x:row r="1102">
      <x:c r="A1102" s="216" t="n">
        <x:v>628</x:v>
      </x:c>
      <x:c r="B1102" s="216" t="str">
        <x:v>中山八德街口</x:v>
      </x:c>
      <x:c r="C1102" s="216" t="str">
        <x:v>樹林區</x:v>
      </x:c>
      <x:c r="D1102" s="216" t="n">
        <x:v>20</x:v>
      </x:c>
      <x:c r="E1102" s="216" t="n">
        <x:v>120</x:v>
      </x:c>
      <x:c r="F1102" s="219" t="n">
        <x:v>0.9994791666666667</x:v>
      </x:c>
      <x:c r="G1102" s="216" t="n">
        <x:v>1098</x:v>
      </x:c>
      <x:c r="H1102" s="216" t="str">
        <x:f>IF(G1102&lt;='排名定義'!$B$5,"是","")</x:f>
        <x:v>是</x:v>
      </x:c>
      <x:c r="I1102" s="216" t="n">
        <x:v>1086</x:v>
      </x:c>
      <x:c r="J1102" s="216" t="str">
        <x:f>IF(I1102&lt;='排名定義'!$B$5,"是","")</x:f>
        <x:v>是</x:v>
      </x:c>
      <x:c r="K1102" s="216" t="n">
        <x:v>1189</x:v>
      </x:c>
      <x:c r="L1102" s="216" t="str">
        <x:f>IF(K1102&lt;='排名定義'!$B$5,"是","")</x:f>
        <x:v>是</x:v>
      </x:c>
      <x:c r="M1102" s="216" t="n">
        <x:f>COUNTIF(H1102:L1102,"是")</x:f>
        <x:v>3</x:v>
      </x:c>
      <x:c r="N1102" s="216" t="str">
        <x:v>三份皆未入選</x:v>
      </x:c>
      <x:c r="O1102" s="221" t="n">
        <x:v>30.508333333333333</x:v>
      </x:c>
      <x:c r="P1102" s="221" t="n">
        <x:v>27.583333333333332</x:v>
      </x:c>
      <x:c r="Q1102" s="221" t="n">
        <x:v>2.925</x:v>
      </x:c>
      <x:c r="R1102" s="221" t="n">
        <x:v>0.09587544386779569</x:v>
      </x:c>
      <x:c r="S1102" s="221" t="n">
        <x:v>42.806451612903224</x:v>
      </x:c>
      <x:c r="T1102" s="221" t="n">
        <x:v>40.483870967741936</x:v>
      </x:c>
      <x:c r="U1102" s="221" t="n">
        <x:v>2.3225806451612905</x:v>
      </x:c>
      <x:c r="V1102" s="219" t="n">
        <x:v>0.04838709677419355</x:v>
      </x:c>
      <x:c r="W1102" s="216" t="n">
        <x:v>10</x:v>
      </x:c>
      <x:c r="X1102" s="223" t="n">
        <x:v>1230</x:v>
      </x:c>
      <x:c r="Y1102" s="216" t="n">
        <x:v>20</x:v>
      </x:c>
    </x:row>
    <x:row r="1103">
      <x:c r="A1103" s="217" t="n">
        <x:v>795</x:v>
      </x:c>
      <x:c r="B1103" s="217" t="str">
        <x:v>央北二月記街口</x:v>
      </x:c>
      <x:c r="C1103" s="217" t="str">
        <x:v>新店區</x:v>
      </x:c>
      <x:c r="D1103" s="217" t="n">
        <x:v>22</x:v>
      </x:c>
      <x:c r="E1103" s="217" t="n">
        <x:v>120</x:v>
      </x:c>
      <x:c r="F1103" s="218" t="n">
        <x:v>0.9994791666666667</x:v>
      </x:c>
      <x:c r="G1103" s="217" t="n">
        <x:v>1099</x:v>
      </x:c>
      <x:c r="H1103" s="217" t="str">
        <x:f>IF(G1103&lt;='排名定義'!$B$5,"是","")</x:f>
        <x:v>是</x:v>
      </x:c>
      <x:c r="I1103" s="217" t="n">
        <x:v>1084</x:v>
      </x:c>
      <x:c r="J1103" s="217" t="str">
        <x:f>IF(I1103&lt;='排名定義'!$B$5,"是","")</x:f>
        <x:v>是</x:v>
      </x:c>
      <x:c r="K1103" s="217" t="n">
        <x:v>1243</x:v>
      </x:c>
      <x:c r="L1103" s="217" t="str">
        <x:f>IF(K1103&lt;='排名定義'!$B$5,"是","")</x:f>
        <x:v>是</x:v>
      </x:c>
      <x:c r="M1103" s="217" t="n">
        <x:f>COUNTIF(H1103:L1103,"是")</x:f>
        <x:v>3</x:v>
      </x:c>
      <x:c r="N1103" s="217" t="str">
        <x:v>三份皆未入選</x:v>
      </x:c>
      <x:c r="O1103" s="220" t="n">
        <x:v>30.45</x:v>
      </x:c>
      <x:c r="P1103" s="220" t="n">
        <x:v>27.691666666666666</x:v>
      </x:c>
      <x:c r="Q1103" s="220" t="n">
        <x:v>2.7583333333333333</x:v>
      </x:c>
      <x:c r="R1103" s="220" t="n">
        <x:v>0.0905856595511768</x:v>
      </x:c>
      <x:c r="S1103" s="220" t="n">
        <x:v>42.32258064516129</x:v>
      </x:c>
      <x:c r="T1103" s="220" t="n">
        <x:v>38.516129032258064</x:v>
      </x:c>
      <x:c r="U1103" s="220" t="n">
        <x:v>3.806451612903226</x:v>
      </x:c>
      <x:c r="V1103" s="218" t="n">
        <x:v>0.07834101382488479</x:v>
      </x:c>
      <x:c r="W1103" s="217" t="n">
        <x:v>11</x:v>
      </x:c>
      <x:c r="X1103" s="222" t="n">
        <x:v>2070</x:v>
      </x:c>
      <x:c r="Y1103" s="217" t="n">
        <x:v>22</x:v>
      </x:c>
    </x:row>
    <x:row r="1104">
      <x:c r="A1104" s="216" t="n">
        <x:v>442</x:v>
      </x:c>
      <x:c r="B1104" s="216" t="str">
        <x:v>茄苳茄福街口</x:v>
      </x:c>
      <x:c r="C1104" s="216" t="str">
        <x:v>汐止區</x:v>
      </x:c>
      <x:c r="D1104" s="216" t="n">
        <x:v>15</x:v>
      </x:c>
      <x:c r="E1104" s="216" t="n">
        <x:v>120</x:v>
      </x:c>
      <x:c r="F1104" s="219" t="n">
        <x:v>0.9994791666666667</x:v>
      </x:c>
      <x:c r="G1104" s="216" t="n">
        <x:v>1100</x:v>
      </x:c>
      <x:c r="H1104" s="216" t="str">
        <x:f>IF(G1104&lt;='排名定義'!$B$5,"是","")</x:f>
        <x:v>是</x:v>
      </x:c>
      <x:c r="I1104" s="216" t="n">
        <x:v>1082</x:v>
      </x:c>
      <x:c r="J1104" s="216" t="str">
        <x:f>IF(I1104&lt;='排名定義'!$B$5,"是","")</x:f>
        <x:v>是</x:v>
      </x:c>
      <x:c r="K1104" s="216" t="n">
        <x:v>1260</x:v>
      </x:c>
      <x:c r="L1104" s="216" t="str">
        <x:f>IF(K1104&lt;='排名定義'!$B$5,"是","")</x:f>
        <x:v>是</x:v>
      </x:c>
      <x:c r="M1104" s="216" t="n">
        <x:f>COUNTIF(H1104:L1104,"是")</x:f>
        <x:v>3</x:v>
      </x:c>
      <x:c r="N1104" s="216" t="str">
        <x:v>三份皆未入選</x:v>
      </x:c>
      <x:c r="O1104" s="221" t="n">
        <x:v>30.433333333333334</x:v>
      </x:c>
      <x:c r="P1104" s="221" t="n">
        <x:v>27.775</x:v>
      </x:c>
      <x:c r="Q1104" s="221" t="n">
        <x:v>2.658333333333333</x:v>
      </x:c>
      <x:c r="R1104" s="221" t="n">
        <x:v>0.08734939759036145</x:v>
      </x:c>
      <x:c r="S1104" s="221" t="n">
        <x:v>48.935483870967744</x:v>
      </x:c>
      <x:c r="T1104" s="221" t="n">
        <x:v>45.645161290322584</x:v>
      </x:c>
      <x:c r="U1104" s="221" t="n">
        <x:v>3.2903225806451615</x:v>
      </x:c>
      <x:c r="V1104" s="219" t="n">
        <x:v>0.08525345622119816</x:v>
      </x:c>
      <x:c r="W1104" s="216" t="n">
        <x:v>25</x:v>
      </x:c>
      <x:c r="X1104" s="223" t="n">
        <x:v>2730</x:v>
      </x:c>
      <x:c r="Y1104" s="216" t="n">
        <x:v>15</x:v>
      </x:c>
    </x:row>
    <x:row r="1105">
      <x:c r="A1105" s="217" t="n">
        <x:v>262</x:v>
      </x:c>
      <x:c r="B1105" s="217" t="str">
        <x:v>俊英大安路口</x:v>
      </x:c>
      <x:c r="C1105" s="217" t="str">
        <x:v>樹林區</x:v>
      </x:c>
      <x:c r="D1105" s="217" t="n">
        <x:v>14</x:v>
      </x:c>
      <x:c r="E1105" s="217" t="n">
        <x:v>120</x:v>
      </x:c>
      <x:c r="F1105" s="218" t="n">
        <x:v>0.9994791666666667</x:v>
      </x:c>
      <x:c r="G1105" s="217" t="n">
        <x:v>1101</x:v>
      </x:c>
      <x:c r="H1105" s="217" t="str">
        <x:f>IF(G1105&lt;='排名定義'!$B$5,"是","")</x:f>
        <x:v>是</x:v>
      </x:c>
      <x:c r="I1105" s="217" t="n">
        <x:v>1116</x:v>
      </x:c>
      <x:c r="J1105" s="217" t="str">
        <x:f>IF(I1105&lt;='排名定義'!$B$5,"是","")</x:f>
        <x:v>是</x:v>
      </x:c>
      <x:c r="K1105" s="217" t="n">
        <x:v>813</x:v>
      </x:c>
      <x:c r="L1105" s="217" t="str">
        <x:f>IF(K1105&lt;='排名定義'!$B$5,"是","")</x:f>
        <x:v>是</x:v>
      </x:c>
      <x:c r="M1105" s="217" t="n">
        <x:f>COUNTIF(H1105:L1105,"是")</x:f>
        <x:v>3</x:v>
      </x:c>
      <x:c r="N1105" s="217" t="str">
        <x:v>三份皆未入選</x:v>
      </x:c>
      <x:c r="O1105" s="220" t="n">
        <x:v>30.275</x:v>
      </x:c>
      <x:c r="P1105" s="220" t="n">
        <x:v>26.325</x:v>
      </x:c>
      <x:c r="Q1105" s="220" t="n">
        <x:v>3.95</x:v>
      </x:c>
      <x:c r="R1105" s="220" t="n">
        <x:v>0.13047068538398018</x:v>
      </x:c>
      <x:c r="S1105" s="220" t="n">
        <x:v>46.935483870967744</x:v>
      </x:c>
      <x:c r="T1105" s="220" t="n">
        <x:v>44.41935483870968</x:v>
      </x:c>
      <x:c r="U1105" s="220" t="n">
        <x:v>2.5161290322580645</x:v>
      </x:c>
      <x:c r="V1105" s="218" t="n">
        <x:v>0.07142857142857142</x:v>
      </x:c>
      <x:c r="W1105" s="217" t="n">
        <x:v>8</x:v>
      </x:c>
      <x:c r="X1105" s="222" t="n">
        <x:v>1560</x:v>
      </x:c>
      <x:c r="Y1105" s="217" t="n">
        <x:v>14</x:v>
      </x:c>
    </x:row>
    <x:row r="1106">
      <x:c r="A1106" s="216" t="n">
        <x:v>729</x:v>
      </x:c>
      <x:c r="B1106" s="216" t="str">
        <x:v>芳洲八路</x:v>
      </x:c>
      <x:c r="C1106" s="216" t="str">
        <x:v>五股區</x:v>
      </x:c>
      <x:c r="D1106" s="216" t="n">
        <x:v>20</x:v>
      </x:c>
      <x:c r="E1106" s="216" t="n">
        <x:v>120</x:v>
      </x:c>
      <x:c r="F1106" s="219" t="n">
        <x:v>0.9994791666666667</x:v>
      </x:c>
      <x:c r="G1106" s="216" t="n">
        <x:v>1102</x:v>
      </x:c>
      <x:c r="H1106" s="216" t="str">
        <x:f>IF(G1106&lt;='排名定義'!$B$5,"是","")</x:f>
        <x:v>是</x:v>
      </x:c>
      <x:c r="I1106" s="216" t="n">
        <x:v>1097</x:v>
      </x:c>
      <x:c r="J1106" s="216" t="str">
        <x:f>IF(I1106&lt;='排名定義'!$B$5,"是","")</x:f>
        <x:v>是</x:v>
      </x:c>
      <x:c r="K1106" s="216" t="n">
        <x:v>1085</x:v>
      </x:c>
      <x:c r="L1106" s="216" t="str">
        <x:f>IF(K1106&lt;='排名定義'!$B$5,"是","")</x:f>
        <x:v>是</x:v>
      </x:c>
      <x:c r="M1106" s="216" t="n">
        <x:f>COUNTIF(H1106:L1106,"是")</x:f>
        <x:v>3</x:v>
      </x:c>
      <x:c r="N1106" s="216" t="str">
        <x:v>三份皆未入選</x:v>
      </x:c>
      <x:c r="O1106" s="221" t="n">
        <x:v>30.241666666666667</x:v>
      </x:c>
      <x:c r="P1106" s="221" t="n">
        <x:v>27</x:v>
      </x:c>
      <x:c r="Q1106" s="221" t="n">
        <x:v>3.2416666666666667</x:v>
      </x:c>
      <x:c r="R1106" s="221" t="n">
        <x:v>0.10719206392945715</x:v>
      </x:c>
      <x:c r="S1106" s="221" t="n">
        <x:v>54.483870967741936</x:v>
      </x:c>
      <x:c r="T1106" s="221" t="n">
        <x:v>51.32258064516129</x:v>
      </x:c>
      <x:c r="U1106" s="221" t="n">
        <x:v>3.161290322580645</x:v>
      </x:c>
      <x:c r="V1106" s="219" t="n">
        <x:v>0.04377880184331797</x:v>
      </x:c>
      <x:c r="W1106" s="216" t="n">
        <x:v>5</x:v>
      </x:c>
      <x:c r="X1106" s="223" t="n">
        <x:v>900</x:v>
      </x:c>
      <x:c r="Y1106" s="216" t="n">
        <x:v>20</x:v>
      </x:c>
    </x:row>
    <x:row r="1107">
      <x:c r="A1107" s="217" t="n">
        <x:v>294</x:v>
      </x:c>
      <x:c r="B1107" s="217" t="str">
        <x:v>光明橋</x:v>
      </x:c>
      <x:c r="C1107" s="217" t="str">
        <x:v>鶯歌區</x:v>
      </x:c>
      <x:c r="D1107" s="217" t="n">
        <x:v>14</x:v>
      </x:c>
      <x:c r="E1107" s="217" t="n">
        <x:v>120</x:v>
      </x:c>
      <x:c r="F1107" s="218" t="n">
        <x:v>0.9994791666666667</x:v>
      </x:c>
      <x:c r="G1107" s="217" t="n">
        <x:v>1103</x:v>
      </x:c>
      <x:c r="H1107" s="217" t="str">
        <x:f>IF(G1107&lt;='排名定義'!$B$5,"是","")</x:f>
        <x:v>是</x:v>
      </x:c>
      <x:c r="I1107" s="217" t="n">
        <x:v>1096</x:v>
      </x:c>
      <x:c r="J1107" s="217" t="str">
        <x:f>IF(I1107&lt;='排名定義'!$B$5,"是","")</x:f>
        <x:v>是</x:v>
      </x:c>
      <x:c r="K1107" s="217" t="n">
        <x:v>1103</x:v>
      </x:c>
      <x:c r="L1107" s="217" t="str">
        <x:f>IF(K1107&lt;='排名定義'!$B$5,"是","")</x:f>
        <x:v>是</x:v>
      </x:c>
      <x:c r="M1107" s="217" t="n">
        <x:f>COUNTIF(H1107:L1107,"是")</x:f>
        <x:v>3</x:v>
      </x:c>
      <x:c r="N1107" s="217" t="str">
        <x:v>三份皆未入選</x:v>
      </x:c>
      <x:c r="O1107" s="220" t="n">
        <x:v>30.191666666666666</x:v>
      </x:c>
      <x:c r="P1107" s="220" t="n">
        <x:v>27</x:v>
      </x:c>
      <x:c r="Q1107" s="220" t="n">
        <x:v>3.191666666666667</x:v>
      </x:c>
      <x:c r="R1107" s="220" t="n">
        <x:v>0.1057134971018493</x:v>
      </x:c>
      <x:c r="S1107" s="220" t="n">
        <x:v>43.45161290322581</x:v>
      </x:c>
      <x:c r="T1107" s="220" t="n">
        <x:v>40.16129032258065</x:v>
      </x:c>
      <x:c r="U1107" s="220" t="n">
        <x:v>3.2903225806451615</x:v>
      </x:c>
      <x:c r="V1107" s="218" t="n">
        <x:v>0.03456221198156682</x:v>
      </x:c>
      <x:c r="W1107" s="217" t="n">
        <x:v>8</x:v>
      </x:c>
      <x:c r="X1107" s="222" t="n">
        <x:v>960</x:v>
      </x:c>
      <x:c r="Y1107" s="217" t="n">
        <x:v>14</x:v>
      </x:c>
    </x:row>
    <x:row r="1108">
      <x:c r="A1108" s="216" t="n">
        <x:v>658</x:v>
      </x:c>
      <x:c r="B1108" s="216" t="str">
        <x:v>成德公園</x:v>
      </x:c>
      <x:c r="C1108" s="216" t="str">
        <x:v>五股區</x:v>
      </x:c>
      <x:c r="D1108" s="216" t="n">
        <x:v>20</x:v>
      </x:c>
      <x:c r="E1108" s="216" t="n">
        <x:v>120</x:v>
      </x:c>
      <x:c r="F1108" s="219" t="n">
        <x:v>0.9994791666666667</x:v>
      </x:c>
      <x:c r="G1108" s="216" t="n">
        <x:v>1104</x:v>
      </x:c>
      <x:c r="H1108" s="216" t="str">
        <x:f>IF(G1108&lt;='排名定義'!$B$5,"是","")</x:f>
        <x:v>是</x:v>
      </x:c>
      <x:c r="I1108" s="216" t="n">
        <x:v>1095</x:v>
      </x:c>
      <x:c r="J1108" s="216" t="str">
        <x:f>IF(I1108&lt;='排名定義'!$B$5,"是","")</x:f>
        <x:v>是</x:v>
      </x:c>
      <x:c r="K1108" s="216" t="n">
        <x:v>1117</x:v>
      </x:c>
      <x:c r="L1108" s="216" t="str">
        <x:f>IF(K1108&lt;='排名定義'!$B$5,"是","")</x:f>
        <x:v>是</x:v>
      </x:c>
      <x:c r="M1108" s="216" t="n">
        <x:f>COUNTIF(H1108:L1108,"是")</x:f>
        <x:v>3</x:v>
      </x:c>
      <x:c r="N1108" s="216" t="str">
        <x:v>三份皆未入選</x:v>
      </x:c>
      <x:c r="O1108" s="221" t="n">
        <x:v>30.158333333333335</x:v>
      </x:c>
      <x:c r="P1108" s="221" t="n">
        <x:v>27.016666666666666</x:v>
      </x:c>
      <x:c r="Q1108" s="221" t="n">
        <x:v>3.1416666666666666</x:v>
      </x:c>
      <x:c r="R1108" s="221" t="n">
        <x:v>0.1041724233213595</x:v>
      </x:c>
      <x:c r="S1108" s="221" t="n">
        <x:v>45.903225806451616</x:v>
      </x:c>
      <x:c r="T1108" s="221" t="n">
        <x:v>42.70967741935484</x:v>
      </x:c>
      <x:c r="U1108" s="221" t="n">
        <x:v>3.193548387096774</x:v>
      </x:c>
      <x:c r="V1108" s="219" t="n">
        <x:v>0.05069124423963134</x:v>
      </x:c>
      <x:c r="W1108" s="216" t="n">
        <x:v>10</x:v>
      </x:c>
      <x:c r="X1108" s="223" t="n">
        <x:v>1290</x:v>
      </x:c>
      <x:c r="Y1108" s="216" t="n">
        <x:v>20</x:v>
      </x:c>
    </x:row>
    <x:row r="1109">
      <x:c r="A1109" s="217" t="n">
        <x:v>820</x:v>
      </x:c>
      <x:c r="B1109" s="217" t="str">
        <x:v>三張地下停車場</x:v>
      </x:c>
      <x:c r="C1109" s="217" t="str">
        <x:v>三重區</x:v>
      </x:c>
      <x:c r="D1109" s="217" t="n">
        <x:v>22</x:v>
      </x:c>
      <x:c r="E1109" s="217" t="n">
        <x:v>120</x:v>
      </x:c>
      <x:c r="F1109" s="218" t="n">
        <x:v>0.9994791666666667</x:v>
      </x:c>
      <x:c r="G1109" s="217" t="n">
        <x:v>1105</x:v>
      </x:c>
      <x:c r="H1109" s="217" t="str">
        <x:f>IF(G1109&lt;='排名定義'!$B$5,"是","")</x:f>
        <x:v>是</x:v>
      </x:c>
      <x:c r="I1109" s="217" t="n">
        <x:v>1111</x:v>
      </x:c>
      <x:c r="J1109" s="217" t="str">
        <x:f>IF(I1109&lt;='排名定義'!$B$5,"是","")</x:f>
        <x:v>是</x:v>
      </x:c>
      <x:c r="K1109" s="217" t="n">
        <x:v>953</x:v>
      </x:c>
      <x:c r="L1109" s="217" t="str">
        <x:f>IF(K1109&lt;='排名定義'!$B$5,"是","")</x:f>
        <x:v>是</x:v>
      </x:c>
      <x:c r="M1109" s="217" t="n">
        <x:f>COUNTIF(H1109:L1109,"是")</x:f>
        <x:v>3</x:v>
      </x:c>
      <x:c r="N1109" s="217" t="str">
        <x:v>三份皆未入選</x:v>
      </x:c>
      <x:c r="O1109" s="220" t="n">
        <x:v>30.083333333333332</x:v>
      </x:c>
      <x:c r="P1109" s="220" t="n">
        <x:v>26.516666666666666</x:v>
      </x:c>
      <x:c r="Q1109" s="220" t="n">
        <x:v>3.566666666666667</x:v>
      </x:c>
      <x:c r="R1109" s="220" t="n">
        <x:v>0.1185595567867036</x:v>
      </x:c>
      <x:c r="S1109" s="220" t="n">
        <x:v>49.25806451612903</x:v>
      </x:c>
      <x:c r="T1109" s="220" t="n">
        <x:v>45.61290322580645</x:v>
      </x:c>
      <x:c r="U1109" s="220" t="n">
        <x:v>3.6451612903225805</x:v>
      </x:c>
      <x:c r="V1109" s="218" t="n">
        <x:v>0.03456221198156682</x:v>
      </x:c>
      <x:c r="W1109" s="217" t="n">
        <x:v>5</x:v>
      </x:c>
      <x:c r="X1109" s="222" t="n">
        <x:v>900</x:v>
      </x:c>
      <x:c r="Y1109" s="217" t="n">
        <x:v>22</x:v>
      </x:c>
    </x:row>
    <x:row r="1110">
      <x:c r="A1110" s="216" t="n">
        <x:v>1132</x:v>
      </x:c>
      <x:c r="B1110" s="216" t="str">
        <x:v>東勢宜興活動中心</x:v>
      </x:c>
      <x:c r="C1110" s="216" t="str">
        <x:v>汐止區</x:v>
      </x:c>
      <x:c r="D1110" s="216" t="n">
        <x:v>33</x:v>
      </x:c>
      <x:c r="E1110" s="216" t="n">
        <x:v>120</x:v>
      </x:c>
      <x:c r="F1110" s="219" t="n">
        <x:v>0.9994791666666667</x:v>
      </x:c>
      <x:c r="G1110" s="216" t="n">
        <x:v>1106</x:v>
      </x:c>
      <x:c r="H1110" s="216" t="str">
        <x:f>IF(G1110&lt;='排名定義'!$B$5,"是","")</x:f>
        <x:v>是</x:v>
      </x:c>
      <x:c r="I1110" s="216" t="n">
        <x:v>1121</x:v>
      </x:c>
      <x:c r="J1110" s="216" t="str">
        <x:f>IF(I1110&lt;='排名定義'!$B$5,"是","")</x:f>
        <x:v>是</x:v>
      </x:c>
      <x:c r="K1110" s="216" t="n">
        <x:v>790</x:v>
      </x:c>
      <x:c r="L1110" s="216" t="str">
        <x:f>IF(K1110&lt;='排名定義'!$B$5,"是","")</x:f>
        <x:v>是</x:v>
      </x:c>
      <x:c r="M1110" s="216" t="n">
        <x:f>COUNTIF(H1110:L1110,"是")</x:f>
        <x:v>3</x:v>
      </x:c>
      <x:c r="N1110" s="216" t="str">
        <x:v>三份皆未入選</x:v>
      </x:c>
      <x:c r="O1110" s="221" t="n">
        <x:v>30.016666666666666</x:v>
      </x:c>
      <x:c r="P1110" s="221" t="n">
        <x:v>26</x:v>
      </x:c>
      <x:c r="Q1110" s="221" t="n">
        <x:v>4.016666666666667</x:v>
      </x:c>
      <x:c r="R1110" s="221" t="n">
        <x:v>0.13381454747362576</x:v>
      </x:c>
      <x:c r="S1110" s="221" t="n">
        <x:v>50.903225806451616</x:v>
      </x:c>
      <x:c r="T1110" s="221" t="n">
        <x:v>47.29032258064516</x:v>
      </x:c>
      <x:c r="U1110" s="221" t="n">
        <x:v>3.6129032258064515</x:v>
      </x:c>
      <x:c r="V1110" s="219" t="n">
        <x:v>0.02304147465437788</x:v>
      </x:c>
      <x:c r="W1110" s="216" t="n">
        <x:v>12</x:v>
      </x:c>
      <x:c r="X1110" s="223" t="n">
        <x:v>1260</x:v>
      </x:c>
      <x:c r="Y1110" s="216" t="n">
        <x:v>33</x:v>
      </x:c>
    </x:row>
    <x:row r="1111">
      <x:c r="A1111" s="217" t="n">
        <x:v>325</x:v>
      </x:c>
      <x:c r="B1111" s="217" t="str">
        <x:v>中正淡海路口</x:v>
      </x:c>
      <x:c r="C1111" s="217" t="str">
        <x:v>淡水區</x:v>
      </x:c>
      <x:c r="D1111" s="217" t="n">
        <x:v>15</x:v>
      </x:c>
      <x:c r="E1111" s="217" t="n">
        <x:v>120</x:v>
      </x:c>
      <x:c r="F1111" s="218" t="n">
        <x:v>0.9994791666666667</x:v>
      </x:c>
      <x:c r="G1111" s="217" t="n">
        <x:v>1107</x:v>
      </x:c>
      <x:c r="H1111" s="217" t="str">
        <x:f>IF(G1111&lt;='排名定義'!$B$5,"是","")</x:f>
        <x:v>是</x:v>
      </x:c>
      <x:c r="I1111" s="217" t="n">
        <x:v>1100</x:v>
      </x:c>
      <x:c r="J1111" s="217" t="str">
        <x:f>IF(I1111&lt;='排名定義'!$B$5,"是","")</x:f>
        <x:v>是</x:v>
      </x:c>
      <x:c r="K1111" s="217" t="n">
        <x:v>1148</x:v>
      </x:c>
      <x:c r="L1111" s="217" t="str">
        <x:f>IF(K1111&lt;='排名定義'!$B$5,"是","")</x:f>
        <x:v>是</x:v>
      </x:c>
      <x:c r="M1111" s="217" t="n">
        <x:f>COUNTIF(H1111:L1111,"是")</x:f>
        <x:v>3</x:v>
      </x:c>
      <x:c r="N1111" s="217" t="str">
        <x:v>三份皆未入選</x:v>
      </x:c>
      <x:c r="O1111" s="220" t="n">
        <x:v>29.966666666666665</x:v>
      </x:c>
      <x:c r="P1111" s="220" t="n">
        <x:v>26.9</x:v>
      </x:c>
      <x:c r="Q1111" s="220" t="n">
        <x:v>3.066666666666667</x:v>
      </x:c>
      <x:c r="R1111" s="220" t="n">
        <x:v>0.10233592880978866</x:v>
      </x:c>
      <x:c r="S1111" s="220" t="n">
        <x:v>60.806451612903224</x:v>
      </x:c>
      <x:c r="T1111" s="220" t="n">
        <x:v>55.87096774193548</x:v>
      </x:c>
      <x:c r="U1111" s="220" t="n">
        <x:v>4.935483870967742</x:v>
      </x:c>
      <x:c r="V1111" s="218" t="n">
        <x:v>0.09216589861751152</x:v>
      </x:c>
      <x:c r="W1111" s="217" t="n">
        <x:v>25</x:v>
      </x:c>
      <x:c r="X1111" s="222" t="n">
        <x:v>3030</x:v>
      </x:c>
      <x:c r="Y1111" s="217" t="n">
        <x:v>15</x:v>
      </x:c>
    </x:row>
    <x:row r="1112">
      <x:c r="A1112" s="216" t="n">
        <x:v>1048</x:v>
      </x:c>
      <x:c r="B1112" s="216" t="str">
        <x:v>五股郵局</x:v>
      </x:c>
      <x:c r="C1112" s="216" t="str">
        <x:v>五股區</x:v>
      </x:c>
      <x:c r="D1112" s="216" t="n">
        <x:v>30</x:v>
      </x:c>
      <x:c r="E1112" s="216" t="n">
        <x:v>120</x:v>
      </x:c>
      <x:c r="F1112" s="219" t="n">
        <x:v>0.9994791666666667</x:v>
      </x:c>
      <x:c r="G1112" s="216" t="n">
        <x:v>1108</x:v>
      </x:c>
      <x:c r="H1112" s="216" t="str">
        <x:f>IF(G1112&lt;='排名定義'!$B$5,"是","")</x:f>
        <x:v>是</x:v>
      </x:c>
      <x:c r="I1112" s="216" t="n">
        <x:v>1108</x:v>
      </x:c>
      <x:c r="J1112" s="216" t="str">
        <x:f>IF(I1112&lt;='排名定義'!$B$5,"是","")</x:f>
        <x:v>是</x:v>
      </x:c>
      <x:c r="K1112" s="216" t="n">
        <x:v>1043</x:v>
      </x:c>
      <x:c r="L1112" s="216" t="str">
        <x:f>IF(K1112&lt;='排名定義'!$B$5,"是","")</x:f>
        <x:v>是</x:v>
      </x:c>
      <x:c r="M1112" s="216" t="n">
        <x:f>COUNTIF(H1112:L1112,"是")</x:f>
        <x:v>3</x:v>
      </x:c>
      <x:c r="N1112" s="216" t="str">
        <x:v>三份皆未入選</x:v>
      </x:c>
      <x:c r="O1112" s="221" t="n">
        <x:v>29.958333333333332</x:v>
      </x:c>
      <x:c r="P1112" s="221" t="n">
        <x:v>26.608333333333334</x:v>
      </x:c>
      <x:c r="Q1112" s="221" t="n">
        <x:v>3.35</x:v>
      </x:c>
      <x:c r="R1112" s="221" t="n">
        <x:v>0.11182197496522948</x:v>
      </x:c>
      <x:c r="S1112" s="221" t="n">
        <x:v>51.29032258064516</x:v>
      </x:c>
      <x:c r="T1112" s="221" t="n">
        <x:v>47.70967741935484</x:v>
      </x:c>
      <x:c r="U1112" s="221" t="n">
        <x:v>3.5806451612903225</x:v>
      </x:c>
      <x:c r="V1112" s="219" t="n">
        <x:v>0.027649769585253458</x:v>
      </x:c>
      <x:c r="W1112" s="216" t="n">
        <x:v>6</x:v>
      </x:c>
      <x:c r="X1112" s="223" t="n">
        <x:v>840</x:v>
      </x:c>
      <x:c r="Y1112" s="216" t="n">
        <x:v>30</x:v>
      </x:c>
    </x:row>
    <x:row r="1113">
      <x:c r="A1113" s="217" t="n">
        <x:v>180</x:v>
      </x:c>
      <x:c r="B1113" s="217" t="str">
        <x:v>幸福中環路口</x:v>
      </x:c>
      <x:c r="C1113" s="217" t="str">
        <x:v>新莊區</x:v>
      </x:c>
      <x:c r="D1113" s="217" t="n">
        <x:v>12</x:v>
      </x:c>
      <x:c r="E1113" s="217" t="n">
        <x:v>120</x:v>
      </x:c>
      <x:c r="F1113" s="218" t="n">
        <x:v>0.9994791666666667</x:v>
      </x:c>
      <x:c r="G1113" s="217" t="n">
        <x:v>1109</x:v>
      </x:c>
      <x:c r="H1113" s="217" t="str">
        <x:f>IF(G1113&lt;='排名定義'!$B$5,"是","")</x:f>
        <x:v>是</x:v>
      </x:c>
      <x:c r="I1113" s="217" t="n">
        <x:v>1104</x:v>
      </x:c>
      <x:c r="J1113" s="217" t="str">
        <x:f>IF(I1113&lt;='排名定義'!$B$5,"是","")</x:f>
        <x:v>是</x:v>
      </x:c>
      <x:c r="K1113" s="217" t="n">
        <x:v>1073</x:v>
      </x:c>
      <x:c r="L1113" s="217" t="str">
        <x:f>IF(K1113&lt;='排名定義'!$B$5,"是","")</x:f>
        <x:v>是</x:v>
      </x:c>
      <x:c r="M1113" s="217" t="n">
        <x:f>COUNTIF(H1113:L1113,"是")</x:f>
        <x:v>3</x:v>
      </x:c>
      <x:c r="N1113" s="217" t="str">
        <x:v>三份皆未入選</x:v>
      </x:c>
      <x:c r="O1113" s="220" t="n">
        <x:v>29.95</x:v>
      </x:c>
      <x:c r="P1113" s="220" t="n">
        <x:v>26.666666666666668</x:v>
      </x:c>
      <x:c r="Q1113" s="220" t="n">
        <x:v>3.283333333333333</x:v>
      </x:c>
      <x:c r="R1113" s="220" t="n">
        <x:v>0.10962715637173066</x:v>
      </x:c>
      <x:c r="S1113" s="220" t="n">
        <x:v>43.29032258064516</x:v>
      </x:c>
      <x:c r="T1113" s="220" t="n">
        <x:v>40.29032258064516</x:v>
      </x:c>
      <x:c r="U1113" s="220" t="n">
        <x:v>3</x:v>
      </x:c>
      <x:c r="V1113" s="218" t="n">
        <x:v>0.11059907834101383</x:v>
      </x:c>
      <x:c r="W1113" s="217" t="n">
        <x:v>25</x:v>
      </x:c>
      <x:c r="X1113" s="222" t="n">
        <x:v>3150</x:v>
      </x:c>
      <x:c r="Y1113" s="217" t="n">
        <x:v>12</x:v>
      </x:c>
    </x:row>
    <x:row r="1114">
      <x:c r="A1114" s="216" t="n">
        <x:v>174</x:v>
      </x:c>
      <x:c r="B1114" s="216" t="str">
        <x:v>保安立體停車場</x:v>
      </x:c>
      <x:c r="C1114" s="216" t="str">
        <x:v>樹林區</x:v>
      </x:c>
      <x:c r="D1114" s="216" t="n">
        <x:v>12</x:v>
      </x:c>
      <x:c r="E1114" s="216" t="n">
        <x:v>120</x:v>
      </x:c>
      <x:c r="F1114" s="219" t="n">
        <x:v>0.9994791666666667</x:v>
      </x:c>
      <x:c r="G1114" s="216" t="n">
        <x:v>1110</x:v>
      </x:c>
      <x:c r="H1114" s="216" t="str">
        <x:f>IF(G1114&lt;='排名定義'!$B$5,"是","")</x:f>
        <x:v>是</x:v>
      </x:c>
      <x:c r="I1114" s="216" t="n">
        <x:v>1088</x:v>
      </x:c>
      <x:c r="J1114" s="216" t="str">
        <x:f>IF(I1114&lt;='排名定義'!$B$5,"是","")</x:f>
        <x:v>是</x:v>
      </x:c>
      <x:c r="K1114" s="216" t="n">
        <x:v>1284</x:v>
      </x:c>
      <x:c r="L1114" s="216" t="str">
        <x:f>IF(K1114&lt;='排名定義'!$B$5,"是","")</x:f>
        <x:v>是</x:v>
      </x:c>
      <x:c r="M1114" s="216" t="n">
        <x:f>COUNTIF(H1114:L1114,"是")</x:f>
        <x:v>3</x:v>
      </x:c>
      <x:c r="N1114" s="216" t="str">
        <x:v>三份皆未入選</x:v>
      </x:c>
      <x:c r="O1114" s="221" t="n">
        <x:v>29.925</x:v>
      </x:c>
      <x:c r="P1114" s="221" t="n">
        <x:v>27.358333333333334</x:v>
      </x:c>
      <x:c r="Q1114" s="221" t="n">
        <x:v>2.566666666666667</x:v>
      </x:c>
      <x:c r="R1114" s="221" t="n">
        <x:v>0.08576998050682261</x:v>
      </x:c>
      <x:c r="S1114" s="221" t="n">
        <x:v>43.83870967741935</x:v>
      </x:c>
      <x:c r="T1114" s="221" t="n">
        <x:v>42</x:v>
      </x:c>
      <x:c r="U1114" s="221" t="n">
        <x:v>1.8387096774193548</x:v>
      </x:c>
      <x:c r="V1114" s="219" t="n">
        <x:v>0.055299539170506916</x:v>
      </x:c>
      <x:c r="W1114" s="216" t="n">
        <x:v>31</x:v>
      </x:c>
      <x:c r="X1114" s="223" t="n">
        <x:v>3510</x:v>
      </x:c>
      <x:c r="Y1114" s="216" t="n">
        <x:v>12</x:v>
      </x:c>
    </x:row>
    <x:row r="1115">
      <x:c r="A1115" s="217" t="n">
        <x:v>1329</x:v>
      </x:c>
      <x:c r="B1115" s="217" t="str">
        <x:v>文中三平面停車場</x:v>
      </x:c>
      <x:c r="C1115" s="217" t="str">
        <x:v>新莊區</x:v>
      </x:c>
      <x:c r="D1115" s="217" t="n">
        <x:v>42</x:v>
      </x:c>
      <x:c r="E1115" s="217" t="n">
        <x:v>120</x:v>
      </x:c>
      <x:c r="F1115" s="218" t="n">
        <x:v>0.9994791666666667</x:v>
      </x:c>
      <x:c r="G1115" s="217" t="n">
        <x:v>1111</x:v>
      </x:c>
      <x:c r="H1115" s="217" t="str">
        <x:f>IF(G1115&lt;='排名定義'!$B$5,"是","")</x:f>
        <x:v>是</x:v>
      </x:c>
      <x:c r="I1115" s="217" t="n">
        <x:v>1130</x:v>
      </x:c>
      <x:c r="J1115" s="217" t="str">
        <x:f>IF(I1115&lt;='排名定義'!$B$5,"是","")</x:f>
        <x:v>是</x:v>
      </x:c>
      <x:c r="K1115" s="217" t="n">
        <x:v>741</x:v>
      </x:c>
      <x:c r="L1115" s="217" t="str">
        <x:f>IF(K1115&lt;='排名定義'!$B$5,"是","")</x:f>
        <x:v>是</x:v>
      </x:c>
      <x:c r="M1115" s="217" t="n">
        <x:f>COUNTIF(H1115:L1115,"是")</x:f>
        <x:v>3</x:v>
      </x:c>
      <x:c r="N1115" s="217" t="str">
        <x:v>三份皆未入選</x:v>
      </x:c>
      <x:c r="O1115" s="220" t="n">
        <x:v>29.908333333333335</x:v>
      </x:c>
      <x:c r="P1115" s="220" t="n">
        <x:v>25.733333333333334</x:v>
      </x:c>
      <x:c r="Q1115" s="220" t="n">
        <x:v>4.175</x:v>
      </x:c>
      <x:c r="R1115" s="220" t="n">
        <x:v>0.13959320144887155</x:v>
      </x:c>
      <x:c r="S1115" s="220" t="n">
        <x:v>48.83870967741935</x:v>
      </x:c>
      <x:c r="T1115" s="220" t="n">
        <x:v>43.516129032258064</x:v>
      </x:c>
      <x:c r="U1115" s="220" t="n">
        <x:v>5.32258064516129</x:v>
      </x:c>
      <x:c r="V1115" s="218" t="n">
        <x:v>0.020737327188940093</x:v>
      </x:c>
      <x:c r="W1115" s="217" t="n">
        <x:v>7</x:v>
      </x:c>
      <x:c r="X1115" s="222" t="n">
        <x:v>900</x:v>
      </x:c>
      <x:c r="Y1115" s="217" t="n">
        <x:v>42</x:v>
      </x:c>
    </x:row>
    <x:row r="1116">
      <x:c r="A1116" s="216" t="n">
        <x:v>639</x:v>
      </x:c>
      <x:c r="B1116" s="216" t="str">
        <x:v>凌雲路一段158巷口</x:v>
      </x:c>
      <x:c r="C1116" s="216" t="str">
        <x:v>五股區</x:v>
      </x:c>
      <x:c r="D1116" s="216" t="n">
        <x:v>20</x:v>
      </x:c>
      <x:c r="E1116" s="216" t="n">
        <x:v>120</x:v>
      </x:c>
      <x:c r="F1116" s="219" t="n">
        <x:v>0.9994791666666667</x:v>
      </x:c>
      <x:c r="G1116" s="216" t="n">
        <x:v>1112</x:v>
      </x:c>
      <x:c r="H1116" s="216" t="str">
        <x:f>IF(G1116&lt;='排名定義'!$B$5,"是","")</x:f>
        <x:v>是</x:v>
      </x:c>
      <x:c r="I1116" s="216" t="n">
        <x:v>1110</x:v>
      </x:c>
      <x:c r="J1116" s="216" t="str">
        <x:f>IF(I1116&lt;='排名定義'!$B$5,"是","")</x:f>
        <x:v>是</x:v>
      </x:c>
      <x:c r="K1116" s="216" t="n">
        <x:v>1049</x:v>
      </x:c>
      <x:c r="L1116" s="216" t="str">
        <x:f>IF(K1116&lt;='排名定義'!$B$5,"是","")</x:f>
        <x:v>是</x:v>
      </x:c>
      <x:c r="M1116" s="216" t="n">
        <x:f>COUNTIF(H1116:L1116,"是")</x:f>
        <x:v>3</x:v>
      </x:c>
      <x:c r="N1116" s="216" t="str">
        <x:v>三份皆未入選</x:v>
      </x:c>
      <x:c r="O1116" s="221" t="n">
        <x:v>29.858333333333334</x:v>
      </x:c>
      <x:c r="P1116" s="221" t="n">
        <x:v>26.516666666666666</x:v>
      </x:c>
      <x:c r="Q1116" s="221" t="n">
        <x:v>3.341666666666667</x:v>
      </x:c>
      <x:c r="R1116" s="221" t="n">
        <x:v>0.11191738766396875</x:v>
      </x:c>
      <x:c r="S1116" s="221" t="n">
        <x:v>45.935483870967744</x:v>
      </x:c>
      <x:c r="T1116" s="221" t="n">
        <x:v>43.225806451612904</x:v>
      </x:c>
      <x:c r="U1116" s="221" t="n">
        <x:v>2.7096774193548385</x:v>
      </x:c>
      <x:c r="V1116" s="219" t="n">
        <x:v>0.06912442396313365</x:v>
      </x:c>
      <x:c r="W1116" s="216" t="n">
        <x:v>17</x:v>
      </x:c>
      <x:c r="X1116" s="223" t="n">
        <x:v>1860</x:v>
      </x:c>
      <x:c r="Y1116" s="216" t="n">
        <x:v>20</x:v>
      </x:c>
    </x:row>
    <x:row r="1117">
      <x:c r="A1117" s="217" t="n">
        <x:v>712</x:v>
      </x:c>
      <x:c r="B1117" s="217" t="str">
        <x:v>新市三崁頂三路口</x:v>
      </x:c>
      <x:c r="C1117" s="217" t="str">
        <x:v>淡水區</x:v>
      </x:c>
      <x:c r="D1117" s="217" t="n">
        <x:v>20</x:v>
      </x:c>
      <x:c r="E1117" s="217" t="n">
        <x:v>120</x:v>
      </x:c>
      <x:c r="F1117" s="218" t="n">
        <x:v>0.9994791666666667</x:v>
      </x:c>
      <x:c r="G1117" s="217" t="n">
        <x:v>1113</x:v>
      </x:c>
      <x:c r="H1117" s="217" t="str">
        <x:f>IF(G1117&lt;='排名定義'!$B$5,"是","")</x:f>
        <x:v>是</x:v>
      </x:c>
      <x:c r="I1117" s="217" t="n">
        <x:v>1103</x:v>
      </x:c>
      <x:c r="J1117" s="217" t="str">
        <x:f>IF(I1117&lt;='排名定義'!$B$5,"是","")</x:f>
        <x:v>是</x:v>
      </x:c>
      <x:c r="K1117" s="217" t="n">
        <x:v>1137</x:v>
      </x:c>
      <x:c r="L1117" s="217" t="str">
        <x:f>IF(K1117&lt;='排名定義'!$B$5,"是","")</x:f>
        <x:v>是</x:v>
      </x:c>
      <x:c r="M1117" s="217" t="n">
        <x:f>COUNTIF(H1117:L1117,"是")</x:f>
        <x:v>3</x:v>
      </x:c>
      <x:c r="N1117" s="217" t="str">
        <x:v>三份皆未入選</x:v>
      </x:c>
      <x:c r="O1117" s="220" t="n">
        <x:v>29.783333333333335</x:v>
      </x:c>
      <x:c r="P1117" s="220" t="n">
        <x:v>26.683333333333334</x:v>
      </x:c>
      <x:c r="Q1117" s="220" t="n">
        <x:v>3.1</x:v>
      </x:c>
      <x:c r="R1117" s="220" t="n">
        <x:v>0.10408505875769446</x:v>
      </x:c>
      <x:c r="S1117" s="220" t="n">
        <x:v>50.225806451612904</x:v>
      </x:c>
      <x:c r="T1117" s="220" t="n">
        <x:v>47.806451612903224</x:v>
      </x:c>
      <x:c r="U1117" s="220" t="n">
        <x:v>2.4193548387096775</x:v>
      </x:c>
      <x:c r="V1117" s="218" t="n">
        <x:v>0.06912442396313365</x:v>
      </x:c>
      <x:c r="W1117" s="217" t="n">
        <x:v>11</x:v>
      </x:c>
      <x:c r="X1117" s="222" t="n">
        <x:v>1500</x:v>
      </x:c>
      <x:c r="Y1117" s="217" t="n">
        <x:v>20</x:v>
      </x:c>
    </x:row>
    <x:row r="1118">
      <x:c r="A1118" s="216" t="n">
        <x:v>733</x:v>
      </x:c>
      <x:c r="B1118" s="216" t="str">
        <x:v>輕軌陽光運動公園站</x:v>
      </x:c>
      <x:c r="C1118" s="216" t="str">
        <x:v>新店區</x:v>
      </x:c>
      <x:c r="D1118" s="216" t="n">
        <x:v>20</x:v>
      </x:c>
      <x:c r="E1118" s="216" t="n">
        <x:v>120</x:v>
      </x:c>
      <x:c r="F1118" s="219" t="n">
        <x:v>0.9994791666666667</x:v>
      </x:c>
      <x:c r="G1118" s="216" t="n">
        <x:v>1114</x:v>
      </x:c>
      <x:c r="H1118" s="216" t="str">
        <x:f>IF(G1118&lt;='排名定義'!$B$5,"是","")</x:f>
        <x:v>是</x:v>
      </x:c>
      <x:c r="I1118" s="216" t="n">
        <x:v>1113</x:v>
      </x:c>
      <x:c r="J1118" s="216" t="str">
        <x:f>IF(I1118&lt;='排名定義'!$B$5,"是","")</x:f>
        <x:v>是</x:v>
      </x:c>
      <x:c r="K1118" s="216" t="n">
        <x:v>1077</x:v>
      </x:c>
      <x:c r="L1118" s="216" t="str">
        <x:f>IF(K1118&lt;='排名定義'!$B$5,"是","")</x:f>
        <x:v>是</x:v>
      </x:c>
      <x:c r="M1118" s="216" t="n">
        <x:f>COUNTIF(H1118:L1118,"是")</x:f>
        <x:v>3</x:v>
      </x:c>
      <x:c r="N1118" s="216" t="str">
        <x:v>三份皆未入選</x:v>
      </x:c>
      <x:c r="O1118" s="221" t="n">
        <x:v>29.741666666666667</x:v>
      </x:c>
      <x:c r="P1118" s="221" t="n">
        <x:v>26.483333333333334</x:v>
      </x:c>
      <x:c r="Q1118" s="221" t="n">
        <x:v>3.2583333333333333</x:v>
      </x:c>
      <x:c r="R1118" s="221" t="n">
        <x:v>0.10955449705799944</x:v>
      </x:c>
      <x:c r="S1118" s="221" t="n">
        <x:v>46.12903225806452</x:v>
      </x:c>
      <x:c r="T1118" s="221" t="n">
        <x:v>42.61290322580645</x:v>
      </x:c>
      <x:c r="U1118" s="221" t="n">
        <x:v>3.5161290322580645</x:v>
      </x:c>
      <x:c r="V1118" s="219" t="n">
        <x:v>0.0967741935483871</x:v>
      </x:c>
      <x:c r="W1118" s="216" t="n">
        <x:v>17</x:v>
      </x:c>
      <x:c r="X1118" s="223" t="n">
        <x:v>1920</x:v>
      </x:c>
      <x:c r="Y1118" s="216" t="n">
        <x:v>20</x:v>
      </x:c>
    </x:row>
    <x:row r="1119">
      <x:c r="A1119" s="217" t="n">
        <x:v>1189</x:v>
      </x:c>
      <x:c r="B1119" s="217" t="str">
        <x:v>輕軌沙崙站</x:v>
      </x:c>
      <x:c r="C1119" s="217" t="str">
        <x:v>淡水區</x:v>
      </x:c>
      <x:c r="D1119" s="217" t="n">
        <x:v>36</x:v>
      </x:c>
      <x:c r="E1119" s="217" t="n">
        <x:v>120</x:v>
      </x:c>
      <x:c r="F1119" s="218" t="n">
        <x:v>0.9994791666666667</x:v>
      </x:c>
      <x:c r="G1119" s="217" t="n">
        <x:v>1115</x:v>
      </x:c>
      <x:c r="H1119" s="217" t="str">
        <x:f>IF(G1119&lt;='排名定義'!$B$5,"是","")</x:f>
        <x:v>是</x:v>
      </x:c>
      <x:c r="I1119" s="217" t="n">
        <x:v>1137</x:v>
      </x:c>
      <x:c r="J1119" s="217" t="str">
        <x:f>IF(I1119&lt;='排名定義'!$B$5,"是","")</x:f>
        <x:v>是</x:v>
      </x:c>
      <x:c r="K1119" s="217" t="n">
        <x:v>718</x:v>
      </x:c>
      <x:c r="L1119" s="217" t="str">
        <x:f>IF(K1119&lt;='排名定義'!$B$5,"是","")</x:f>
        <x:v>是</x:v>
      </x:c>
      <x:c r="M1119" s="217" t="n">
        <x:f>COUNTIF(H1119:L1119,"是")</x:f>
        <x:v>3</x:v>
      </x:c>
      <x:c r="N1119" s="217" t="str">
        <x:v>三份皆未入選</x:v>
      </x:c>
      <x:c r="O1119" s="220" t="n">
        <x:v>29.675</x:v>
      </x:c>
      <x:c r="P1119" s="220" t="n">
        <x:v>25.416666666666668</x:v>
      </x:c>
      <x:c r="Q1119" s="220" t="n">
        <x:v>4.258333333333334</x:v>
      </x:c>
      <x:c r="R1119" s="220" t="n">
        <x:v>0.14349901713001967</x:v>
      </x:c>
      <x:c r="S1119" s="220" t="n">
        <x:v>60.45161290322581</x:v>
      </x:c>
      <x:c r="T1119" s="220" t="n">
        <x:v>54.645161290322584</x:v>
      </x:c>
      <x:c r="U1119" s="220" t="n">
        <x:v>5.806451612903226</x:v>
      </x:c>
      <x:c r="V1119" s="218" t="n">
        <x:v>0.02534562211981567</x:v>
      </x:c>
      <x:c r="W1119" s="217" t="n">
        <x:v>7</x:v>
      </x:c>
      <x:c r="X1119" s="222" t="n">
        <x:v>990</x:v>
      </x:c>
      <x:c r="Y1119" s="217" t="n">
        <x:v>36</x:v>
      </x:c>
    </x:row>
    <x:row r="1120">
      <x:c r="A1120" s="216" t="n">
        <x:v>692</x:v>
      </x:c>
      <x:c r="B1120" s="216" t="str">
        <x:v>鳳一鳳吉一街口</x:v>
      </x:c>
      <x:c r="C1120" s="216" t="str">
        <x:v>鶯歌區</x:v>
      </x:c>
      <x:c r="D1120" s="216" t="n">
        <x:v>20</x:v>
      </x:c>
      <x:c r="E1120" s="216" t="n">
        <x:v>120</x:v>
      </x:c>
      <x:c r="F1120" s="219" t="n">
        <x:v>0.9994791666666667</x:v>
      </x:c>
      <x:c r="G1120" s="216" t="n">
        <x:v>1116</x:v>
      </x:c>
      <x:c r="H1120" s="216" t="str">
        <x:f>IF(G1120&lt;='排名定義'!$B$5,"是","")</x:f>
        <x:v>是</x:v>
      </x:c>
      <x:c r="I1120" s="216" t="n">
        <x:v>1106</x:v>
      </x:c>
      <x:c r="J1120" s="216" t="str">
        <x:f>IF(I1120&lt;='排名定義'!$B$5,"是","")</x:f>
        <x:v>是</x:v>
      </x:c>
      <x:c r="K1120" s="216" t="n">
        <x:v>1176</x:v>
      </x:c>
      <x:c r="L1120" s="216" t="str">
        <x:f>IF(K1120&lt;='排名定義'!$B$5,"是","")</x:f>
        <x:v>是</x:v>
      </x:c>
      <x:c r="M1120" s="216" t="n">
        <x:f>COUNTIF(H1120:L1120,"是")</x:f>
        <x:v>3</x:v>
      </x:c>
      <x:c r="N1120" s="216" t="str">
        <x:v>三份皆未入選</x:v>
      </x:c>
      <x:c r="O1120" s="221" t="n">
        <x:v>29.625</x:v>
      </x:c>
      <x:c r="P1120" s="221" t="n">
        <x:v>26.65</x:v>
      </x:c>
      <x:c r="Q1120" s="221" t="n">
        <x:v>2.975</x:v>
      </x:c>
      <x:c r="R1120" s="221" t="n">
        <x:v>0.10042194092827005</x:v>
      </x:c>
      <x:c r="S1120" s="221" t="n">
        <x:v>54.61290322580645</x:v>
      </x:c>
      <x:c r="T1120" s="221" t="n">
        <x:v>51.483870967741936</x:v>
      </x:c>
      <x:c r="U1120" s="221" t="n">
        <x:v>3.129032258064516</x:v>
      </x:c>
      <x:c r="V1120" s="219" t="n">
        <x:v>0.06451612903225806</x:v>
      </x:c>
      <x:c r="W1120" s="216" t="n">
        <x:v>10</x:v>
      </x:c>
      <x:c r="X1120" s="223" t="n">
        <x:v>1350</x:v>
      </x:c>
      <x:c r="Y1120" s="216" t="n">
        <x:v>20</x:v>
      </x:c>
    </x:row>
    <x:row r="1121">
      <x:c r="A1121" s="217" t="n">
        <x:v>195</x:v>
      </x:c>
      <x:c r="B1121" s="217" t="str">
        <x:v>汐止國民運動中心游泳池(忠孝東路)</x:v>
      </x:c>
      <x:c r="C1121" s="217" t="str">
        <x:v>汐止區</x:v>
      </x:c>
      <x:c r="D1121" s="217" t="n">
        <x:v>12</x:v>
      </x:c>
      <x:c r="E1121" s="217" t="n">
        <x:v>120</x:v>
      </x:c>
      <x:c r="F1121" s="218" t="n">
        <x:v>0.9994791666666667</x:v>
      </x:c>
      <x:c r="G1121" s="217" t="n">
        <x:v>1117</x:v>
      </x:c>
      <x:c r="H1121" s="217" t="str">
        <x:f>IF(G1121&lt;='排名定義'!$B$5,"是","")</x:f>
        <x:v>是</x:v>
      </x:c>
      <x:c r="I1121" s="217" t="n">
        <x:v>1099</x:v>
      </x:c>
      <x:c r="J1121" s="217" t="str">
        <x:f>IF(I1121&lt;='排名定義'!$B$5,"是","")</x:f>
        <x:v>是</x:v>
      </x:c>
      <x:c r="K1121" s="217" t="n">
        <x:v>1279</x:v>
      </x:c>
      <x:c r="L1121" s="217" t="str">
        <x:f>IF(K1121&lt;='排名定義'!$B$5,"是","")</x:f>
        <x:v>是</x:v>
      </x:c>
      <x:c r="M1121" s="217" t="n">
        <x:f>COUNTIF(H1121:L1121,"是")</x:f>
        <x:v>3</x:v>
      </x:c>
      <x:c r="N1121" s="217" t="str">
        <x:v>三份皆未入選</x:v>
      </x:c>
      <x:c r="O1121" s="220" t="n">
        <x:v>29.491666666666667</x:v>
      </x:c>
      <x:c r="P1121" s="220" t="n">
        <x:v>26.908333333333335</x:v>
      </x:c>
      <x:c r="Q1121" s="220" t="n">
        <x:v>2.5833333333333335</x:v>
      </x:c>
      <x:c r="R1121" s="220" t="n">
        <x:v>0.087595365922577</x:v>
      </x:c>
      <x:c r="S1121" s="220" t="n">
        <x:v>50.67741935483871</x:v>
      </x:c>
      <x:c r="T1121" s="220" t="n">
        <x:v>47.354838709677416</x:v>
      </x:c>
      <x:c r="U1121" s="220" t="n">
        <x:v>3.3225806451612905</x:v>
      </x:c>
      <x:c r="V1121" s="218" t="n">
        <x:v>0.08294930875576037</x:v>
      </x:c>
      <x:c r="W1121" s="217" t="n">
        <x:v>21</x:v>
      </x:c>
      <x:c r="X1121" s="222" t="n">
        <x:v>3210</x:v>
      </x:c>
      <x:c r="Y1121" s="217" t="n">
        <x:v>12</x:v>
      </x:c>
    </x:row>
    <x:row r="1122">
      <x:c r="A1122" s="216" t="n">
        <x:v>566</x:v>
      </x:c>
      <x:c r="B1122" s="216" t="str">
        <x:v>光復路一段99巷口</x:v>
      </x:c>
      <x:c r="C1122" s="216" t="str">
        <x:v>三重區</x:v>
      </x:c>
      <x:c r="D1122" s="216" t="n">
        <x:v>18</x:v>
      </x:c>
      <x:c r="E1122" s="216" t="n">
        <x:v>120</x:v>
      </x:c>
      <x:c r="F1122" s="219" t="n">
        <x:v>0.9994791666666667</x:v>
      </x:c>
      <x:c r="G1122" s="216" t="n">
        <x:v>1118</x:v>
      </x:c>
      <x:c r="H1122" s="216" t="str">
        <x:f>IF(G1122&lt;='排名定義'!$B$5,"是","")</x:f>
        <x:v>是</x:v>
      </x:c>
      <x:c r="I1122" s="216" t="n">
        <x:v>1114</x:v>
      </x:c>
      <x:c r="J1122" s="216" t="str">
        <x:f>IF(I1122&lt;='排名定義'!$B$5,"是","")</x:f>
        <x:v>是</x:v>
      </x:c>
      <x:c r="K1122" s="216" t="n">
        <x:v>1160</x:v>
      </x:c>
      <x:c r="L1122" s="216" t="str">
        <x:f>IF(K1122&lt;='排名定義'!$B$5,"是","")</x:f>
        <x:v>是</x:v>
      </x:c>
      <x:c r="M1122" s="216" t="n">
        <x:f>COUNTIF(H1122:L1122,"是")</x:f>
        <x:v>3</x:v>
      </x:c>
      <x:c r="N1122" s="216" t="str">
        <x:v>三份皆未入選</x:v>
      </x:c>
      <x:c r="O1122" s="221" t="n">
        <x:v>29.475</x:v>
      </x:c>
      <x:c r="P1122" s="221" t="n">
        <x:v>26.45</x:v>
      </x:c>
      <x:c r="Q1122" s="221" t="n">
        <x:v>3.025</x:v>
      </x:c>
      <x:c r="R1122" s="221" t="n">
        <x:v>0.10262934690415607</x:v>
      </x:c>
      <x:c r="S1122" s="221" t="n">
        <x:v>43.54838709677419</x:v>
      </x:c>
      <x:c r="T1122" s="221" t="n">
        <x:v>39.774193548387096</x:v>
      </x:c>
      <x:c r="U1122" s="221" t="n">
        <x:v>3.774193548387097</x:v>
      </x:c>
      <x:c r="V1122" s="219" t="n">
        <x:v>0.052995391705069124</x:v>
      </x:c>
      <x:c r="W1122" s="216" t="n">
        <x:v>13</x:v>
      </x:c>
      <x:c r="X1122" s="223" t="n">
        <x:v>1980</x:v>
      </x:c>
      <x:c r="Y1122" s="216" t="n">
        <x:v>18</x:v>
      </x:c>
    </x:row>
    <x:row r="1123">
      <x:c r="A1123" s="217" t="n">
        <x:v>822</x:v>
      </x:c>
      <x:c r="B1123" s="217" t="str">
        <x:v>佳園學成路口</x:v>
      </x:c>
      <x:c r="C1123" s="217" t="str">
        <x:v>樹林區</x:v>
      </x:c>
      <x:c r="D1123" s="217" t="n">
        <x:v>22</x:v>
      </x:c>
      <x:c r="E1123" s="217" t="n">
        <x:v>120</x:v>
      </x:c>
      <x:c r="F1123" s="218" t="n">
        <x:v>0.9994791666666667</x:v>
      </x:c>
      <x:c r="G1123" s="217" t="n">
        <x:v>1119</x:v>
      </x:c>
      <x:c r="H1123" s="217" t="str">
        <x:f>IF(G1123&lt;='排名定義'!$B$5,"是","")</x:f>
        <x:v>是</x:v>
      </x:c>
      <x:c r="I1123" s="217" t="n">
        <x:v>1109</x:v>
      </x:c>
      <x:c r="J1123" s="217" t="str">
        <x:f>IF(I1123&lt;='排名定義'!$B$5,"是","")</x:f>
        <x:v>是</x:v>
      </x:c>
      <x:c r="K1123" s="217" t="n">
        <x:v>1227</x:v>
      </x:c>
      <x:c r="L1123" s="217" t="str">
        <x:f>IF(K1123&lt;='排名定義'!$B$5,"是","")</x:f>
        <x:v>是</x:v>
      </x:c>
      <x:c r="M1123" s="217" t="n">
        <x:f>COUNTIF(H1123:L1123,"是")</x:f>
        <x:v>3</x:v>
      </x:c>
      <x:c r="N1123" s="217" t="str">
        <x:v>三份皆未入選</x:v>
      </x:c>
      <x:c r="O1123" s="220" t="n">
        <x:v>29.425</x:v>
      </x:c>
      <x:c r="P1123" s="220" t="n">
        <x:v>26.591666666666665</x:v>
      </x:c>
      <x:c r="Q1123" s="220" t="n">
        <x:v>2.8333333333333335</x:v>
      </x:c>
      <x:c r="R1123" s="220" t="n">
        <x:v>0.09629000283205891</x:v>
      </x:c>
      <x:c r="S1123" s="220" t="n">
        <x:v>50.67741935483871</x:v>
      </x:c>
      <x:c r="T1123" s="220" t="n">
        <x:v>47.16129032258065</x:v>
      </x:c>
      <x:c r="U1123" s="220" t="n">
        <x:v>3.5161290322580645</x:v>
      </x:c>
      <x:c r="V1123" s="218" t="n">
        <x:v>0.01152073732718894</x:v>
      </x:c>
      <x:c r="W1123" s="217" t="n">
        <x:v>0</x:v>
      </x:c>
      <x:c r="X1123" s="222" t="n">
        <x:v>210</x:v>
      </x:c>
      <x:c r="Y1123" s="217" t="n">
        <x:v>22</x:v>
      </x:c>
    </x:row>
    <x:row r="1124">
      <x:c r="A1124" s="216" t="n">
        <x:v>446</x:v>
      </x:c>
      <x:c r="B1124" s="216" t="str">
        <x:v>鶯歌永利街</x:v>
      </x:c>
      <x:c r="C1124" s="216" t="str">
        <x:v>鶯歌區</x:v>
      </x:c>
      <x:c r="D1124" s="216" t="n">
        <x:v>15</x:v>
      </x:c>
      <x:c r="E1124" s="216" t="n">
        <x:v>120</x:v>
      </x:c>
      <x:c r="F1124" s="219" t="n">
        <x:v>0.9994791666666667</x:v>
      </x:c>
      <x:c r="G1124" s="216" t="n">
        <x:v>1120</x:v>
      </x:c>
      <x:c r="H1124" s="216" t="str">
        <x:f>IF(G1124&lt;='排名定義'!$B$5,"是","")</x:f>
        <x:v>是</x:v>
      </x:c>
      <x:c r="I1124" s="216" t="n">
        <x:v>1117</x:v>
      </x:c>
      <x:c r="J1124" s="216" t="str">
        <x:f>IF(I1124&lt;='排名定義'!$B$5,"是","")</x:f>
        <x:v>是</x:v>
      </x:c>
      <x:c r="K1124" s="216" t="n">
        <x:v>1134</x:v>
      </x:c>
      <x:c r="L1124" s="216" t="str">
        <x:f>IF(K1124&lt;='排名定義'!$B$5,"是","")</x:f>
        <x:v>是</x:v>
      </x:c>
      <x:c r="M1124" s="216" t="n">
        <x:f>COUNTIF(H1124:L1124,"是")</x:f>
        <x:v>3</x:v>
      </x:c>
      <x:c r="N1124" s="216" t="str">
        <x:v>三份皆未入選</x:v>
      </x:c>
      <x:c r="O1124" s="221" t="n">
        <x:v>29.383333333333333</x:v>
      </x:c>
      <x:c r="P1124" s="221" t="n">
        <x:v>26.283333333333335</x:v>
      </x:c>
      <x:c r="Q1124" s="221" t="n">
        <x:v>3.1</x:v>
      </x:c>
      <x:c r="R1124" s="221" t="n">
        <x:v>0.10550198525241067</x:v>
      </x:c>
      <x:c r="S1124" s="221" t="n">
        <x:v>52.54838709677419</x:v>
      </x:c>
      <x:c r="T1124" s="221" t="n">
        <x:v>48.064516129032256</x:v>
      </x:c>
      <x:c r="U1124" s="221" t="n">
        <x:v>4.483870967741935</x:v>
      </x:c>
      <x:c r="V1124" s="219" t="n">
        <x:v>0.059907834101382486</x:v>
      </x:c>
      <x:c r="W1124" s="216" t="n">
        <x:v>8</x:v>
      </x:c>
      <x:c r="X1124" s="223" t="n">
        <x:v>1260</x:v>
      </x:c>
      <x:c r="Y1124" s="216" t="n">
        <x:v>15</x:v>
      </x:c>
    </x:row>
    <x:row r="1125">
      <x:c r="A1125" s="217" t="n">
        <x:v>279</x:v>
      </x:c>
      <x:c r="B1125" s="217" t="str">
        <x:v>浮洲運動公園</x:v>
      </x:c>
      <x:c r="C1125" s="217" t="str">
        <x:v>板橋區</x:v>
      </x:c>
      <x:c r="D1125" s="217" t="n">
        <x:v>14</x:v>
      </x:c>
      <x:c r="E1125" s="217" t="n">
        <x:v>120</x:v>
      </x:c>
      <x:c r="F1125" s="218" t="n">
        <x:v>0.9994791666666667</x:v>
      </x:c>
      <x:c r="G1125" s="217" t="n">
        <x:v>1121</x:v>
      </x:c>
      <x:c r="H1125" s="217" t="str">
        <x:f>IF(G1125&lt;='排名定義'!$B$5,"是","")</x:f>
        <x:v>是</x:v>
      </x:c>
      <x:c r="I1125" s="217" t="n">
        <x:v>1120</x:v>
      </x:c>
      <x:c r="J1125" s="217" t="str">
        <x:f>IF(I1125&lt;='排名定義'!$B$5,"是","")</x:f>
        <x:v>是</x:v>
      </x:c>
      <x:c r="K1125" s="217" t="n">
        <x:v>1075</x:v>
      </x:c>
      <x:c r="L1125" s="217" t="str">
        <x:f>IF(K1125&lt;='排名定義'!$B$5,"是","")</x:f>
        <x:v>是</x:v>
      </x:c>
      <x:c r="M1125" s="217" t="n">
        <x:f>COUNTIF(H1125:L1125,"是")</x:f>
        <x:v>3</x:v>
      </x:c>
      <x:c r="N1125" s="217" t="str">
        <x:v>三份皆未入選</x:v>
      </x:c>
      <x:c r="O1125" s="220" t="n">
        <x:v>29.308333333333334</x:v>
      </x:c>
      <x:c r="P1125" s="220" t="n">
        <x:v>26.033333333333335</x:v>
      </x:c>
      <x:c r="Q1125" s="220" t="n">
        <x:v>3.275</x:v>
      </x:c>
      <x:c r="R1125" s="220" t="n">
        <x:v>0.11174296275234574</x:v>
      </x:c>
      <x:c r="S1125" s="220" t="n">
        <x:v>40</x:v>
      </x:c>
      <x:c r="T1125" s="220" t="n">
        <x:v>37.54838709677419</x:v>
      </x:c>
      <x:c r="U1125" s="220" t="n">
        <x:v>2.4516129032258065</x:v>
      </x:c>
      <x:c r="V1125" s="218" t="n">
        <x:v>0.059907834101382486</x:v>
      </x:c>
      <x:c r="W1125" s="217" t="n">
        <x:v>10</x:v>
      </x:c>
      <x:c r="X1125" s="222" t="n">
        <x:v>1440</x:v>
      </x:c>
      <x:c r="Y1125" s="217" t="n">
        <x:v>14</x:v>
      </x:c>
    </x:row>
    <x:row r="1126">
      <x:c r="A1126" s="216" t="n">
        <x:v>880</x:v>
      </x:c>
      <x:c r="B1126" s="216" t="str">
        <x:v>民安西路468巷口</x:v>
      </x:c>
      <x:c r="C1126" s="216" t="str">
        <x:v>新莊區</x:v>
      </x:c>
      <x:c r="D1126" s="216" t="n">
        <x:v>25</x:v>
      </x:c>
      <x:c r="E1126" s="216" t="n">
        <x:v>120</x:v>
      </x:c>
      <x:c r="F1126" s="219" t="n">
        <x:v>0.9994791666666667</x:v>
      </x:c>
      <x:c r="G1126" s="216" t="n">
        <x:v>1122</x:v>
      </x:c>
      <x:c r="H1126" s="216" t="str">
        <x:f>IF(G1126&lt;='排名定義'!$B$5,"是","")</x:f>
        <x:v>是</x:v>
      </x:c>
      <x:c r="I1126" s="216" t="n">
        <x:v>1128</x:v>
      </x:c>
      <x:c r="J1126" s="216" t="str">
        <x:f>IF(I1126&lt;='排名定義'!$B$5,"是","")</x:f>
        <x:v>是</x:v>
      </x:c>
      <x:c r="K1126" s="216" t="n">
        <x:v>973</x:v>
      </x:c>
      <x:c r="L1126" s="216" t="str">
        <x:f>IF(K1126&lt;='排名定義'!$B$5,"是","")</x:f>
        <x:v>是</x:v>
      </x:c>
      <x:c r="M1126" s="216" t="n">
        <x:f>COUNTIF(H1126:L1126,"是")</x:f>
        <x:v>3</x:v>
      </x:c>
      <x:c r="N1126" s="216" t="str">
        <x:v>三份皆未入選</x:v>
      </x:c>
      <x:c r="O1126" s="221" t="n">
        <x:v>29.308333333333334</x:v>
      </x:c>
      <x:c r="P1126" s="221" t="n">
        <x:v>25.8</x:v>
      </x:c>
      <x:c r="Q1126" s="221" t="n">
        <x:v>3.5083333333333333</x:v>
      </x:c>
      <x:c r="R1126" s="221" t="n">
        <x:v>0.11970429343190218</x:v>
      </x:c>
      <x:c r="S1126" s="221" t="n">
        <x:v>47.25806451612903</x:v>
      </x:c>
      <x:c r="T1126" s="221" t="n">
        <x:v>44.54838709677419</x:v>
      </x:c>
      <x:c r="U1126" s="221" t="n">
        <x:v>2.7096774193548385</x:v>
      </x:c>
      <x:c r="V1126" s="219" t="n">
        <x:v>0.020737327188940093</x:v>
      </x:c>
      <x:c r="W1126" s="216" t="n">
        <x:v>6</x:v>
      </x:c>
      <x:c r="X1126" s="223" t="n">
        <x:v>720</x:v>
      </x:c>
      <x:c r="Y1126" s="216" t="n">
        <x:v>25</x:v>
      </x:c>
    </x:row>
    <x:row r="1127">
      <x:c r="A1127" s="217" t="n">
        <x:v>768</x:v>
      </x:c>
      <x:c r="B1127" s="217" t="str">
        <x:v>新北捷運環狀線南機廠</x:v>
      </x:c>
      <x:c r="C1127" s="217" t="str">
        <x:v>新店區</x:v>
      </x:c>
      <x:c r="D1127" s="217" t="n">
        <x:v>21</x:v>
      </x:c>
      <x:c r="E1127" s="217" t="n">
        <x:v>120</x:v>
      </x:c>
      <x:c r="F1127" s="218" t="n">
        <x:v>0.9994791666666667</x:v>
      </x:c>
      <x:c r="G1127" s="217" t="n">
        <x:v>1123</x:v>
      </x:c>
      <x:c r="H1127" s="217" t="str">
        <x:f>IF(G1127&lt;='排名定義'!$B$5,"是","")</x:f>
        <x:v>是</x:v>
      </x:c>
      <x:c r="I1127" s="217" t="n">
        <x:v>1138</x:v>
      </x:c>
      <x:c r="J1127" s="217" t="str">
        <x:f>IF(I1127&lt;='排名定義'!$B$5,"是","")</x:f>
        <x:v>是</x:v>
      </x:c>
      <x:c r="K1127" s="217" t="n">
        <x:v>849</x:v>
      </x:c>
      <x:c r="L1127" s="217" t="str">
        <x:f>IF(K1127&lt;='排名定義'!$B$5,"是","")</x:f>
        <x:v>是</x:v>
      </x:c>
      <x:c r="M1127" s="217" t="n">
        <x:f>COUNTIF(H1127:L1127,"是")</x:f>
        <x:v>3</x:v>
      </x:c>
      <x:c r="N1127" s="217" t="str">
        <x:v>三份皆未入選</x:v>
      </x:c>
      <x:c r="O1127" s="220" t="n">
        <x:v>29.266666666666666</x:v>
      </x:c>
      <x:c r="P1127" s="220" t="n">
        <x:v>25.408333333333335</x:v>
      </x:c>
      <x:c r="Q1127" s="220" t="n">
        <x:v>3.8583333333333334</x:v>
      </x:c>
      <x:c r="R1127" s="220" t="n">
        <x:v>0.13183371298405466</x:v>
      </x:c>
      <x:c r="S1127" s="220" t="n">
        <x:v>53.29032258064516</x:v>
      </x:c>
      <x:c r="T1127" s="220" t="n">
        <x:v>49.12903225806452</x:v>
      </x:c>
      <x:c r="U1127" s="220" t="n">
        <x:v>4.161290322580645</x:v>
      </x:c>
      <x:c r="V1127" s="218" t="n">
        <x:v>0.1497695852534562</x:v>
      </x:c>
      <x:c r="W1127" s="217" t="n">
        <x:v>44</x:v>
      </x:c>
      <x:c r="X1127" s="222" t="n">
        <x:v>6060</x:v>
      </x:c>
      <x:c r="Y1127" s="217" t="n">
        <x:v>21</x:v>
      </x:c>
    </x:row>
    <x:row r="1128">
      <x:c r="A1128" s="216" t="n">
        <x:v>686</x:v>
      </x:c>
      <x:c r="B1128" s="216" t="str">
        <x:v>興德路134號(前)</x:v>
      </x:c>
      <x:c r="C1128" s="216" t="str">
        <x:v>三重區</x:v>
      </x:c>
      <x:c r="D1128" s="216" t="n">
        <x:v>20</x:v>
      </x:c>
      <x:c r="E1128" s="216" t="n">
        <x:v>120</x:v>
      </x:c>
      <x:c r="F1128" s="219" t="n">
        <x:v>0.9994791666666667</x:v>
      </x:c>
      <x:c r="G1128" s="216" t="n">
        <x:v>1124</x:v>
      </x:c>
      <x:c r="H1128" s="216" t="str">
        <x:f>IF(G1128&lt;='排名定義'!$B$5,"是","")</x:f>
        <x:v>是</x:v>
      </x:c>
      <x:c r="I1128" s="216" t="n">
        <x:v>1118</x:v>
      </x:c>
      <x:c r="J1128" s="216" t="str">
        <x:f>IF(I1128&lt;='排名定義'!$B$5,"是","")</x:f>
        <x:v>是</x:v>
      </x:c>
      <x:c r="K1128" s="216" t="n">
        <x:v>1136</x:v>
      </x:c>
      <x:c r="L1128" s="216" t="str">
        <x:f>IF(K1128&lt;='排名定義'!$B$5,"是","")</x:f>
        <x:v>是</x:v>
      </x:c>
      <x:c r="M1128" s="216" t="n">
        <x:f>COUNTIF(H1128:L1128,"是")</x:f>
        <x:v>3</x:v>
      </x:c>
      <x:c r="N1128" s="216" t="str">
        <x:v>三份皆未入選</x:v>
      </x:c>
      <x:c r="O1128" s="221" t="n">
        <x:v>29.258333333333333</x:v>
      </x:c>
      <x:c r="P1128" s="221" t="n">
        <x:v>26.158333333333335</x:v>
      </x:c>
      <x:c r="Q1128" s="221" t="n">
        <x:v>3.1</x:v>
      </x:c>
      <x:c r="R1128" s="221" t="n">
        <x:v>0.10595272002278554</x:v>
      </x:c>
      <x:c r="S1128" s="221" t="n">
        <x:v>36</x:v>
      </x:c>
      <x:c r="T1128" s="221" t="n">
        <x:v>33.16129032258065</x:v>
      </x:c>
      <x:c r="U1128" s="221" t="n">
        <x:v>2.838709677419355</x:v>
      </x:c>
      <x:c r="V1128" s="219" t="n">
        <x:v>0.029953917050691243</x:v>
      </x:c>
      <x:c r="W1128" s="216" t="n">
        <x:v>11</x:v>
      </x:c>
      <x:c r="X1128" s="223" t="n">
        <x:v>1950</x:v>
      </x:c>
      <x:c r="Y1128" s="216" t="n">
        <x:v>20</x:v>
      </x:c>
    </x:row>
    <x:row r="1129">
      <x:c r="A1129" s="217" t="n">
        <x:v>439</x:v>
      </x:c>
      <x:c r="B1129" s="217" t="str">
        <x:v>竹林一文化一路口</x:v>
      </x:c>
      <x:c r="C1129" s="217" t="str">
        <x:v>林口區</x:v>
      </x:c>
      <x:c r="D1129" s="217" t="n">
        <x:v>15</x:v>
      </x:c>
      <x:c r="E1129" s="217" t="n">
        <x:v>120</x:v>
      </x:c>
      <x:c r="F1129" s="218" t="n">
        <x:v>0.9994791666666667</x:v>
      </x:c>
      <x:c r="G1129" s="217" t="n">
        <x:v>1125</x:v>
      </x:c>
      <x:c r="H1129" s="217" t="str">
        <x:f>IF(G1129&lt;='排名定義'!$B$5,"是","")</x:f>
        <x:v>是</x:v>
      </x:c>
      <x:c r="I1129" s="217" t="n">
        <x:v>1125</x:v>
      </x:c>
      <x:c r="J1129" s="217" t="str">
        <x:f>IF(I1129&lt;='排名定義'!$B$5,"是","")</x:f>
        <x:v>是</x:v>
      </x:c>
      <x:c r="K1129" s="217" t="n">
        <x:v>1024</x:v>
      </x:c>
      <x:c r="L1129" s="217" t="str">
        <x:f>IF(K1129&lt;='排名定義'!$B$5,"是","")</x:f>
        <x:v>是</x:v>
      </x:c>
      <x:c r="M1129" s="217" t="n">
        <x:f>COUNTIF(H1129:L1129,"是")</x:f>
        <x:v>3</x:v>
      </x:c>
      <x:c r="N1129" s="217" t="str">
        <x:v>三份皆未入選</x:v>
      </x:c>
      <x:c r="O1129" s="220" t="n">
        <x:v>29.25</x:v>
      </x:c>
      <x:c r="P1129" s="220" t="n">
        <x:v>25.858333333333334</x:v>
      </x:c>
      <x:c r="Q1129" s="220" t="n">
        <x:v>3.3916666666666666</x:v>
      </x:c>
      <x:c r="R1129" s="220" t="n">
        <x:v>0.11595441595441595</x:v>
      </x:c>
      <x:c r="S1129" s="220" t="n">
        <x:v>43.67741935483871</x:v>
      </x:c>
      <x:c r="T1129" s="220" t="n">
        <x:v>41.483870967741936</x:v>
      </x:c>
      <x:c r="U1129" s="220" t="n">
        <x:v>2.193548387096774</x:v>
      </x:c>
      <x:c r="V1129" s="218" t="n">
        <x:v>0.013824884792626729</x:v>
      </x:c>
      <x:c r="W1129" s="217" t="n">
        <x:v>1</x:v>
      </x:c>
      <x:c r="X1129" s="222" t="n">
        <x:v>330</x:v>
      </x:c>
      <x:c r="Y1129" s="217" t="n">
        <x:v>15</x:v>
      </x:c>
    </x:row>
    <x:row r="1130">
      <x:c r="A1130" s="216" t="n">
        <x:v>1083</x:v>
      </x:c>
      <x:c r="B1130" s="216" t="str">
        <x:v>明德青和街口</x:v>
      </x:c>
      <x:c r="C1130" s="216" t="str">
        <x:v>土城區</x:v>
      </x:c>
      <x:c r="D1130" s="216" t="n">
        <x:v>31</x:v>
      </x:c>
      <x:c r="E1130" s="216" t="n">
        <x:v>120</x:v>
      </x:c>
      <x:c r="F1130" s="219" t="n">
        <x:v>0.9994791666666667</x:v>
      </x:c>
      <x:c r="G1130" s="216" t="n">
        <x:v>1126</x:v>
      </x:c>
      <x:c r="H1130" s="216" t="str">
        <x:f>IF(G1130&lt;='排名定義'!$B$5,"是","")</x:f>
        <x:v>是</x:v>
      </x:c>
      <x:c r="I1130" s="216" t="n">
        <x:v>1122</x:v>
      </x:c>
      <x:c r="J1130" s="216" t="str">
        <x:f>IF(I1130&lt;='排名定義'!$B$5,"是","")</x:f>
        <x:v>是</x:v>
      </x:c>
      <x:c r="K1130" s="216" t="n">
        <x:v>1079</x:v>
      </x:c>
      <x:c r="L1130" s="216" t="str">
        <x:f>IF(K1130&lt;='排名定義'!$B$5,"是","")</x:f>
        <x:v>是</x:v>
      </x:c>
      <x:c r="M1130" s="216" t="n">
        <x:f>COUNTIF(H1130:L1130,"是")</x:f>
        <x:v>3</x:v>
      </x:c>
      <x:c r="N1130" s="216" t="str">
        <x:v>三份皆未入選</x:v>
      </x:c>
      <x:c r="O1130" s="221" t="n">
        <x:v>29.225</x:v>
      </x:c>
      <x:c r="P1130" s="221" t="n">
        <x:v>25.966666666666665</x:v>
      </x:c>
      <x:c r="Q1130" s="221" t="n">
        <x:v>3.2583333333333333</x:v>
      </x:c>
      <x:c r="R1130" s="221" t="n">
        <x:v>0.11149130310806958</x:v>
      </x:c>
      <x:c r="S1130" s="221" t="n">
        <x:v>45.61290322580645</x:v>
      </x:c>
      <x:c r="T1130" s="221" t="n">
        <x:v>42.45161290322581</x:v>
      </x:c>
      <x:c r="U1130" s="221" t="n">
        <x:v>3.161290322580645</x:v>
      </x:c>
      <x:c r="V1130" s="219" t="n">
        <x:v>0.1313364055299539</x:v>
      </x:c>
      <x:c r="W1130" s="216" t="n">
        <x:v>22</x:v>
      </x:c>
      <x:c r="X1130" s="223" t="n">
        <x:v>2700</x:v>
      </x:c>
      <x:c r="Y1130" s="216" t="n">
        <x:v>31</x:v>
      </x:c>
    </x:row>
    <x:row r="1131">
      <x:c r="A1131" s="217" t="n">
        <x:v>674</x:v>
      </x:c>
      <x:c r="B1131" s="217" t="str">
        <x:v>泰山國小</x:v>
      </x:c>
      <x:c r="C1131" s="217" t="str">
        <x:v>泰山區</x:v>
      </x:c>
      <x:c r="D1131" s="217" t="n">
        <x:v>20</x:v>
      </x:c>
      <x:c r="E1131" s="217" t="n">
        <x:v>120</x:v>
      </x:c>
      <x:c r="F1131" s="218" t="n">
        <x:v>0.9994791666666667</x:v>
      </x:c>
      <x:c r="G1131" s="217" t="n">
        <x:v>1127</x:v>
      </x:c>
      <x:c r="H1131" s="217" t="str">
        <x:f>IF(G1131&lt;='排名定義'!$B$5,"是","")</x:f>
        <x:v>是</x:v>
      </x:c>
      <x:c r="I1131" s="217" t="n">
        <x:v>1124</x:v>
      </x:c>
      <x:c r="J1131" s="217" t="str">
        <x:f>IF(I1131&lt;='排名定義'!$B$5,"是","")</x:f>
        <x:v>是</x:v>
      </x:c>
      <x:c r="K1131" s="217" t="n">
        <x:v>1135</x:v>
      </x:c>
      <x:c r="L1131" s="217" t="str">
        <x:f>IF(K1131&lt;='排名定義'!$B$5,"是","")</x:f>
        <x:v>是</x:v>
      </x:c>
      <x:c r="M1131" s="217" t="n">
        <x:f>COUNTIF(H1131:L1131,"是")</x:f>
        <x:v>3</x:v>
      </x:c>
      <x:c r="N1131" s="217" t="str">
        <x:v>三份皆未入選</x:v>
      </x:c>
      <x:c r="O1131" s="220" t="n">
        <x:v>29.025</x:v>
      </x:c>
      <x:c r="P1131" s="220" t="n">
        <x:v>25.925</x:v>
      </x:c>
      <x:c r="Q1131" s="220" t="n">
        <x:v>3.1</x:v>
      </x:c>
      <x:c r="R1131" s="220" t="n">
        <x:v>0.10680447889750215</x:v>
      </x:c>
      <x:c r="S1131" s="220" t="n">
        <x:v>43.58064516129032</x:v>
      </x:c>
      <x:c r="T1131" s="220" t="n">
        <x:v>39.935483870967744</x:v>
      </x:c>
      <x:c r="U1131" s="220" t="n">
        <x:v>3.6451612903225805</x:v>
      </x:c>
      <x:c r="V1131" s="218" t="n">
        <x:v>0.02304147465437788</x:v>
      </x:c>
      <x:c r="W1131" s="217" t="n">
        <x:v>11</x:v>
      </x:c>
      <x:c r="X1131" s="222" t="n">
        <x:v>990</x:v>
      </x:c>
      <x:c r="Y1131" s="217" t="n">
        <x:v>20</x:v>
      </x:c>
    </x:row>
    <x:row r="1132">
      <x:c r="A1132" s="216" t="n">
        <x:v>1074</x:v>
      </x:c>
      <x:c r="B1132" s="216" t="str">
        <x:v>東陽市民活動中心</x:v>
      </x:c>
      <x:c r="C1132" s="216" t="str">
        <x:v>樹林區</x:v>
      </x:c>
      <x:c r="D1132" s="216" t="n">
        <x:v>30</x:v>
      </x:c>
      <x:c r="E1132" s="216" t="n">
        <x:v>120</x:v>
      </x:c>
      <x:c r="F1132" s="219" t="n">
        <x:v>0.9994791666666667</x:v>
      </x:c>
      <x:c r="G1132" s="216" t="n">
        <x:v>1128</x:v>
      </x:c>
      <x:c r="H1132" s="216" t="str">
        <x:f>IF(G1132&lt;='排名定義'!$B$5,"是","")</x:f>
        <x:v>是</x:v>
      </x:c>
      <x:c r="I1132" s="216" t="n">
        <x:v>1119</x:v>
      </x:c>
      <x:c r="J1132" s="216" t="str">
        <x:f>IF(I1132&lt;='排名定義'!$B$5,"是","")</x:f>
        <x:v>是</x:v>
      </x:c>
      <x:c r="K1132" s="216" t="n">
        <x:v>1201</x:v>
      </x:c>
      <x:c r="L1132" s="216" t="str">
        <x:f>IF(K1132&lt;='排名定義'!$B$5,"是","")</x:f>
        <x:v>是</x:v>
      </x:c>
      <x:c r="M1132" s="216" t="n">
        <x:f>COUNTIF(H1132:L1132,"是")</x:f>
        <x:v>3</x:v>
      </x:c>
      <x:c r="N1132" s="216" t="str">
        <x:v>三份皆未入選</x:v>
      </x:c>
      <x:c r="O1132" s="221" t="n">
        <x:v>28.941666666666666</x:v>
      </x:c>
      <x:c r="P1132" s="221" t="n">
        <x:v>26.041666666666668</x:v>
      </x:c>
      <x:c r="Q1132" s="221" t="n">
        <x:v>2.9</x:v>
      </x:c>
      <x:c r="R1132" s="221" t="n">
        <x:v>0.10020155485171321</x:v>
      </x:c>
      <x:c r="S1132" s="221" t="n">
        <x:v>45.70967741935484</x:v>
      </x:c>
      <x:c r="T1132" s="221" t="n">
        <x:v>42.774193548387096</x:v>
      </x:c>
      <x:c r="U1132" s="221" t="n">
        <x:v>2.935483870967742</x:v>
      </x:c>
      <x:c r="V1132" s="219" t="n">
        <x:v>0.016129032258064516</x:v>
      </x:c>
      <x:c r="W1132" s="216" t="n">
        <x:v>1</x:v>
      </x:c>
      <x:c r="X1132" s="223" t="n">
        <x:v>510</x:v>
      </x:c>
      <x:c r="Y1132" s="216" t="n">
        <x:v>30</x:v>
      </x:c>
    </x:row>
    <x:row r="1133">
      <x:c r="A1133" s="217" t="n">
        <x:v>1340</x:v>
      </x:c>
      <x:c r="B1133" s="217" t="str">
        <x:v>成泰路4段22巷</x:v>
      </x:c>
      <x:c r="C1133" s="217" t="str">
        <x:v>五股區</x:v>
      </x:c>
      <x:c r="D1133" s="217" t="n">
        <x:v>42</x:v>
      </x:c>
      <x:c r="E1133" s="217" t="n">
        <x:v>120</x:v>
      </x:c>
      <x:c r="F1133" s="218" t="n">
        <x:v>0.9994791666666667</x:v>
      </x:c>
      <x:c r="G1133" s="217" t="n">
        <x:v>1129</x:v>
      </x:c>
      <x:c r="H1133" s="217" t="str">
        <x:f>IF(G1133&lt;='排名定義'!$B$5,"是","")</x:f>
        <x:v>是</x:v>
      </x:c>
      <x:c r="I1133" s="217" t="n">
        <x:v>1131</x:v>
      </x:c>
      <x:c r="J1133" s="217" t="str">
        <x:f>IF(I1133&lt;='排名定義'!$B$5,"是","")</x:f>
        <x:v>是</x:v>
      </x:c>
      <x:c r="K1133" s="217" t="n">
        <x:v>1080</x:v>
      </x:c>
      <x:c r="L1133" s="217" t="str">
        <x:f>IF(K1133&lt;='排名定義'!$B$5,"是","")</x:f>
        <x:v>是</x:v>
      </x:c>
      <x:c r="M1133" s="217" t="n">
        <x:f>COUNTIF(H1133:L1133,"是")</x:f>
        <x:v>3</x:v>
      </x:c>
      <x:c r="N1133" s="217" t="str">
        <x:v>三份皆未入選</x:v>
      </x:c>
      <x:c r="O1133" s="220" t="n">
        <x:v>28.925</x:v>
      </x:c>
      <x:c r="P1133" s="220" t="n">
        <x:v>25.666666666666668</x:v>
      </x:c>
      <x:c r="Q1133" s="220" t="n">
        <x:v>3.2583333333333333</x:v>
      </x:c>
      <x:c r="R1133" s="220" t="n">
        <x:v>0.11264765197349468</x:v>
      </x:c>
      <x:c r="S1133" s="220" t="n">
        <x:v>64.35483870967742</x:v>
      </x:c>
      <x:c r="T1133" s="220" t="n">
        <x:v>60.87096774193548</x:v>
      </x:c>
      <x:c r="U1133" s="220" t="n">
        <x:v>3.4838709677419355</x:v>
      </x:c>
      <x:c r="V1133" s="218" t="n">
        <x:v>0.07373271889400922</x:v>
      </x:c>
      <x:c r="W1133" s="217" t="n">
        <x:v>10</x:v>
      </x:c>
      <x:c r="X1133" s="222" t="n">
        <x:v>1560</x:v>
      </x:c>
      <x:c r="Y1133" s="217" t="n">
        <x:v>42</x:v>
      </x:c>
    </x:row>
    <x:row r="1134">
      <x:c r="A1134" s="216" t="n">
        <x:v>415</x:v>
      </x:c>
      <x:c r="B1134" s="216" t="str">
        <x:v>大同路270巷口</x:v>
      </x:c>
      <x:c r="C1134" s="216" t="str">
        <x:v>三峽區</x:v>
      </x:c>
      <x:c r="D1134" s="216" t="n">
        <x:v>15</x:v>
      </x:c>
      <x:c r="E1134" s="216" t="n">
        <x:v>120</x:v>
      </x:c>
      <x:c r="F1134" s="219" t="n">
        <x:v>0.9994791666666667</x:v>
      </x:c>
      <x:c r="G1134" s="216" t="n">
        <x:v>1130</x:v>
      </x:c>
      <x:c r="H1134" s="216" t="str">
        <x:f>IF(G1134&lt;='排名定義'!$B$5,"是","")</x:f>
        <x:v>是</x:v>
      </x:c>
      <x:c r="I1134" s="216" t="n">
        <x:v>1129</x:v>
      </x:c>
      <x:c r="J1134" s="216" t="str">
        <x:f>IF(I1134&lt;='排名定義'!$B$5,"是","")</x:f>
        <x:v>是</x:v>
      </x:c>
      <x:c r="K1134" s="216" t="n">
        <x:v>1143</x:v>
      </x:c>
      <x:c r="L1134" s="216" t="str">
        <x:f>IF(K1134&lt;='排名定義'!$B$5,"是","")</x:f>
        <x:v>是</x:v>
      </x:c>
      <x:c r="M1134" s="216" t="n">
        <x:f>COUNTIF(H1134:L1134,"是")</x:f>
        <x:v>3</x:v>
      </x:c>
      <x:c r="N1134" s="216" t="str">
        <x:v>三份皆未入選</x:v>
      </x:c>
      <x:c r="O1134" s="221" t="n">
        <x:v>28.85</x:v>
      </x:c>
      <x:c r="P1134" s="221" t="n">
        <x:v>25.766666666666666</x:v>
      </x:c>
      <x:c r="Q1134" s="221" t="n">
        <x:v>3.0833333333333335</x:v>
      </x:c>
      <x:c r="R1134" s="221" t="n">
        <x:v>0.10687463893703061</x:v>
      </x:c>
      <x:c r="S1134" s="221" t="n">
        <x:v>47.32258064516129</x:v>
      </x:c>
      <x:c r="T1134" s="221" t="n">
        <x:v>44.70967741935484</x:v>
      </x:c>
      <x:c r="U1134" s="221" t="n">
        <x:v>2.6129032258064515</x:v>
      </x:c>
      <x:c r="V1134" s="219" t="n">
        <x:v>0.03225806451612903</x:v>
      </x:c>
      <x:c r="W1134" s="216" t="n">
        <x:v>7</x:v>
      </x:c>
      <x:c r="X1134" s="223" t="n">
        <x:v>990</x:v>
      </x:c>
      <x:c r="Y1134" s="216" t="n">
        <x:v>15</x:v>
      </x:c>
    </x:row>
    <x:row r="1135">
      <x:c r="A1135" s="217" t="n">
        <x:v>1300</x:v>
      </x:c>
      <x:c r="B1135" s="217" t="str">
        <x:v>華江一華江二路口(吾界社區)</x:v>
      </x:c>
      <x:c r="C1135" s="217" t="str">
        <x:v>板橋區</x:v>
      </x:c>
      <x:c r="D1135" s="217" t="n">
        <x:v>40</x:v>
      </x:c>
      <x:c r="E1135" s="217" t="n">
        <x:v>120</x:v>
      </x:c>
      <x:c r="F1135" s="218" t="n">
        <x:v>0.9994791666666667</x:v>
      </x:c>
      <x:c r="G1135" s="217" t="n">
        <x:v>1131</x:v>
      </x:c>
      <x:c r="H1135" s="217" t="str">
        <x:f>IF(G1135&lt;='排名定義'!$B$5,"是","")</x:f>
        <x:v>是</x:v>
      </x:c>
      <x:c r="I1135" s="217" t="n">
        <x:v>1144</x:v>
      </x:c>
      <x:c r="J1135" s="217" t="str">
        <x:f>IF(I1135&lt;='排名定義'!$B$5,"是","")</x:f>
        <x:v>是</x:v>
      </x:c>
      <x:c r="K1135" s="217" t="n">
        <x:v>890</x:v>
      </x:c>
      <x:c r="L1135" s="217" t="str">
        <x:f>IF(K1135&lt;='排名定義'!$B$5,"是","")</x:f>
        <x:v>是</x:v>
      </x:c>
      <x:c r="M1135" s="217" t="n">
        <x:f>COUNTIF(H1135:L1135,"是")</x:f>
        <x:v>3</x:v>
      </x:c>
      <x:c r="N1135" s="217" t="str">
        <x:v>三份皆未入選</x:v>
      </x:c>
      <x:c r="O1135" s="220" t="n">
        <x:v>28.808333333333334</x:v>
      </x:c>
      <x:c r="P1135" s="220" t="n">
        <x:v>25.041666666666668</x:v>
      </x:c>
      <x:c r="Q1135" s="220" t="n">
        <x:v>3.7666666666666666</x:v>
      </x:c>
      <x:c r="R1135" s="220" t="n">
        <x:v>0.13074920451258318</x:v>
      </x:c>
      <x:c r="S1135" s="220" t="n">
        <x:v>36.935483870967744</x:v>
      </x:c>
      <x:c r="T1135" s="220" t="n">
        <x:v>33.61290322580645</x:v>
      </x:c>
      <x:c r="U1135" s="220" t="n">
        <x:v>3.3225806451612905</x:v>
      </x:c>
      <x:c r="V1135" s="218" t="n">
        <x:v>0.09907834101382489</x:v>
      </x:c>
      <x:c r="W1135" s="217" t="n">
        <x:v>22</x:v>
      </x:c>
      <x:c r="X1135" s="222" t="n">
        <x:v>2490</x:v>
      </x:c>
      <x:c r="Y1135" s="217" t="n">
        <x:v>40</x:v>
      </x:c>
    </x:row>
    <x:row r="1136">
      <x:c r="A1136" s="216" t="n">
        <x:v>432</x:v>
      </x:c>
      <x:c r="B1136" s="216" t="str">
        <x:v>淡海路182巷口</x:v>
      </x:c>
      <x:c r="C1136" s="216" t="str">
        <x:v>淡水區</x:v>
      </x:c>
      <x:c r="D1136" s="216" t="n">
        <x:v>15</x:v>
      </x:c>
      <x:c r="E1136" s="216" t="n">
        <x:v>120</x:v>
      </x:c>
      <x:c r="F1136" s="219" t="n">
        <x:v>0.9994791666666667</x:v>
      </x:c>
      <x:c r="G1136" s="216" t="n">
        <x:v>1132</x:v>
      </x:c>
      <x:c r="H1136" s="216" t="str">
        <x:f>IF(G1136&lt;='排名定義'!$B$5,"是","")</x:f>
        <x:v>是</x:v>
      </x:c>
      <x:c r="I1136" s="216" t="n">
        <x:v>1123</x:v>
      </x:c>
      <x:c r="J1136" s="216" t="str">
        <x:f>IF(I1136&lt;='排名定義'!$B$5,"是","")</x:f>
        <x:v>是</x:v>
      </x:c>
      <x:c r="K1136" s="216" t="n">
        <x:v>1213</x:v>
      </x:c>
      <x:c r="L1136" s="216" t="str">
        <x:f>IF(K1136&lt;='排名定義'!$B$5,"是","")</x:f>
        <x:v>是</x:v>
      </x:c>
      <x:c r="M1136" s="216" t="n">
        <x:f>COUNTIF(H1136:L1136,"是")</x:f>
        <x:v>3</x:v>
      </x:c>
      <x:c r="N1136" s="216" t="str">
        <x:v>三份皆未入選</x:v>
      </x:c>
      <x:c r="O1136" s="221" t="n">
        <x:v>28.783333333333335</x:v>
      </x:c>
      <x:c r="P1136" s="221" t="n">
        <x:v>25.925</x:v>
      </x:c>
      <x:c r="Q1136" s="221" t="n">
        <x:v>2.8583333333333334</x:v>
      </x:c>
      <x:c r="R1136" s="221" t="n">
        <x:v>0.09930515344528083</x:v>
      </x:c>
      <x:c r="S1136" s="221" t="n">
        <x:v>60.12903225806452</x:v>
      </x:c>
      <x:c r="T1136" s="221" t="n">
        <x:v>56.67741935483871</x:v>
      </x:c>
      <x:c r="U1136" s="221" t="n">
        <x:v>3.4516129032258065</x:v>
      </x:c>
      <x:c r="V1136" s="219" t="n">
        <x:v>0.07603686635944701</x:v>
      </x:c>
      <x:c r="W1136" s="216" t="n">
        <x:v>27</x:v>
      </x:c>
      <x:c r="X1136" s="223" t="n">
        <x:v>3150</x:v>
      </x:c>
      <x:c r="Y1136" s="216" t="n">
        <x:v>15</x:v>
      </x:c>
    </x:row>
    <x:row r="1137">
      <x:c r="A1137" s="217" t="n">
        <x:v>451</x:v>
      </x:c>
      <x:c r="B1137" s="217" t="str">
        <x:v>文林公園</x:v>
      </x:c>
      <x:c r="C1137" s="217" t="str">
        <x:v>林口區</x:v>
      </x:c>
      <x:c r="D1137" s="217" t="n">
        <x:v>15</x:v>
      </x:c>
      <x:c r="E1137" s="217" t="n">
        <x:v>120</x:v>
      </x:c>
      <x:c r="F1137" s="218" t="n">
        <x:v>0.9994791666666667</x:v>
      </x:c>
      <x:c r="G1137" s="217" t="n">
        <x:v>1133</x:v>
      </x:c>
      <x:c r="H1137" s="217" t="str">
        <x:f>IF(G1137&lt;='排名定義'!$B$5,"是","")</x:f>
        <x:v>是</x:v>
      </x:c>
      <x:c r="I1137" s="217" t="n">
        <x:v>1133</x:v>
      </x:c>
      <x:c r="J1137" s="217" t="str">
        <x:f>IF(I1137&lt;='排名定義'!$B$5,"是","")</x:f>
        <x:v>是</x:v>
      </x:c>
      <x:c r="K1137" s="217" t="n">
        <x:v>1144</x:v>
      </x:c>
      <x:c r="L1137" s="217" t="str">
        <x:f>IF(K1137&lt;='排名定義'!$B$5,"是","")</x:f>
        <x:v>是</x:v>
      </x:c>
      <x:c r="M1137" s="217" t="n">
        <x:f>COUNTIF(H1137:L1137,"是")</x:f>
        <x:v>3</x:v>
      </x:c>
      <x:c r="N1137" s="217" t="str">
        <x:v>三份皆未入選</x:v>
      </x:c>
      <x:c r="O1137" s="220" t="n">
        <x:v>28.708333333333332</x:v>
      </x:c>
      <x:c r="P1137" s="220" t="n">
        <x:v>25.625</x:v>
      </x:c>
      <x:c r="Q1137" s="220" t="n">
        <x:v>3.0833333333333335</x:v>
      </x:c>
      <x:c r="R1137" s="220" t="n">
        <x:v>0.10740203193033382</x:v>
      </x:c>
      <x:c r="S1137" s="220" t="n">
        <x:v>51.354838709677416</x:v>
      </x:c>
      <x:c r="T1137" s="220" t="n">
        <x:v>47.03225806451613</x:v>
      </x:c>
      <x:c r="U1137" s="220" t="n">
        <x:v>4.32258064516129</x:v>
      </x:c>
      <x:c r="V1137" s="218" t="n">
        <x:v>0.03917050691244239</x:v>
      </x:c>
      <x:c r="W1137" s="217" t="n">
        <x:v>6</x:v>
      </x:c>
      <x:c r="X1137" s="222" t="n">
        <x:v>810</x:v>
      </x:c>
      <x:c r="Y1137" s="217" t="n">
        <x:v>15</x:v>
      </x:c>
    </x:row>
    <x:row r="1138">
      <x:c r="A1138" s="216" t="n">
        <x:v>681</x:v>
      </x:c>
      <x:c r="B1138" s="216" t="str">
        <x:v>立泰里(中環路二段)</x:v>
      </x:c>
      <x:c r="C1138" s="216" t="str">
        <x:v>新莊區</x:v>
      </x:c>
      <x:c r="D1138" s="216" t="n">
        <x:v>25</x:v>
      </x:c>
      <x:c r="E1138" s="216" t="n">
        <x:v>120</x:v>
      </x:c>
      <x:c r="F1138" s="219" t="n">
        <x:v>0.9994791666666667</x:v>
      </x:c>
      <x:c r="G1138" s="216" t="n">
        <x:v>1134</x:v>
      </x:c>
      <x:c r="H1138" s="216" t="str">
        <x:f>IF(G1138&lt;='排名定義'!$B$5,"是","")</x:f>
        <x:v>是</x:v>
      </x:c>
      <x:c r="I1138" s="216" t="n">
        <x:v>1127</x:v>
      </x:c>
      <x:c r="J1138" s="216" t="str">
        <x:f>IF(I1138&lt;='排名定義'!$B$5,"是","")</x:f>
        <x:v>是</x:v>
      </x:c>
      <x:c r="K1138" s="216" t="n">
        <x:v>1212</x:v>
      </x:c>
      <x:c r="L1138" s="216" t="str">
        <x:f>IF(K1138&lt;='排名定義'!$B$5,"是","")</x:f>
        <x:v>是</x:v>
      </x:c>
      <x:c r="M1138" s="216" t="n">
        <x:f>COUNTIF(H1138:L1138,"是")</x:f>
        <x:v>3</x:v>
      </x:c>
      <x:c r="N1138" s="216" t="str">
        <x:v>三份皆未入選</x:v>
      </x:c>
      <x:c r="O1138" s="221" t="n">
        <x:v>28.675</x:v>
      </x:c>
      <x:c r="P1138" s="221" t="n">
        <x:v>25.808333333333334</x:v>
      </x:c>
      <x:c r="Q1138" s="221" t="n">
        <x:v>2.8666666666666667</x:v>
      </x:c>
      <x:c r="R1138" s="221" t="n">
        <x:v>0.0999709386806161</x:v>
      </x:c>
      <x:c r="S1138" s="221" t="n">
        <x:v>46.32258064516129</x:v>
      </x:c>
      <x:c r="T1138" s="221" t="n">
        <x:v>42</x:v>
      </x:c>
      <x:c r="U1138" s="221" t="n">
        <x:v>4.32258064516129</x:v>
      </x:c>
      <x:c r="V1138" s="219" t="n">
        <x:v>0.03225806451612903</x:v>
      </x:c>
      <x:c r="W1138" s="216" t="n">
        <x:v>4</x:v>
      </x:c>
      <x:c r="X1138" s="223" t="n">
        <x:v>630</x:v>
      </x:c>
      <x:c r="Y1138" s="216" t="n">
        <x:v>25</x:v>
      </x:c>
    </x:row>
    <x:row r="1139">
      <x:c r="A1139" s="217" t="n">
        <x:v>744</x:v>
      </x:c>
      <x:c r="B1139" s="217" t="str">
        <x:v>中原五街口</x:v>
      </x:c>
      <x:c r="C1139" s="217" t="str">
        <x:v>中和區</x:v>
      </x:c>
      <x:c r="D1139" s="217" t="n">
        <x:v>20</x:v>
      </x:c>
      <x:c r="E1139" s="217" t="n">
        <x:v>120</x:v>
      </x:c>
      <x:c r="F1139" s="218" t="n">
        <x:v>0.9994791666666667</x:v>
      </x:c>
      <x:c r="G1139" s="217" t="n">
        <x:v>1135</x:v>
      </x:c>
      <x:c r="H1139" s="217" t="str">
        <x:f>IF(G1139&lt;='排名定義'!$B$5,"是","")</x:f>
        <x:v>是</x:v>
      </x:c>
      <x:c r="I1139" s="217" t="n">
        <x:v>1136</x:v>
      </x:c>
      <x:c r="J1139" s="217" t="str">
        <x:f>IF(I1139&lt;='排名定義'!$B$5,"是","")</x:f>
        <x:v>是</x:v>
      </x:c>
      <x:c r="K1139" s="217" t="n">
        <x:v>1121</x:v>
      </x:c>
      <x:c r="L1139" s="217" t="str">
        <x:f>IF(K1139&lt;='排名定義'!$B$5,"是","")</x:f>
        <x:v>是</x:v>
      </x:c>
      <x:c r="M1139" s="217" t="n">
        <x:f>COUNTIF(H1139:L1139,"是")</x:f>
        <x:v>3</x:v>
      </x:c>
      <x:c r="N1139" s="217" t="str">
        <x:v>三份皆未入選</x:v>
      </x:c>
      <x:c r="O1139" s="220" t="n">
        <x:v>28.608333333333334</x:v>
      </x:c>
      <x:c r="P1139" s="220" t="n">
        <x:v>25.475</x:v>
      </x:c>
      <x:c r="Q1139" s="220" t="n">
        <x:v>3.1333333333333333</x:v>
      </x:c>
      <x:c r="R1139" s="220" t="n">
        <x:v>0.10952519662103116</x:v>
      </x:c>
      <x:c r="S1139" s="220" t="n">
        <x:v>47.61290322580645</x:v>
      </x:c>
      <x:c r="T1139" s="220" t="n">
        <x:v>43.354838709677416</x:v>
      </x:c>
      <x:c r="U1139" s="220" t="n">
        <x:v>4.258064516129032</x:v>
      </x:c>
      <x:c r="V1139" s="218" t="n">
        <x:v>0.018433179723502304</x:v>
      </x:c>
      <x:c r="W1139" s="217" t="n">
        <x:v>1</x:v>
      </x:c>
      <x:c r="X1139" s="222" t="n">
        <x:v>390</x:v>
      </x:c>
      <x:c r="Y1139" s="217" t="n">
        <x:v>20</x:v>
      </x:c>
    </x:row>
    <x:row r="1140">
      <x:c r="A1140" s="216" t="n">
        <x:v>583</x:v>
      </x:c>
      <x:c r="B1140" s="216" t="str">
        <x:v>林口仁愛公共托育中心</x:v>
      </x:c>
      <x:c r="C1140" s="216" t="str">
        <x:v>林口區</x:v>
      </x:c>
      <x:c r="D1140" s="216" t="n">
        <x:v>18</x:v>
      </x:c>
      <x:c r="E1140" s="216" t="n">
        <x:v>120</x:v>
      </x:c>
      <x:c r="F1140" s="219" t="n">
        <x:v>0.9994791666666667</x:v>
      </x:c>
      <x:c r="G1140" s="216" t="n">
        <x:v>1136</x:v>
      </x:c>
      <x:c r="H1140" s="216" t="str">
        <x:f>IF(G1140&lt;='排名定義'!$B$5,"是","")</x:f>
        <x:v>是</x:v>
      </x:c>
      <x:c r="I1140" s="216" t="n">
        <x:v>1126</x:v>
      </x:c>
      <x:c r="J1140" s="216" t="str">
        <x:f>IF(I1140&lt;='排名定義'!$B$5,"是","")</x:f>
        <x:v>是</x:v>
      </x:c>
      <x:c r="K1140" s="216" t="n">
        <x:v>1246</x:v>
      </x:c>
      <x:c r="L1140" s="216" t="str">
        <x:f>IF(K1140&lt;='排名定義'!$B$5,"是","")</x:f>
        <x:v>是</x:v>
      </x:c>
      <x:c r="M1140" s="216" t="n">
        <x:f>COUNTIF(H1140:L1140,"是")</x:f>
        <x:v>3</x:v>
      </x:c>
      <x:c r="N1140" s="216" t="str">
        <x:v>三份皆未入選</x:v>
      </x:c>
      <x:c r="O1140" s="221" t="n">
        <x:v>28.591666666666665</x:v>
      </x:c>
      <x:c r="P1140" s="221" t="n">
        <x:v>25.85</x:v>
      </x:c>
      <x:c r="Q1140" s="221" t="n">
        <x:v>2.7416666666666667</x:v>
      </x:c>
      <x:c r="R1140" s="221" t="n">
        <x:v>0.0958904109589041</x:v>
      </x:c>
      <x:c r="S1140" s="221" t="n">
        <x:v>50.806451612903224</x:v>
      </x:c>
      <x:c r="T1140" s="221" t="n">
        <x:v>46.774193548387096</x:v>
      </x:c>
      <x:c r="U1140" s="221" t="n">
        <x:v>4.032258064516129</x:v>
      </x:c>
      <x:c r="V1140" s="219" t="n">
        <x:v>0.03686635944700461</x:v>
      </x:c>
      <x:c r="W1140" s="216" t="n">
        <x:v>5</x:v>
      </x:c>
      <x:c r="X1140" s="223" t="n">
        <x:v>1110</x:v>
      </x:c>
      <x:c r="Y1140" s="216" t="n">
        <x:v>18</x:v>
      </x:c>
    </x:row>
    <x:row r="1141">
      <x:c r="A1141" s="217" t="n">
        <x:v>295</x:v>
      </x:c>
      <x:c r="B1141" s="217" t="str">
        <x:v>光明育智路口</x:v>
      </x:c>
      <x:c r="C1141" s="217" t="str">
        <x:v>鶯歌區</x:v>
      </x:c>
      <x:c r="D1141" s="217" t="n">
        <x:v>14</x:v>
      </x:c>
      <x:c r="E1141" s="217" t="n">
        <x:v>120</x:v>
      </x:c>
      <x:c r="F1141" s="218" t="n">
        <x:v>0.9994791666666667</x:v>
      </x:c>
      <x:c r="G1141" s="217" t="n">
        <x:v>1137</x:v>
      </x:c>
      <x:c r="H1141" s="217" t="str">
        <x:f>IF(G1141&lt;='排名定義'!$B$5,"是","")</x:f>
        <x:v>是</x:v>
      </x:c>
      <x:c r="I1141" s="217" t="n">
        <x:v>1134</x:v>
      </x:c>
      <x:c r="J1141" s="217" t="str">
        <x:f>IF(I1141&lt;='排名定義'!$B$5,"是","")</x:f>
        <x:v>是</x:v>
      </x:c>
      <x:c r="K1141" s="217" t="n">
        <x:v>1193</x:v>
      </x:c>
      <x:c r="L1141" s="217" t="str">
        <x:f>IF(K1141&lt;='排名定義'!$B$5,"是","")</x:f>
        <x:v>是</x:v>
      </x:c>
      <x:c r="M1141" s="217" t="n">
        <x:f>COUNTIF(H1141:L1141,"是")</x:f>
        <x:v>3</x:v>
      </x:c>
      <x:c r="N1141" s="217" t="str">
        <x:v>三份皆未入選</x:v>
      </x:c>
      <x:c r="O1141" s="220" t="n">
        <x:v>28.508333333333333</x:v>
      </x:c>
      <x:c r="P1141" s="220" t="n">
        <x:v>25.6</x:v>
      </x:c>
      <x:c r="Q1141" s="220" t="n">
        <x:v>2.908333333333333</x:v>
      </x:c>
      <x:c r="R1141" s="220" t="n">
        <x:v>0.10201695410698626</x:v>
      </x:c>
      <x:c r="S1141" s="220" t="n">
        <x:v>45.03225806451613</x:v>
      </x:c>
      <x:c r="T1141" s="220" t="n">
        <x:v>42.61290322580645</x:v>
      </x:c>
      <x:c r="U1141" s="220" t="n">
        <x:v>2.4193548387096775</x:v>
      </x:c>
      <x:c r="V1141" s="218" t="n">
        <x:v>0.013824884792626729</x:v>
      </x:c>
      <x:c r="W1141" s="217" t="n">
        <x:v>3</x:v>
      </x:c>
      <x:c r="X1141" s="222" t="n">
        <x:v>450</x:v>
      </x:c>
      <x:c r="Y1141" s="217" t="n">
        <x:v>14</x:v>
      </x:c>
    </x:row>
    <x:row r="1142">
      <x:c r="A1142" s="216" t="n">
        <x:v>804</x:v>
      </x:c>
      <x:c r="B1142" s="216" t="str">
        <x:v>浮洲合宜住宅(合宜一合宜路口)</x:v>
      </x:c>
      <x:c r="C1142" s="216" t="str">
        <x:v>板橋區</x:v>
      </x:c>
      <x:c r="D1142" s="216" t="n">
        <x:v>22</x:v>
      </x:c>
      <x:c r="E1142" s="216" t="n">
        <x:v>120</x:v>
      </x:c>
      <x:c r="F1142" s="219" t="n">
        <x:v>0.9994791666666667</x:v>
      </x:c>
      <x:c r="G1142" s="216" t="n">
        <x:v>1138</x:v>
      </x:c>
      <x:c r="H1142" s="216" t="str">
        <x:f>IF(G1142&lt;='排名定義'!$B$5,"是","")</x:f>
        <x:v>是</x:v>
      </x:c>
      <x:c r="I1142" s="216" t="n">
        <x:v>1152</x:v>
      </x:c>
      <x:c r="J1142" s="216" t="str">
        <x:f>IF(I1142&lt;='排名定義'!$B$5,"是","")</x:f>
        <x:v>是</x:v>
      </x:c>
      <x:c r="K1142" s="216" t="n">
        <x:v>932</x:v>
      </x:c>
      <x:c r="L1142" s="216" t="str">
        <x:f>IF(K1142&lt;='排名定義'!$B$5,"是","")</x:f>
        <x:v>是</x:v>
      </x:c>
      <x:c r="M1142" s="216" t="n">
        <x:f>COUNTIF(H1142:L1142,"是")</x:f>
        <x:v>3</x:v>
      </x:c>
      <x:c r="N1142" s="216" t="str">
        <x:v>三份皆未入選</x:v>
      </x:c>
      <x:c r="O1142" s="221" t="n">
        <x:v>28.425</x:v>
      </x:c>
      <x:c r="P1142" s="221" t="n">
        <x:v>24.808333333333334</x:v>
      </x:c>
      <x:c r="Q1142" s="221" t="n">
        <x:v>3.6166666666666667</x:v>
      </x:c>
      <x:c r="R1142" s="221" t="n">
        <x:v>0.12723541483435943</x:v>
      </x:c>
      <x:c r="S1142" s="221" t="n">
        <x:v>43.516129032258064</x:v>
      </x:c>
      <x:c r="T1142" s="221" t="n">
        <x:v>39.74193548387097</x:v>
      </x:c>
      <x:c r="U1142" s="221" t="n">
        <x:v>3.774193548387097</x:v>
      </x:c>
      <x:c r="V1142" s="219" t="n">
        <x:v>0.10368663594470046</x:v>
      </x:c>
      <x:c r="W1142" s="216" t="n">
        <x:v>19</x:v>
      </x:c>
      <x:c r="X1142" s="223" t="n">
        <x:v>2190</x:v>
      </x:c>
      <x:c r="Y1142" s="216" t="n">
        <x:v>22</x:v>
      </x:c>
    </x:row>
    <x:row r="1143">
      <x:c r="A1143" s="217" t="n">
        <x:v>400</x:v>
      </x:c>
      <x:c r="B1143" s="217" t="str">
        <x:v>三和路四段73號旁</x:v>
      </x:c>
      <x:c r="C1143" s="217" t="str">
        <x:v>三重區</x:v>
      </x:c>
      <x:c r="D1143" s="217" t="n">
        <x:v>15</x:v>
      </x:c>
      <x:c r="E1143" s="217" t="n">
        <x:v>120</x:v>
      </x:c>
      <x:c r="F1143" s="218" t="n">
        <x:v>0.9994791666666667</x:v>
      </x:c>
      <x:c r="G1143" s="217" t="n">
        <x:v>1139</x:v>
      </x:c>
      <x:c r="H1143" s="217" t="str">
        <x:f>IF(G1143&lt;='排名定義'!$B$5,"是","")</x:f>
        <x:v>是</x:v>
      </x:c>
      <x:c r="I1143" s="217" t="n">
        <x:v>1141</x:v>
      </x:c>
      <x:c r="J1143" s="217" t="str">
        <x:f>IF(I1143&lt;='排名定義'!$B$5,"是","")</x:f>
        <x:v>是</x:v>
      </x:c>
      <x:c r="K1143" s="217" t="n">
        <x:v>1142</x:v>
      </x:c>
      <x:c r="L1143" s="217" t="str">
        <x:f>IF(K1143&lt;='排名定義'!$B$5,"是","")</x:f>
        <x:v>是</x:v>
      </x:c>
      <x:c r="M1143" s="217" t="n">
        <x:f>COUNTIF(H1143:L1143,"是")</x:f>
        <x:v>3</x:v>
      </x:c>
      <x:c r="N1143" s="217" t="str">
        <x:v>三份皆未入選</x:v>
      </x:c>
      <x:c r="O1143" s="220" t="n">
        <x:v>28.383333333333333</x:v>
      </x:c>
      <x:c r="P1143" s="220" t="n">
        <x:v>25.3</x:v>
      </x:c>
      <x:c r="Q1143" s="220" t="n">
        <x:v>3.0833333333333335</x:v>
      </x:c>
      <x:c r="R1143" s="220" t="n">
        <x:v>0.1086318261890781</x:v>
      </x:c>
      <x:c r="S1143" s="220" t="n">
        <x:v>41.12903225806452</x:v>
      </x:c>
      <x:c r="T1143" s="220" t="n">
        <x:v>37.61290322580645</x:v>
      </x:c>
      <x:c r="U1143" s="220" t="n">
        <x:v>3.5161290322580645</x:v>
      </x:c>
      <x:c r="V1143" s="218" t="n">
        <x:v>0.0944700460829493</x:v>
      </x:c>
      <x:c r="W1143" s="217" t="n">
        <x:v>21</x:v>
      </x:c>
      <x:c r="X1143" s="222" t="n">
        <x:v>2340</x:v>
      </x:c>
      <x:c r="Y1143" s="217" t="n">
        <x:v>15</x:v>
      </x:c>
    </x:row>
    <x:row r="1144">
      <x:c r="A1144" s="216" t="n">
        <x:v>1003</x:v>
      </x:c>
      <x:c r="B1144" s="216" t="str">
        <x:v>永安南路九芎街71巷口</x:v>
      </x:c>
      <x:c r="C1144" s="216" t="str">
        <x:v>蘆洲區</x:v>
      </x:c>
      <x:c r="D1144" s="216" t="n">
        <x:v>29</x:v>
      </x:c>
      <x:c r="E1144" s="216" t="n">
        <x:v>120</x:v>
      </x:c>
      <x:c r="F1144" s="219" t="n">
        <x:v>0.9994791666666667</x:v>
      </x:c>
      <x:c r="G1144" s="216" t="n">
        <x:v>1140</x:v>
      </x:c>
      <x:c r="H1144" s="216" t="str">
        <x:f>IF(G1144&lt;='排名定義'!$B$5,"是","")</x:f>
        <x:v>是</x:v>
      </x:c>
      <x:c r="I1144" s="216" t="n">
        <x:v>1140</x:v>
      </x:c>
      <x:c r="J1144" s="216" t="str">
        <x:f>IF(I1144&lt;='排名定義'!$B$5,"是","")</x:f>
        <x:v>是</x:v>
      </x:c>
      <x:c r="K1144" s="216" t="n">
        <x:v>1161</x:v>
      </x:c>
      <x:c r="L1144" s="216" t="str">
        <x:f>IF(K1144&lt;='排名定義'!$B$5,"是","")</x:f>
        <x:v>是</x:v>
      </x:c>
      <x:c r="M1144" s="216" t="n">
        <x:f>COUNTIF(H1144:L1144,"是")</x:f>
        <x:v>3</x:v>
      </x:c>
      <x:c r="N1144" s="216" t="str">
        <x:v>三份皆未入選</x:v>
      </x:c>
      <x:c r="O1144" s="221" t="n">
        <x:v>28.35</x:v>
      </x:c>
      <x:c r="P1144" s="221" t="n">
        <x:v>25.325</x:v>
      </x:c>
      <x:c r="Q1144" s="221" t="n">
        <x:v>3.025</x:v>
      </x:c>
      <x:c r="R1144" s="221" t="n">
        <x:v>0.10670194003527336</x:v>
      </x:c>
      <x:c r="S1144" s="221" t="n">
        <x:v>37.58064516129032</x:v>
      </x:c>
      <x:c r="T1144" s="221" t="n">
        <x:v>35.03225806451613</x:v>
      </x:c>
      <x:c r="U1144" s="221" t="n">
        <x:v>2.5483870967741935</x:v>
      </x:c>
      <x:c r="V1144" s="219" t="n">
        <x:v>0.04608294930875576</x:v>
      </x:c>
      <x:c r="W1144" s="216" t="n">
        <x:v>13</x:v>
      </x:c>
      <x:c r="X1144" s="223" t="n">
        <x:v>1440</x:v>
      </x:c>
      <x:c r="Y1144" s="216" t="n">
        <x:v>29</x:v>
      </x:c>
    </x:row>
    <x:row r="1145">
      <x:c r="A1145" s="217" t="n">
        <x:v>304</x:v>
      </x:c>
      <x:c r="B1145" s="217" t="str">
        <x:v>濱海路一段306巷60弄</x:v>
      </x:c>
      <x:c r="C1145" s="217" t="str">
        <x:v>淡水區</x:v>
      </x:c>
      <x:c r="D1145" s="217" t="n">
        <x:v>14</x:v>
      </x:c>
      <x:c r="E1145" s="217" t="n">
        <x:v>120</x:v>
      </x:c>
      <x:c r="F1145" s="218" t="n">
        <x:v>0.9994791666666667</x:v>
      </x:c>
      <x:c r="G1145" s="217" t="n">
        <x:v>1141</x:v>
      </x:c>
      <x:c r="H1145" s="217" t="str">
        <x:f>IF(G1145&lt;='排名定義'!$B$5,"是","")</x:f>
        <x:v>是</x:v>
      </x:c>
      <x:c r="I1145" s="217" t="n">
        <x:v>1132</x:v>
      </x:c>
      <x:c r="J1145" s="217" t="str">
        <x:f>IF(I1145&lt;='排名定義'!$B$5,"是","")</x:f>
        <x:v>是</x:v>
      </x:c>
      <x:c r="K1145" s="217" t="n">
        <x:v>1262</x:v>
      </x:c>
      <x:c r="L1145" s="217" t="str">
        <x:f>IF(K1145&lt;='排名定義'!$B$5,"是","")</x:f>
        <x:v>是</x:v>
      </x:c>
      <x:c r="M1145" s="217" t="n">
        <x:f>COUNTIF(H1145:L1145,"是")</x:f>
        <x:v>3</x:v>
      </x:c>
      <x:c r="N1145" s="217" t="str">
        <x:v>三份皆未入選</x:v>
      </x:c>
      <x:c r="O1145" s="220" t="n">
        <x:v>28.3</x:v>
      </x:c>
      <x:c r="P1145" s="220" t="n">
        <x:v>25.65</x:v>
      </x:c>
      <x:c r="Q1145" s="220" t="n">
        <x:v>2.65</x:v>
      </x:c>
      <x:c r="R1145" s="220" t="n">
        <x:v>0.09363957597173145</x:v>
      </x:c>
      <x:c r="S1145" s="220" t="n">
        <x:v>43.806451612903224</x:v>
      </x:c>
      <x:c r="T1145" s="220" t="n">
        <x:v>41.064516129032256</x:v>
      </x:c>
      <x:c r="U1145" s="220" t="n">
        <x:v>2.7419354838709675</x:v>
      </x:c>
      <x:c r="V1145" s="218" t="n">
        <x:v>0.07142857142857142</x:v>
      </x:c>
      <x:c r="W1145" s="217" t="n">
        <x:v>19</x:v>
      </x:c>
      <x:c r="X1145" s="222" t="n">
        <x:v>2550</x:v>
      </x:c>
      <x:c r="Y1145" s="217" t="n">
        <x:v>14</x:v>
      </x:c>
    </x:row>
    <x:row r="1146">
      <x:c r="A1146" s="216" t="n">
        <x:v>991</x:v>
      </x:c>
      <x:c r="B1146" s="216" t="str">
        <x:v>板南路492號</x:v>
      </x:c>
      <x:c r="C1146" s="216" t="str">
        <x:v>中和區</x:v>
      </x:c>
      <x:c r="D1146" s="216" t="n">
        <x:v>29</x:v>
      </x:c>
      <x:c r="E1146" s="216" t="n">
        <x:v>120</x:v>
      </x:c>
      <x:c r="F1146" s="219" t="n">
        <x:v>0.9994791666666667</x:v>
      </x:c>
      <x:c r="G1146" s="216" t="n">
        <x:v>1142</x:v>
      </x:c>
      <x:c r="H1146" s="216" t="str">
        <x:f>IF(G1146&lt;='排名定義'!$B$5,"是","")</x:f>
        <x:v>是</x:v>
      </x:c>
      <x:c r="I1146" s="216" t="n">
        <x:v>1147</x:v>
      </x:c>
      <x:c r="J1146" s="216" t="str">
        <x:f>IF(I1146&lt;='排名定義'!$B$5,"是","")</x:f>
        <x:v>是</x:v>
      </x:c>
      <x:c r="K1146" s="216" t="n">
        <x:v>1026</x:v>
      </x:c>
      <x:c r="L1146" s="216" t="str">
        <x:f>IF(K1146&lt;='排名定義'!$B$5,"是","")</x:f>
        <x:v>是</x:v>
      </x:c>
      <x:c r="M1146" s="216" t="n">
        <x:f>COUNTIF(H1146:L1146,"是")</x:f>
        <x:v>3</x:v>
      </x:c>
      <x:c r="N1146" s="216" t="str">
        <x:v>三份皆未入選</x:v>
      </x:c>
      <x:c r="O1146" s="221" t="n">
        <x:v>28.291666666666668</x:v>
      </x:c>
      <x:c r="P1146" s="221" t="n">
        <x:v>24.9</x:v>
      </x:c>
      <x:c r="Q1146" s="221" t="n">
        <x:v>3.3916666666666666</x:v>
      </x:c>
      <x:c r="R1146" s="221" t="n">
        <x:v>0.11988217967599411</x:v>
      </x:c>
      <x:c r="S1146" s="221" t="n">
        <x:v>45.645161290322584</x:v>
      </x:c>
      <x:c r="T1146" s="221" t="n">
        <x:v>42.32258064516129</x:v>
      </x:c>
      <x:c r="U1146" s="221" t="n">
        <x:v>3.3225806451612905</x:v>
      </x:c>
      <x:c r="V1146" s="219" t="n">
        <x:v>0.016129032258064516</x:v>
      </x:c>
      <x:c r="W1146" s="216" t="n">
        <x:v>9</x:v>
      </x:c>
      <x:c r="X1146" s="223" t="n">
        <x:v>750</x:v>
      </x:c>
      <x:c r="Y1146" s="216" t="n">
        <x:v>29</x:v>
      </x:c>
    </x:row>
    <x:row r="1147">
      <x:c r="A1147" s="217" t="n">
        <x:v>1310</x:v>
      </x:c>
      <x:c r="B1147" s="217" t="str">
        <x:v>縣民板城路口</x:v>
      </x:c>
      <x:c r="C1147" s="217" t="str">
        <x:v>板橋區</x:v>
      </x:c>
      <x:c r="D1147" s="217" t="n">
        <x:v>40</x:v>
      </x:c>
      <x:c r="E1147" s="217" t="n">
        <x:v>120</x:v>
      </x:c>
      <x:c r="F1147" s="218" t="n">
        <x:v>0.9994791666666667</x:v>
      </x:c>
      <x:c r="G1147" s="217" t="n">
        <x:v>1143</x:v>
      </x:c>
      <x:c r="H1147" s="217" t="str">
        <x:f>IF(G1147&lt;='排名定義'!$B$5,"是","")</x:f>
        <x:v>是</x:v>
      </x:c>
      <x:c r="I1147" s="217" t="n">
        <x:v>1160</x:v>
      </x:c>
      <x:c r="J1147" s="217" t="str">
        <x:f>IF(I1147&lt;='排名定義'!$B$5,"是","")</x:f>
        <x:v>是</x:v>
      </x:c>
      <x:c r="K1147" s="217" t="n">
        <x:v>818</x:v>
      </x:c>
      <x:c r="L1147" s="217" t="str">
        <x:f>IF(K1147&lt;='排名定義'!$B$5,"是","")</x:f>
        <x:v>是</x:v>
      </x:c>
      <x:c r="M1147" s="217" t="n">
        <x:f>COUNTIF(H1147:L1147,"是")</x:f>
        <x:v>3</x:v>
      </x:c>
      <x:c r="N1147" s="217" t="str">
        <x:v>三份皆未入選</x:v>
      </x:c>
      <x:c r="O1147" s="220" t="n">
        <x:v>28.2</x:v>
      </x:c>
      <x:c r="P1147" s="220" t="n">
        <x:v>24.25</x:v>
      </x:c>
      <x:c r="Q1147" s="220" t="n">
        <x:v>3.95</x:v>
      </x:c>
      <x:c r="R1147" s="220" t="n">
        <x:v>0.1400709219858156</x:v>
      </x:c>
      <x:c r="S1147" s="220" t="n">
        <x:v>46.38709677419355</x:v>
      </x:c>
      <x:c r="T1147" s="220" t="n">
        <x:v>42.806451612903224</x:v>
      </x:c>
      <x:c r="U1147" s="220" t="n">
        <x:v>3.5806451612903225</x:v>
      </x:c>
      <x:c r="V1147" s="218" t="n">
        <x:v>0.03225806451612903</x:v>
      </x:c>
      <x:c r="W1147" s="217" t="n">
        <x:v>6</x:v>
      </x:c>
      <x:c r="X1147" s="222" t="n">
        <x:v>750</x:v>
      </x:c>
      <x:c r="Y1147" s="217" t="n">
        <x:v>40</x:v>
      </x:c>
    </x:row>
    <x:row r="1148">
      <x:c r="A1148" s="216" t="n">
        <x:v>673</x:v>
      </x:c>
      <x:c r="B1148" s="216" t="str">
        <x:v>河邊北街100巷口</x:v>
      </x:c>
      <x:c r="C1148" s="216" t="str">
        <x:v>三重區</x:v>
      </x:c>
      <x:c r="D1148" s="216" t="n">
        <x:v>20</x:v>
      </x:c>
      <x:c r="E1148" s="216" t="n">
        <x:v>120</x:v>
      </x:c>
      <x:c r="F1148" s="219" t="n">
        <x:v>0.9994791666666667</x:v>
      </x:c>
      <x:c r="G1148" s="216" t="n">
        <x:v>1144</x:v>
      </x:c>
      <x:c r="H1148" s="216" t="str">
        <x:f>IF(G1148&lt;='排名定義'!$B$5,"是","")</x:f>
        <x:v>是</x:v>
      </x:c>
      <x:c r="I1148" s="216" t="n">
        <x:v>1158</x:v>
      </x:c>
      <x:c r="J1148" s="216" t="str">
        <x:f>IF(I1148&lt;='排名定義'!$B$5,"是","")</x:f>
        <x:v>是</x:v>
      </x:c>
      <x:c r="K1148" s="216" t="n">
        <x:v>886</x:v>
      </x:c>
      <x:c r="L1148" s="216" t="str">
        <x:f>IF(K1148&lt;='排名定義'!$B$5,"是","")</x:f>
        <x:v>是</x:v>
      </x:c>
      <x:c r="M1148" s="216" t="n">
        <x:f>COUNTIF(H1148:L1148,"是")</x:f>
        <x:v>3</x:v>
      </x:c>
      <x:c r="N1148" s="216" t="str">
        <x:v>三份皆未入選</x:v>
      </x:c>
      <x:c r="O1148" s="221" t="n">
        <x:v>28.175</x:v>
      </x:c>
      <x:c r="P1148" s="221" t="n">
        <x:v>24.4</x:v>
      </x:c>
      <x:c r="Q1148" s="221" t="n">
        <x:v>3.775</x:v>
      </x:c>
      <x:c r="R1148" s="221" t="n">
        <x:v>0.13398402839396628</x:v>
      </x:c>
      <x:c r="S1148" s="221" t="n">
        <x:v>41.41935483870968</x:v>
      </x:c>
      <x:c r="T1148" s="221" t="n">
        <x:v>38.67741935483871</x:v>
      </x:c>
      <x:c r="U1148" s="221" t="n">
        <x:v>2.7419354838709675</x:v>
      </x:c>
      <x:c r="V1148" s="219" t="n">
        <x:v>0.07142857142857142</x:v>
      </x:c>
      <x:c r="W1148" s="216" t="n">
        <x:v>13</x:v>
      </x:c>
      <x:c r="X1148" s="223" t="n">
        <x:v>1800</x:v>
      </x:c>
      <x:c r="Y1148" s="216" t="n">
        <x:v>20</x:v>
      </x:c>
    </x:row>
    <x:row r="1149">
      <x:c r="A1149" s="217" t="n">
        <x:v>719</x:v>
      </x:c>
      <x:c r="B1149" s="217" t="str">
        <x:v>永吉國小</x:v>
      </x:c>
      <x:c r="C1149" s="217" t="str">
        <x:v>鶯歌區</x:v>
      </x:c>
      <x:c r="D1149" s="217" t="n">
        <x:v>20</x:v>
      </x:c>
      <x:c r="E1149" s="217" t="n">
        <x:v>120</x:v>
      </x:c>
      <x:c r="F1149" s="218" t="n">
        <x:v>0.9994791666666667</x:v>
      </x:c>
      <x:c r="G1149" s="217" t="n">
        <x:v>1145</x:v>
      </x:c>
      <x:c r="H1149" s="217" t="str">
        <x:f>IF(G1149&lt;='排名定義'!$B$5,"是","")</x:f>
        <x:v>是</x:v>
      </x:c>
      <x:c r="I1149" s="217" t="n">
        <x:v>1135</x:v>
      </x:c>
      <x:c r="J1149" s="217" t="str">
        <x:f>IF(I1149&lt;='排名定義'!$B$5,"是","")</x:f>
        <x:v>是</x:v>
      </x:c>
      <x:c r="K1149" s="217" t="n">
        <x:v>1261</x:v>
      </x:c>
      <x:c r="L1149" s="217" t="str">
        <x:f>IF(K1149&lt;='排名定義'!$B$5,"是","")</x:f>
        <x:v>是</x:v>
      </x:c>
      <x:c r="M1149" s="217" t="n">
        <x:f>COUNTIF(H1149:L1149,"是")</x:f>
        <x:v>3</x:v>
      </x:c>
      <x:c r="N1149" s="217" t="str">
        <x:v>三份皆未入選</x:v>
      </x:c>
      <x:c r="O1149" s="220" t="n">
        <x:v>28.175</x:v>
      </x:c>
      <x:c r="P1149" s="220" t="n">
        <x:v>25.516666666666666</x:v>
      </x:c>
      <x:c r="Q1149" s="220" t="n">
        <x:v>2.658333333333333</x:v>
      </x:c>
      <x:c r="R1149" s="220" t="n">
        <x:v>0.09435078379177758</x:v>
      </x:c>
      <x:c r="S1149" s="220" t="n">
        <x:v>47.29032258064516</x:v>
      </x:c>
      <x:c r="T1149" s="220" t="n">
        <x:v>44.61290322580645</x:v>
      </x:c>
      <x:c r="U1149" s="220" t="n">
        <x:v>2.6774193548387095</x:v>
      </x:c>
      <x:c r="V1149" s="218" t="n">
        <x:v>0.009216589861751152</x:v>
      </x:c>
      <x:c r="W1149" s="217" t="n">
        <x:v>2</x:v>
      </x:c>
      <x:c r="X1149" s="222" t="n">
        <x:v>180</x:v>
      </x:c>
      <x:c r="Y1149" s="217" t="n">
        <x:v>20</x:v>
      </x:c>
    </x:row>
    <x:row r="1150">
      <x:c r="A1150" s="216" t="n">
        <x:v>782</x:v>
      </x:c>
      <x:c r="B1150" s="216" t="str">
        <x:v>光之公園</x:v>
      </x:c>
      <x:c r="C1150" s="216" t="str">
        <x:v>中和區</x:v>
      </x:c>
      <x:c r="D1150" s="216" t="n">
        <x:v>21</x:v>
      </x:c>
      <x:c r="E1150" s="216" t="n">
        <x:v>120</x:v>
      </x:c>
      <x:c r="F1150" s="219" t="n">
        <x:v>0.9994791666666667</x:v>
      </x:c>
      <x:c r="G1150" s="216" t="n">
        <x:v>1146</x:v>
      </x:c>
      <x:c r="H1150" s="216" t="str">
        <x:f>IF(G1150&lt;='排名定義'!$B$5,"是","")</x:f>
        <x:v>是</x:v>
      </x:c>
      <x:c r="I1150" s="216" t="n">
        <x:v>1146</x:v>
      </x:c>
      <x:c r="J1150" s="216" t="str">
        <x:f>IF(I1150&lt;='排名定義'!$B$5,"是","")</x:f>
        <x:v>是</x:v>
      </x:c>
      <x:c r="K1150" s="216" t="n">
        <x:v>1129</x:v>
      </x:c>
      <x:c r="L1150" s="216" t="str">
        <x:f>IF(K1150&lt;='排名定義'!$B$5,"是","")</x:f>
        <x:v>是</x:v>
      </x:c>
      <x:c r="M1150" s="216" t="n">
        <x:f>COUNTIF(H1150:L1150,"是")</x:f>
        <x:v>3</x:v>
      </x:c>
      <x:c r="N1150" s="216" t="str">
        <x:v>三份皆未入選</x:v>
      </x:c>
      <x:c r="O1150" s="221" t="n">
        <x:v>28.116666666666667</x:v>
      </x:c>
      <x:c r="P1150" s="221" t="n">
        <x:v>25</x:v>
      </x:c>
      <x:c r="Q1150" s="221" t="n">
        <x:v>3.1166666666666667</x:v>
      </x:c>
      <x:c r="R1150" s="221" t="n">
        <x:v>0.11084765856550088</x:v>
      </x:c>
      <x:c r="S1150" s="221" t="n">
        <x:v>41.516129032258064</x:v>
      </x:c>
      <x:c r="T1150" s="221" t="n">
        <x:v>38.806451612903224</x:v>
      </x:c>
      <x:c r="U1150" s="221" t="n">
        <x:v>2.7096774193548385</x:v>
      </x:c>
      <x:c r="V1150" s="219" t="n">
        <x:v>0.009216589861751152</x:v>
      </x:c>
      <x:c r="W1150" s="216" t="n">
        <x:v>1</x:v>
      </x:c>
      <x:c r="X1150" s="223" t="n">
        <x:v>120</x:v>
      </x:c>
      <x:c r="Y1150" s="216" t="n">
        <x:v>21</x:v>
      </x:c>
    </x:row>
    <x:row r="1151">
      <x:c r="A1151" s="217" t="n">
        <x:v>352</x:v>
      </x:c>
      <x:c r="B1151" s="217" t="str">
        <x:v>安興祥和路口</x:v>
      </x:c>
      <x:c r="C1151" s="217" t="str">
        <x:v>新店區</x:v>
      </x:c>
      <x:c r="D1151" s="217" t="n">
        <x:v>15</x:v>
      </x:c>
      <x:c r="E1151" s="217" t="n">
        <x:v>120</x:v>
      </x:c>
      <x:c r="F1151" s="218" t="n">
        <x:v>0.9994791666666667</x:v>
      </x:c>
      <x:c r="G1151" s="217" t="n">
        <x:v>1147</x:v>
      </x:c>
      <x:c r="H1151" s="217" t="str">
        <x:f>IF(G1151&lt;='排名定義'!$B$5,"是","")</x:f>
        <x:v>是</x:v>
      </x:c>
      <x:c r="I1151" s="217" t="n">
        <x:v>1143</x:v>
      </x:c>
      <x:c r="J1151" s="217" t="str">
        <x:f>IF(I1151&lt;='排名定義'!$B$5,"是","")</x:f>
        <x:v>是</x:v>
      </x:c>
      <x:c r="K1151" s="217" t="n">
        <x:v>1182</x:v>
      </x:c>
      <x:c r="L1151" s="217" t="str">
        <x:f>IF(K1151&lt;='排名定義'!$B$5,"是","")</x:f>
        <x:v>是</x:v>
      </x:c>
      <x:c r="M1151" s="217" t="n">
        <x:f>COUNTIF(H1151:L1151,"是")</x:f>
        <x:v>3</x:v>
      </x:c>
      <x:c r="N1151" s="217" t="str">
        <x:v>三份皆未入選</x:v>
      </x:c>
      <x:c r="O1151" s="220" t="n">
        <x:v>28.033333333333335</x:v>
      </x:c>
      <x:c r="P1151" s="220" t="n">
        <x:v>25.083333333333332</x:v>
      </x:c>
      <x:c r="Q1151" s="220" t="n">
        <x:v>2.95</x:v>
      </x:c>
      <x:c r="R1151" s="220" t="n">
        <x:v>0.10523186682520809</x:v>
      </x:c>
      <x:c r="S1151" s="220" t="n">
        <x:v>43.03225806451613</x:v>
      </x:c>
      <x:c r="T1151" s="220" t="n">
        <x:v>40.774193548387096</x:v>
      </x:c>
      <x:c r="U1151" s="220" t="n">
        <x:v>2.2580645161290325</x:v>
      </x:c>
      <x:c r="V1151" s="218" t="n">
        <x:v>0.05069124423963134</x:v>
      </x:c>
      <x:c r="W1151" s="217" t="n">
        <x:v>12</x:v>
      </x:c>
      <x:c r="X1151" s="222" t="n">
        <x:v>1770</x:v>
      </x:c>
      <x:c r="Y1151" s="217" t="n">
        <x:v>15</x:v>
      </x:c>
    </x:row>
    <x:row r="1152">
      <x:c r="A1152" s="216" t="n">
        <x:v>212</x:v>
      </x:c>
      <x:c r="B1152" s="216" t="str">
        <x:v>民享中山路口</x:v>
      </x:c>
      <x:c r="C1152" s="216" t="str">
        <x:v>林口區</x:v>
      </x:c>
      <x:c r="D1152" s="216" t="n">
        <x:v>12</x:v>
      </x:c>
      <x:c r="E1152" s="216" t="n">
        <x:v>120</x:v>
      </x:c>
      <x:c r="F1152" s="219" t="n">
        <x:v>0.9994791666666667</x:v>
      </x:c>
      <x:c r="G1152" s="216" t="n">
        <x:v>1148</x:v>
      </x:c>
      <x:c r="H1152" s="216" t="str">
        <x:f>IF(G1152&lt;='排名定義'!$B$5,"是","")</x:f>
        <x:v>是</x:v>
      </x:c>
      <x:c r="I1152" s="216" t="n">
        <x:v>1139</x:v>
      </x:c>
      <x:c r="J1152" s="216" t="str">
        <x:f>IF(I1152&lt;='排名定義'!$B$5,"是","")</x:f>
        <x:v>是</x:v>
      </x:c>
      <x:c r="K1152" s="216" t="n">
        <x:v>1264</x:v>
      </x:c>
      <x:c r="L1152" s="216" t="str">
        <x:f>IF(K1152&lt;='排名定義'!$B$5,"是","")</x:f>
        <x:v>是</x:v>
      </x:c>
      <x:c r="M1152" s="216" t="n">
        <x:f>COUNTIF(H1152:L1152,"是")</x:f>
        <x:v>3</x:v>
      </x:c>
      <x:c r="N1152" s="216" t="str">
        <x:v>三份皆未入選</x:v>
      </x:c>
      <x:c r="O1152" s="221" t="n">
        <x:v>27.966666666666665</x:v>
      </x:c>
      <x:c r="P1152" s="221" t="n">
        <x:v>25.325</x:v>
      </x:c>
      <x:c r="Q1152" s="221" t="n">
        <x:v>2.6416666666666666</x:v>
      </x:c>
      <x:c r="R1152" s="221" t="n">
        <x:v>0.09445768772348033</x:v>
      </x:c>
      <x:c r="S1152" s="221" t="n">
        <x:v>47.41935483870968</x:v>
      </x:c>
      <x:c r="T1152" s="221" t="n">
        <x:v>45.54838709677419</x:v>
      </x:c>
      <x:c r="U1152" s="221" t="n">
        <x:v>1.8709677419354838</x:v>
      </x:c>
      <x:c r="V1152" s="219" t="n">
        <x:v>0.018433179723502304</x:v>
      </x:c>
      <x:c r="W1152" s="216" t="n">
        <x:v>3</x:v>
      </x:c>
      <x:c r="X1152" s="223" t="n">
        <x:v>780</x:v>
      </x:c>
      <x:c r="Y1152" s="216" t="n">
        <x:v>12</x:v>
      </x:c>
    </x:row>
    <x:row r="1153">
      <x:c r="A1153" s="217" t="n">
        <x:v>691</x:v>
      </x:c>
      <x:c r="B1153" s="217" t="str">
        <x:v>青隆青福街口</x:v>
      </x:c>
      <x:c r="C1153" s="217" t="str">
        <x:v>土城區</x:v>
      </x:c>
      <x:c r="D1153" s="217" t="n">
        <x:v>20</x:v>
      </x:c>
      <x:c r="E1153" s="217" t="n">
        <x:v>120</x:v>
      </x:c>
      <x:c r="F1153" s="218" t="n">
        <x:v>0.9994791666666667</x:v>
      </x:c>
      <x:c r="G1153" s="217" t="n">
        <x:v>1149</x:v>
      </x:c>
      <x:c r="H1153" s="217" t="str">
        <x:f>IF(G1153&lt;='排名定義'!$B$5,"是","")</x:f>
        <x:v>是</x:v>
      </x:c>
      <x:c r="I1153" s="217" t="n">
        <x:v>1155</x:v>
      </x:c>
      <x:c r="J1153" s="217" t="str">
        <x:f>IF(I1153&lt;='排名定義'!$B$5,"是","")</x:f>
        <x:v>是</x:v>
      </x:c>
      <x:c r="K1153" s="217" t="n">
        <x:v>1004</x:v>
      </x:c>
      <x:c r="L1153" s="217" t="str">
        <x:f>IF(K1153&lt;='排名定義'!$B$5,"是","")</x:f>
        <x:v>是</x:v>
      </x:c>
      <x:c r="M1153" s="217" t="n">
        <x:f>COUNTIF(H1153:L1153,"是")</x:f>
        <x:v>3</x:v>
      </x:c>
      <x:c r="N1153" s="217" t="str">
        <x:v>三份皆未入選</x:v>
      </x:c>
      <x:c r="O1153" s="220" t="n">
        <x:v>27.941666666666666</x:v>
      </x:c>
      <x:c r="P1153" s="220" t="n">
        <x:v>24.508333333333333</x:v>
      </x:c>
      <x:c r="Q1153" s="220" t="n">
        <x:v>3.433333333333333</x:v>
      </x:c>
      <x:c r="R1153" s="220" t="n">
        <x:v>0.12287503728004771</x:v>
      </x:c>
      <x:c r="S1153" s="220" t="n">
        <x:v>40.70967741935484</x:v>
      </x:c>
      <x:c r="T1153" s="220" t="n">
        <x:v>37.645161290322584</x:v>
      </x:c>
      <x:c r="U1153" s="220" t="n">
        <x:v>3.064516129032258</x:v>
      </x:c>
      <x:c r="V1153" s="218" t="n">
        <x:v>0.08294930875576037</x:v>
      </x:c>
      <x:c r="W1153" s="217" t="n">
        <x:v>16</x:v>
      </x:c>
      <x:c r="X1153" s="222" t="n">
        <x:v>1800</x:v>
      </x:c>
      <x:c r="Y1153" s="217" t="n">
        <x:v>20</x:v>
      </x:c>
    </x:row>
    <x:row r="1154">
      <x:c r="A1154" s="216" t="n">
        <x:v>629</x:v>
      </x:c>
      <x:c r="B1154" s="216" t="str">
        <x:v>中興工建路口</x:v>
      </x:c>
      <x:c r="C1154" s="216" t="str">
        <x:v>汐止區</x:v>
      </x:c>
      <x:c r="D1154" s="216" t="n">
        <x:v>20</x:v>
      </x:c>
      <x:c r="E1154" s="216" t="n">
        <x:v>120</x:v>
      </x:c>
      <x:c r="F1154" s="219" t="n">
        <x:v>0.9994791666666667</x:v>
      </x:c>
      <x:c r="G1154" s="216" t="n">
        <x:v>1150</x:v>
      </x:c>
      <x:c r="H1154" s="216" t="str">
        <x:f>IF(G1154&lt;='排名定義'!$B$5,"是","")</x:f>
        <x:v>是</x:v>
      </x:c>
      <x:c r="I1154" s="216" t="n">
        <x:v>1142</x:v>
      </x:c>
      <x:c r="J1154" s="216" t="str">
        <x:f>IF(I1154&lt;='排名定義'!$B$5,"是","")</x:f>
        <x:v>是</x:v>
      </x:c>
      <x:c r="K1154" s="216" t="n">
        <x:v>1272</x:v>
      </x:c>
      <x:c r="L1154" s="216" t="str">
        <x:f>IF(K1154&lt;='排名定義'!$B$5,"是","")</x:f>
        <x:v>是</x:v>
      </x:c>
      <x:c r="M1154" s="216" t="n">
        <x:f>COUNTIF(H1154:L1154,"是")</x:f>
        <x:v>3</x:v>
      </x:c>
      <x:c r="N1154" s="216" t="str">
        <x:v>三份皆未入選</x:v>
      </x:c>
      <x:c r="O1154" s="221" t="n">
        <x:v>27.8</x:v>
      </x:c>
      <x:c r="P1154" s="221" t="n">
        <x:v>25.183333333333334</x:v>
      </x:c>
      <x:c r="Q1154" s="221" t="n">
        <x:v>2.6166666666666667</x:v>
      </x:c>
      <x:c r="R1154" s="221" t="n">
        <x:v>0.09412470023980815</x:v>
      </x:c>
      <x:c r="S1154" s="221" t="n">
        <x:v>50.193548387096776</x:v>
      </x:c>
      <x:c r="T1154" s="221" t="n">
        <x:v>46.29032258064516</x:v>
      </x:c>
      <x:c r="U1154" s="221" t="n">
        <x:v>3.903225806451613</x:v>
      </x:c>
      <x:c r="V1154" s="219" t="n">
        <x:v>0.052995391705069124</x:v>
      </x:c>
      <x:c r="W1154" s="216" t="n">
        <x:v>11</x:v>
      </x:c>
      <x:c r="X1154" s="223" t="n">
        <x:v>1290</x:v>
      </x:c>
      <x:c r="Y1154" s="216" t="n">
        <x:v>20</x:v>
      </x:c>
    </x:row>
    <x:row r="1155">
      <x:c r="A1155" s="217" t="n">
        <x:v>610</x:v>
      </x:c>
      <x:c r="B1155" s="217" t="str">
        <x:v>大同路三段148號</x:v>
      </x:c>
      <x:c r="C1155" s="217" t="str">
        <x:v>汐止區</x:v>
      </x:c>
      <x:c r="D1155" s="217" t="n">
        <x:v>19</x:v>
      </x:c>
      <x:c r="E1155" s="217" t="n">
        <x:v>120</x:v>
      </x:c>
      <x:c r="F1155" s="218" t="n">
        <x:v>0.9994791666666667</x:v>
      </x:c>
      <x:c r="G1155" s="217" t="n">
        <x:v>1151</x:v>
      </x:c>
      <x:c r="H1155" s="217" t="str">
        <x:f>IF(G1155&lt;='排名定義'!$B$5,"是","")</x:f>
        <x:v>是</x:v>
      </x:c>
      <x:c r="I1155" s="217" t="n">
        <x:v>1166</x:v>
      </x:c>
      <x:c r="J1155" s="217" t="str">
        <x:f>IF(I1155&lt;='排名定義'!$B$5,"是","")</x:f>
        <x:v>是</x:v>
      </x:c>
      <x:c r="K1155" s="217" t="n">
        <x:v>909</x:v>
      </x:c>
      <x:c r="L1155" s="217" t="str">
        <x:f>IF(K1155&lt;='排名定義'!$B$5,"是","")</x:f>
        <x:v>是</x:v>
      </x:c>
      <x:c r="M1155" s="217" t="n">
        <x:f>COUNTIF(H1155:L1155,"是")</x:f>
        <x:v>3</x:v>
      </x:c>
      <x:c r="N1155" s="217" t="str">
        <x:v>三份皆未入選</x:v>
      </x:c>
      <x:c r="O1155" s="220" t="n">
        <x:v>27.775</x:v>
      </x:c>
      <x:c r="P1155" s="220" t="n">
        <x:v>24.083333333333332</x:v>
      </x:c>
      <x:c r="Q1155" s="220" t="n">
        <x:v>3.691666666666667</x:v>
      </x:c>
      <x:c r="R1155" s="220" t="n">
        <x:v>0.1329132913291329</x:v>
      </x:c>
      <x:c r="S1155" s="220" t="n">
        <x:v>43.87096774193548</x:v>
      </x:c>
      <x:c r="T1155" s="220" t="n">
        <x:v>40.483870967741936</x:v>
      </x:c>
      <x:c r="U1155" s="220" t="n">
        <x:v>3.3870967741935485</x:v>
      </x:c>
      <x:c r="V1155" s="218" t="n">
        <x:v>0.018433179723502304</x:v>
      </x:c>
      <x:c r="W1155" s="217" t="n">
        <x:v>1</x:v>
      </x:c>
      <x:c r="X1155" s="222" t="n">
        <x:v>300</x:v>
      </x:c>
      <x:c r="Y1155" s="217" t="n">
        <x:v>19</x:v>
      </x:c>
    </x:row>
    <x:row r="1156">
      <x:c r="A1156" s="216" t="n">
        <x:v>336</x:v>
      </x:c>
      <x:c r="B1156" s="216" t="str">
        <x:v>光復街/中山路二段412巷口</x:v>
      </x:c>
      <x:c r="C1156" s="216" t="str">
        <x:v>板橋區</x:v>
      </x:c>
      <x:c r="D1156" s="216" t="n">
        <x:v>15</x:v>
      </x:c>
      <x:c r="E1156" s="216" t="n">
        <x:v>120</x:v>
      </x:c>
      <x:c r="F1156" s="219" t="n">
        <x:v>0.9994791666666667</x:v>
      </x:c>
      <x:c r="G1156" s="216" t="n">
        <x:v>1152</x:v>
      </x:c>
      <x:c r="H1156" s="216" t="str">
        <x:f>IF(G1156&lt;='排名定義'!$B$5,"是","")</x:f>
        <x:v>是</x:v>
      </x:c>
      <x:c r="I1156" s="216" t="n">
        <x:v>1150</x:v>
      </x:c>
      <x:c r="J1156" s="216" t="str">
        <x:f>IF(I1156&lt;='排名定義'!$B$5,"是","")</x:f>
        <x:v>是</x:v>
      </x:c>
      <x:c r="K1156" s="216" t="n">
        <x:v>1188</x:v>
      </x:c>
      <x:c r="L1156" s="216" t="str">
        <x:f>IF(K1156&lt;='排名定義'!$B$5,"是","")</x:f>
        <x:v>是</x:v>
      </x:c>
      <x:c r="M1156" s="216" t="n">
        <x:f>COUNTIF(H1156:L1156,"是")</x:f>
        <x:v>3</x:v>
      </x:c>
      <x:c r="N1156" s="216" t="str">
        <x:v>三份皆未入選</x:v>
      </x:c>
      <x:c r="O1156" s="221" t="n">
        <x:v>27.733333333333334</x:v>
      </x:c>
      <x:c r="P1156" s="221" t="n">
        <x:v>24.808333333333334</x:v>
      </x:c>
      <x:c r="Q1156" s="221" t="n">
        <x:v>2.925</x:v>
      </x:c>
      <x:c r="R1156" s="221" t="n">
        <x:v>0.10546875</x:v>
      </x:c>
      <x:c r="S1156" s="221" t="n">
        <x:v>42.516129032258064</x:v>
      </x:c>
      <x:c r="T1156" s="221" t="n">
        <x:v>40.25806451612903</x:v>
      </x:c>
      <x:c r="U1156" s="221" t="n">
        <x:v>2.2580645161290325</x:v>
      </x:c>
      <x:c r="V1156" s="219" t="n">
        <x:v>0.12211981566820276</x:v>
      </x:c>
      <x:c r="W1156" s="216" t="n">
        <x:v>23</x:v>
      </x:c>
      <x:c r="X1156" s="223" t="n">
        <x:v>2700</x:v>
      </x:c>
      <x:c r="Y1156" s="216" t="n">
        <x:v>15</x:v>
      </x:c>
    </x:row>
    <x:row r="1157">
      <x:c r="A1157" s="217" t="n">
        <x:v>872</x:v>
      </x:c>
      <x:c r="B1157" s="217" t="str">
        <x:v>國家檔案館(文化一路)</x:v>
      </x:c>
      <x:c r="C1157" s="217" t="str">
        <x:v>林口區</x:v>
      </x:c>
      <x:c r="D1157" s="217" t="n">
        <x:v>25</x:v>
      </x:c>
      <x:c r="E1157" s="217" t="n">
        <x:v>120</x:v>
      </x:c>
      <x:c r="F1157" s="218" t="n">
        <x:v>0.9994791666666667</x:v>
      </x:c>
      <x:c r="G1157" s="217" t="n">
        <x:v>1153</x:v>
      </x:c>
      <x:c r="H1157" s="217" t="str">
        <x:f>IF(G1157&lt;='排名定義'!$B$5,"是","")</x:f>
        <x:v>是</x:v>
      </x:c>
      <x:c r="I1157" s="217" t="n">
        <x:v>1173</x:v>
      </x:c>
      <x:c r="J1157" s="217" t="str">
        <x:f>IF(I1157&lt;='排名定義'!$B$5,"是","")</x:f>
        <x:v>是</x:v>
      </x:c>
      <x:c r="K1157" s="217" t="n">
        <x:v>791</x:v>
      </x:c>
      <x:c r="L1157" s="217" t="str">
        <x:f>IF(K1157&lt;='排名定義'!$B$5,"是","")</x:f>
        <x:v>是</x:v>
      </x:c>
      <x:c r="M1157" s="217" t="n">
        <x:f>COUNTIF(H1157:L1157,"是")</x:f>
        <x:v>3</x:v>
      </x:c>
      <x:c r="N1157" s="217" t="str">
        <x:v>三份皆未入選</x:v>
      </x:c>
      <x:c r="O1157" s="220" t="n">
        <x:v>27.716666666666665</x:v>
      </x:c>
      <x:c r="P1157" s="220" t="n">
        <x:v>23.708333333333332</x:v>
      </x:c>
      <x:c r="Q1157" s="220" t="n">
        <x:v>4.008333333333334</x:v>
      </x:c>
      <x:c r="R1157" s="220" t="n">
        <x:v>0.14461815995189417</x:v>
      </x:c>
      <x:c r="S1157" s="220" t="n">
        <x:v>42.774193548387096</x:v>
      </x:c>
      <x:c r="T1157" s="220" t="n">
        <x:v>37.806451612903224</x:v>
      </x:c>
      <x:c r="U1157" s="220" t="n">
        <x:v>4.967741935483871</x:v>
      </x:c>
      <x:c r="V1157" s="218" t="n">
        <x:v>0.018433179723502304</x:v>
      </x:c>
      <x:c r="W1157" s="217" t="n">
        <x:v>3</x:v>
      </x:c>
      <x:c r="X1157" s="222" t="n">
        <x:v>360</x:v>
      </x:c>
      <x:c r="Y1157" s="217" t="n">
        <x:v>25</x:v>
      </x:c>
    </x:row>
    <x:row r="1158">
      <x:c r="A1158" s="216" t="n">
        <x:v>365</x:v>
      </x:c>
      <x:c r="B1158" s="216" t="str">
        <x:v>新市二路三段/濱海路二段202巷口</x:v>
      </x:c>
      <x:c r="C1158" s="216" t="str">
        <x:v>淡水區</x:v>
      </x:c>
      <x:c r="D1158" s="216" t="n">
        <x:v>15</x:v>
      </x:c>
      <x:c r="E1158" s="216" t="n">
        <x:v>120</x:v>
      </x:c>
      <x:c r="F1158" s="219" t="n">
        <x:v>0.9994791666666667</x:v>
      </x:c>
      <x:c r="G1158" s="216" t="n">
        <x:v>1154</x:v>
      </x:c>
      <x:c r="H1158" s="216" t="str">
        <x:f>IF(G1158&lt;='排名定義'!$B$5,"是","")</x:f>
        <x:v>是</x:v>
      </x:c>
      <x:c r="I1158" s="216" t="n">
        <x:v>1151</x:v>
      </x:c>
      <x:c r="J1158" s="216" t="str">
        <x:f>IF(I1158&lt;='排名定義'!$B$5,"是","")</x:f>
        <x:v>是</x:v>
      </x:c>
      <x:c r="K1158" s="216" t="n">
        <x:v>1219</x:v>
      </x:c>
      <x:c r="L1158" s="216" t="str">
        <x:f>IF(K1158&lt;='排名定義'!$B$5,"是","")</x:f>
        <x:v>是</x:v>
      </x:c>
      <x:c r="M1158" s="216" t="n">
        <x:f>COUNTIF(H1158:L1158,"是")</x:f>
        <x:v>3</x:v>
      </x:c>
      <x:c r="N1158" s="216" t="str">
        <x:v>三份皆未入選</x:v>
      </x:c>
      <x:c r="O1158" s="221" t="n">
        <x:v>27.65</x:v>
      </x:c>
      <x:c r="P1158" s="221" t="n">
        <x:v>24.808333333333334</x:v>
      </x:c>
      <x:c r="Q1158" s="221" t="n">
        <x:v>2.841666666666667</x:v>
      </x:c>
      <x:c r="R1158" s="221" t="n">
        <x:v>0.10277275467148884</x:v>
      </x:c>
      <x:c r="S1158" s="221" t="n">
        <x:v>44.74193548387097</x:v>
      </x:c>
      <x:c r="T1158" s="221" t="n">
        <x:v>42.12903225806452</x:v>
      </x:c>
      <x:c r="U1158" s="221" t="n">
        <x:v>2.6129032258064515</x:v>
      </x:c>
      <x:c r="V1158" s="219" t="n">
        <x:v>0.09907834101382489</x:v>
      </x:c>
      <x:c r="W1158" s="216" t="n">
        <x:v>19</x:v>
      </x:c>
      <x:c r="X1158" s="223" t="n">
        <x:v>2490</x:v>
      </x:c>
      <x:c r="Y1158" s="216" t="n">
        <x:v>15</x:v>
      </x:c>
    </x:row>
    <x:row r="1159">
      <x:c r="A1159" s="217" t="n">
        <x:v>709</x:v>
      </x:c>
      <x:c r="B1159" s="217" t="str">
        <x:v>新北市客家文化園區</x:v>
      </x:c>
      <x:c r="C1159" s="217" t="str">
        <x:v>三峽區</x:v>
      </x:c>
      <x:c r="D1159" s="217" t="n">
        <x:v>20</x:v>
      </x:c>
      <x:c r="E1159" s="217" t="n">
        <x:v>120</x:v>
      </x:c>
      <x:c r="F1159" s="218" t="n">
        <x:v>0.9994791666666667</x:v>
      </x:c>
      <x:c r="G1159" s="217" t="n">
        <x:v>1155</x:v>
      </x:c>
      <x:c r="H1159" s="217" t="str">
        <x:f>IF(G1159&lt;='排名定義'!$B$5,"是","")</x:f>
        <x:v>是</x:v>
      </x:c>
      <x:c r="I1159" s="217" t="n">
        <x:v>1153</x:v>
      </x:c>
      <x:c r="J1159" s="217" t="str">
        <x:f>IF(I1159&lt;='排名定義'!$B$5,"是","")</x:f>
        <x:v>是</x:v>
      </x:c>
      <x:c r="K1159" s="217" t="n">
        <x:v>1190</x:v>
      </x:c>
      <x:c r="L1159" s="217" t="str">
        <x:f>IF(K1159&lt;='排名定義'!$B$5,"是","")</x:f>
        <x:v>是</x:v>
      </x:c>
      <x:c r="M1159" s="217" t="n">
        <x:f>COUNTIF(H1159:L1159,"是")</x:f>
        <x:v>3</x:v>
      </x:c>
      <x:c r="N1159" s="217" t="str">
        <x:v>三份皆未入選</x:v>
      </x:c>
      <x:c r="O1159" s="220" t="n">
        <x:v>27.541666666666668</x:v>
      </x:c>
      <x:c r="P1159" s="220" t="n">
        <x:v>24.616666666666667</x:v>
      </x:c>
      <x:c r="Q1159" s="220" t="n">
        <x:v>2.925</x:v>
      </x:c>
      <x:c r="R1159" s="220" t="n">
        <x:v>0.10620272314674735</x:v>
      </x:c>
      <x:c r="S1159" s="220" t="n">
        <x:v>50.483870967741936</x:v>
      </x:c>
      <x:c r="T1159" s="220" t="n">
        <x:v>47.41935483870968</x:v>
      </x:c>
      <x:c r="U1159" s="220" t="n">
        <x:v>3.064516129032258</x:v>
      </x:c>
      <x:c r="V1159" s="218" t="n">
        <x:v>0</x:v>
      </x:c>
      <x:c r="W1159" s="217" t="n">
        <x:v>0</x:v>
      </x:c>
      <x:c r="X1159" s="222" t="n">
        <x:v>0</x:v>
      </x:c>
      <x:c r="Y1159" s="217" t="n">
        <x:v>39</x:v>
      </x:c>
    </x:row>
    <x:row r="1160">
      <x:c r="A1160" s="216" t="n">
        <x:v>748</x:v>
      </x:c>
      <x:c r="B1160" s="216" t="str">
        <x:v>林口國民運動中心(文化三路)</x:v>
      </x:c>
      <x:c r="C1160" s="216" t="str">
        <x:v>林口區</x:v>
      </x:c>
      <x:c r="D1160" s="216" t="n">
        <x:v>20</x:v>
      </x:c>
      <x:c r="E1160" s="216" t="n">
        <x:v>120</x:v>
      </x:c>
      <x:c r="F1160" s="219" t="n">
        <x:v>0.9994791666666667</x:v>
      </x:c>
      <x:c r="G1160" s="216" t="n">
        <x:v>1156</x:v>
      </x:c>
      <x:c r="H1160" s="216" t="str">
        <x:f>IF(G1160&lt;='排名定義'!$B$5,"是","")</x:f>
        <x:v>是</x:v>
      </x:c>
      <x:c r="I1160" s="216" t="n">
        <x:v>1162</x:v>
      </x:c>
      <x:c r="J1160" s="216" t="str">
        <x:f>IF(I1160&lt;='排名定義'!$B$5,"是","")</x:f>
        <x:v>是</x:v>
      </x:c>
      <x:c r="K1160" s="216" t="n">
        <x:v>1078</x:v>
      </x:c>
      <x:c r="L1160" s="216" t="str">
        <x:f>IF(K1160&lt;='排名定義'!$B$5,"是","")</x:f>
        <x:v>是</x:v>
      </x:c>
      <x:c r="M1160" s="216" t="n">
        <x:f>COUNTIF(H1160:L1160,"是")</x:f>
        <x:v>3</x:v>
      </x:c>
      <x:c r="N1160" s="216" t="str">
        <x:v>三份皆未入選</x:v>
      </x:c>
      <x:c r="O1160" s="221" t="n">
        <x:v>27.475</x:v>
      </x:c>
      <x:c r="P1160" s="221" t="n">
        <x:v>24.216666666666665</x:v>
      </x:c>
      <x:c r="Q1160" s="221" t="n">
        <x:v>3.2583333333333333</x:v>
      </x:c>
      <x:c r="R1160" s="221" t="n">
        <x:v>0.11859265999393388</x:v>
      </x:c>
      <x:c r="S1160" s="221" t="n">
        <x:v>49.32258064516129</x:v>
      </x:c>
      <x:c r="T1160" s="221" t="n">
        <x:v>45.064516129032256</x:v>
      </x:c>
      <x:c r="U1160" s="221" t="n">
        <x:v>4.258064516129032</x:v>
      </x:c>
      <x:c r="V1160" s="219" t="n">
        <x:v>0.009216589861751152</x:v>
      </x:c>
      <x:c r="W1160" s="216" t="n">
        <x:v>1</x:v>
      </x:c>
      <x:c r="X1160" s="223" t="n">
        <x:v>210</x:v>
      </x:c>
      <x:c r="Y1160" s="216" t="n">
        <x:v>20</x:v>
      </x:c>
    </x:row>
    <x:row r="1161">
      <x:c r="A1161" s="217" t="n">
        <x:v>133</x:v>
      </x:c>
      <x:c r="B1161" s="217" t="str">
        <x:v>輕軌竿蓁林站</x:v>
      </x:c>
      <x:c r="C1161" s="217" t="str">
        <x:v>淡水區</x:v>
      </x:c>
      <x:c r="D1161" s="217" t="n">
        <x:v>10</x:v>
      </x:c>
      <x:c r="E1161" s="217" t="n">
        <x:v>120</x:v>
      </x:c>
      <x:c r="F1161" s="218" t="n">
        <x:v>0.9994791666666667</x:v>
      </x:c>
      <x:c r="G1161" s="217" t="n">
        <x:v>1157</x:v>
      </x:c>
      <x:c r="H1161" s="217" t="str">
        <x:f>IF(G1161&lt;='排名定義'!$B$5,"是","")</x:f>
        <x:v>是</x:v>
      </x:c>
      <x:c r="I1161" s="217" t="n">
        <x:v>1156</x:v>
      </x:c>
      <x:c r="J1161" s="217" t="str">
        <x:f>IF(I1161&lt;='排名定義'!$B$5,"是","")</x:f>
        <x:v>是</x:v>
      </x:c>
      <x:c r="K1161" s="217" t="n">
        <x:v>1187</x:v>
      </x:c>
      <x:c r="L1161" s="217" t="str">
        <x:f>IF(K1161&lt;='排名定義'!$B$5,"是","")</x:f>
        <x:v>是</x:v>
      </x:c>
      <x:c r="M1161" s="217" t="n">
        <x:f>COUNTIF(H1161:L1161,"是")</x:f>
        <x:v>3</x:v>
      </x:c>
      <x:c r="N1161" s="217" t="str">
        <x:v>三份皆未入選</x:v>
      </x:c>
      <x:c r="O1161" s="220" t="n">
        <x:v>27.375</x:v>
      </x:c>
      <x:c r="P1161" s="220" t="n">
        <x:v>24.45</x:v>
      </x:c>
      <x:c r="Q1161" s="220" t="n">
        <x:v>2.925</x:v>
      </x:c>
      <x:c r="R1161" s="220" t="n">
        <x:v>0.10684931506849316</x:v>
      </x:c>
      <x:c r="S1161" s="220" t="n">
        <x:v>39.774193548387096</x:v>
      </x:c>
      <x:c r="T1161" s="220" t="n">
        <x:v>35.87096774193548</x:v>
      </x:c>
      <x:c r="U1161" s="220" t="n">
        <x:v>3.903225806451613</x:v>
      </x:c>
      <x:c r="V1161" s="218" t="n">
        <x:v>0.1336405529953917</x:v>
      </x:c>
      <x:c r="W1161" s="217" t="n">
        <x:v>33</x:v>
      </x:c>
      <x:c r="X1161" s="222" t="n">
        <x:v>4260</x:v>
      </x:c>
      <x:c r="Y1161" s="217" t="n">
        <x:v>10</x:v>
      </x:c>
    </x:row>
    <x:row r="1162">
      <x:c r="A1162" s="216" t="n">
        <x:v>626</x:v>
      </x:c>
      <x:c r="B1162" s="216" t="str">
        <x:v>中園國小(民權街)</x:v>
      </x:c>
      <x:c r="C1162" s="216" t="str">
        <x:v>三峽區</x:v>
      </x:c>
      <x:c r="D1162" s="216" t="n">
        <x:v>19</x:v>
      </x:c>
      <x:c r="E1162" s="216" t="n">
        <x:v>120</x:v>
      </x:c>
      <x:c r="F1162" s="219" t="n">
        <x:v>0.9994791666666667</x:v>
      </x:c>
      <x:c r="G1162" s="216" t="n">
        <x:v>1158</x:v>
      </x:c>
      <x:c r="H1162" s="216" t="str">
        <x:f>IF(G1162&lt;='排名定義'!$B$5,"是","")</x:f>
        <x:v>是</x:v>
      </x:c>
      <x:c r="I1162" s="216" t="n">
        <x:v>1159</x:v>
      </x:c>
      <x:c r="J1162" s="216" t="str">
        <x:f>IF(I1162&lt;='排名定義'!$B$5,"是","")</x:f>
        <x:v>是</x:v>
      </x:c>
      <x:c r="K1162" s="216" t="n">
        <x:v>1139</x:v>
      </x:c>
      <x:c r="L1162" s="216" t="str">
        <x:f>IF(K1162&lt;='排名定義'!$B$5,"是","")</x:f>
        <x:v>是</x:v>
      </x:c>
      <x:c r="M1162" s="216" t="n">
        <x:f>COUNTIF(H1162:L1162,"是")</x:f>
        <x:v>3</x:v>
      </x:c>
      <x:c r="N1162" s="216" t="str">
        <x:v>三份皆未入選</x:v>
      </x:c>
      <x:c r="O1162" s="221" t="n">
        <x:v>27.366666666666667</x:v>
      </x:c>
      <x:c r="P1162" s="221" t="n">
        <x:v>24.275</x:v>
      </x:c>
      <x:c r="Q1162" s="221" t="n">
        <x:v>3.091666666666667</x:v>
      </x:c>
      <x:c r="R1162" s="221" t="n">
        <x:v>0.11297198538367845</x:v>
      </x:c>
      <x:c r="S1162" s="221" t="n">
        <x:v>48.70967741935484</x:v>
      </x:c>
      <x:c r="T1162" s="221" t="n">
        <x:v>44.74193548387097</x:v>
      </x:c>
      <x:c r="U1162" s="221" t="n">
        <x:v>3.967741935483871</x:v>
      </x:c>
      <x:c r="V1162" s="219" t="n">
        <x:v>0.02304147465437788</x:v>
      </x:c>
      <x:c r="W1162" s="216" t="n">
        <x:v>5</x:v>
      </x:c>
      <x:c r="X1162" s="223" t="n">
        <x:v>510</x:v>
      </x:c>
      <x:c r="Y1162" s="216" t="n">
        <x:v>19</x:v>
      </x:c>
    </x:row>
    <x:row r="1163">
      <x:c r="A1163" s="217" t="n">
        <x:v>708</x:v>
      </x:c>
      <x:c r="B1163" s="217" t="str">
        <x:v>德音國小</x:v>
      </x:c>
      <x:c r="C1163" s="217" t="str">
        <x:v>五股區</x:v>
      </x:c>
      <x:c r="D1163" s="217" t="n">
        <x:v>20</x:v>
      </x:c>
      <x:c r="E1163" s="217" t="n">
        <x:v>120</x:v>
      </x:c>
      <x:c r="F1163" s="218" t="n">
        <x:v>0.9994791666666667</x:v>
      </x:c>
      <x:c r="G1163" s="217" t="n">
        <x:v>1159</x:v>
      </x:c>
      <x:c r="H1163" s="217" t="str">
        <x:f>IF(G1163&lt;='排名定義'!$B$5,"是","")</x:f>
        <x:v>是</x:v>
      </x:c>
      <x:c r="I1163" s="217" t="n">
        <x:v>1154</x:v>
      </x:c>
      <x:c r="J1163" s="217" t="str">
        <x:f>IF(I1163&lt;='排名定義'!$B$5,"是","")</x:f>
        <x:v>是</x:v>
      </x:c>
      <x:c r="K1163" s="217" t="n">
        <x:v>1242</x:v>
      </x:c>
      <x:c r="L1163" s="217" t="str">
        <x:f>IF(K1163&lt;='排名定義'!$B$5,"是","")</x:f>
        <x:v>是</x:v>
      </x:c>
      <x:c r="M1163" s="217" t="n">
        <x:f>COUNTIF(H1163:L1163,"是")</x:f>
        <x:v>3</x:v>
      </x:c>
      <x:c r="N1163" s="217" t="str">
        <x:v>三份皆未入選</x:v>
      </x:c>
      <x:c r="O1163" s="220" t="n">
        <x:v>27.333333333333332</x:v>
      </x:c>
      <x:c r="P1163" s="220" t="n">
        <x:v>24.575</x:v>
      </x:c>
      <x:c r="Q1163" s="220" t="n">
        <x:v>2.7583333333333333</x:v>
      </x:c>
      <x:c r="R1163" s="220" t="n">
        <x:v>0.10091463414634147</x:v>
      </x:c>
      <x:c r="S1163" s="220" t="n">
        <x:v>42.903225806451616</x:v>
      </x:c>
      <x:c r="T1163" s="220" t="n">
        <x:v>40.41935483870968</x:v>
      </x:c>
      <x:c r="U1163" s="220" t="n">
        <x:v>2.4838709677419355</x:v>
      </x:c>
      <x:c r="V1163" s="218" t="n">
        <x:v>0.0069124423963133645</x:v>
      </x:c>
      <x:c r="W1163" s="217" t="n">
        <x:v>0</x:v>
      </x:c>
      <x:c r="X1163" s="222" t="n">
        <x:v>120</x:v>
      </x:c>
      <x:c r="Y1163" s="217" t="n">
        <x:v>20</x:v>
      </x:c>
    </x:row>
    <x:row r="1164">
      <x:c r="A1164" s="216" t="n">
        <x:v>697</x:v>
      </x:c>
      <x:c r="B1164" s="216" t="str">
        <x:v>下庄市場</x:v>
      </x:c>
      <x:c r="C1164" s="216" t="str">
        <x:v>八里區</x:v>
      </x:c>
      <x:c r="D1164" s="216" t="n">
        <x:v>20</x:v>
      </x:c>
      <x:c r="E1164" s="216" t="n">
        <x:v>120</x:v>
      </x:c>
      <x:c r="F1164" s="219" t="n">
        <x:v>0.9994791666666667</x:v>
      </x:c>
      <x:c r="G1164" s="216" t="n">
        <x:v>1160</x:v>
      </x:c>
      <x:c r="H1164" s="216" t="str">
        <x:f>IF(G1164&lt;='排名定義'!$B$5,"是","")</x:f>
        <x:v>是</x:v>
      </x:c>
      <x:c r="I1164" s="216" t="n">
        <x:v>1148</x:v>
      </x:c>
      <x:c r="J1164" s="216" t="str">
        <x:f>IF(I1164&lt;='排名定義'!$B$5,"是","")</x:f>
        <x:v>是</x:v>
      </x:c>
      <x:c r="K1164" s="216" t="n">
        <x:v>1309</x:v>
      </x:c>
      <x:c r="L1164" s="216" t="str">
        <x:f>IF(K1164&lt;='排名定義'!$B$5,"是","")</x:f>
        <x:v>是</x:v>
      </x:c>
      <x:c r="M1164" s="216" t="n">
        <x:f>COUNTIF(H1164:L1164,"是")</x:f>
        <x:v>3</x:v>
      </x:c>
      <x:c r="N1164" s="216" t="str">
        <x:v>三份皆未入選</x:v>
      </x:c>
      <x:c r="O1164" s="221" t="n">
        <x:v>27.325</x:v>
      </x:c>
      <x:c r="P1164" s="221" t="n">
        <x:v>24.891666666666666</x:v>
      </x:c>
      <x:c r="Q1164" s="221" t="n">
        <x:v>2.433333333333333</x:v>
      </x:c>
      <x:c r="R1164" s="221" t="n">
        <x:v>0.08905154010369015</x:v>
      </x:c>
      <x:c r="S1164" s="221" t="n">
        <x:v>51.58064516129032</x:v>
      </x:c>
      <x:c r="T1164" s="221" t="n">
        <x:v>48.45161290322581</x:v>
      </x:c>
      <x:c r="U1164" s="221" t="n">
        <x:v>3.129032258064516</x:v>
      </x:c>
      <x:c r="V1164" s="219" t="n">
        <x:v>0.059907834101382486</x:v>
      </x:c>
      <x:c r="W1164" s="216" t="n">
        <x:v>13</x:v>
      </x:c>
      <x:c r="X1164" s="223" t="n">
        <x:v>1590</x:v>
      </x:c>
      <x:c r="Y1164" s="216" t="n">
        <x:v>20</x:v>
      </x:c>
    </x:row>
    <x:row r="1165">
      <x:c r="A1165" s="217" t="n">
        <x:v>772</x:v>
      </x:c>
      <x:c r="B1165" s="217" t="str">
        <x:v>永豐路157巷口</x:v>
      </x:c>
      <x:c r="C1165" s="217" t="str">
        <x:v>土城區</x:v>
      </x:c>
      <x:c r="D1165" s="217" t="n">
        <x:v>21</x:v>
      </x:c>
      <x:c r="E1165" s="217" t="n">
        <x:v>120</x:v>
      </x:c>
      <x:c r="F1165" s="218" t="n">
        <x:v>0.9994791666666667</x:v>
      </x:c>
      <x:c r="G1165" s="217" t="n">
        <x:v>1161</x:v>
      </x:c>
      <x:c r="H1165" s="217" t="str">
        <x:f>IF(G1165&lt;='排名定義'!$B$5,"是","")</x:f>
        <x:v>是</x:v>
      </x:c>
      <x:c r="I1165" s="217" t="n">
        <x:v>1163</x:v>
      </x:c>
      <x:c r="J1165" s="217" t="str">
        <x:f>IF(I1165&lt;='排名定義'!$B$5,"是","")</x:f>
        <x:v>是</x:v>
      </x:c>
      <x:c r="K1165" s="217" t="n">
        <x:v>1118</x:v>
      </x:c>
      <x:c r="L1165" s="217" t="str">
        <x:f>IF(K1165&lt;='排名定義'!$B$5,"是","")</x:f>
        <x:v>是</x:v>
      </x:c>
      <x:c r="M1165" s="217" t="n">
        <x:f>COUNTIF(H1165:L1165,"是")</x:f>
        <x:v>3</x:v>
      </x:c>
      <x:c r="N1165" s="217" t="str">
        <x:v>三份皆未入選</x:v>
      </x:c>
      <x:c r="O1165" s="220" t="n">
        <x:v>27.308333333333334</x:v>
      </x:c>
      <x:c r="P1165" s="220" t="n">
        <x:v>24.166666666666668</x:v>
      </x:c>
      <x:c r="Q1165" s="220" t="n">
        <x:v>3.1416666666666666</x:v>
      </x:c>
      <x:c r="R1165" s="220" t="n">
        <x:v>0.11504424778761062</x:v>
      </x:c>
      <x:c r="S1165" s="220" t="n">
        <x:v>38.58064516129032</x:v>
      </x:c>
      <x:c r="T1165" s="220" t="n">
        <x:v>36.16129032258065</x:v>
      </x:c>
      <x:c r="U1165" s="220" t="n">
        <x:v>2.4193548387096775</x:v>
      </x:c>
      <x:c r="V1165" s="218" t="n">
        <x:v>0.06221198156682028</x:v>
      </x:c>
      <x:c r="W1165" s="217" t="n">
        <x:v>9</x:v>
      </x:c>
      <x:c r="X1165" s="222" t="n">
        <x:v>1230</x:v>
      </x:c>
      <x:c r="Y1165" s="217" t="n">
        <x:v>21</x:v>
      </x:c>
    </x:row>
    <x:row r="1166">
      <x:c r="A1166" s="216" t="n">
        <x:v>413</x:v>
      </x:c>
      <x:c r="B1166" s="216" t="str">
        <x:v>國家人權博物館</x:v>
      </x:c>
      <x:c r="C1166" s="216" t="str">
        <x:v>新店區</x:v>
      </x:c>
      <x:c r="D1166" s="216" t="n">
        <x:v>15</x:v>
      </x:c>
      <x:c r="E1166" s="216" t="n">
        <x:v>120</x:v>
      </x:c>
      <x:c r="F1166" s="219" t="n">
        <x:v>0.9994791666666667</x:v>
      </x:c>
      <x:c r="G1166" s="216" t="n">
        <x:v>1162</x:v>
      </x:c>
      <x:c r="H1166" s="216" t="str">
        <x:f>IF(G1166&lt;='排名定義'!$B$5,"是","")</x:f>
        <x:v>是</x:v>
      </x:c>
      <x:c r="I1166" s="216" t="n">
        <x:v>1170</x:v>
      </x:c>
      <x:c r="J1166" s="216" t="str">
        <x:f>IF(I1166&lt;='排名定義'!$B$5,"是","")</x:f>
        <x:v>是</x:v>
      </x:c>
      <x:c r="K1166" s="216" t="n">
        <x:v>993</x:v>
      </x:c>
      <x:c r="L1166" s="216" t="str">
        <x:f>IF(K1166&lt;='排名定義'!$B$5,"是","")</x:f>
        <x:v>是</x:v>
      </x:c>
      <x:c r="M1166" s="216" t="n">
        <x:f>COUNTIF(H1166:L1166,"是")</x:f>
        <x:v>3</x:v>
      </x:c>
      <x:c r="N1166" s="216" t="str">
        <x:v>三份皆未入選</x:v>
      </x:c>
      <x:c r="O1166" s="221" t="n">
        <x:v>27.3</x:v>
      </x:c>
      <x:c r="P1166" s="221" t="n">
        <x:v>23.841666666666665</x:v>
      </x:c>
      <x:c r="Q1166" s="221" t="n">
        <x:v>3.4583333333333335</x:v>
      </x:c>
      <x:c r="R1166" s="221" t="n">
        <x:v>0.12667887667887667</x:v>
      </x:c>
      <x:c r="S1166" s="221" t="n">
        <x:v>36.29032258064516</x:v>
      </x:c>
      <x:c r="T1166" s="221" t="n">
        <x:v>34.25806451612903</x:v>
      </x:c>
      <x:c r="U1166" s="221" t="n">
        <x:v>2.032258064516129</x:v>
      </x:c>
      <x:c r="V1166" s="219" t="n">
        <x:v>0.11981566820276497</x:v>
      </x:c>
      <x:c r="W1166" s="216" t="n">
        <x:v>23</x:v>
      </x:c>
      <x:c r="X1166" s="223" t="n">
        <x:v>2520</x:v>
      </x:c>
      <x:c r="Y1166" s="216" t="n">
        <x:v>15</x:v>
      </x:c>
    </x:row>
    <x:row r="1167">
      <x:c r="A1167" s="217" t="n">
        <x:v>458</x:v>
      </x:c>
      <x:c r="B1167" s="217" t="str">
        <x:v>南勢六街81巷口</x:v>
      </x:c>
      <x:c r="C1167" s="217" t="str">
        <x:v>林口區</x:v>
      </x:c>
      <x:c r="D1167" s="217" t="n">
        <x:v>15</x:v>
      </x:c>
      <x:c r="E1167" s="217" t="n">
        <x:v>120</x:v>
      </x:c>
      <x:c r="F1167" s="218" t="n">
        <x:v>0.9994791666666667</x:v>
      </x:c>
      <x:c r="G1167" s="217" t="n">
        <x:v>1163</x:v>
      </x:c>
      <x:c r="H1167" s="217" t="str">
        <x:f>IF(G1167&lt;='排名定義'!$B$5,"是","")</x:f>
        <x:v>是</x:v>
      </x:c>
      <x:c r="I1167" s="217" t="n">
        <x:v>1164</x:v>
      </x:c>
      <x:c r="J1167" s="217" t="str">
        <x:f>IF(I1167&lt;='排名定義'!$B$5,"是","")</x:f>
        <x:v>是</x:v>
      </x:c>
      <x:c r="K1167" s="217" t="n">
        <x:v>1120</x:v>
      </x:c>
      <x:c r="L1167" s="217" t="str">
        <x:f>IF(K1167&lt;='排名定義'!$B$5,"是","")</x:f>
        <x:v>是</x:v>
      </x:c>
      <x:c r="M1167" s="217" t="n">
        <x:f>COUNTIF(H1167:L1167,"是")</x:f>
        <x:v>3</x:v>
      </x:c>
      <x:c r="N1167" s="217" t="str">
        <x:v>三份皆未入選</x:v>
      </x:c>
      <x:c r="O1167" s="220" t="n">
        <x:v>27.275</x:v>
      </x:c>
      <x:c r="P1167" s="220" t="n">
        <x:v>24.141666666666666</x:v>
      </x:c>
      <x:c r="Q1167" s="220" t="n">
        <x:v>3.1333333333333333</x:v>
      </x:c>
      <x:c r="R1167" s="220" t="n">
        <x:v>0.11487931561258784</x:v>
      </x:c>
      <x:c r="S1167" s="220" t="n">
        <x:v>41.96774193548387</x:v>
      </x:c>
      <x:c r="T1167" s="220" t="n">
        <x:v>39.03225806451613</x:v>
      </x:c>
      <x:c r="U1167" s="220" t="n">
        <x:v>2.935483870967742</x:v>
      </x:c>
      <x:c r="V1167" s="218" t="n">
        <x:v>0.009216589861751152</x:v>
      </x:c>
      <x:c r="W1167" s="217" t="n">
        <x:v>1</x:v>
      </x:c>
      <x:c r="X1167" s="222" t="n">
        <x:v>300</x:v>
      </x:c>
      <x:c r="Y1167" s="217" t="n">
        <x:v>15</x:v>
      </x:c>
    </x:row>
    <x:row r="1168">
      <x:c r="A1168" s="216" t="n">
        <x:v>545</x:v>
      </x:c>
      <x:c r="B1168" s="216" t="str">
        <x:v>俊英街219巷口</x:v>
      </x:c>
      <x:c r="C1168" s="216" t="str">
        <x:v>樹林區</x:v>
      </x:c>
      <x:c r="D1168" s="216" t="n">
        <x:v>17</x:v>
      </x:c>
      <x:c r="E1168" s="216" t="n">
        <x:v>120</x:v>
      </x:c>
      <x:c r="F1168" s="219" t="n">
        <x:v>0.9994791666666667</x:v>
      </x:c>
      <x:c r="G1168" s="216" t="n">
        <x:v>1164</x:v>
      </x:c>
      <x:c r="H1168" s="216" t="str">
        <x:f>IF(G1168&lt;='排名定義'!$B$5,"是","")</x:f>
        <x:v>是</x:v>
      </x:c>
      <x:c r="I1168" s="216" t="n">
        <x:v>1161</x:v>
      </x:c>
      <x:c r="J1168" s="216" t="str">
        <x:f>IF(I1168&lt;='排名定義'!$B$5,"是","")</x:f>
        <x:v>是</x:v>
      </x:c>
      <x:c r="K1168" s="216" t="n">
        <x:v>1155</x:v>
      </x:c>
      <x:c r="L1168" s="216" t="str">
        <x:f>IF(K1168&lt;='排名定義'!$B$5,"是","")</x:f>
        <x:v>是</x:v>
      </x:c>
      <x:c r="M1168" s="216" t="n">
        <x:f>COUNTIF(H1168:L1168,"是")</x:f>
        <x:v>3</x:v>
      </x:c>
      <x:c r="N1168" s="216" t="str">
        <x:v>三份皆未入選</x:v>
      </x:c>
      <x:c r="O1168" s="221" t="n">
        <x:v>27.275</x:v>
      </x:c>
      <x:c r="P1168" s="221" t="n">
        <x:v>24.233333333333334</x:v>
      </x:c>
      <x:c r="Q1168" s="221" t="n">
        <x:v>3.0416666666666665</x:v>
      </x:c>
      <x:c r="R1168" s="221" t="n">
        <x:v>0.11151848457073021</x:v>
      </x:c>
      <x:c r="S1168" s="221" t="n">
        <x:v>46</x:v>
      </x:c>
      <x:c r="T1168" s="221" t="n">
        <x:v>43.516129032258064</x:v>
      </x:c>
      <x:c r="U1168" s="221" t="n">
        <x:v>2.4838709677419355</x:v>
      </x:c>
      <x:c r="V1168" s="219" t="n">
        <x:v>0.052995391705069124</x:v>
      </x:c>
      <x:c r="W1168" s="216" t="n">
        <x:v>8</x:v>
      </x:c>
      <x:c r="X1168" s="223" t="n">
        <x:v>960</x:v>
      </x:c>
      <x:c r="Y1168" s="216" t="n">
        <x:v>17</x:v>
      </x:c>
    </x:row>
    <x:row r="1169">
      <x:c r="A1169" s="217" t="n">
        <x:v>699</x:v>
      </x:c>
      <x:c r="B1169" s="217" t="str">
        <x:v>先嗇宮</x:v>
      </x:c>
      <x:c r="C1169" s="217" t="str">
        <x:v>三重區</x:v>
      </x:c>
      <x:c r="D1169" s="217" t="n">
        <x:v>30</x:v>
      </x:c>
      <x:c r="E1169" s="217" t="n">
        <x:v>120</x:v>
      </x:c>
      <x:c r="F1169" s="218" t="n">
        <x:v>0.9994791666666667</x:v>
      </x:c>
      <x:c r="G1169" s="217" t="n">
        <x:v>1165</x:v>
      </x:c>
      <x:c r="H1169" s="217" t="str">
        <x:f>IF(G1169&lt;='排名定義'!$B$5,"是","")</x:f>
        <x:v>是</x:v>
      </x:c>
      <x:c r="I1169" s="217" t="n">
        <x:v>1165</x:v>
      </x:c>
      <x:c r="J1169" s="217" t="str">
        <x:f>IF(I1169&lt;='排名定義'!$B$5,"是","")</x:f>
        <x:v>是</x:v>
      </x:c>
      <x:c r="K1169" s="217" t="n">
        <x:v>1133</x:v>
      </x:c>
      <x:c r="L1169" s="217" t="str">
        <x:f>IF(K1169&lt;='排名定義'!$B$5,"是","")</x:f>
        <x:v>是</x:v>
      </x:c>
      <x:c r="M1169" s="217" t="n">
        <x:f>COUNTIF(H1169:L1169,"是")</x:f>
        <x:v>3</x:v>
      </x:c>
      <x:c r="N1169" s="217" t="str">
        <x:v>三份皆未入選</x:v>
      </x:c>
      <x:c r="O1169" s="220" t="n">
        <x:v>27.216666666666665</x:v>
      </x:c>
      <x:c r="P1169" s="220" t="n">
        <x:v>24.108333333333334</x:v>
      </x:c>
      <x:c r="Q1169" s="220" t="n">
        <x:v>3.1083333333333334</x:v>
      </x:c>
      <x:c r="R1169" s="220" t="n">
        <x:v>0.11420698101653398</x:v>
      </x:c>
      <x:c r="S1169" s="220" t="n">
        <x:v>43.483870967741936</x:v>
      </x:c>
      <x:c r="T1169" s="220" t="n">
        <x:v>40.96774193548387</x:v>
      </x:c>
      <x:c r="U1169" s="220" t="n">
        <x:v>2.5161290322580645</x:v>
      </x:c>
      <x:c r="V1169" s="218" t="n">
        <x:v>0.018433179723502304</x:v>
      </x:c>
      <x:c r="W1169" s="217" t="n">
        <x:v>2</x:v>
      </x:c>
      <x:c r="X1169" s="222" t="n">
        <x:v>270</x:v>
      </x:c>
      <x:c r="Y1169" s="217" t="n">
        <x:v>30</x:v>
      </x:c>
    </x:row>
    <x:row r="1170">
      <x:c r="A1170" s="216" t="n">
        <x:v>245</x:v>
      </x:c>
      <x:c r="B1170" s="216" t="str">
        <x:v>福順街</x:v>
      </x:c>
      <x:c r="C1170" s="216" t="str">
        <x:v>樹林區</x:v>
      </x:c>
      <x:c r="D1170" s="216" t="n">
        <x:v>13</x:v>
      </x:c>
      <x:c r="E1170" s="216" t="n">
        <x:v>120</x:v>
      </x:c>
      <x:c r="F1170" s="219" t="n">
        <x:v>0.9994791666666667</x:v>
      </x:c>
      <x:c r="G1170" s="216" t="n">
        <x:v>1166</x:v>
      </x:c>
      <x:c r="H1170" s="216" t="str">
        <x:f>IF(G1170&lt;='排名定義'!$B$5,"是","")</x:f>
        <x:v>是</x:v>
      </x:c>
      <x:c r="I1170" s="216" t="n">
        <x:v>1149</x:v>
      </x:c>
      <x:c r="J1170" s="216" t="str">
        <x:f>IF(I1170&lt;='排名定義'!$B$5,"是","")</x:f>
        <x:v>是</x:v>
      </x:c>
      <x:c r="K1170" s="216" t="n">
        <x:v>1328</x:v>
      </x:c>
      <x:c r="L1170" s="216" t="str">
        <x:f>IF(K1170&lt;='排名定義'!$B$5,"是","")</x:f>
        <x:v>是</x:v>
      </x:c>
      <x:c r="M1170" s="216" t="n">
        <x:f>COUNTIF(H1170:L1170,"是")</x:f>
        <x:v>3</x:v>
      </x:c>
      <x:c r="N1170" s="216" t="str">
        <x:v>三份皆未入選</x:v>
      </x:c>
      <x:c r="O1170" s="221" t="n">
        <x:v>27.208333333333332</x:v>
      </x:c>
      <x:c r="P1170" s="221" t="n">
        <x:v>24.866666666666667</x:v>
      </x:c>
      <x:c r="Q1170" s="221" t="n">
        <x:v>2.341666666666667</x:v>
      </x:c>
      <x:c r="R1170" s="221" t="n">
        <x:v>0.08606431852986217</x:v>
      </x:c>
      <x:c r="S1170" s="221" t="n">
        <x:v>41.61290322580645</x:v>
      </x:c>
      <x:c r="T1170" s="221" t="n">
        <x:v>39.096774193548384</x:v>
      </x:c>
      <x:c r="U1170" s="221" t="n">
        <x:v>2.5161290322580645</x:v>
      </x:c>
      <x:c r="V1170" s="219" t="n">
        <x:v>0.06682027649769585</x:v>
      </x:c>
      <x:c r="W1170" s="216" t="n">
        <x:v>14</x:v>
      </x:c>
      <x:c r="X1170" s="223" t="n">
        <x:v>1770</x:v>
      </x:c>
      <x:c r="Y1170" s="216" t="n">
        <x:v>13</x:v>
      </x:c>
    </x:row>
    <x:row r="1171">
      <x:c r="A1171" s="217" t="n">
        <x:v>1046</x:v>
      </x:c>
      <x:c r="B1171" s="217" t="str">
        <x:v>中山新興街口</x:v>
      </x:c>
      <x:c r="C1171" s="217" t="str">
        <x:v>樹林區</x:v>
      </x:c>
      <x:c r="D1171" s="217" t="n">
        <x:v>30</x:v>
      </x:c>
      <x:c r="E1171" s="217" t="n">
        <x:v>120</x:v>
      </x:c>
      <x:c r="F1171" s="218" t="n">
        <x:v>0.9994791666666667</x:v>
      </x:c>
      <x:c r="G1171" s="217" t="n">
        <x:v>1167</x:v>
      </x:c>
      <x:c r="H1171" s="217" t="str">
        <x:f>IF(G1171&lt;='排名定義'!$B$5,"是","")</x:f>
        <x:v>是</x:v>
      </x:c>
      <x:c r="I1171" s="217" t="n">
        <x:v>1169</x:v>
      </x:c>
      <x:c r="J1171" s="217" t="str">
        <x:f>IF(I1171&lt;='排名定義'!$B$5,"是","")</x:f>
        <x:v>是</x:v>
      </x:c>
      <x:c r="K1171" s="217" t="n">
        <x:v>1066</x:v>
      </x:c>
      <x:c r="L1171" s="217" t="str">
        <x:f>IF(K1171&lt;='排名定義'!$B$5,"是","")</x:f>
        <x:v>是</x:v>
      </x:c>
      <x:c r="M1171" s="217" t="n">
        <x:f>COUNTIF(H1171:L1171,"是")</x:f>
        <x:v>3</x:v>
      </x:c>
      <x:c r="N1171" s="217" t="str">
        <x:v>三份皆未入選</x:v>
      </x:c>
      <x:c r="O1171" s="220" t="n">
        <x:v>27.166666666666668</x:v>
      </x:c>
      <x:c r="P1171" s="220" t="n">
        <x:v>23.858333333333334</x:v>
      </x:c>
      <x:c r="Q1171" s="220" t="n">
        <x:v>3.308333333333333</x:v>
      </x:c>
      <x:c r="R1171" s="220" t="n">
        <x:v>0.12177914110429448</x:v>
      </x:c>
      <x:c r="S1171" s="220" t="n">
        <x:v>44.354838709677416</x:v>
      </x:c>
      <x:c r="T1171" s="220" t="n">
        <x:v>40.774193548387096</x:v>
      </x:c>
      <x:c r="U1171" s="220" t="n">
        <x:v>3.5806451612903225</x:v>
      </x:c>
      <x:c r="V1171" s="218" t="n">
        <x:v>0.02304147465437788</x:v>
      </x:c>
      <x:c r="W1171" s="217" t="n">
        <x:v>7</x:v>
      </x:c>
      <x:c r="X1171" s="222" t="n">
        <x:v>750</x:v>
      </x:c>
      <x:c r="Y1171" s="217" t="n">
        <x:v>30</x:v>
      </x:c>
    </x:row>
    <x:row r="1172">
      <x:c r="A1172" s="216" t="n">
        <x:v>225</x:v>
      </x:c>
      <x:c r="B1172" s="216" t="str">
        <x:v>五堵車站(長安路)</x:v>
      </x:c>
      <x:c r="C1172" s="216" t="str">
        <x:v>汐止區</x:v>
      </x:c>
      <x:c r="D1172" s="216" t="n">
        <x:v>13</x:v>
      </x:c>
      <x:c r="E1172" s="216" t="n">
        <x:v>120</x:v>
      </x:c>
      <x:c r="F1172" s="219" t="n">
        <x:v>0.9994791666666667</x:v>
      </x:c>
      <x:c r="G1172" s="216" t="n">
        <x:v>1168</x:v>
      </x:c>
      <x:c r="H1172" s="216" t="str">
        <x:f>IF(G1172&lt;='排名定義'!$B$5,"是","")</x:f>
        <x:v>是</x:v>
      </x:c>
      <x:c r="I1172" s="216" t="n">
        <x:v>1157</x:v>
      </x:c>
      <x:c r="J1172" s="216" t="str">
        <x:f>IF(I1172&lt;='排名定義'!$B$5,"是","")</x:f>
        <x:v>是</x:v>
      </x:c>
      <x:c r="K1172" s="216" t="n">
        <x:v>1245</x:v>
      </x:c>
      <x:c r="L1172" s="216" t="str">
        <x:f>IF(K1172&lt;='排名定義'!$B$5,"是","")</x:f>
        <x:v>是</x:v>
      </x:c>
      <x:c r="M1172" s="216" t="n">
        <x:f>COUNTIF(H1172:L1172,"是")</x:f>
        <x:v>3</x:v>
      </x:c>
      <x:c r="N1172" s="216" t="str">
        <x:v>三份皆未入選</x:v>
      </x:c>
      <x:c r="O1172" s="221" t="n">
        <x:v>27.15</x:v>
      </x:c>
      <x:c r="P1172" s="221" t="n">
        <x:v>24.4</x:v>
      </x:c>
      <x:c r="Q1172" s="221" t="n">
        <x:v>2.75</x:v>
      </x:c>
      <x:c r="R1172" s="221" t="n">
        <x:v>0.10128913443830571</x:v>
      </x:c>
      <x:c r="S1172" s="221" t="n">
        <x:v>45.12903225806452</x:v>
      </x:c>
      <x:c r="T1172" s="221" t="n">
        <x:v>41.61290322580645</x:v>
      </x:c>
      <x:c r="U1172" s="221" t="n">
        <x:v>3.5161290322580645</x:v>
      </x:c>
      <x:c r="V1172" s="219" t="n">
        <x:v>0.07603686635944701</x:v>
      </x:c>
      <x:c r="W1172" s="216" t="n">
        <x:v>30</x:v>
      </x:c>
      <x:c r="X1172" s="223" t="n">
        <x:v>3390</x:v>
      </x:c>
      <x:c r="Y1172" s="216" t="n">
        <x:v>13</x:v>
      </x:c>
    </x:row>
    <x:row r="1173">
      <x:c r="A1173" s="217" t="n">
        <x:v>1302</x:v>
      </x:c>
      <x:c r="B1173" s="217" t="str">
        <x:v>金城路二段61巷口(聯邦銀行)</x:v>
      </x:c>
      <x:c r="C1173" s="217" t="str">
        <x:v>土城區</x:v>
      </x:c>
      <x:c r="D1173" s="217" t="n">
        <x:v>40</x:v>
      </x:c>
      <x:c r="E1173" s="217" t="n">
        <x:v>120</x:v>
      </x:c>
      <x:c r="F1173" s="218" t="n">
        <x:v>0.9994791666666667</x:v>
      </x:c>
      <x:c r="G1173" s="217" t="n">
        <x:v>1169</x:v>
      </x:c>
      <x:c r="H1173" s="217" t="str">
        <x:f>IF(G1173&lt;='排名定義'!$B$5,"是","")</x:f>
        <x:v>是</x:v>
      </x:c>
      <x:c r="I1173" s="217" t="n">
        <x:v>1175</x:v>
      </x:c>
      <x:c r="J1173" s="217" t="str">
        <x:f>IF(I1173&lt;='排名定義'!$B$5,"是","")</x:f>
        <x:v>是</x:v>
      </x:c>
      <x:c r="K1173" s="217" t="n">
        <x:v>991</x:v>
      </x:c>
      <x:c r="L1173" s="217" t="str">
        <x:f>IF(K1173&lt;='排名定義'!$B$5,"是","")</x:f>
        <x:v>是</x:v>
      </x:c>
      <x:c r="M1173" s="217" t="n">
        <x:f>COUNTIF(H1173:L1173,"是")</x:f>
        <x:v>3</x:v>
      </x:c>
      <x:c r="N1173" s="217" t="str">
        <x:v>三份皆未入選</x:v>
      </x:c>
      <x:c r="O1173" s="220" t="n">
        <x:v>27.108333333333334</x:v>
      </x:c>
      <x:c r="P1173" s="220" t="n">
        <x:v>23.641666666666666</x:v>
      </x:c>
      <x:c r="Q1173" s="220" t="n">
        <x:v>3.466666666666667</x:v>
      </x:c>
      <x:c r="R1173" s="220" t="n">
        <x:v>0.1278819551183523</x:v>
      </x:c>
      <x:c r="S1173" s="220" t="n">
        <x:v>48.516129032258064</x:v>
      </x:c>
      <x:c r="T1173" s="220" t="n">
        <x:v>43.806451612903224</x:v>
      </x:c>
      <x:c r="U1173" s="220" t="n">
        <x:v>4.709677419354839</x:v>
      </x:c>
      <x:c r="V1173" s="218" t="n">
        <x:v>0.03686635944700461</x:v>
      </x:c>
      <x:c r="W1173" s="217" t="n">
        <x:v>9</x:v>
      </x:c>
      <x:c r="X1173" s="222" t="n">
        <x:v>930</x:v>
      </x:c>
      <x:c r="Y1173" s="217" t="n">
        <x:v>40</x:v>
      </x:c>
    </x:row>
    <x:row r="1174">
      <x:c r="A1174" s="216" t="n">
        <x:v>465</x:v>
      </x:c>
      <x:c r="B1174" s="216" t="str">
        <x:v>濱海路一段306巷9弄</x:v>
      </x:c>
      <x:c r="C1174" s="216" t="str">
        <x:v>淡水區</x:v>
      </x:c>
      <x:c r="D1174" s="216" t="n">
        <x:v>15</x:v>
      </x:c>
      <x:c r="E1174" s="216" t="n">
        <x:v>120</x:v>
      </x:c>
      <x:c r="F1174" s="219" t="n">
        <x:v>0.9994791666666667</x:v>
      </x:c>
      <x:c r="G1174" s="216" t="n">
        <x:v>1170</x:v>
      </x:c>
      <x:c r="H1174" s="216" t="str">
        <x:f>IF(G1174&lt;='排名定義'!$B$5,"是","")</x:f>
        <x:v>是</x:v>
      </x:c>
      <x:c r="I1174" s="216" t="n">
        <x:v>1172</x:v>
      </x:c>
      <x:c r="J1174" s="216" t="str">
        <x:f>IF(I1174&lt;='排名定義'!$B$5,"是","")</x:f>
        <x:v>是</x:v>
      </x:c>
      <x:c r="K1174" s="216" t="n">
        <x:v>1060</x:v>
      </x:c>
      <x:c r="L1174" s="216" t="str">
        <x:f>IF(K1174&lt;='排名定義'!$B$5,"是","")</x:f>
        <x:v>是</x:v>
      </x:c>
      <x:c r="M1174" s="216" t="n">
        <x:f>COUNTIF(H1174:L1174,"是")</x:f>
        <x:v>3</x:v>
      </x:c>
      <x:c r="N1174" s="216" t="str">
        <x:v>三份皆未入選</x:v>
      </x:c>
      <x:c r="O1174" s="221" t="n">
        <x:v>27.05</x:v>
      </x:c>
      <x:c r="P1174" s="221" t="n">
        <x:v>23.725</x:v>
      </x:c>
      <x:c r="Q1174" s="221" t="n">
        <x:v>3.325</x:v>
      </x:c>
      <x:c r="R1174" s="221" t="n">
        <x:v>0.12292051756007394</x:v>
      </x:c>
      <x:c r="S1174" s="221" t="n">
        <x:v>43.516129032258064</x:v>
      </x:c>
      <x:c r="T1174" s="221" t="n">
        <x:v>40.806451612903224</x:v>
      </x:c>
      <x:c r="U1174" s="221" t="n">
        <x:v>2.7096774193548385</x:v>
      </x:c>
      <x:c r="V1174" s="219" t="n">
        <x:v>0.06451612903225806</x:v>
      </x:c>
      <x:c r="W1174" s="216" t="n">
        <x:v>15</x:v>
      </x:c>
      <x:c r="X1174" s="223" t="n">
        <x:v>2520</x:v>
      </x:c>
      <x:c r="Y1174" s="216" t="n">
        <x:v>15</x:v>
      </x:c>
    </x:row>
    <x:row r="1175">
      <x:c r="A1175" s="217" t="n">
        <x:v>1374</x:v>
      </x:c>
      <x:c r="B1175" s="217" t="str">
        <x:v>瑞峰橋</x:v>
      </x:c>
      <x:c r="C1175" s="217" t="str">
        <x:v>瑞芳區</x:v>
      </x:c>
      <x:c r="D1175" s="217" t="n">
        <x:v>44</x:v>
      </x:c>
      <x:c r="E1175" s="217" t="n">
        <x:v>120</x:v>
      </x:c>
      <x:c r="F1175" s="218" t="n">
        <x:v>0.9994791666666667</x:v>
      </x:c>
      <x:c r="G1175" s="217" t="n">
        <x:v>1171</x:v>
      </x:c>
      <x:c r="H1175" s="217" t="str">
        <x:f>IF(G1175&lt;='排名定義'!$B$5,"是","")</x:f>
        <x:v>是</x:v>
      </x:c>
      <x:c r="I1175" s="217" t="n">
        <x:v>1182</x:v>
      </x:c>
      <x:c r="J1175" s="217" t="str">
        <x:f>IF(I1175&lt;='排名定義'!$B$5,"是","")</x:f>
        <x:v>是</x:v>
      </x:c>
      <x:c r="K1175" s="217" t="n">
        <x:v>927</x:v>
      </x:c>
      <x:c r="L1175" s="217" t="str">
        <x:f>IF(K1175&lt;='排名定義'!$B$5,"是","")</x:f>
        <x:v>是</x:v>
      </x:c>
      <x:c r="M1175" s="217" t="n">
        <x:f>COUNTIF(H1175:L1175,"是")</x:f>
        <x:v>3</x:v>
      </x:c>
      <x:c r="N1175" s="217" t="str">
        <x:v>三份皆未入選</x:v>
      </x:c>
      <x:c r="O1175" s="220" t="n">
        <x:v>26.975</x:v>
      </x:c>
      <x:c r="P1175" s="220" t="n">
        <x:v>23.341666666666665</x:v>
      </x:c>
      <x:c r="Q1175" s="220" t="n">
        <x:v>3.6333333333333333</x:v>
      </x:c>
      <x:c r="R1175" s="220" t="n">
        <x:v>0.13469261662032747</x:v>
      </x:c>
      <x:c r="S1175" s="220" t="n">
        <x:v>49.03225806451613</x:v>
      </x:c>
      <x:c r="T1175" s="220" t="n">
        <x:v>45.03225806451613</x:v>
      </x:c>
      <x:c r="U1175" s="220" t="n">
        <x:v>4</x:v>
      </x:c>
      <x:c r="V1175" s="218" t="n">
        <x:v>0.03456221198156682</x:v>
      </x:c>
      <x:c r="W1175" s="217" t="n">
        <x:v>6</x:v>
      </x:c>
      <x:c r="X1175" s="222" t="n">
        <x:v>990</x:v>
      </x:c>
      <x:c r="Y1175" s="217" t="n">
        <x:v>44</x:v>
      </x:c>
    </x:row>
    <x:row r="1176">
      <x:c r="A1176" s="216" t="n">
        <x:v>1376</x:v>
      </x:c>
      <x:c r="B1176" s="216" t="str">
        <x:v>文化館前路口</x:v>
      </x:c>
      <x:c r="C1176" s="216" t="str">
        <x:v>鶯歌區</x:v>
      </x:c>
      <x:c r="D1176" s="216" t="n">
        <x:v>44</x:v>
      </x:c>
      <x:c r="E1176" s="216" t="n">
        <x:v>120</x:v>
      </x:c>
      <x:c r="F1176" s="219" t="n">
        <x:v>0.9994791666666667</x:v>
      </x:c>
      <x:c r="G1176" s="216" t="n">
        <x:v>1172</x:v>
      </x:c>
      <x:c r="H1176" s="216" t="str">
        <x:f>IF(G1176&lt;='排名定義'!$B$5,"是","")</x:f>
        <x:v>是</x:v>
      </x:c>
      <x:c r="I1176" s="216" t="n">
        <x:v>1194</x:v>
      </x:c>
      <x:c r="J1176" s="216" t="str">
        <x:f>IF(I1176&lt;='排名定義'!$B$5,"是","")</x:f>
        <x:v>是</x:v>
      </x:c>
      <x:c r="K1176" s="216" t="n">
        <x:v>840</x:v>
      </x:c>
      <x:c r="L1176" s="216" t="str">
        <x:f>IF(K1176&lt;='排名定義'!$B$5,"是","")</x:f>
        <x:v>是</x:v>
      </x:c>
      <x:c r="M1176" s="216" t="n">
        <x:f>COUNTIF(H1176:L1176,"是")</x:f>
        <x:v>3</x:v>
      </x:c>
      <x:c r="N1176" s="216" t="str">
        <x:v>三份皆未入選</x:v>
      </x:c>
      <x:c r="O1176" s="221" t="n">
        <x:v>26.9</x:v>
      </x:c>
      <x:c r="P1176" s="221" t="n">
        <x:v>23.016666666666666</x:v>
      </x:c>
      <x:c r="Q1176" s="221" t="n">
        <x:v>3.8833333333333333</x:v>
      </x:c>
      <x:c r="R1176" s="221" t="n">
        <x:v>0.14436183395291202</x:v>
      </x:c>
      <x:c r="S1176" s="221" t="n">
        <x:v>43.483870967741936</x:v>
      </x:c>
      <x:c r="T1176" s="221" t="n">
        <x:v>41.193548387096776</x:v>
      </x:c>
      <x:c r="U1176" s="221" t="n">
        <x:v>2.2903225806451615</x:v>
      </x:c>
      <x:c r="V1176" s="219" t="n">
        <x:v>0.01152073732718894</x:v>
      </x:c>
      <x:c r="W1176" s="216" t="n">
        <x:v>1</x:v>
      </x:c>
      <x:c r="X1176" s="223" t="n">
        <x:v>210</x:v>
      </x:c>
      <x:c r="Y1176" s="216" t="n">
        <x:v>44</x:v>
      </x:c>
    </x:row>
    <x:row r="1177">
      <x:c r="A1177" s="217" t="n">
        <x:v>151</x:v>
      </x:c>
      <x:c r="B1177" s="217" t="str">
        <x:v>林口夜市(中山路)</x:v>
      </x:c>
      <x:c r="C1177" s="217" t="str">
        <x:v>林口區</x:v>
      </x:c>
      <x:c r="D1177" s="217" t="n">
        <x:v>11</x:v>
      </x:c>
      <x:c r="E1177" s="217" t="n">
        <x:v>120</x:v>
      </x:c>
      <x:c r="F1177" s="218" t="n">
        <x:v>0.9994791666666667</x:v>
      </x:c>
      <x:c r="G1177" s="217" t="n">
        <x:v>1173</x:v>
      </x:c>
      <x:c r="H1177" s="217" t="str">
        <x:f>IF(G1177&lt;='排名定義'!$B$5,"是","")</x:f>
        <x:v>是</x:v>
      </x:c>
      <x:c r="I1177" s="217" t="n">
        <x:v>1174</x:v>
      </x:c>
      <x:c r="J1177" s="217" t="str">
        <x:f>IF(I1177&lt;='排名定義'!$B$5,"是","")</x:f>
        <x:v>是</x:v>
      </x:c>
      <x:c r="K1177" s="217" t="n">
        <x:v>1087</x:v>
      </x:c>
      <x:c r="L1177" s="217" t="str">
        <x:f>IF(K1177&lt;='排名定義'!$B$5,"是","")</x:f>
        <x:v>是</x:v>
      </x:c>
      <x:c r="M1177" s="217" t="n">
        <x:f>COUNTIF(H1177:L1177,"是")</x:f>
        <x:v>3</x:v>
      </x:c>
      <x:c r="N1177" s="217" t="str">
        <x:v>三份皆未入選</x:v>
      </x:c>
      <x:c r="O1177" s="220" t="n">
        <x:v>26.883333333333333</x:v>
      </x:c>
      <x:c r="P1177" s="220" t="n">
        <x:v>23.65</x:v>
      </x:c>
      <x:c r="Q1177" s="220" t="n">
        <x:v>3.2333333333333334</x:v>
      </x:c>
      <x:c r="R1177" s="220" t="n">
        <x:v>0.12027278363298202</x:v>
      </x:c>
      <x:c r="S1177" s="220" t="n">
        <x:v>41.32258064516129</x:v>
      </x:c>
      <x:c r="T1177" s="220" t="n">
        <x:v>37.87096774193548</x:v>
      </x:c>
      <x:c r="U1177" s="220" t="n">
        <x:v>3.4516129032258065</x:v>
      </x:c>
      <x:c r="V1177" s="218" t="n">
        <x:v>0.07142857142857142</x:v>
      </x:c>
      <x:c r="W1177" s="217" t="n">
        <x:v>19</x:v>
      </x:c>
      <x:c r="X1177" s="222" t="n">
        <x:v>2430</x:v>
      </x:c>
      <x:c r="Y1177" s="217" t="n">
        <x:v>11</x:v>
      </x:c>
    </x:row>
    <x:row r="1178">
      <x:c r="A1178" s="216" t="n">
        <x:v>370</x:v>
      </x:c>
      <x:c r="B1178" s="216" t="str">
        <x:v>板樹體育館</x:v>
      </x:c>
      <x:c r="C1178" s="216" t="str">
        <x:v>板橋區</x:v>
      </x:c>
      <x:c r="D1178" s="216" t="n">
        <x:v>15</x:v>
      </x:c>
      <x:c r="E1178" s="216" t="n">
        <x:v>120</x:v>
      </x:c>
      <x:c r="F1178" s="219" t="n">
        <x:v>0.9994791666666667</x:v>
      </x:c>
      <x:c r="G1178" s="216" t="n">
        <x:v>1174</x:v>
      </x:c>
      <x:c r="H1178" s="216" t="str">
        <x:f>IF(G1178&lt;='排名定義'!$B$5,"是","")</x:f>
        <x:v>是</x:v>
      </x:c>
      <x:c r="I1178" s="216" t="n">
        <x:v>1168</x:v>
      </x:c>
      <x:c r="J1178" s="216" t="str">
        <x:f>IF(I1178&lt;='排名定義'!$B$5,"是","")</x:f>
        <x:v>是</x:v>
      </x:c>
      <x:c r="K1178" s="216" t="n">
        <x:v>1233</x:v>
      </x:c>
      <x:c r="L1178" s="216" t="str">
        <x:f>IF(K1178&lt;='排名定義'!$B$5,"是","")</x:f>
        <x:v>是</x:v>
      </x:c>
      <x:c r="M1178" s="216" t="n">
        <x:f>COUNTIF(H1178:L1178,"是")</x:f>
        <x:v>3</x:v>
      </x:c>
      <x:c r="N1178" s="216" t="str">
        <x:v>三份皆未入選</x:v>
      </x:c>
      <x:c r="O1178" s="221" t="n">
        <x:v>26.875</x:v>
      </x:c>
      <x:c r="P1178" s="221" t="n">
        <x:v>24.066666666666666</x:v>
      </x:c>
      <x:c r="Q1178" s="221" t="n">
        <x:v>2.808333333333333</x:v>
      </x:c>
      <x:c r="R1178" s="221" t="n">
        <x:v>0.10449612403100775</x:v>
      </x:c>
      <x:c r="S1178" s="221" t="n">
        <x:v>45.903225806451616</x:v>
      </x:c>
      <x:c r="T1178" s="221" t="n">
        <x:v>42.96774193548387</x:v>
      </x:c>
      <x:c r="U1178" s="221" t="n">
        <x:v>2.935483870967742</x:v>
      </x:c>
      <x:c r="V1178" s="219" t="n">
        <x:v>0.04838709677419355</x:v>
      </x:c>
      <x:c r="W1178" s="216" t="n">
        <x:v>12</x:v>
      </x:c>
      <x:c r="X1178" s="223" t="n">
        <x:v>1380</x:v>
      </x:c>
      <x:c r="Y1178" s="216" t="n">
        <x:v>15</x:v>
      </x:c>
    </x:row>
    <x:row r="1179">
      <x:c r="A1179" s="217" t="n">
        <x:v>747</x:v>
      </x:c>
      <x:c r="B1179" s="217" t="str">
        <x:v>文中四公園</x:v>
      </x:c>
      <x:c r="C1179" s="217" t="str">
        <x:v>淡水區</x:v>
      </x:c>
      <x:c r="D1179" s="217" t="n">
        <x:v>20</x:v>
      </x:c>
      <x:c r="E1179" s="217" t="n">
        <x:v>120</x:v>
      </x:c>
      <x:c r="F1179" s="218" t="n">
        <x:v>0.9994791666666667</x:v>
      </x:c>
      <x:c r="G1179" s="217" t="n">
        <x:v>1175</x:v>
      </x:c>
      <x:c r="H1179" s="217" t="str">
        <x:f>IF(G1179&lt;='排名定義'!$B$5,"是","")</x:f>
        <x:v>是</x:v>
      </x:c>
      <x:c r="I1179" s="217" t="n">
        <x:v>1184</x:v>
      </x:c>
      <x:c r="J1179" s="217" t="str">
        <x:f>IF(I1179&lt;='排名定義'!$B$5,"是","")</x:f>
        <x:v>是</x:v>
      </x:c>
      <x:c r="K1179" s="217" t="n">
        <x:v>931</x:v>
      </x:c>
      <x:c r="L1179" s="217" t="str">
        <x:f>IF(K1179&lt;='排名定義'!$B$5,"是","")</x:f>
        <x:v>是</x:v>
      </x:c>
      <x:c r="M1179" s="217" t="n">
        <x:f>COUNTIF(H1179:L1179,"是")</x:f>
        <x:v>3</x:v>
      </x:c>
      <x:c r="N1179" s="217" t="str">
        <x:v>三份皆未入選</x:v>
      </x:c>
      <x:c r="O1179" s="220" t="n">
        <x:v>26.85</x:v>
      </x:c>
      <x:c r="P1179" s="220" t="n">
        <x:v>23.233333333333334</x:v>
      </x:c>
      <x:c r="Q1179" s="220" t="n">
        <x:v>3.6166666666666667</x:v>
      </x:c>
      <x:c r="R1179" s="220" t="n">
        <x:v>0.13469894475481067</x:v>
      </x:c>
      <x:c r="S1179" s="220" t="n">
        <x:v>48.806451612903224</x:v>
      </x:c>
      <x:c r="T1179" s="220" t="n">
        <x:v>45.774193548387096</x:v>
      </x:c>
      <x:c r="U1179" s="220" t="n">
        <x:v>3.032258064516129</x:v>
      </x:c>
      <x:c r="V1179" s="218" t="n">
        <x:v>0.04838709677419355</x:v>
      </x:c>
      <x:c r="W1179" s="217" t="n">
        <x:v>12</x:v>
      </x:c>
      <x:c r="X1179" s="222" t="n">
        <x:v>1680</x:v>
      </x:c>
      <x:c r="Y1179" s="217" t="n">
        <x:v>20</x:v>
      </x:c>
    </x:row>
    <x:row r="1180">
      <x:c r="A1180" s="216" t="n">
        <x:v>864</x:v>
      </x:c>
      <x:c r="B1180" s="216" t="str">
        <x:v>臺北大學蓮池</x:v>
      </x:c>
      <x:c r="C1180" s="216" t="str">
        <x:v>三峽區</x:v>
      </x:c>
      <x:c r="D1180" s="216" t="n">
        <x:v>24</x:v>
      </x:c>
      <x:c r="E1180" s="216" t="n">
        <x:v>120</x:v>
      </x:c>
      <x:c r="F1180" s="219" t="n">
        <x:v>0.9994791666666667</x:v>
      </x:c>
      <x:c r="G1180" s="216" t="n">
        <x:v>1176</x:v>
      </x:c>
      <x:c r="H1180" s="216" t="str">
        <x:f>IF(G1180&lt;='排名定義'!$B$5,"是","")</x:f>
        <x:v>是</x:v>
      </x:c>
      <x:c r="I1180" s="216" t="n">
        <x:v>1177</x:v>
      </x:c>
      <x:c r="J1180" s="216" t="str">
        <x:f>IF(I1180&lt;='排名定義'!$B$5,"是","")</x:f>
        <x:v>是</x:v>
      </x:c>
      <x:c r="K1180" s="216" t="n">
        <x:v>1119</x:v>
      </x:c>
      <x:c r="L1180" s="216" t="str">
        <x:f>IF(K1180&lt;='排名定義'!$B$5,"是","")</x:f>
        <x:v>是</x:v>
      </x:c>
      <x:c r="M1180" s="216" t="n">
        <x:f>COUNTIF(H1180:L1180,"是")</x:f>
        <x:v>3</x:v>
      </x:c>
      <x:c r="N1180" s="216" t="str">
        <x:v>三份皆未入選</x:v>
      </x:c>
      <x:c r="O1180" s="221" t="n">
        <x:v>26.708333333333332</x:v>
      </x:c>
      <x:c r="P1180" s="221" t="n">
        <x:v>23.566666666666666</x:v>
      </x:c>
      <x:c r="Q1180" s="221" t="n">
        <x:v>3.1416666666666666</x:v>
      </x:c>
      <x:c r="R1180" s="221" t="n">
        <x:v>0.11762870514820593</x:v>
      </x:c>
      <x:c r="S1180" s="221" t="n">
        <x:v>55.38709677419355</x:v>
      </x:c>
      <x:c r="T1180" s="221" t="n">
        <x:v>51.45161290322581</x:v>
      </x:c>
      <x:c r="U1180" s="221" t="n">
        <x:v>3.935483870967742</x:v>
      </x:c>
      <x:c r="V1180" s="219" t="n">
        <x:v>0.01152073732718894</x:v>
      </x:c>
      <x:c r="W1180" s="216" t="n">
        <x:v>4</x:v>
      </x:c>
      <x:c r="X1180" s="223" t="n">
        <x:v>630</x:v>
      </x:c>
      <x:c r="Y1180" s="216" t="n">
        <x:v>34</x:v>
      </x:c>
    </x:row>
    <x:row r="1181">
      <x:c r="A1181" s="217" t="n">
        <x:v>557</x:v>
      </x:c>
      <x:c r="B1181" s="217" t="str">
        <x:v>中原中板路口</x:v>
      </x:c>
      <x:c r="C1181" s="217" t="str">
        <x:v>中和區</x:v>
      </x:c>
      <x:c r="D1181" s="217" t="n">
        <x:v>18</x:v>
      </x:c>
      <x:c r="E1181" s="217" t="n">
        <x:v>120</x:v>
      </x:c>
      <x:c r="F1181" s="218" t="n">
        <x:v>0.9994791666666667</x:v>
      </x:c>
      <x:c r="G1181" s="217" t="n">
        <x:v>1177</x:v>
      </x:c>
      <x:c r="H1181" s="217" t="str">
        <x:f>IF(G1181&lt;='排名定義'!$B$5,"是","")</x:f>
        <x:v>是</x:v>
      </x:c>
      <x:c r="I1181" s="217" t="n">
        <x:v>1183</x:v>
      </x:c>
      <x:c r="J1181" s="217" t="str">
        <x:f>IF(I1181&lt;='排名定義'!$B$5,"是","")</x:f>
        <x:v>是</x:v>
      </x:c>
      <x:c r="K1181" s="217" t="n">
        <x:v>1034</x:v>
      </x:c>
      <x:c r="L1181" s="217" t="str">
        <x:f>IF(K1181&lt;='排名定義'!$B$5,"是","")</x:f>
        <x:v>是</x:v>
      </x:c>
      <x:c r="M1181" s="217" t="n">
        <x:f>COUNTIF(H1181:L1181,"是")</x:f>
        <x:v>3</x:v>
      </x:c>
      <x:c r="N1181" s="217" t="str">
        <x:v>三份皆未入選</x:v>
      </x:c>
      <x:c r="O1181" s="220" t="n">
        <x:v>26.666666666666668</x:v>
      </x:c>
      <x:c r="P1181" s="220" t="n">
        <x:v>23.3</x:v>
      </x:c>
      <x:c r="Q1181" s="220" t="n">
        <x:v>3.3666666666666667</x:v>
      </x:c>
      <x:c r="R1181" s="220" t="n">
        <x:v>0.12625</x:v>
      </x:c>
      <x:c r="S1181" s="220" t="n">
        <x:v>40.516129032258064</x:v>
      </x:c>
      <x:c r="T1181" s="220" t="n">
        <x:v>37.54838709677419</x:v>
      </x:c>
      <x:c r="U1181" s="220" t="n">
        <x:v>2.967741935483871</x:v>
      </x:c>
      <x:c r="V1181" s="218" t="n">
        <x:v>0.01152073732718894</x:v>
      </x:c>
      <x:c r="W1181" s="217" t="n">
        <x:v>2</x:v>
      </x:c>
      <x:c r="X1181" s="222" t="n">
        <x:v>540</x:v>
      </x:c>
      <x:c r="Y1181" s="217" t="n">
        <x:v>18</x:v>
      </x:c>
    </x:row>
    <x:row r="1182">
      <x:c r="A1182" s="216" t="n">
        <x:v>1102</x:v>
      </x:c>
      <x:c r="B1182" s="216" t="str">
        <x:v>登龍平面停車場</x:v>
      </x:c>
      <x:c r="C1182" s="216" t="str">
        <x:v>新莊區</x:v>
      </x:c>
      <x:c r="D1182" s="216" t="n">
        <x:v>32</x:v>
      </x:c>
      <x:c r="E1182" s="216" t="n">
        <x:v>120</x:v>
      </x:c>
      <x:c r="F1182" s="219" t="n">
        <x:v>0.9994791666666667</x:v>
      </x:c>
      <x:c r="G1182" s="216" t="n">
        <x:v>1178</x:v>
      </x:c>
      <x:c r="H1182" s="216" t="str">
        <x:f>IF(G1182&lt;='排名定義'!$B$5,"是","")</x:f>
        <x:v>是</x:v>
      </x:c>
      <x:c r="I1182" s="216" t="n">
        <x:v>1186</x:v>
      </x:c>
      <x:c r="J1182" s="216" t="str">
        <x:f>IF(I1182&lt;='排名定義'!$B$5,"是","")</x:f>
        <x:v>是</x:v>
      </x:c>
      <x:c r="K1182" s="216" t="n">
        <x:v>1027</x:v>
      </x:c>
      <x:c r="L1182" s="216" t="str">
        <x:f>IF(K1182&lt;='排名定義'!$B$5,"是","")</x:f>
        <x:v>是</x:v>
      </x:c>
      <x:c r="M1182" s="216" t="n">
        <x:f>COUNTIF(H1182:L1182,"是")</x:f>
        <x:v>3</x:v>
      </x:c>
      <x:c r="N1182" s="216" t="str">
        <x:v>三份皆未入選</x:v>
      </x:c>
      <x:c r="O1182" s="221" t="n">
        <x:v>26.558333333333334</x:v>
      </x:c>
      <x:c r="P1182" s="221" t="n">
        <x:v>23.166666666666668</x:v>
      </x:c>
      <x:c r="Q1182" s="221" t="n">
        <x:v>3.3916666666666666</x:v>
      </x:c>
      <x:c r="R1182" s="221" t="n">
        <x:v>0.12770630687166615</x:v>
      </x:c>
      <x:c r="S1182" s="221" t="n">
        <x:v>46.354838709677416</x:v>
      </x:c>
      <x:c r="T1182" s="221" t="n">
        <x:v>42.41935483870968</x:v>
      </x:c>
      <x:c r="U1182" s="221" t="n">
        <x:v>3.935483870967742</x:v>
      </x:c>
      <x:c r="V1182" s="219" t="n">
        <x:v>0.03456221198156682</x:v>
      </x:c>
      <x:c r="W1182" s="216" t="n">
        <x:v>5</x:v>
      </x:c>
      <x:c r="X1182" s="223" t="n">
        <x:v>780</x:v>
      </x:c>
      <x:c r="Y1182" s="216" t="n">
        <x:v>32</x:v>
      </x:c>
    </x:row>
    <x:row r="1183">
      <x:c r="A1183" s="217" t="n">
        <x:v>728</x:v>
      </x:c>
      <x:c r="B1183" s="217" t="str">
        <x:v>竹林山觀音寺</x:v>
      </x:c>
      <x:c r="C1183" s="217" t="str">
        <x:v>林口區</x:v>
      </x:c>
      <x:c r="D1183" s="217" t="n">
        <x:v>20</x:v>
      </x:c>
      <x:c r="E1183" s="217" t="n">
        <x:v>120</x:v>
      </x:c>
      <x:c r="F1183" s="218" t="n">
        <x:v>0.9994791666666667</x:v>
      </x:c>
      <x:c r="G1183" s="217" t="n">
        <x:v>1179</x:v>
      </x:c>
      <x:c r="H1183" s="217" t="str">
        <x:f>IF(G1183&lt;='排名定義'!$B$5,"是","")</x:f>
        <x:v>是</x:v>
      </x:c>
      <x:c r="I1183" s="217" t="n">
        <x:v>1199</x:v>
      </x:c>
      <x:c r="J1183" s="217" t="str">
        <x:f>IF(I1183&lt;='排名定義'!$B$5,"是","")</x:f>
        <x:v>是</x:v>
      </x:c>
      <x:c r="K1183" s="217" t="n">
        <x:v>892</x:v>
      </x:c>
      <x:c r="L1183" s="217" t="str">
        <x:f>IF(K1183&lt;='排名定義'!$B$5,"是","")</x:f>
        <x:v>是</x:v>
      </x:c>
      <x:c r="M1183" s="217" t="n">
        <x:f>COUNTIF(H1183:L1183,"是")</x:f>
        <x:v>3</x:v>
      </x:c>
      <x:c r="N1183" s="217" t="str">
        <x:v>三份皆未入選</x:v>
      </x:c>
      <x:c r="O1183" s="220" t="n">
        <x:v>26.491666666666667</x:v>
      </x:c>
      <x:c r="P1183" s="220" t="n">
        <x:v>22.733333333333334</x:v>
      </x:c>
      <x:c r="Q1183" s="220" t="n">
        <x:v>3.7583333333333333</x:v>
      </x:c>
      <x:c r="R1183" s="220" t="n">
        <x:v>0.14186851211072665</x:v>
      </x:c>
      <x:c r="S1183" s="220" t="n">
        <x:v>38.87096774193548</x:v>
      </x:c>
      <x:c r="T1183" s="220" t="n">
        <x:v>35.58064516129032</x:v>
      </x:c>
      <x:c r="U1183" s="220" t="n">
        <x:v>3.2903225806451615</x:v>
      </x:c>
      <x:c r="V1183" s="218" t="n">
        <x:v>0.0069124423963133645</x:v>
      </x:c>
      <x:c r="W1183" s="217" t="n">
        <x:v>0</x:v>
      </x:c>
      <x:c r="X1183" s="222" t="n">
        <x:v>120</x:v>
      </x:c>
      <x:c r="Y1183" s="217" t="n">
        <x:v>20</x:v>
      </x:c>
    </x:row>
    <x:row r="1184">
      <x:c r="A1184" s="216" t="n">
        <x:v>850</x:v>
      </x:c>
      <x:c r="B1184" s="216" t="str">
        <x:v>大觀路二段1巷</x:v>
      </x:c>
      <x:c r="C1184" s="216" t="str">
        <x:v>板橋區</x:v>
      </x:c>
      <x:c r="D1184" s="216" t="n">
        <x:v>24</x:v>
      </x:c>
      <x:c r="E1184" s="216" t="n">
        <x:v>120</x:v>
      </x:c>
      <x:c r="F1184" s="219" t="n">
        <x:v>0.9994791666666667</x:v>
      </x:c>
      <x:c r="G1184" s="216" t="n">
        <x:v>1180</x:v>
      </x:c>
      <x:c r="H1184" s="216" t="str">
        <x:f>IF(G1184&lt;='排名定義'!$B$5,"是","")</x:f>
        <x:v>是</x:v>
      </x:c>
      <x:c r="I1184" s="216" t="n">
        <x:v>1189</x:v>
      </x:c>
      <x:c r="J1184" s="216" t="str">
        <x:f>IF(I1184&lt;='排名定義'!$B$5,"是","")</x:f>
        <x:v>是</x:v>
      </x:c>
      <x:c r="K1184" s="216" t="n">
        <x:v>1025</x:v>
      </x:c>
      <x:c r="L1184" s="216" t="str">
        <x:f>IF(K1184&lt;='排名定義'!$B$5,"是","")</x:f>
        <x:v>是</x:v>
      </x:c>
      <x:c r="M1184" s="216" t="n">
        <x:f>COUNTIF(H1184:L1184,"是")</x:f>
        <x:v>3</x:v>
      </x:c>
      <x:c r="N1184" s="216" t="str">
        <x:v>三份皆未入選</x:v>
      </x:c>
      <x:c r="O1184" s="221" t="n">
        <x:v>26.491666666666667</x:v>
      </x:c>
      <x:c r="P1184" s="221" t="n">
        <x:v>23.1</x:v>
      </x:c>
      <x:c r="Q1184" s="221" t="n">
        <x:v>3.3916666666666666</x:v>
      </x:c>
      <x:c r="R1184" s="221" t="n">
        <x:v>0.12802768166089964</x:v>
      </x:c>
      <x:c r="S1184" s="221" t="n">
        <x:v>44.03225806451613</x:v>
      </x:c>
      <x:c r="T1184" s="221" t="n">
        <x:v>41.16129032258065</x:v>
      </x:c>
      <x:c r="U1184" s="221" t="n">
        <x:v>2.870967741935484</x:v>
      </x:c>
      <x:c r="V1184" s="219" t="n">
        <x:v>0.027649769585253458</x:v>
      </x:c>
      <x:c r="W1184" s="216" t="n">
        <x:v>8</x:v>
      </x:c>
      <x:c r="X1184" s="223" t="n">
        <x:v>900</x:v>
      </x:c>
      <x:c r="Y1184" s="216" t="n">
        <x:v>24</x:v>
      </x:c>
    </x:row>
    <x:row r="1185">
      <x:c r="A1185" s="217" t="n">
        <x:v>143</x:v>
      </x:c>
      <x:c r="B1185" s="217" t="str">
        <x:v>二橋派出所</x:v>
      </x:c>
      <x:c r="C1185" s="217" t="str">
        <x:v>鶯歌區</x:v>
      </x:c>
      <x:c r="D1185" s="217" t="n">
        <x:v>11</x:v>
      </x:c>
      <x:c r="E1185" s="217" t="n">
        <x:v>120</x:v>
      </x:c>
      <x:c r="F1185" s="218" t="n">
        <x:v>0.9994791666666667</x:v>
      </x:c>
      <x:c r="G1185" s="217" t="n">
        <x:v>1181</x:v>
      </x:c>
      <x:c r="H1185" s="217" t="str">
        <x:f>IF(G1185&lt;='排名定義'!$B$5,"是","")</x:f>
        <x:v>是</x:v>
      </x:c>
      <x:c r="I1185" s="217" t="n">
        <x:v>1167</x:v>
      </x:c>
      <x:c r="J1185" s="217" t="str">
        <x:f>IF(I1185&lt;='排名定義'!$B$5,"是","")</x:f>
        <x:v>是</x:v>
      </x:c>
      <x:c r="K1185" s="217" t="n">
        <x:v>1325</x:v>
      </x:c>
      <x:c r="L1185" s="217" t="str">
        <x:f>IF(K1185&lt;='排名定義'!$B$5,"是","")</x:f>
        <x:v>是</x:v>
      </x:c>
      <x:c r="M1185" s="217" t="n">
        <x:f>COUNTIF(H1185:L1185,"是")</x:f>
        <x:v>3</x:v>
      </x:c>
      <x:c r="N1185" s="217" t="str">
        <x:v>三份皆未入選</x:v>
      </x:c>
      <x:c r="O1185" s="220" t="n">
        <x:v>26.425</x:v>
      </x:c>
      <x:c r="P1185" s="220" t="n">
        <x:v>24.066666666666666</x:v>
      </x:c>
      <x:c r="Q1185" s="220" t="n">
        <x:v>2.3583333333333334</x:v>
      </x:c>
      <x:c r="R1185" s="220" t="n">
        <x:v>0.08924629454430778</x:v>
      </x:c>
      <x:c r="S1185" s="220" t="n">
        <x:v>42.16129032258065</x:v>
      </x:c>
      <x:c r="T1185" s="220" t="n">
        <x:v>39.096774193548384</x:v>
      </x:c>
      <x:c r="U1185" s="220" t="n">
        <x:v>3.064516129032258</x:v>
      </x:c>
      <x:c r="V1185" s="218" t="n">
        <x:v>0.06682027649769585</x:v>
      </x:c>
      <x:c r="W1185" s="217" t="n">
        <x:v>14</x:v>
      </x:c>
      <x:c r="X1185" s="222" t="n">
        <x:v>2100</x:v>
      </x:c>
      <x:c r="Y1185" s="217" t="n">
        <x:v>11</x:v>
      </x:c>
    </x:row>
    <x:row r="1186">
      <x:c r="A1186" s="216" t="n">
        <x:v>635</x:v>
      </x:c>
      <x:c r="B1186" s="216" t="str">
        <x:v>元信二仁愛街口</x:v>
      </x:c>
      <x:c r="C1186" s="216" t="str">
        <x:v>三重區</x:v>
      </x:c>
      <x:c r="D1186" s="216" t="n">
        <x:v>20</x:v>
      </x:c>
      <x:c r="E1186" s="216" t="n">
        <x:v>120</x:v>
      </x:c>
      <x:c r="F1186" s="219" t="n">
        <x:v>0.9994791666666667</x:v>
      </x:c>
      <x:c r="G1186" s="216" t="n">
        <x:v>1182</x:v>
      </x:c>
      <x:c r="H1186" s="216" t="str">
        <x:f>IF(G1186&lt;='排名定義'!$B$5,"是","")</x:f>
        <x:v>是</x:v>
      </x:c>
      <x:c r="I1186" s="216" t="n">
        <x:v>1192</x:v>
      </x:c>
      <x:c r="J1186" s="216" t="str">
        <x:f>IF(I1186&lt;='排名定義'!$B$5,"是","")</x:f>
        <x:v>是</x:v>
      </x:c>
      <x:c r="K1186" s="216" t="n">
        <x:v>1068</x:v>
      </x:c>
      <x:c r="L1186" s="216" t="str">
        <x:f>IF(K1186&lt;='排名定義'!$B$5,"是","")</x:f>
        <x:v>是</x:v>
      </x:c>
      <x:c r="M1186" s="216" t="n">
        <x:f>COUNTIF(H1186:L1186,"是")</x:f>
        <x:v>3</x:v>
      </x:c>
      <x:c r="N1186" s="216" t="str">
        <x:v>三份皆未入選</x:v>
      </x:c>
      <x:c r="O1186" s="221" t="n">
        <x:v>26.35</x:v>
      </x:c>
      <x:c r="P1186" s="221" t="n">
        <x:v>23.05</x:v>
      </x:c>
      <x:c r="Q1186" s="221" t="n">
        <x:v>3.3</x:v>
      </x:c>
      <x:c r="R1186" s="221" t="n">
        <x:v>0.1252371916508539</x:v>
      </x:c>
      <x:c r="S1186" s="221" t="n">
        <x:v>38.645161290322584</x:v>
      </x:c>
      <x:c r="T1186" s="221" t="n">
        <x:v>35.58064516129032</x:v>
      </x:c>
      <x:c r="U1186" s="221" t="n">
        <x:v>3.064516129032258</x:v>
      </x:c>
      <x:c r="V1186" s="219" t="n">
        <x:v>0.12672811059907835</x:v>
      </x:c>
      <x:c r="W1186" s="216" t="n">
        <x:v>26</x:v>
      </x:c>
      <x:c r="X1186" s="223" t="n">
        <x:v>3030</x:v>
      </x:c>
      <x:c r="Y1186" s="216" t="n">
        <x:v>20</x:v>
      </x:c>
    </x:row>
    <x:row r="1187">
      <x:c r="A1187" s="217" t="n">
        <x:v>281</x:v>
      </x:c>
      <x:c r="B1187" s="217" t="str">
        <x:v>烘爐地山下籃球場</x:v>
      </x:c>
      <x:c r="C1187" s="217" t="str">
        <x:v>中和區</x:v>
      </x:c>
      <x:c r="D1187" s="217" t="n">
        <x:v>14</x:v>
      </x:c>
      <x:c r="E1187" s="217" t="n">
        <x:v>120</x:v>
      </x:c>
      <x:c r="F1187" s="218" t="n">
        <x:v>0.9994791666666667</x:v>
      </x:c>
      <x:c r="G1187" s="217" t="n">
        <x:v>1183</x:v>
      </x:c>
      <x:c r="H1187" s="217" t="str">
        <x:f>IF(G1187&lt;='排名定義'!$B$5,"是","")</x:f>
        <x:v>是</x:v>
      </x:c>
      <x:c r="I1187" s="217" t="n">
        <x:v>1179</x:v>
      </x:c>
      <x:c r="J1187" s="217" t="str">
        <x:f>IF(I1187&lt;='排名定義'!$B$5,"是","")</x:f>
        <x:v>是</x:v>
      </x:c>
      <x:c r="K1187" s="217" t="n">
        <x:v>1203</x:v>
      </x:c>
      <x:c r="L1187" s="217" t="str">
        <x:f>IF(K1187&lt;='排名定義'!$B$5,"是","")</x:f>
        <x:v>是</x:v>
      </x:c>
      <x:c r="M1187" s="217" t="n">
        <x:f>COUNTIF(H1187:L1187,"是")</x:f>
        <x:v>3</x:v>
      </x:c>
      <x:c r="N1187" s="217" t="str">
        <x:v>三份皆未入選</x:v>
      </x:c>
      <x:c r="O1187" s="220" t="n">
        <x:v>26.333333333333332</x:v>
      </x:c>
      <x:c r="P1187" s="220" t="n">
        <x:v>23.441666666666666</x:v>
      </x:c>
      <x:c r="Q1187" s="220" t="n">
        <x:v>2.8916666666666666</x:v>
      </x:c>
      <x:c r="R1187" s="220" t="n">
        <x:v>0.10981012658227848</x:v>
      </x:c>
      <x:c r="S1187" s="220" t="n">
        <x:v>35.225806451612904</x:v>
      </x:c>
      <x:c r="T1187" s="220" t="n">
        <x:v>32.516129032258064</x:v>
      </x:c>
      <x:c r="U1187" s="220" t="n">
        <x:v>2.7096774193548385</x:v>
      </x:c>
      <x:c r="V1187" s="218" t="n">
        <x:v>0.07603686635944701</x:v>
      </x:c>
      <x:c r="W1187" s="217" t="n">
        <x:v>14</x:v>
      </x:c>
      <x:c r="X1187" s="222" t="n">
        <x:v>2070</x:v>
      </x:c>
      <x:c r="Y1187" s="217" t="n">
        <x:v>14</x:v>
      </x:c>
    </x:row>
    <x:row r="1188">
      <x:c r="A1188" s="216" t="n">
        <x:v>556</x:v>
      </x:c>
      <x:c r="B1188" s="216" t="str">
        <x:v>三重親水公園</x:v>
      </x:c>
      <x:c r="C1188" s="216" t="str">
        <x:v>三重區</x:v>
      </x:c>
      <x:c r="D1188" s="216" t="n">
        <x:v>18</x:v>
      </x:c>
      <x:c r="E1188" s="216" t="n">
        <x:v>120</x:v>
      </x:c>
      <x:c r="F1188" s="219" t="n">
        <x:v>0.9994791666666667</x:v>
      </x:c>
      <x:c r="G1188" s="216" t="n">
        <x:v>1184</x:v>
      </x:c>
      <x:c r="H1188" s="216" t="str">
        <x:f>IF(G1188&lt;='排名定義'!$B$5,"是","")</x:f>
        <x:v>是</x:v>
      </x:c>
      <x:c r="I1188" s="216" t="n">
        <x:v>1176</x:v>
      </x:c>
      <x:c r="J1188" s="216" t="str">
        <x:f>IF(I1188&lt;='排名定義'!$B$5,"是","")</x:f>
        <x:v>是</x:v>
      </x:c>
      <x:c r="K1188" s="216" t="n">
        <x:v>1251</x:v>
      </x:c>
      <x:c r="L1188" s="216" t="str">
        <x:f>IF(K1188&lt;='排名定義'!$B$5,"是","")</x:f>
        <x:v>是</x:v>
      </x:c>
      <x:c r="M1188" s="216" t="n">
        <x:f>COUNTIF(H1188:L1188,"是")</x:f>
        <x:v>3</x:v>
      </x:c>
      <x:c r="N1188" s="216" t="str">
        <x:v>三份皆未入選</x:v>
      </x:c>
      <x:c r="O1188" s="221" t="n">
        <x:v>26.291666666666668</x:v>
      </x:c>
      <x:c r="P1188" s="221" t="n">
        <x:v>23.591666666666665</x:v>
      </x:c>
      <x:c r="Q1188" s="221" t="n">
        <x:v>2.7</x:v>
      </x:c>
      <x:c r="R1188" s="221" t="n">
        <x:v>0.10269413629160064</x:v>
      </x:c>
      <x:c r="S1188" s="221" t="n">
        <x:v>43.193548387096776</x:v>
      </x:c>
      <x:c r="T1188" s="221" t="n">
        <x:v>40.645161290322584</x:v>
      </x:c>
      <x:c r="U1188" s="221" t="n">
        <x:v>2.5483870967741935</x:v>
      </x:c>
      <x:c r="V1188" s="219" t="n">
        <x:v>0.03225806451612903</x:v>
      </x:c>
      <x:c r="W1188" s="216" t="n">
        <x:v>5</x:v>
      </x:c>
      <x:c r="X1188" s="223" t="n">
        <x:v>840</x:v>
      </x:c>
      <x:c r="Y1188" s="216" t="n">
        <x:v>18</x:v>
      </x:c>
    </x:row>
    <x:row r="1189">
      <x:c r="A1189" s="217" t="n">
        <x:v>108</x:v>
      </x:c>
      <x:c r="B1189" s="217" t="str">
        <x:v>中正路248巷口</x:v>
      </x:c>
      <x:c r="C1189" s="217" t="str">
        <x:v>樹林區</x:v>
      </x:c>
      <x:c r="D1189" s="217" t="n">
        <x:v>10</x:v>
      </x:c>
      <x:c r="E1189" s="217" t="n">
        <x:v>120</x:v>
      </x:c>
      <x:c r="F1189" s="218" t="n">
        <x:v>0.9994791666666667</x:v>
      </x:c>
      <x:c r="G1189" s="217" t="n">
        <x:v>1185</x:v>
      </x:c>
      <x:c r="H1189" s="217" t="str">
        <x:f>IF(G1189&lt;='排名定義'!$B$5,"是","")</x:f>
        <x:v>是</x:v>
      </x:c>
      <x:c r="I1189" s="217" t="n">
        <x:v>1180</x:v>
      </x:c>
      <x:c r="J1189" s="217" t="str">
        <x:f>IF(I1189&lt;='排名定義'!$B$5,"是","")</x:f>
        <x:v>是</x:v>
      </x:c>
      <x:c r="K1189" s="217" t="n">
        <x:v>1229</x:v>
      </x:c>
      <x:c r="L1189" s="217" t="str">
        <x:f>IF(K1189&lt;='排名定義'!$B$5,"是","")</x:f>
        <x:v>是</x:v>
      </x:c>
      <x:c r="M1189" s="217" t="n">
        <x:f>COUNTIF(H1189:L1189,"是")</x:f>
        <x:v>3</x:v>
      </x:c>
      <x:c r="N1189" s="217" t="str">
        <x:v>三份皆未入選</x:v>
      </x:c>
      <x:c r="O1189" s="220" t="n">
        <x:v>26.216666666666665</x:v>
      </x:c>
      <x:c r="P1189" s="220" t="n">
        <x:v>23.4</x:v>
      </x:c>
      <x:c r="Q1189" s="220" t="n">
        <x:v>2.816666666666667</x:v>
      </x:c>
      <x:c r="R1189" s="220" t="n">
        <x:v>0.10743801652892562</x:v>
      </x:c>
      <x:c r="S1189" s="220" t="n">
        <x:v>40.87096774193548</x:v>
      </x:c>
      <x:c r="T1189" s="220" t="n">
        <x:v>38.483870967741936</x:v>
      </x:c>
      <x:c r="U1189" s="220" t="n">
        <x:v>2.3870967741935485</x:v>
      </x:c>
      <x:c r="V1189" s="218" t="n">
        <x:v>0.08755760368663594</x:v>
      </x:c>
      <x:c r="W1189" s="217" t="n">
        <x:v>16</x:v>
      </x:c>
      <x:c r="X1189" s="222" t="n">
        <x:v>2580</x:v>
      </x:c>
      <x:c r="Y1189" s="217" t="n">
        <x:v>10</x:v>
      </x:c>
    </x:row>
    <x:row r="1190">
      <x:c r="A1190" s="216" t="n">
        <x:v>581</x:v>
      </x:c>
      <x:c r="B1190" s="216" t="str">
        <x:v>東南科技大學</x:v>
      </x:c>
      <x:c r="C1190" s="216" t="str">
        <x:v>深坑區</x:v>
      </x:c>
      <x:c r="D1190" s="216" t="n">
        <x:v>18</x:v>
      </x:c>
      <x:c r="E1190" s="216" t="n">
        <x:v>120</x:v>
      </x:c>
      <x:c r="F1190" s="219" t="n">
        <x:v>0.9994791666666667</x:v>
      </x:c>
      <x:c r="G1190" s="216" t="n">
        <x:v>1186</x:v>
      </x:c>
      <x:c r="H1190" s="216" t="str">
        <x:f>IF(G1190&lt;='排名定義'!$B$5,"是","")</x:f>
        <x:v>是</x:v>
      </x:c>
      <x:c r="I1190" s="216" t="n">
        <x:v>1181</x:v>
      </x:c>
      <x:c r="J1190" s="216" t="str">
        <x:f>IF(I1190&lt;='排名定義'!$B$5,"是","")</x:f>
        <x:v>是</x:v>
      </x:c>
      <x:c r="K1190" s="216" t="n">
        <x:v>1214</x:v>
      </x:c>
      <x:c r="L1190" s="216" t="str">
        <x:f>IF(K1190&lt;='排名定義'!$B$5,"是","")</x:f>
        <x:v>是</x:v>
      </x:c>
      <x:c r="M1190" s="216" t="n">
        <x:f>COUNTIF(H1190:L1190,"是")</x:f>
        <x:v>3</x:v>
      </x:c>
      <x:c r="N1190" s="216" t="str">
        <x:v>三份皆未入選</x:v>
      </x:c>
      <x:c r="O1190" s="221" t="n">
        <x:v>26.216666666666665</x:v>
      </x:c>
      <x:c r="P1190" s="221" t="n">
        <x:v>23.358333333333334</x:v>
      </x:c>
      <x:c r="Q1190" s="221" t="n">
        <x:v>2.8583333333333334</x:v>
      </x:c>
      <x:c r="R1190" s="221" t="n">
        <x:v>0.10902733630006357</x:v>
      </x:c>
      <x:c r="S1190" s="221" t="n">
        <x:v>44.25806451612903</x:v>
      </x:c>
      <x:c r="T1190" s="221" t="n">
        <x:v>40.74193548387097</x:v>
      </x:c>
      <x:c r="U1190" s="221" t="n">
        <x:v>3.5161290322580645</x:v>
      </x:c>
      <x:c r="V1190" s="219" t="n">
        <x:v>0.06912442396313365</x:v>
      </x:c>
      <x:c r="W1190" s="216" t="n">
        <x:v>30</x:v>
      </x:c>
      <x:c r="X1190" s="223" t="n">
        <x:v>4320</x:v>
      </x:c>
      <x:c r="Y1190" s="216" t="n">
        <x:v>18</x:v>
      </x:c>
    </x:row>
    <x:row r="1191">
      <x:c r="A1191" s="217" t="n">
        <x:v>1529</x:v>
      </x:c>
      <x:c r="B1191" s="217" t="str">
        <x:v>十四張?文路口</x:v>
      </x:c>
      <x:c r="C1191" s="217" t="str">
        <x:v>新店區</x:v>
      </x:c>
      <x:c r="D1191" s="217" t="n">
        <x:v>15</x:v>
      </x:c>
      <x:c r="E1191" s="217" t="n">
        <x:v>61</x:v>
      </x:c>
      <x:c r="F1191" s="218" t="n">
        <x:v>0.9996584699453552</x:v>
      </x:c>
      <x:c r="G1191" s="217" t="n">
        <x:v>1187</x:v>
      </x:c>
      <x:c r="H1191" s="217" t="str">
        <x:f>IF(G1191&lt;='排名定義'!$B$5,"是","")</x:f>
        <x:v>是</x:v>
      </x:c>
      <x:c r="I1191" s="217" t="n">
        <x:v>1145</x:v>
      </x:c>
      <x:c r="J1191" s="217" t="str">
        <x:f>IF(I1191&lt;='排名定義'!$B$5,"是","")</x:f>
        <x:v>是</x:v>
      </x:c>
      <x:c r="K1191" s="217" t="n">
        <x:v>1447</x:v>
      </x:c>
      <x:c r="L1191" s="217" t="str">
        <x:f>IF(K1191&lt;='排名定義'!$B$5,"是","")</x:f>
        <x:v>是</x:v>
      </x:c>
      <x:c r="M1191" s="217" t="n">
        <x:f>COUNTIF(H1191:L1191,"是")</x:f>
        <x:v>3</x:v>
      </x:c>
      <x:c r="N1191" s="217" t="str">
        <x:v>三份皆未入選</x:v>
      </x:c>
      <x:c r="O1191" s="220" t="n">
        <x:v>26.21311475409836</x:v>
      </x:c>
      <x:c r="P1191" s="220" t="n">
        <x:v>25.016393442622952</x:v>
      </x:c>
      <x:c r="Q1191" s="220" t="n">
        <x:v>1.1967213114754098</x:v>
      </x:c>
      <x:c r="R1191" s="220" t="n">
        <x:v>0.045653533458411506</x:v>
      </x:c>
      <x:c r="S1191" s="220" t="n">
        <x:v>25.903225806451612</x:v>
      </x:c>
      <x:c r="T1191" s="220" t="n">
        <x:v>25.161290322580644</x:v>
      </x:c>
      <x:c r="U1191" s="220" t="n">
        <x:v>0.7419354838709677</x:v>
      </x:c>
      <x:c r="V1191" s="218" t="n">
        <x:v>0.059907834101382486</x:v>
      </x:c>
      <x:c r="W1191" s="217" t="n">
        <x:v>21</x:v>
      </x:c>
      <x:c r="X1191" s="222" t="n">
        <x:v>2340</x:v>
      </x:c>
      <x:c r="Y1191" s="217" t="n">
        <x:v>15</x:v>
      </x:c>
    </x:row>
    <x:row r="1192">
      <x:c r="A1192" s="216" t="n">
        <x:v>125</x:v>
      </x:c>
      <x:c r="B1192" s="216" t="str">
        <x:v>永安南路二段16巷口</x:v>
      </x:c>
      <x:c r="C1192" s="216" t="str">
        <x:v>蘆洲區</x:v>
      </x:c>
      <x:c r="D1192" s="216" t="n">
        <x:v>10</x:v>
      </x:c>
      <x:c r="E1192" s="216" t="n">
        <x:v>120</x:v>
      </x:c>
      <x:c r="F1192" s="219" t="n">
        <x:v>0.9994791666666667</x:v>
      </x:c>
      <x:c r="G1192" s="216" t="n">
        <x:v>1188</x:v>
      </x:c>
      <x:c r="H1192" s="216" t="str">
        <x:f>IF(G1192&lt;='排名定義'!$B$5,"是","")</x:f>
        <x:v>是</x:v>
      </x:c>
      <x:c r="I1192" s="216" t="n">
        <x:v>1171</x:v>
      </x:c>
      <x:c r="J1192" s="216" t="str">
        <x:f>IF(I1192&lt;='排名定義'!$B$5,"是","")</x:f>
        <x:v>是</x:v>
      </x:c>
      <x:c r="K1192" s="216" t="n">
        <x:v>1327</x:v>
      </x:c>
      <x:c r="L1192" s="216" t="str">
        <x:f>IF(K1192&lt;='排名定義'!$B$5,"是","")</x:f>
        <x:v>是</x:v>
      </x:c>
      <x:c r="M1192" s="216" t="n">
        <x:f>COUNTIF(H1192:L1192,"是")</x:f>
        <x:v>3</x:v>
      </x:c>
      <x:c r="N1192" s="216" t="str">
        <x:v>三份皆未入選</x:v>
      </x:c>
      <x:c r="O1192" s="221" t="n">
        <x:v>26.183333333333334</x:v>
      </x:c>
      <x:c r="P1192" s="221" t="n">
        <x:v>23.833333333333332</x:v>
      </x:c>
      <x:c r="Q1192" s="221" t="n">
        <x:v>2.35</x:v>
      </x:c>
      <x:c r="R1192" s="221" t="n">
        <x:v>0.08975175047740293</x:v>
      </x:c>
      <x:c r="S1192" s="221" t="n">
        <x:v>39.96774193548387</x:v>
      </x:c>
      <x:c r="T1192" s="221" t="n">
        <x:v>37.29032258064516</x:v>
      </x:c>
      <x:c r="U1192" s="221" t="n">
        <x:v>2.6774193548387095</x:v>
      </x:c>
      <x:c r="V1192" s="219" t="n">
        <x:v>0.07142857142857142</x:v>
      </x:c>
      <x:c r="W1192" s="216" t="n">
        <x:v>13</x:v>
      </x:c>
      <x:c r="X1192" s="223" t="n">
        <x:v>1800</x:v>
      </x:c>
      <x:c r="Y1192" s="216" t="n">
        <x:v>10</x:v>
      </x:c>
    </x:row>
    <x:row r="1193">
      <x:c r="A1193" s="217" t="n">
        <x:v>875</x:v>
      </x:c>
      <x:c r="B1193" s="217" t="str">
        <x:v>山佳火車站</x:v>
      </x:c>
      <x:c r="C1193" s="217" t="str">
        <x:v>樹林區</x:v>
      </x:c>
      <x:c r="D1193" s="217" t="n">
        <x:v>25</x:v>
      </x:c>
      <x:c r="E1193" s="217" t="n">
        <x:v>120</x:v>
      </x:c>
      <x:c r="F1193" s="218" t="n">
        <x:v>0.9994791666666667</x:v>
      </x:c>
      <x:c r="G1193" s="217" t="n">
        <x:v>1189</x:v>
      </x:c>
      <x:c r="H1193" s="217" t="str">
        <x:f>IF(G1193&lt;='排名定義'!$B$5,"是","")</x:f>
        <x:v>是</x:v>
      </x:c>
      <x:c r="I1193" s="217" t="n">
        <x:v>1196</x:v>
      </x:c>
      <x:c r="J1193" s="217" t="str">
        <x:f>IF(I1193&lt;='排名定義'!$B$5,"是","")</x:f>
        <x:v>是</x:v>
      </x:c>
      <x:c r="K1193" s="217" t="n">
        <x:v>1113</x:v>
      </x:c>
      <x:c r="L1193" s="217" t="str">
        <x:f>IF(K1193&lt;='排名定義'!$B$5,"是","")</x:f>
        <x:v>是</x:v>
      </x:c>
      <x:c r="M1193" s="217" t="n">
        <x:f>COUNTIF(H1193:L1193,"是")</x:f>
        <x:v>3</x:v>
      </x:c>
      <x:c r="N1193" s="217" t="str">
        <x:v>三份皆未入選</x:v>
      </x:c>
      <x:c r="O1193" s="220" t="n">
        <x:v>26.166666666666668</x:v>
      </x:c>
      <x:c r="P1193" s="220" t="n">
        <x:v>22.991666666666667</x:v>
      </x:c>
      <x:c r="Q1193" s="220" t="n">
        <x:v>3.175</x:v>
      </x:c>
      <x:c r="R1193" s="220" t="n">
        <x:v>0.1213375796178344</x:v>
      </x:c>
      <x:c r="S1193" s="220" t="n">
        <x:v>44.516129032258064</x:v>
      </x:c>
      <x:c r="T1193" s="220" t="n">
        <x:v>41.516129032258064</x:v>
      </x:c>
      <x:c r="U1193" s="220" t="n">
        <x:v>3</x:v>
      </x:c>
      <x:c r="V1193" s="218" t="n">
        <x:v>0.020737327188940093</x:v>
      </x:c>
      <x:c r="W1193" s="217" t="n">
        <x:v>2</x:v>
      </x:c>
      <x:c r="X1193" s="222" t="n">
        <x:v>360</x:v>
      </x:c>
      <x:c r="Y1193" s="217" t="n">
        <x:v>25</x:v>
      </x:c>
    </x:row>
    <x:row r="1194">
      <x:c r="A1194" s="216" t="n">
        <x:v>579</x:v>
      </x:c>
      <x:c r="B1194" s="216" t="str">
        <x:v>新市三崁頂五路口</x:v>
      </x:c>
      <x:c r="C1194" s="216" t="str">
        <x:v>淡水區</x:v>
      </x:c>
      <x:c r="D1194" s="216" t="n">
        <x:v>18</x:v>
      </x:c>
      <x:c r="E1194" s="216" t="n">
        <x:v>120</x:v>
      </x:c>
      <x:c r="F1194" s="219" t="n">
        <x:v>0.9994791666666667</x:v>
      </x:c>
      <x:c r="G1194" s="216" t="n">
        <x:v>1190</x:v>
      </x:c>
      <x:c r="H1194" s="216" t="str">
        <x:f>IF(G1194&lt;='排名定義'!$B$5,"是","")</x:f>
        <x:v>是</x:v>
      </x:c>
      <x:c r="I1194" s="216" t="n">
        <x:v>1178</x:v>
      </x:c>
      <x:c r="J1194" s="216" t="str">
        <x:f>IF(I1194&lt;='排名定義'!$B$5,"是","")</x:f>
        <x:v>是</x:v>
      </x:c>
      <x:c r="K1194" s="216" t="n">
        <x:v>1289</x:v>
      </x:c>
      <x:c r="L1194" s="216" t="str">
        <x:f>IF(K1194&lt;='排名定義'!$B$5,"是","")</x:f>
        <x:v>是</x:v>
      </x:c>
      <x:c r="M1194" s="216" t="n">
        <x:f>COUNTIF(H1194:L1194,"是")</x:f>
        <x:v>3</x:v>
      </x:c>
      <x:c r="N1194" s="216" t="str">
        <x:v>三份皆未入選</x:v>
      </x:c>
      <x:c r="O1194" s="221" t="n">
        <x:v>26.075</x:v>
      </x:c>
      <x:c r="P1194" s="221" t="n">
        <x:v>23.541666666666668</x:v>
      </x:c>
      <x:c r="Q1194" s="221" t="n">
        <x:v>2.533333333333333</x:v>
      </x:c>
      <x:c r="R1194" s="221" t="n">
        <x:v>0.09715564077980185</x:v>
      </x:c>
      <x:c r="S1194" s="221" t="n">
        <x:v>47.096774193548384</x:v>
      </x:c>
      <x:c r="T1194" s="221" t="n">
        <x:v>44.67741935483871</x:v>
      </x:c>
      <x:c r="U1194" s="221" t="n">
        <x:v>2.4193548387096775</x:v>
      </x:c>
      <x:c r="V1194" s="219" t="n">
        <x:v>0.027649769585253458</x:v>
      </x:c>
      <x:c r="W1194" s="216" t="n">
        <x:v>8</x:v>
      </x:c>
      <x:c r="X1194" s="223" t="n">
        <x:v>960</x:v>
      </x:c>
      <x:c r="Y1194" s="216" t="n">
        <x:v>18</x:v>
      </x:c>
    </x:row>
    <x:row r="1195">
      <x:c r="A1195" s="217" t="n">
        <x:v>694</x:v>
      </x:c>
      <x:c r="B1195" s="217" t="str">
        <x:v>鳳鳴國小</x:v>
      </x:c>
      <x:c r="C1195" s="217" t="str">
        <x:v>鶯歌區</x:v>
      </x:c>
      <x:c r="D1195" s="217" t="n">
        <x:v>20</x:v>
      </x:c>
      <x:c r="E1195" s="217" t="n">
        <x:v>120</x:v>
      </x:c>
      <x:c r="F1195" s="218" t="n">
        <x:v>0.9994791666666667</x:v>
      </x:c>
      <x:c r="G1195" s="217" t="n">
        <x:v>1191</x:v>
      </x:c>
      <x:c r="H1195" s="217" t="str">
        <x:f>IF(G1195&lt;='排名定義'!$B$5,"是","")</x:f>
        <x:v>是</x:v>
      </x:c>
      <x:c r="I1195" s="217" t="n">
        <x:v>1185</x:v>
      </x:c>
      <x:c r="J1195" s="217" t="str">
        <x:f>IF(I1195&lt;='排名定義'!$B$5,"是","")</x:f>
        <x:v>是</x:v>
      </x:c>
      <x:c r="K1195" s="217" t="n">
        <x:v>1221</x:v>
      </x:c>
      <x:c r="L1195" s="217" t="str">
        <x:f>IF(K1195&lt;='排名定義'!$B$5,"是","")</x:f>
        <x:v>是</x:v>
      </x:c>
      <x:c r="M1195" s="217" t="n">
        <x:f>COUNTIF(H1195:L1195,"是")</x:f>
        <x:v>3</x:v>
      </x:c>
      <x:c r="N1195" s="217" t="str">
        <x:v>三份皆未入選</x:v>
      </x:c>
      <x:c r="O1195" s="220" t="n">
        <x:v>26.008333333333333</x:v>
      </x:c>
      <x:c r="P1195" s="220" t="n">
        <x:v>23.166666666666668</x:v>
      </x:c>
      <x:c r="Q1195" s="220" t="n">
        <x:v>2.841666666666667</x:v>
      </x:c>
      <x:c r="R1195" s="220" t="n">
        <x:v>0.10925985261134252</x:v>
      </x:c>
      <x:c r="S1195" s="220" t="n">
        <x:v>41.16129032258065</x:v>
      </x:c>
      <x:c r="T1195" s="220" t="n">
        <x:v>38.064516129032256</x:v>
      </x:c>
      <x:c r="U1195" s="220" t="n">
        <x:v>3.096774193548387</x:v>
      </x:c>
      <x:c r="V1195" s="218" t="n">
        <x:v>0.04838709677419355</x:v>
      </x:c>
      <x:c r="W1195" s="217" t="n">
        <x:v>7</x:v>
      </x:c>
      <x:c r="X1195" s="222" t="n">
        <x:v>870</x:v>
      </x:c>
      <x:c r="Y1195" s="217" t="n">
        <x:v>20</x:v>
      </x:c>
    </x:row>
    <x:row r="1196">
      <x:c r="A1196" s="216" t="n">
        <x:v>815</x:v>
      </x:c>
      <x:c r="B1196" s="216" t="str">
        <x:v>自然公園</x:v>
      </x:c>
      <x:c r="C1196" s="216" t="str">
        <x:v>三重區</x:v>
      </x:c>
      <x:c r="D1196" s="216" t="n">
        <x:v>22</x:v>
      </x:c>
      <x:c r="E1196" s="216" t="n">
        <x:v>120</x:v>
      </x:c>
      <x:c r="F1196" s="219" t="n">
        <x:v>0.9994791666666667</x:v>
      </x:c>
      <x:c r="G1196" s="216" t="n">
        <x:v>1192</x:v>
      </x:c>
      <x:c r="H1196" s="216" t="str">
        <x:f>IF(G1196&lt;='排名定義'!$B$5,"是","")</x:f>
        <x:v>是</x:v>
      </x:c>
      <x:c r="I1196" s="216" t="n">
        <x:v>1193</x:v>
      </x:c>
      <x:c r="J1196" s="216" t="str">
        <x:f>IF(I1196&lt;='排名定義'!$B$5,"是","")</x:f>
        <x:v>是</x:v>
      </x:c>
      <x:c r="K1196" s="216" t="n">
        <x:v>1191</x:v>
      </x:c>
      <x:c r="L1196" s="216" t="str">
        <x:f>IF(K1196&lt;='排名定義'!$B$5,"是","")</x:f>
        <x:v>是</x:v>
      </x:c>
      <x:c r="M1196" s="216" t="n">
        <x:f>COUNTIF(H1196:L1196,"是")</x:f>
        <x:v>3</x:v>
      </x:c>
      <x:c r="N1196" s="216" t="str">
        <x:v>三份皆未入選</x:v>
      </x:c>
      <x:c r="O1196" s="221" t="n">
        <x:v>25.966666666666665</x:v>
      </x:c>
      <x:c r="P1196" s="221" t="n">
        <x:v>23.05</x:v>
      </x:c>
      <x:c r="Q1196" s="221" t="n">
        <x:v>2.9166666666666665</x:v>
      </x:c>
      <x:c r="R1196" s="221" t="n">
        <x:v>0.1123234916559692</x:v>
      </x:c>
      <x:c r="S1196" s="221" t="n">
        <x:v>45.903225806451616</x:v>
      </x:c>
      <x:c r="T1196" s="221" t="n">
        <x:v>42.83870967741935</x:v>
      </x:c>
      <x:c r="U1196" s="221" t="n">
        <x:v>3.064516129032258</x:v>
      </x:c>
      <x:c r="V1196" s="219" t="n">
        <x:v>0.018433179723502304</x:v>
      </x:c>
      <x:c r="W1196" s="216" t="n">
        <x:v>3</x:v>
      </x:c>
      <x:c r="X1196" s="223" t="n">
        <x:v>450</x:v>
      </x:c>
      <x:c r="Y1196" s="216" t="n">
        <x:v>36</x:v>
      </x:c>
    </x:row>
    <x:row r="1197">
      <x:c r="A1197" s="217" t="n">
        <x:v>354</x:v>
      </x:c>
      <x:c r="B1197" s="217" t="str">
        <x:v>尖山路高厝巷口</x:v>
      </x:c>
      <x:c r="C1197" s="217" t="str">
        <x:v>鶯歌區</x:v>
      </x:c>
      <x:c r="D1197" s="217" t="n">
        <x:v>15</x:v>
      </x:c>
      <x:c r="E1197" s="217" t="n">
        <x:v>120</x:v>
      </x:c>
      <x:c r="F1197" s="218" t="n">
        <x:v>0.9994791666666667</x:v>
      </x:c>
      <x:c r="G1197" s="217" t="n">
        <x:v>1193</x:v>
      </x:c>
      <x:c r="H1197" s="217" t="str">
        <x:f>IF(G1197&lt;='排名定義'!$B$5,"是","")</x:f>
        <x:v>是</x:v>
      </x:c>
      <x:c r="I1197" s="217" t="n">
        <x:v>1201</x:v>
      </x:c>
      <x:c r="J1197" s="217" t="str">
        <x:f>IF(I1197&lt;='排名定義'!$B$5,"是","")</x:f>
        <x:v>是</x:v>
      </x:c>
      <x:c r="K1197" s="217" t="n">
        <x:v>1088</x:v>
      </x:c>
      <x:c r="L1197" s="217" t="str">
        <x:f>IF(K1197&lt;='排名定義'!$B$5,"是","")</x:f>
        <x:v>是</x:v>
      </x:c>
      <x:c r="M1197" s="217" t="n">
        <x:f>COUNTIF(H1197:L1197,"是")</x:f>
        <x:v>3</x:v>
      </x:c>
      <x:c r="N1197" s="217" t="str">
        <x:v>三份皆未入選</x:v>
      </x:c>
      <x:c r="O1197" s="220" t="n">
        <x:v>25.925</x:v>
      </x:c>
      <x:c r="P1197" s="220" t="n">
        <x:v>22.691666666666666</x:v>
      </x:c>
      <x:c r="Q1197" s="220" t="n">
        <x:v>3.2333333333333334</x:v>
      </x:c>
      <x:c r="R1197" s="220" t="n">
        <x:v>0.1247187399549984</x:v>
      </x:c>
      <x:c r="S1197" s="220" t="n">
        <x:v>45.483870967741936</x:v>
      </x:c>
      <x:c r="T1197" s="220" t="n">
        <x:v>42.096774193548384</x:v>
      </x:c>
      <x:c r="U1197" s="220" t="n">
        <x:v>3.3870967741935485</x:v>
      </x:c>
      <x:c r="V1197" s="218" t="n">
        <x:v>0.020737327188940093</x:v>
      </x:c>
      <x:c r="W1197" s="217" t="n">
        <x:v>4</x:v>
      </x:c>
      <x:c r="X1197" s="222" t="n">
        <x:v>390</x:v>
      </x:c>
      <x:c r="Y1197" s="217" t="n">
        <x:v>15</x:v>
      </x:c>
    </x:row>
    <x:row r="1198">
      <x:c r="A1198" s="216" t="n">
        <x:v>1049</x:v>
      </x:c>
      <x:c r="B1198" s="216" t="str">
        <x:v>仁信段平面停車場(元信一街)</x:v>
      </x:c>
      <x:c r="C1198" s="216" t="str">
        <x:v>三重區</x:v>
      </x:c>
      <x:c r="D1198" s="216" t="n">
        <x:v>30</x:v>
      </x:c>
      <x:c r="E1198" s="216" t="n">
        <x:v>120</x:v>
      </x:c>
      <x:c r="F1198" s="219" t="n">
        <x:v>0.9994791666666667</x:v>
      </x:c>
      <x:c r="G1198" s="216" t="n">
        <x:v>1194</x:v>
      </x:c>
      <x:c r="H1198" s="216" t="str">
        <x:f>IF(G1198&lt;='排名定義'!$B$5,"是","")</x:f>
        <x:v>是</x:v>
      </x:c>
      <x:c r="I1198" s="216" t="n">
        <x:v>1212</x:v>
      </x:c>
      <x:c r="J1198" s="216" t="str">
        <x:f>IF(I1198&lt;='排名定義'!$B$5,"是","")</x:f>
        <x:v>是</x:v>
      </x:c>
      <x:c r="K1198" s="216" t="n">
        <x:v>907</x:v>
      </x:c>
      <x:c r="L1198" s="216" t="str">
        <x:f>IF(K1198&lt;='排名定義'!$B$5,"是","")</x:f>
        <x:v>是</x:v>
      </x:c>
      <x:c r="M1198" s="216" t="n">
        <x:f>COUNTIF(H1198:L1198,"是")</x:f>
        <x:v>3</x:v>
      </x:c>
      <x:c r="N1198" s="216" t="str">
        <x:v>三份皆未入選</x:v>
      </x:c>
      <x:c r="O1198" s="221" t="n">
        <x:v>25.875</x:v>
      </x:c>
      <x:c r="P1198" s="221" t="n">
        <x:v>22.175</x:v>
      </x:c>
      <x:c r="Q1198" s="221" t="n">
        <x:v>3.7</x:v>
      </x:c>
      <x:c r="R1198" s="221" t="n">
        <x:v>0.14299516908212562</x:v>
      </x:c>
      <x:c r="S1198" s="221" t="n">
        <x:v>39.193548387096776</x:v>
      </x:c>
      <x:c r="T1198" s="221" t="n">
        <x:v>34.87096774193548</x:v>
      </x:c>
      <x:c r="U1198" s="221" t="n">
        <x:v>4.32258064516129</x:v>
      </x:c>
      <x:c r="V1198" s="219" t="n">
        <x:v>0.06682027649769585</x:v>
      </x:c>
      <x:c r="W1198" s="216" t="n">
        <x:v>15</x:v>
      </x:c>
      <x:c r="X1198" s="223" t="n">
        <x:v>1470</x:v>
      </x:c>
      <x:c r="Y1198" s="216" t="n">
        <x:v>30</x:v>
      </x:c>
    </x:row>
    <x:row r="1199">
      <x:c r="A1199" s="217" t="n">
        <x:v>735</x:v>
      </x:c>
      <x:c r="B1199" s="217" t="str">
        <x:v>鳳祥公園</x:v>
      </x:c>
      <x:c r="C1199" s="217" t="str">
        <x:v>鶯歌區</x:v>
      </x:c>
      <x:c r="D1199" s="217" t="n">
        <x:v>20</x:v>
      </x:c>
      <x:c r="E1199" s="217" t="n">
        <x:v>120</x:v>
      </x:c>
      <x:c r="F1199" s="218" t="n">
        <x:v>0.9994791666666667</x:v>
      </x:c>
      <x:c r="G1199" s="217" t="n">
        <x:v>1195</x:v>
      </x:c>
      <x:c r="H1199" s="217" t="str">
        <x:f>IF(G1199&lt;='排名定義'!$B$5,"是","")</x:f>
        <x:v>是</x:v>
      </x:c>
      <x:c r="I1199" s="217" t="n">
        <x:v>1191</x:v>
      </x:c>
      <x:c r="J1199" s="217" t="str">
        <x:f>IF(I1199&lt;='排名定義'!$B$5,"是","")</x:f>
        <x:v>是</x:v>
      </x:c>
      <x:c r="K1199" s="217" t="n">
        <x:v>1238</x:v>
      </x:c>
      <x:c r="L1199" s="217" t="str">
        <x:f>IF(K1199&lt;='排名定義'!$B$5,"是","")</x:f>
        <x:v>是</x:v>
      </x:c>
      <x:c r="M1199" s="217" t="n">
        <x:f>COUNTIF(H1199:L1199,"是")</x:f>
        <x:v>3</x:v>
      </x:c>
      <x:c r="N1199" s="217" t="str">
        <x:v>三份皆未入選</x:v>
      </x:c>
      <x:c r="O1199" s="220" t="n">
        <x:v>25.85</x:v>
      </x:c>
      <x:c r="P1199" s="220" t="n">
        <x:v>23.066666666666666</x:v>
      </x:c>
      <x:c r="Q1199" s="220" t="n">
        <x:v>2.783333333333333</x:v>
      </x:c>
      <x:c r="R1199" s="220" t="n">
        <x:v>0.10767246937459704</x:v>
      </x:c>
      <x:c r="S1199" s="220" t="n">
        <x:v>36.12903225806452</x:v>
      </x:c>
      <x:c r="T1199" s="220" t="n">
        <x:v>33.03225806451613</x:v>
      </x:c>
      <x:c r="U1199" s="220" t="n">
        <x:v>3.096774193548387</x:v>
      </x:c>
      <x:c r="V1199" s="218" t="n">
        <x:v>0.02534562211981567</x:v>
      </x:c>
      <x:c r="W1199" s="217" t="n">
        <x:v>4</x:v>
      </x:c>
      <x:c r="X1199" s="222" t="n">
        <x:v>600</x:v>
      </x:c>
      <x:c r="Y1199" s="217" t="n">
        <x:v>20</x:v>
      </x:c>
    </x:row>
    <x:row r="1200">
      <x:c r="A1200" s="216" t="n">
        <x:v>844</x:v>
      </x:c>
      <x:c r="B1200" s="216" t="str">
        <x:v>貿商國宅</x:v>
      </x:c>
      <x:c r="C1200" s="216" t="str">
        <x:v>五股區</x:v>
      </x:c>
      <x:c r="D1200" s="216" t="n">
        <x:v>23</x:v>
      </x:c>
      <x:c r="E1200" s="216" t="n">
        <x:v>120</x:v>
      </x:c>
      <x:c r="F1200" s="219" t="n">
        <x:v>0.9994791666666667</x:v>
      </x:c>
      <x:c r="G1200" s="216" t="n">
        <x:v>1196</x:v>
      </x:c>
      <x:c r="H1200" s="216" t="str">
        <x:f>IF(G1200&lt;='排名定義'!$B$5,"是","")</x:f>
        <x:v>是</x:v>
      </x:c>
      <x:c r="I1200" s="216" t="n">
        <x:v>1208</x:v>
      </x:c>
      <x:c r="J1200" s="216" t="str">
        <x:f>IF(I1200&lt;='排名定義'!$B$5,"是","")</x:f>
        <x:v>是</x:v>
      </x:c>
      <x:c r="K1200" s="216" t="n">
        <x:v>986</x:v>
      </x:c>
      <x:c r="L1200" s="216" t="str">
        <x:f>IF(K1200&lt;='排名定義'!$B$5,"是","")</x:f>
        <x:v>是</x:v>
      </x:c>
      <x:c r="M1200" s="216" t="n">
        <x:f>COUNTIF(H1200:L1200,"是")</x:f>
        <x:v>3</x:v>
      </x:c>
      <x:c r="N1200" s="216" t="str">
        <x:v>三份皆未入選</x:v>
      </x:c>
      <x:c r="O1200" s="221" t="n">
        <x:v>25.825</x:v>
      </x:c>
      <x:c r="P1200" s="221" t="n">
        <x:v>22.35</x:v>
      </x:c>
      <x:c r="Q1200" s="221" t="n">
        <x:v>3.475</x:v>
      </x:c>
      <x:c r="R1200" s="221" t="n">
        <x:v>0.1345595353339787</x:v>
      </x:c>
      <x:c r="S1200" s="221" t="n">
        <x:v>42.225806451612904</x:v>
      </x:c>
      <x:c r="T1200" s="221" t="n">
        <x:v>38.96774193548387</x:v>
      </x:c>
      <x:c r="U1200" s="221" t="n">
        <x:v>3.2580645161290325</x:v>
      </x:c>
      <x:c r="V1200" s="219" t="n">
        <x:v>0.018433179723502304</x:v>
      </x:c>
      <x:c r="W1200" s="216" t="n">
        <x:v>5</x:v>
      </x:c>
      <x:c r="X1200" s="223" t="n">
        <x:v>630</x:v>
      </x:c>
      <x:c r="Y1200" s="216" t="n">
        <x:v>23</x:v>
      </x:c>
    </x:row>
    <x:row r="1201">
      <x:c r="A1201" s="217" t="n">
        <x:v>1164</x:v>
      </x:c>
      <x:c r="B1201" s="217" t="str">
        <x:v>塭仔圳十米園道(新莊歐洲村)</x:v>
      </x:c>
      <x:c r="C1201" s="217" t="str">
        <x:v>新莊區</x:v>
      </x:c>
      <x:c r="D1201" s="217" t="n">
        <x:v>35</x:v>
      </x:c>
      <x:c r="E1201" s="217" t="n">
        <x:v>120</x:v>
      </x:c>
      <x:c r="F1201" s="218" t="n">
        <x:v>0.9994791666666667</x:v>
      </x:c>
      <x:c r="G1201" s="217" t="n">
        <x:v>1197</x:v>
      </x:c>
      <x:c r="H1201" s="217" t="str">
        <x:f>IF(G1201&lt;='排名定義'!$B$5,"是","")</x:f>
        <x:v>是</x:v>
      </x:c>
      <x:c r="I1201" s="217" t="n">
        <x:v>1206</x:v>
      </x:c>
      <x:c r="J1201" s="217" t="str">
        <x:f>IF(I1201&lt;='排名定義'!$B$5,"是","")</x:f>
        <x:v>是</x:v>
      </x:c>
      <x:c r="K1201" s="217" t="n">
        <x:v>1055</x:v>
      </x:c>
      <x:c r="L1201" s="217" t="str">
        <x:f>IF(K1201&lt;='排名定義'!$B$5,"是","")</x:f>
        <x:v>是</x:v>
      </x:c>
      <x:c r="M1201" s="217" t="n">
        <x:f>COUNTIF(H1201:L1201,"是")</x:f>
        <x:v>3</x:v>
      </x:c>
      <x:c r="N1201" s="217" t="str">
        <x:v>三份皆未入選</x:v>
      </x:c>
      <x:c r="O1201" s="220" t="n">
        <x:v>25.8</x:v>
      </x:c>
      <x:c r="P1201" s="220" t="n">
        <x:v>22.466666666666665</x:v>
      </x:c>
      <x:c r="Q1201" s="220" t="n">
        <x:v>3.3333333333333335</x:v>
      </x:c>
      <x:c r="R1201" s="220" t="n">
        <x:v>0.12919896640826872</x:v>
      </x:c>
      <x:c r="S1201" s="220" t="n">
        <x:v>39.16129032258065</x:v>
      </x:c>
      <x:c r="T1201" s="220" t="n">
        <x:v>36.41935483870968</x:v>
      </x:c>
      <x:c r="U1201" s="220" t="n">
        <x:v>2.7419354838709675</x:v>
      </x:c>
      <x:c r="V1201" s="218" t="n">
        <x:v>0.055299539170506916</x:v>
      </x:c>
      <x:c r="W1201" s="217" t="n">
        <x:v>9</x:v>
      </x:c>
      <x:c r="X1201" s="222" t="n">
        <x:v>960</x:v>
      </x:c>
      <x:c r="Y1201" s="217" t="n">
        <x:v>35</x:v>
      </x:c>
    </x:row>
    <x:row r="1202">
      <x:c r="A1202" s="216" t="n">
        <x:v>1233</x:v>
      </x:c>
      <x:c r="B1202" s="216" t="str">
        <x:v>公五公園</x:v>
      </x:c>
      <x:c r="C1202" s="216" t="str">
        <x:v>五股區</x:v>
      </x:c>
      <x:c r="D1202" s="216" t="n">
        <x:v>39</x:v>
      </x:c>
      <x:c r="E1202" s="216" t="n">
        <x:v>120</x:v>
      </x:c>
      <x:c r="F1202" s="219" t="n">
        <x:v>0.9994791666666667</x:v>
      </x:c>
      <x:c r="G1202" s="216" t="n">
        <x:v>1198</x:v>
      </x:c>
      <x:c r="H1202" s="216" t="str">
        <x:f>IF(G1202&lt;='排名定義'!$B$5,"是","")</x:f>
        <x:v>是</x:v>
      </x:c>
      <x:c r="I1202" s="216" t="n">
        <x:v>1203</x:v>
      </x:c>
      <x:c r="J1202" s="216" t="str">
        <x:f>IF(I1202&lt;='排名定義'!$B$5,"是","")</x:f>
        <x:v>是</x:v>
      </x:c>
      <x:c r="K1202" s="216" t="n">
        <x:v>1122</x:v>
      </x:c>
      <x:c r="L1202" s="216" t="str">
        <x:f>IF(K1202&lt;='排名定義'!$B$5,"是","")</x:f>
        <x:v>是</x:v>
      </x:c>
      <x:c r="M1202" s="216" t="n">
        <x:f>COUNTIF(H1202:L1202,"是")</x:f>
        <x:v>3</x:v>
      </x:c>
      <x:c r="N1202" s="216" t="str">
        <x:v>三份皆未入選</x:v>
      </x:c>
      <x:c r="O1202" s="221" t="n">
        <x:v>25.8</x:v>
      </x:c>
      <x:c r="P1202" s="221" t="n">
        <x:v>22.666666666666668</x:v>
      </x:c>
      <x:c r="Q1202" s="221" t="n">
        <x:v>3.1333333333333333</x:v>
      </x:c>
      <x:c r="R1202" s="221" t="n">
        <x:v>0.12144702842377261</x:v>
      </x:c>
      <x:c r="S1202" s="221" t="n">
        <x:v>42.58064516129032</x:v>
      </x:c>
      <x:c r="T1202" s="221" t="n">
        <x:v>39.58064516129032</x:v>
      </x:c>
      <x:c r="U1202" s="221" t="n">
        <x:v>3</x:v>
      </x:c>
      <x:c r="V1202" s="219" t="n">
        <x:v>0.03225806451612903</x:v>
      </x:c>
      <x:c r="W1202" s="216" t="n">
        <x:v>5</x:v>
      </x:c>
      <x:c r="X1202" s="223" t="n">
        <x:v>840</x:v>
      </x:c>
      <x:c r="Y1202" s="216" t="n">
        <x:v>39</x:v>
      </x:c>
    </x:row>
    <x:row r="1203">
      <x:c r="A1203" s="217" t="n">
        <x:v>702</x:v>
      </x:c>
      <x:c r="B1203" s="217" t="str">
        <x:v>國中二甲路口</x:v>
      </x:c>
      <x:c r="C1203" s="217" t="str">
        <x:v>鶯歌區</x:v>
      </x:c>
      <x:c r="D1203" s="217" t="n">
        <x:v>20</x:v>
      </x:c>
      <x:c r="E1203" s="217" t="n">
        <x:v>120</x:v>
      </x:c>
      <x:c r="F1203" s="218" t="n">
        <x:v>0.9994791666666667</x:v>
      </x:c>
      <x:c r="G1203" s="217" t="n">
        <x:v>1199</x:v>
      </x:c>
      <x:c r="H1203" s="217" t="str">
        <x:f>IF(G1203&lt;='排名定義'!$B$5,"是","")</x:f>
        <x:v>是</x:v>
      </x:c>
      <x:c r="I1203" s="217" t="n">
        <x:v>1200</x:v>
      </x:c>
      <x:c r="J1203" s="217" t="str">
        <x:f>IF(I1203&lt;='排名定義'!$B$5,"是","")</x:f>
        <x:v>是</x:v>
      </x:c>
      <x:c r="K1203" s="217" t="n">
        <x:v>1147</x:v>
      </x:c>
      <x:c r="L1203" s="217" t="str">
        <x:f>IF(K1203&lt;='排名定義'!$B$5,"是","")</x:f>
        <x:v>是</x:v>
      </x:c>
      <x:c r="M1203" s="217" t="n">
        <x:f>COUNTIF(H1203:L1203,"是")</x:f>
        <x:v>3</x:v>
      </x:c>
      <x:c r="N1203" s="217" t="str">
        <x:v>三份皆未入選</x:v>
      </x:c>
      <x:c r="O1203" s="220" t="n">
        <x:v>25.791666666666668</x:v>
      </x:c>
      <x:c r="P1203" s="220" t="n">
        <x:v>22.716666666666665</x:v>
      </x:c>
      <x:c r="Q1203" s="220" t="n">
        <x:v>3.075</x:v>
      </x:c>
      <x:c r="R1203" s="220" t="n">
        <x:v>0.11922455573505654</x:v>
      </x:c>
      <x:c r="S1203" s="220" t="n">
        <x:v>45.516129032258064</x:v>
      </x:c>
      <x:c r="T1203" s="220" t="n">
        <x:v>41.70967741935484</x:v>
      </x:c>
      <x:c r="U1203" s="220" t="n">
        <x:v>3.806451612903226</x:v>
      </x:c>
      <x:c r="V1203" s="218" t="n">
        <x:v>0.06221198156682028</x:v>
      </x:c>
      <x:c r="W1203" s="217" t="n">
        <x:v>9</x:v>
      </x:c>
      <x:c r="X1203" s="222" t="n">
        <x:v>1020</x:v>
      </x:c>
      <x:c r="Y1203" s="217" t="n">
        <x:v>20</x:v>
      </x:c>
    </x:row>
    <x:row r="1204">
      <x:c r="A1204" s="216" t="n">
        <x:v>753</x:v>
      </x:c>
      <x:c r="B1204" s="216" t="str">
        <x:v>成泰路一段(中油)</x:v>
      </x:c>
      <x:c r="C1204" s="216" t="str">
        <x:v>五股區</x:v>
      </x:c>
      <x:c r="D1204" s="216" t="n">
        <x:v>20</x:v>
      </x:c>
      <x:c r="E1204" s="216" t="n">
        <x:v>120</x:v>
      </x:c>
      <x:c r="F1204" s="219" t="n">
        <x:v>0.9994791666666667</x:v>
      </x:c>
      <x:c r="G1204" s="216" t="n">
        <x:v>1200</x:v>
      </x:c>
      <x:c r="H1204" s="216" t="str">
        <x:f>IF(G1204&lt;='排名定義'!$B$5,"是","")</x:f>
        <x:v>是</x:v>
      </x:c>
      <x:c r="I1204" s="216" t="n">
        <x:v>1202</x:v>
      </x:c>
      <x:c r="J1204" s="216" t="str">
        <x:f>IF(I1204&lt;='排名定義'!$B$5,"是","")</x:f>
        <x:v>是</x:v>
      </x:c>
      <x:c r="K1204" s="216" t="n">
        <x:v>1149</x:v>
      </x:c>
      <x:c r="L1204" s="216" t="str">
        <x:f>IF(K1204&lt;='排名定義'!$B$5,"是","")</x:f>
        <x:v>是</x:v>
      </x:c>
      <x:c r="M1204" s="216" t="n">
        <x:f>COUNTIF(H1204:L1204,"是")</x:f>
        <x:v>3</x:v>
      </x:c>
      <x:c r="N1204" s="216" t="str">
        <x:v>三份皆未入選</x:v>
      </x:c>
      <x:c r="O1204" s="221" t="n">
        <x:v>25.733333333333334</x:v>
      </x:c>
      <x:c r="P1204" s="221" t="n">
        <x:v>22.666666666666668</x:v>
      </x:c>
      <x:c r="Q1204" s="221" t="n">
        <x:v>3.066666666666667</x:v>
      </x:c>
      <x:c r="R1204" s="221" t="n">
        <x:v>0.11917098445595854</x:v>
      </x:c>
      <x:c r="S1204" s="221" t="n">
        <x:v>37.903225806451616</x:v>
      </x:c>
      <x:c r="T1204" s="221" t="n">
        <x:v>34.935483870967744</x:v>
      </x:c>
      <x:c r="U1204" s="221" t="n">
        <x:v>2.967741935483871</x:v>
      </x:c>
      <x:c r="V1204" s="219" t="n">
        <x:v>0.018433179723502304</x:v>
      </x:c>
      <x:c r="W1204" s="216" t="n">
        <x:v>4</x:v>
      </x:c>
      <x:c r="X1204" s="223" t="n">
        <x:v>420</x:v>
      </x:c>
      <x:c r="Y1204" s="216" t="n">
        <x:v>20</x:v>
      </x:c>
    </x:row>
    <x:row r="1205">
      <x:c r="A1205" s="217" t="n">
        <x:v>434</x:v>
      </x:c>
      <x:c r="B1205" s="217" t="str">
        <x:v>濱海路二段/濱海路二段202巷</x:v>
      </x:c>
      <x:c r="C1205" s="217" t="str">
        <x:v>淡水區</x:v>
      </x:c>
      <x:c r="D1205" s="217" t="n">
        <x:v>15</x:v>
      </x:c>
      <x:c r="E1205" s="217" t="n">
        <x:v>120</x:v>
      </x:c>
      <x:c r="F1205" s="218" t="n">
        <x:v>0.9994791666666667</x:v>
      </x:c>
      <x:c r="G1205" s="217" t="n">
        <x:v>1201</x:v>
      </x:c>
      <x:c r="H1205" s="217" t="str">
        <x:f>IF(G1205&lt;='排名定義'!$B$5,"是","")</x:f>
        <x:v>是</x:v>
      </x:c>
      <x:c r="I1205" s="217" t="n">
        <x:v>1210</x:v>
      </x:c>
      <x:c r="J1205" s="217" t="str">
        <x:f>IF(I1205&lt;='排名定義'!$B$5,"是","")</x:f>
        <x:v>是</x:v>
      </x:c>
      <x:c r="K1205" s="217" t="n">
        <x:v>1037</x:v>
      </x:c>
      <x:c r="L1205" s="217" t="str">
        <x:f>IF(K1205&lt;='排名定義'!$B$5,"是","")</x:f>
        <x:v>是</x:v>
      </x:c>
      <x:c r="M1205" s="217" t="n">
        <x:f>COUNTIF(H1205:L1205,"是")</x:f>
        <x:v>3</x:v>
      </x:c>
      <x:c r="N1205" s="217" t="str">
        <x:v>三份皆未入選</x:v>
      </x:c>
      <x:c r="O1205" s="220" t="n">
        <x:v>25.6</x:v>
      </x:c>
      <x:c r="P1205" s="220" t="n">
        <x:v>22.241666666666667</x:v>
      </x:c>
      <x:c r="Q1205" s="220" t="n">
        <x:v>3.3583333333333334</x:v>
      </x:c>
      <x:c r="R1205" s="220" t="n">
        <x:v>0.13118489583333334</x:v>
      </x:c>
      <x:c r="S1205" s="220" t="n">
        <x:v>36.12903225806452</x:v>
      </x:c>
      <x:c r="T1205" s="220" t="n">
        <x:v>33.225806451612904</x:v>
      </x:c>
      <x:c r="U1205" s="220" t="n">
        <x:v>2.903225806451613</x:v>
      </x:c>
      <x:c r="V1205" s="218" t="n">
        <x:v>0.12672811059907835</x:v>
      </x:c>
      <x:c r="W1205" s="217" t="n">
        <x:v>26</x:v>
      </x:c>
      <x:c r="X1205" s="222" t="n">
        <x:v>4140</x:v>
      </x:c>
      <x:c r="Y1205" s="217" t="n">
        <x:v>15</x:v>
      </x:c>
    </x:row>
    <x:row r="1206">
      <x:c r="A1206" s="216" t="n">
        <x:v>973</x:v>
      </x:c>
      <x:c r="B1206" s="216" t="str">
        <x:v>八里中庄市場綜合大樓</x:v>
      </x:c>
      <x:c r="C1206" s="216" t="str">
        <x:v>八里區</x:v>
      </x:c>
      <x:c r="D1206" s="216" t="n">
        <x:v>28</x:v>
      </x:c>
      <x:c r="E1206" s="216" t="n">
        <x:v>120</x:v>
      </x:c>
      <x:c r="F1206" s="219" t="n">
        <x:v>0.9994791666666667</x:v>
      </x:c>
      <x:c r="G1206" s="216" t="n">
        <x:v>1202</x:v>
      </x:c>
      <x:c r="H1206" s="216" t="str">
        <x:f>IF(G1206&lt;='排名定義'!$B$5,"是","")</x:f>
        <x:v>是</x:v>
      </x:c>
      <x:c r="I1206" s="216" t="n">
        <x:v>1204</x:v>
      </x:c>
      <x:c r="J1206" s="216" t="str">
        <x:f>IF(I1206&lt;='排名定義'!$B$5,"是","")</x:f>
        <x:v>是</x:v>
      </x:c>
      <x:c r="K1206" s="216" t="n">
        <x:v>1138</x:v>
      </x:c>
      <x:c r="L1206" s="216" t="str">
        <x:f>IF(K1206&lt;='排名定義'!$B$5,"是","")</x:f>
        <x:v>是</x:v>
      </x:c>
      <x:c r="M1206" s="216" t="n">
        <x:f>COUNTIF(H1206:L1206,"是")</x:f>
        <x:v>3</x:v>
      </x:c>
      <x:c r="N1206" s="216" t="str">
        <x:v>三份皆未入選</x:v>
      </x:c>
      <x:c r="O1206" s="221" t="n">
        <x:v>25.6</x:v>
      </x:c>
      <x:c r="P1206" s="221" t="n">
        <x:v>22.5</x:v>
      </x:c>
      <x:c r="Q1206" s="221" t="n">
        <x:v>3.1</x:v>
      </x:c>
      <x:c r="R1206" s="221" t="n">
        <x:v>0.12109375</x:v>
      </x:c>
      <x:c r="S1206" s="221" t="n">
        <x:v>54.54838709677419</x:v>
      </x:c>
      <x:c r="T1206" s="221" t="n">
        <x:v>49.54838709677419</x:v>
      </x:c>
      <x:c r="U1206" s="221" t="n">
        <x:v>5</x:v>
      </x:c>
      <x:c r="V1206" s="219" t="n">
        <x:v>0.06682027649769585</x:v>
      </x:c>
      <x:c r="W1206" s="216" t="n">
        <x:v>15</x:v>
      </x:c>
      <x:c r="X1206" s="223" t="n">
        <x:v>1980</x:v>
      </x:c>
      <x:c r="Y1206" s="216" t="n">
        <x:v>28</x:v>
      </x:c>
    </x:row>
    <x:row r="1207">
      <x:c r="A1207" s="217" t="n">
        <x:v>292</x:v>
      </x:c>
      <x:c r="B1207" s="217" t="str">
        <x:v>佳園大成路口</x:v>
      </x:c>
      <x:c r="C1207" s="217" t="str">
        <x:v>樹林區</x:v>
      </x:c>
      <x:c r="D1207" s="217" t="n">
        <x:v>14</x:v>
      </x:c>
      <x:c r="E1207" s="217" t="n">
        <x:v>120</x:v>
      </x:c>
      <x:c r="F1207" s="218" t="n">
        <x:v>0.9994791666666667</x:v>
      </x:c>
      <x:c r="G1207" s="217" t="n">
        <x:v>1203</x:v>
      </x:c>
      <x:c r="H1207" s="217" t="str">
        <x:f>IF(G1207&lt;='排名定義'!$B$5,"是","")</x:f>
        <x:v>是</x:v>
      </x:c>
      <x:c r="I1207" s="217" t="n">
        <x:v>1188</x:v>
      </x:c>
      <x:c r="J1207" s="217" t="str">
        <x:f>IF(I1207&lt;='排名定義'!$B$5,"是","")</x:f>
        <x:v>是</x:v>
      </x:c>
      <x:c r="K1207" s="217" t="n">
        <x:v>1311</x:v>
      </x:c>
      <x:c r="L1207" s="217" t="str">
        <x:f>IF(K1207&lt;='排名定義'!$B$5,"是","")</x:f>
        <x:v>是</x:v>
      </x:c>
      <x:c r="M1207" s="217" t="n">
        <x:f>COUNTIF(H1207:L1207,"是")</x:f>
        <x:v>3</x:v>
      </x:c>
      <x:c r="N1207" s="217" t="str">
        <x:v>三份皆未入選</x:v>
      </x:c>
      <x:c r="O1207" s="220" t="n">
        <x:v>25.533333333333335</x:v>
      </x:c>
      <x:c r="P1207" s="220" t="n">
        <x:v>23.108333333333334</x:v>
      </x:c>
      <x:c r="Q1207" s="220" t="n">
        <x:v>2.425</x:v>
      </x:c>
      <x:c r="R1207" s="220" t="n">
        <x:v>0.09497389033942559</x:v>
      </x:c>
      <x:c r="S1207" s="220" t="n">
        <x:v>47.225806451612904</x:v>
      </x:c>
      <x:c r="T1207" s="220" t="n">
        <x:v>44.29032258064516</x:v>
      </x:c>
      <x:c r="U1207" s="220" t="n">
        <x:v>2.935483870967742</x:v>
      </x:c>
      <x:c r="V1207" s="218" t="n">
        <x:v>0.020737327188940093</x:v>
      </x:c>
      <x:c r="W1207" s="217" t="n">
        <x:v>4</x:v>
      </x:c>
      <x:c r="X1207" s="222" t="n">
        <x:v>690</x:v>
      </x:c>
      <x:c r="Y1207" s="217" t="n">
        <x:v>14</x:v>
      </x:c>
    </x:row>
    <x:row r="1208">
      <x:c r="A1208" s="216" t="n">
        <x:v>1019</x:v>
      </x:c>
      <x:c r="B1208" s="216" t="str">
        <x:v>五股戶政事務所</x:v>
      </x:c>
      <x:c r="C1208" s="216" t="str">
        <x:v>五股區</x:v>
      </x:c>
      <x:c r="D1208" s="216" t="n">
        <x:v>30</x:v>
      </x:c>
      <x:c r="E1208" s="216" t="n">
        <x:v>120</x:v>
      </x:c>
      <x:c r="F1208" s="219" t="n">
        <x:v>0.9994791666666667</x:v>
      </x:c>
      <x:c r="G1208" s="216" t="n">
        <x:v>1204</x:v>
      </x:c>
      <x:c r="H1208" s="216" t="str">
        <x:f>IF(G1208&lt;='排名定義'!$B$5,"是","")</x:f>
        <x:v>是</x:v>
      </x:c>
      <x:c r="I1208" s="216" t="n">
        <x:v>1190</x:v>
      </x:c>
      <x:c r="J1208" s="216" t="str">
        <x:f>IF(I1208&lt;='排名定義'!$B$5,"是","")</x:f>
        <x:v>是</x:v>
      </x:c>
      <x:c r="K1208" s="216" t="n">
        <x:v>1326</x:v>
      </x:c>
      <x:c r="L1208" s="216" t="str">
        <x:f>IF(K1208&lt;='排名定義'!$B$5,"是","")</x:f>
        <x:v>是</x:v>
      </x:c>
      <x:c r="M1208" s="216" t="n">
        <x:f>COUNTIF(H1208:L1208,"是")</x:f>
        <x:v>3</x:v>
      </x:c>
      <x:c r="N1208" s="216" t="str">
        <x:v>三份皆未入選</x:v>
      </x:c>
      <x:c r="O1208" s="221" t="n">
        <x:v>25.441666666666666</x:v>
      </x:c>
      <x:c r="P1208" s="221" t="n">
        <x:v>23.083333333333332</x:v>
      </x:c>
      <x:c r="Q1208" s="221" t="n">
        <x:v>2.3583333333333334</x:v>
      </x:c>
      <x:c r="R1208" s="221" t="n">
        <x:v>0.09269570913855224</x:v>
      </x:c>
      <x:c r="S1208" s="221" t="n">
        <x:v>43.16129032258065</x:v>
      </x:c>
      <x:c r="T1208" s="221" t="n">
        <x:v>39.516129032258064</x:v>
      </x:c>
      <x:c r="U1208" s="221" t="n">
        <x:v>3.6451612903225805</x:v>
      </x:c>
      <x:c r="V1208" s="219" t="n">
        <x:v>0.03686635944700461</x:v>
      </x:c>
      <x:c r="W1208" s="216" t="n">
        <x:v>5</x:v>
      </x:c>
      <x:c r="X1208" s="223" t="n">
        <x:v>720</x:v>
      </x:c>
      <x:c r="Y1208" s="216" t="n">
        <x:v>30</x:v>
      </x:c>
    </x:row>
    <x:row r="1209">
      <x:c r="A1209" s="217" t="n">
        <x:v>707</x:v>
      </x:c>
      <x:c r="B1209" s="217" t="str">
        <x:v>御史路1巷</x:v>
      </x:c>
      <x:c r="C1209" s="217" t="str">
        <x:v>五股區</x:v>
      </x:c>
      <x:c r="D1209" s="217" t="n">
        <x:v>20</x:v>
      </x:c>
      <x:c r="E1209" s="217" t="n">
        <x:v>120</x:v>
      </x:c>
      <x:c r="F1209" s="218" t="n">
        <x:v>0.9994791666666667</x:v>
      </x:c>
      <x:c r="G1209" s="217" t="n">
        <x:v>1205</x:v>
      </x:c>
      <x:c r="H1209" s="217" t="str">
        <x:f>IF(G1209&lt;='排名定義'!$B$5,"是","")</x:f>
        <x:v>是</x:v>
      </x:c>
      <x:c r="I1209" s="217" t="n">
        <x:v>1197</x:v>
      </x:c>
      <x:c r="J1209" s="217" t="str">
        <x:f>IF(I1209&lt;='排名定義'!$B$5,"是","")</x:f>
        <x:v>是</x:v>
      </x:c>
      <x:c r="K1209" s="217" t="n">
        <x:v>1305</x:v>
      </x:c>
      <x:c r="L1209" s="217" t="str">
        <x:f>IF(K1209&lt;='排名定義'!$B$5,"是","")</x:f>
        <x:v>是</x:v>
      </x:c>
      <x:c r="M1209" s="217" t="n">
        <x:f>COUNTIF(H1209:L1209,"是")</x:f>
        <x:v>3</x:v>
      </x:c>
      <x:c r="N1209" s="217" t="str">
        <x:v>三份皆未入選</x:v>
      </x:c>
      <x:c r="O1209" s="220" t="n">
        <x:v>25.366666666666667</x:v>
      </x:c>
      <x:c r="P1209" s="220" t="n">
        <x:v>22.916666666666668</x:v>
      </x:c>
      <x:c r="Q1209" s="220" t="n">
        <x:v>2.45</x:v>
      </x:c>
      <x:c r="R1209" s="220" t="n">
        <x:v>0.09658344283837056</x:v>
      </x:c>
      <x:c r="S1209" s="220" t="n">
        <x:v>46.58064516129032</x:v>
      </x:c>
      <x:c r="T1209" s="220" t="n">
        <x:v>43.03225806451613</x:v>
      </x:c>
      <x:c r="U1209" s="220" t="n">
        <x:v>3.5483870967741935</x:v>
      </x:c>
      <x:c r="V1209" s="218" t="n">
        <x:v>0.02534562211981567</x:v>
      </x:c>
      <x:c r="W1209" s="217" t="n">
        <x:v>10</x:v>
      </x:c>
      <x:c r="X1209" s="222" t="n">
        <x:v>1140</x:v>
      </x:c>
      <x:c r="Y1209" s="217" t="n">
        <x:v>20</x:v>
      </x:c>
    </x:row>
    <x:row r="1210">
      <x:c r="A1210" s="216" t="n">
        <x:v>789</x:v>
      </x:c>
      <x:c r="B1210" s="216" t="str">
        <x:v>陽光Park社區</x:v>
      </x:c>
      <x:c r="C1210" s="216" t="str">
        <x:v>新店區</x:v>
      </x:c>
      <x:c r="D1210" s="216" t="n">
        <x:v>21</x:v>
      </x:c>
      <x:c r="E1210" s="216" t="n">
        <x:v>120</x:v>
      </x:c>
      <x:c r="F1210" s="219" t="n">
        <x:v>0.9994791666666667</x:v>
      </x:c>
      <x:c r="G1210" s="216" t="n">
        <x:v>1206</x:v>
      </x:c>
      <x:c r="H1210" s="216" t="str">
        <x:f>IF(G1210&lt;='排名定義'!$B$5,"是","")</x:f>
        <x:v>是</x:v>
      </x:c>
      <x:c r="I1210" s="216" t="n">
        <x:v>1205</x:v>
      </x:c>
      <x:c r="J1210" s="216" t="str">
        <x:f>IF(I1210&lt;='排名定義'!$B$5,"是","")</x:f>
        <x:v>是</x:v>
      </x:c>
      <x:c r="K1210" s="216" t="n">
        <x:v>1211</x:v>
      </x:c>
      <x:c r="L1210" s="216" t="str">
        <x:f>IF(K1210&lt;='排名定義'!$B$5,"是","")</x:f>
        <x:v>是</x:v>
      </x:c>
      <x:c r="M1210" s="216" t="n">
        <x:f>COUNTIF(H1210:L1210,"是")</x:f>
        <x:v>3</x:v>
      </x:c>
      <x:c r="N1210" s="216" t="str">
        <x:v>三份皆未入選</x:v>
      </x:c>
      <x:c r="O1210" s="221" t="n">
        <x:v>25.366666666666667</x:v>
      </x:c>
      <x:c r="P1210" s="221" t="n">
        <x:v>22.491666666666667</x:v>
      </x:c>
      <x:c r="Q1210" s="221" t="n">
        <x:v>2.875</x:v>
      </x:c>
      <x:c r="R1210" s="221" t="n">
        <x:v>0.1133377135348226</x:v>
      </x:c>
      <x:c r="S1210" s="221" t="n">
        <x:v>41.38709677419355</x:v>
      </x:c>
      <x:c r="T1210" s="221" t="n">
        <x:v>38.41935483870968</x:v>
      </x:c>
      <x:c r="U1210" s="221" t="n">
        <x:v>2.967741935483871</x:v>
      </x:c>
      <x:c r="V1210" s="219" t="n">
        <x:v>0.0069124423963133645</x:v>
      </x:c>
      <x:c r="W1210" s="216" t="n">
        <x:v>3</x:v>
      </x:c>
      <x:c r="X1210" s="223" t="n">
        <x:v>300</x:v>
      </x:c>
      <x:c r="Y1210" s="216" t="n">
        <x:v>21</x:v>
      </x:c>
    </x:row>
    <x:row r="1211">
      <x:c r="A1211" s="217" t="n">
        <x:v>977</x:v>
      </x:c>
      <x:c r="B1211" s="217" t="str">
        <x:v>環河福德南路口</x:v>
      </x:c>
      <x:c r="C1211" s="217" t="str">
        <x:v>三重區</x:v>
      </x:c>
      <x:c r="D1211" s="217" t="n">
        <x:v>28</x:v>
      </x:c>
      <x:c r="E1211" s="217" t="n">
        <x:v>120</x:v>
      </x:c>
      <x:c r="F1211" s="218" t="n">
        <x:v>0.9994791666666667</x:v>
      </x:c>
      <x:c r="G1211" s="217" t="n">
        <x:v>1207</x:v>
      </x:c>
      <x:c r="H1211" s="217" t="str">
        <x:f>IF(G1211&lt;='排名定義'!$B$5,"是","")</x:f>
        <x:v>是</x:v>
      </x:c>
      <x:c r="I1211" s="217" t="n">
        <x:v>1217</x:v>
      </x:c>
      <x:c r="J1211" s="217" t="str">
        <x:f>IF(I1211&lt;='排名定義'!$B$5,"是","")</x:f>
        <x:v>是</x:v>
      </x:c>
      <x:c r="K1211" s="217" t="n">
        <x:v>978</x:v>
      </x:c>
      <x:c r="L1211" s="217" t="str">
        <x:f>IF(K1211&lt;='排名定義'!$B$5,"是","")</x:f>
        <x:v>是</x:v>
      </x:c>
      <x:c r="M1211" s="217" t="n">
        <x:f>COUNTIF(H1211:L1211,"是")</x:f>
        <x:v>3</x:v>
      </x:c>
      <x:c r="N1211" s="217" t="str">
        <x:v>三份皆未入選</x:v>
      </x:c>
      <x:c r="O1211" s="220" t="n">
        <x:v>25.35</x:v>
      </x:c>
      <x:c r="P1211" s="220" t="n">
        <x:v>21.858333333333334</x:v>
      </x:c>
      <x:c r="Q1211" s="220" t="n">
        <x:v>3.4916666666666667</x:v>
      </x:c>
      <x:c r="R1211" s="220" t="n">
        <x:v>0.13773833004602234</x:v>
      </x:c>
      <x:c r="S1211" s="220" t="n">
        <x:v>40.38709677419355</x:v>
      </x:c>
      <x:c r="T1211" s="220" t="n">
        <x:v>36.70967741935484</x:v>
      </x:c>
      <x:c r="U1211" s="220" t="n">
        <x:v>3.6774193548387095</x:v>
      </x:c>
      <x:c r="V1211" s="218" t="n">
        <x:v>0.06221198156682028</x:v>
      </x:c>
      <x:c r="W1211" s="217" t="n">
        <x:v>10</x:v>
      </x:c>
      <x:c r="X1211" s="222" t="n">
        <x:v>1290</x:v>
      </x:c>
      <x:c r="Y1211" s="217" t="n">
        <x:v>28</x:v>
      </x:c>
    </x:row>
    <x:row r="1212">
      <x:c r="A1212" s="216" t="n">
        <x:v>1052</x:v>
      </x:c>
      <x:c r="B1212" s="216" t="str">
        <x:v>化成公園</x:v>
      </x:c>
      <x:c r="C1212" s="216" t="str">
        <x:v>新莊區</x:v>
      </x:c>
      <x:c r="D1212" s="216" t="n">
        <x:v>30</x:v>
      </x:c>
      <x:c r="E1212" s="216" t="n">
        <x:v>120</x:v>
      </x:c>
      <x:c r="F1212" s="219" t="n">
        <x:v>0.9994791666666667</x:v>
      </x:c>
      <x:c r="G1212" s="216" t="n">
        <x:v>1208</x:v>
      </x:c>
      <x:c r="H1212" s="216" t="str">
        <x:f>IF(G1212&lt;='排名定義'!$B$5,"是","")</x:f>
        <x:v>是</x:v>
      </x:c>
      <x:c r="I1212" s="216" t="n">
        <x:v>1198</x:v>
      </x:c>
      <x:c r="J1212" s="216" t="str">
        <x:f>IF(I1212&lt;='排名定義'!$B$5,"是","")</x:f>
        <x:v>是</x:v>
      </x:c>
      <x:c r="K1212" s="216" t="n">
        <x:v>1297</x:v>
      </x:c>
      <x:c r="L1212" s="216" t="str">
        <x:f>IF(K1212&lt;='排名定義'!$B$5,"是","")</x:f>
        <x:v>是</x:v>
      </x:c>
      <x:c r="M1212" s="216" t="n">
        <x:f>COUNTIF(H1212:L1212,"是")</x:f>
        <x:v>3</x:v>
      </x:c>
      <x:c r="N1212" s="216" t="str">
        <x:v>三份皆未入選</x:v>
      </x:c>
      <x:c r="O1212" s="221" t="n">
        <x:v>25.308333333333334</x:v>
      </x:c>
      <x:c r="P1212" s="221" t="n">
        <x:v>22.833333333333332</x:v>
      </x:c>
      <x:c r="Q1212" s="221" t="n">
        <x:v>2.475</x:v>
      </x:c>
      <x:c r="R1212" s="221" t="n">
        <x:v>0.0977938755350675</x:v>
      </x:c>
      <x:c r="S1212" s="221" t="n">
        <x:v>42.87096774193548</x:v>
      </x:c>
      <x:c r="T1212" s="221" t="n">
        <x:v>39.903225806451616</x:v>
      </x:c>
      <x:c r="U1212" s="221" t="n">
        <x:v>2.967741935483871</x:v>
      </x:c>
      <x:c r="V1212" s="219" t="n">
        <x:v>0.03917050691244239</x:v>
      </x:c>
      <x:c r="W1212" s="216" t="n">
        <x:v>8</x:v>
      </x:c>
      <x:c r="X1212" s="223" t="n">
        <x:v>2040</x:v>
      </x:c>
      <x:c r="Y1212" s="216" t="n">
        <x:v>30</x:v>
      </x:c>
    </x:row>
    <x:row r="1213">
      <x:c r="A1213" s="217" t="n">
        <x:v>386</x:v>
      </x:c>
      <x:c r="B1213" s="217" t="str">
        <x:v>福祿1號公園</x:v>
      </x:c>
      <x:c r="C1213" s="217" t="str">
        <x:v>新莊區</x:v>
      </x:c>
      <x:c r="D1213" s="217" t="n">
        <x:v>15</x:v>
      </x:c>
      <x:c r="E1213" s="217" t="n">
        <x:v>120</x:v>
      </x:c>
      <x:c r="F1213" s="218" t="n">
        <x:v>0.9994791666666667</x:v>
      </x:c>
      <x:c r="G1213" s="217" t="n">
        <x:v>1209</x:v>
      </x:c>
      <x:c r="H1213" s="217" t="str">
        <x:f>IF(G1213&lt;='排名定義'!$B$5,"是","")</x:f>
        <x:v>是</x:v>
      </x:c>
      <x:c r="I1213" s="217" t="n">
        <x:v>1195</x:v>
      </x:c>
      <x:c r="J1213" s="217" t="str">
        <x:f>IF(I1213&lt;='排名定義'!$B$5,"是","")</x:f>
        <x:v>是</x:v>
      </x:c>
      <x:c r="K1213" s="217" t="n">
        <x:v>1333</x:v>
      </x:c>
      <x:c r="L1213" s="217" t="str">
        <x:f>IF(K1213&lt;='排名定義'!$B$5,"是","")</x:f>
        <x:v>是</x:v>
      </x:c>
      <x:c r="M1213" s="217" t="n">
        <x:f>COUNTIF(H1213:L1213,"是")</x:f>
        <x:v>3</x:v>
      </x:c>
      <x:c r="N1213" s="217" t="str">
        <x:v>三份皆未入選</x:v>
      </x:c>
      <x:c r="O1213" s="220" t="n">
        <x:v>25.291666666666668</x:v>
      </x:c>
      <x:c r="P1213" s="220" t="n">
        <x:v>22.991666666666667</x:v>
      </x:c>
      <x:c r="Q1213" s="220" t="n">
        <x:v>2.3</x:v>
      </x:c>
      <x:c r="R1213" s="220" t="n">
        <x:v>0.09093904448105436</x:v>
      </x:c>
      <x:c r="S1213" s="220" t="n">
        <x:v>39.064516129032256</x:v>
      </x:c>
      <x:c r="T1213" s="220" t="n">
        <x:v>36.225806451612904</x:v>
      </x:c>
      <x:c r="U1213" s="220" t="n">
        <x:v>2.838709677419355</x:v>
      </x:c>
      <x:c r="V1213" s="218" t="n">
        <x:v>0.052995391705069124</x:v>
      </x:c>
      <x:c r="W1213" s="217" t="n">
        <x:v>13</x:v>
      </x:c>
      <x:c r="X1213" s="222" t="n">
        <x:v>1500</x:v>
      </x:c>
      <x:c r="Y1213" s="217" t="n">
        <x:v>15</x:v>
      </x:c>
    </x:row>
    <x:row r="1214">
      <x:c r="A1214" s="216" t="n">
        <x:v>550</x:v>
      </x:c>
      <x:c r="B1214" s="216" t="str">
        <x:v>集賢三信路口(南側)</x:v>
      </x:c>
      <x:c r="C1214" s="216" t="str">
        <x:v>三重區</x:v>
      </x:c>
      <x:c r="D1214" s="216" t="n">
        <x:v>17</x:v>
      </x:c>
      <x:c r="E1214" s="216" t="n">
        <x:v>120</x:v>
      </x:c>
      <x:c r="F1214" s="219" t="n">
        <x:v>0.9994791666666667</x:v>
      </x:c>
      <x:c r="G1214" s="216" t="n">
        <x:v>1210</x:v>
      </x:c>
      <x:c r="H1214" s="216" t="str">
        <x:f>IF(G1214&lt;='排名定義'!$B$5,"是","")</x:f>
        <x:v>是</x:v>
      </x:c>
      <x:c r="I1214" s="216" t="n">
        <x:v>1207</x:v>
      </x:c>
      <x:c r="J1214" s="216" t="str">
        <x:f>IF(I1214&lt;='排名定義'!$B$5,"是","")</x:f>
        <x:v>是</x:v>
      </x:c>
      <x:c r="K1214" s="216" t="n">
        <x:v>1220</x:v>
      </x:c>
      <x:c r="L1214" s="216" t="str">
        <x:f>IF(K1214&lt;='排名定義'!$B$5,"是","")</x:f>
        <x:v>是</x:v>
      </x:c>
      <x:c r="M1214" s="216" t="n">
        <x:f>COUNTIF(H1214:L1214,"是")</x:f>
        <x:v>3</x:v>
      </x:c>
      <x:c r="N1214" s="216" t="str">
        <x:v>三份皆未入選</x:v>
      </x:c>
      <x:c r="O1214" s="221" t="n">
        <x:v>25.266666666666666</x:v>
      </x:c>
      <x:c r="P1214" s="221" t="n">
        <x:v>22.425</x:v>
      </x:c>
      <x:c r="Q1214" s="221" t="n">
        <x:v>2.841666666666667</x:v>
      </x:c>
      <x:c r="R1214" s="221" t="n">
        <x:v>0.112467018469657</x:v>
      </x:c>
      <x:c r="S1214" s="221" t="n">
        <x:v>37</x:v>
      </x:c>
      <x:c r="T1214" s="221" t="n">
        <x:v>34.54838709677419</x:v>
      </x:c>
      <x:c r="U1214" s="221" t="n">
        <x:v>2.4516129032258065</x:v>
      </x:c>
      <x:c r="V1214" s="219" t="n">
        <x:v>0.11059907834101383</x:v>
      </x:c>
      <x:c r="W1214" s="216" t="n">
        <x:v>23</x:v>
      </x:c>
      <x:c r="X1214" s="223" t="n">
        <x:v>3030</x:v>
      </x:c>
      <x:c r="Y1214" s="216" t="n">
        <x:v>17</x:v>
      </x:c>
    </x:row>
    <x:row r="1215">
      <x:c r="A1215" s="217" t="n">
        <x:v>1292</x:v>
      </x:c>
      <x:c r="B1215" s="217" t="str">
        <x:v>中正新月二街口(青翠社區)</x:v>
      </x:c>
      <x:c r="C1215" s="217" t="str">
        <x:v>板橋區</x:v>
      </x:c>
      <x:c r="D1215" s="217" t="n">
        <x:v>40</x:v>
      </x:c>
      <x:c r="E1215" s="217" t="n">
        <x:v>120</x:v>
      </x:c>
      <x:c r="F1215" s="218" t="n">
        <x:v>0.9994791666666667</x:v>
      </x:c>
      <x:c r="G1215" s="217" t="n">
        <x:v>1211</x:v>
      </x:c>
      <x:c r="H1215" s="217" t="str">
        <x:f>IF(G1215&lt;='排名定義'!$B$5,"是","")</x:f>
        <x:v>是</x:v>
      </x:c>
      <x:c r="I1215" s="217" t="n">
        <x:v>1213</x:v>
      </x:c>
      <x:c r="J1215" s="217" t="str">
        <x:f>IF(I1215&lt;='排名定義'!$B$5,"是","")</x:f>
        <x:v>是</x:v>
      </x:c>
      <x:c r="K1215" s="217" t="n">
        <x:v>1158</x:v>
      </x:c>
      <x:c r="L1215" s="217" t="str">
        <x:f>IF(K1215&lt;='排名定義'!$B$5,"是","")</x:f>
        <x:v>是</x:v>
      </x:c>
      <x:c r="M1215" s="217" t="n">
        <x:f>COUNTIF(H1215:L1215,"是")</x:f>
        <x:v>3</x:v>
      </x:c>
      <x:c r="N1215" s="217" t="str">
        <x:v>三份皆未入選</x:v>
      </x:c>
      <x:c r="O1215" s="220" t="n">
        <x:v>25.183333333333334</x:v>
      </x:c>
      <x:c r="P1215" s="220" t="n">
        <x:v>22.141666666666666</x:v>
      </x:c>
      <x:c r="Q1215" s="220" t="n">
        <x:v>3.0416666666666665</x:v>
      </x:c>
      <x:c r="R1215" s="220" t="n">
        <x:v>0.12078093977498346</x:v>
      </x:c>
      <x:c r="S1215" s="220" t="n">
        <x:v>36.74193548387097</x:v>
      </x:c>
      <x:c r="T1215" s="220" t="n">
        <x:v>33.16129032258065</x:v>
      </x:c>
      <x:c r="U1215" s="220" t="n">
        <x:v>3.5806451612903225</x:v>
      </x:c>
      <x:c r="V1215" s="218" t="n">
        <x:v>0.02304147465437788</x:v>
      </x:c>
      <x:c r="W1215" s="217" t="n">
        <x:v>3</x:v>
      </x:c>
      <x:c r="X1215" s="222" t="n">
        <x:v>420</x:v>
      </x:c>
      <x:c r="Y1215" s="217" t="n">
        <x:v>40</x:v>
      </x:c>
    </x:row>
    <x:row r="1216">
      <x:c r="A1216" s="216" t="n">
        <x:v>250</x:v>
      </x:c>
      <x:c r="B1216" s="216" t="str">
        <x:v>安民街35巷口</x:v>
      </x:c>
      <x:c r="C1216" s="216" t="str">
        <x:v>新店區</x:v>
      </x:c>
      <x:c r="D1216" s="216" t="n">
        <x:v>13</x:v>
      </x:c>
      <x:c r="E1216" s="216" t="n">
        <x:v>120</x:v>
      </x:c>
      <x:c r="F1216" s="219" t="n">
        <x:v>0.9994791666666667</x:v>
      </x:c>
      <x:c r="G1216" s="216" t="n">
        <x:v>1212</x:v>
      </x:c>
      <x:c r="H1216" s="216" t="str">
        <x:f>IF(G1216&lt;='排名定義'!$B$5,"是","")</x:f>
        <x:v>是</x:v>
      </x:c>
      <x:c r="I1216" s="216" t="n">
        <x:v>1187</x:v>
      </x:c>
      <x:c r="J1216" s="216" t="str">
        <x:f>IF(I1216&lt;='排名定義'!$B$5,"是","")</x:f>
        <x:v>是</x:v>
      </x:c>
      <x:c r="K1216" s="216" t="n">
        <x:v>1368</x:v>
      </x:c>
      <x:c r="L1216" s="216" t="str">
        <x:f>IF(K1216&lt;='排名定義'!$B$5,"是","")</x:f>
        <x:v>是</x:v>
      </x:c>
      <x:c r="M1216" s="216" t="n">
        <x:f>COUNTIF(H1216:L1216,"是")</x:f>
        <x:v>3</x:v>
      </x:c>
      <x:c r="N1216" s="216" t="str">
        <x:v>三份皆未入選</x:v>
      </x:c>
      <x:c r="O1216" s="221" t="n">
        <x:v>25.175</x:v>
      </x:c>
      <x:c r="P1216" s="221" t="n">
        <x:v>23.125</x:v>
      </x:c>
      <x:c r="Q1216" s="221" t="n">
        <x:v>2.05</x:v>
      </x:c>
      <x:c r="R1216" s="221" t="n">
        <x:v>0.0814299900695134</x:v>
      </x:c>
      <x:c r="S1216" s="221" t="n">
        <x:v>36.67741935483871</x:v>
      </x:c>
      <x:c r="T1216" s="221" t="n">
        <x:v>34.774193548387096</x:v>
      </x:c>
      <x:c r="U1216" s="221" t="n">
        <x:v>1.903225806451613</x:v>
      </x:c>
      <x:c r="V1216" s="219" t="n">
        <x:v>0.07603686635944701</x:v>
      </x:c>
      <x:c r="W1216" s="216" t="n">
        <x:v>17</x:v>
      </x:c>
      <x:c r="X1216" s="223" t="n">
        <x:v>1890</x:v>
      </x:c>
      <x:c r="Y1216" s="216" t="n">
        <x:v>13</x:v>
      </x:c>
    </x:row>
    <x:row r="1217">
      <x:c r="A1217" s="217" t="n">
        <x:v>891</x:v>
      </x:c>
      <x:c r="B1217" s="217" t="str">
        <x:v>商港三頂罟二路口</x:v>
      </x:c>
      <x:c r="C1217" s="217" t="str">
        <x:v>八里區</x:v>
      </x:c>
      <x:c r="D1217" s="217" t="n">
        <x:v>25</x:v>
      </x:c>
      <x:c r="E1217" s="217" t="n">
        <x:v>120</x:v>
      </x:c>
      <x:c r="F1217" s="218" t="n">
        <x:v>0.9994791666666667</x:v>
      </x:c>
      <x:c r="G1217" s="217" t="n">
        <x:v>1213</x:v>
      </x:c>
      <x:c r="H1217" s="217" t="str">
        <x:f>IF(G1217&lt;='排名定義'!$B$5,"是","")</x:f>
        <x:v>是</x:v>
      </x:c>
      <x:c r="I1217" s="217" t="n">
        <x:v>1209</x:v>
      </x:c>
      <x:c r="J1217" s="217" t="str">
        <x:f>IF(I1217&lt;='排名定義'!$B$5,"是","")</x:f>
        <x:v>是</x:v>
      </x:c>
      <x:c r="K1217" s="217" t="n">
        <x:v>1209</x:v>
      </x:c>
      <x:c r="L1217" s="217" t="str">
        <x:f>IF(K1217&lt;='排名定義'!$B$5,"是","")</x:f>
        <x:v>是</x:v>
      </x:c>
      <x:c r="M1217" s="217" t="n">
        <x:f>COUNTIF(H1217:L1217,"是")</x:f>
        <x:v>3</x:v>
      </x:c>
      <x:c r="N1217" s="217" t="str">
        <x:v>三份皆未入選</x:v>
      </x:c>
      <x:c r="O1217" s="220" t="n">
        <x:v>25.166666666666668</x:v>
      </x:c>
      <x:c r="P1217" s="220" t="n">
        <x:v>22.283333333333335</x:v>
      </x:c>
      <x:c r="Q1217" s="220" t="n">
        <x:v>2.8833333333333333</x:v>
      </x:c>
      <x:c r="R1217" s="220" t="n">
        <x:v>0.11456953642384106</x:v>
      </x:c>
      <x:c r="S1217" s="220" t="n">
        <x:v>42.064516129032256</x:v>
      </x:c>
      <x:c r="T1217" s="220" t="n">
        <x:v>38.83870967741935</x:v>
      </x:c>
      <x:c r="U1217" s="220" t="n">
        <x:v>3.225806451612903</x:v>
      </x:c>
      <x:c r="V1217" s="218" t="n">
        <x:v>0.07373271889400922</x:v>
      </x:c>
      <x:c r="W1217" s="217" t="n">
        <x:v>15</x:v>
      </x:c>
      <x:c r="X1217" s="222" t="n">
        <x:v>1650</x:v>
      </x:c>
      <x:c r="Y1217" s="217" t="n">
        <x:v>25</x:v>
      </x:c>
    </x:row>
    <x:row r="1218">
      <x:c r="A1218" s="216" t="n">
        <x:v>883</x:v>
      </x:c>
      <x:c r="B1218" s="216" t="str">
        <x:v>獅子頭山水匯集廣場</x:v>
      </x:c>
      <x:c r="C1218" s="216" t="str">
        <x:v>五股區</x:v>
      </x:c>
      <x:c r="D1218" s="216" t="n">
        <x:v>25</x:v>
      </x:c>
      <x:c r="E1218" s="216" t="n">
        <x:v>120</x:v>
      </x:c>
      <x:c r="F1218" s="219" t="n">
        <x:v>0.9994791666666667</x:v>
      </x:c>
      <x:c r="G1218" s="216" t="n">
        <x:v>1214</x:v>
      </x:c>
      <x:c r="H1218" s="216" t="str">
        <x:f>IF(G1218&lt;='排名定義'!$B$5,"是","")</x:f>
        <x:v>是</x:v>
      </x:c>
      <x:c r="I1218" s="216" t="n">
        <x:v>1218</x:v>
      </x:c>
      <x:c r="J1218" s="216" t="str">
        <x:f>IF(I1218&lt;='排名定義'!$B$5,"是","")</x:f>
        <x:v>是</x:v>
      </x:c>
      <x:c r="K1218" s="216" t="n">
        <x:v>1086</x:v>
      </x:c>
      <x:c r="L1218" s="216" t="str">
        <x:f>IF(K1218&lt;='排名定義'!$B$5,"是","")</x:f>
        <x:v>是</x:v>
      </x:c>
      <x:c r="M1218" s="216" t="n">
        <x:f>COUNTIF(H1218:L1218,"是")</x:f>
        <x:v>3</x:v>
      </x:c>
      <x:c r="N1218" s="216" t="str">
        <x:v>三份皆未入選</x:v>
      </x:c>
      <x:c r="O1218" s="221" t="n">
        <x:v>25.083333333333332</x:v>
      </x:c>
      <x:c r="P1218" s="221" t="n">
        <x:v>21.841666666666665</x:v>
      </x:c>
      <x:c r="Q1218" s="221" t="n">
        <x:v>3.2416666666666667</x:v>
      </x:c>
      <x:c r="R1218" s="221" t="n">
        <x:v>0.1292358803986711</x:v>
      </x:c>
      <x:c r="S1218" s="221" t="n">
        <x:v>46.58064516129032</x:v>
      </x:c>
      <x:c r="T1218" s="221" t="n">
        <x:v>42.58064516129032</x:v>
      </x:c>
      <x:c r="U1218" s="221" t="n">
        <x:v>4</x:v>
      </x:c>
      <x:c r="V1218" s="219" t="n">
        <x:v>0.041474654377880185</x:v>
      </x:c>
      <x:c r="W1218" s="216" t="n">
        <x:v>10</x:v>
      </x:c>
      <x:c r="X1218" s="223" t="n">
        <x:v>1350</x:v>
      </x:c>
      <x:c r="Y1218" s="216" t="n">
        <x:v>25</x:v>
      </x:c>
    </x:row>
    <x:row r="1219">
      <x:c r="A1219" s="217" t="n">
        <x:v>898</x:v>
      </x:c>
      <x:c r="B1219" s="217" t="str">
        <x:v>鶯歌火車站(文化路)</x:v>
      </x:c>
      <x:c r="C1219" s="217" t="str">
        <x:v>鶯歌區</x:v>
      </x:c>
      <x:c r="D1219" s="217" t="n">
        <x:v>25</x:v>
      </x:c>
      <x:c r="E1219" s="217" t="n">
        <x:v>120</x:v>
      </x:c>
      <x:c r="F1219" s="218" t="n">
        <x:v>0.9994791666666667</x:v>
      </x:c>
      <x:c r="G1219" s="217" t="n">
        <x:v>1215</x:v>
      </x:c>
      <x:c r="H1219" s="217" t="str">
        <x:f>IF(G1219&lt;='排名定義'!$B$5,"是","")</x:f>
        <x:v>是</x:v>
      </x:c>
      <x:c r="I1219" s="217" t="n">
        <x:v>1224</x:v>
      </x:c>
      <x:c r="J1219" s="217" t="str">
        <x:f>IF(I1219&lt;='排名定義'!$B$5,"是","")</x:f>
        <x:v>是</x:v>
      </x:c>
      <x:c r="K1219" s="217" t="n">
        <x:v>996</x:v>
      </x:c>
      <x:c r="L1219" s="217" t="str">
        <x:f>IF(K1219&lt;='排名定義'!$B$5,"是","")</x:f>
        <x:v>是</x:v>
      </x:c>
      <x:c r="M1219" s="217" t="n">
        <x:f>COUNTIF(H1219:L1219,"是")</x:f>
        <x:v>3</x:v>
      </x:c>
      <x:c r="N1219" s="217" t="str">
        <x:v>三份皆未入選</x:v>
      </x:c>
      <x:c r="O1219" s="220" t="n">
        <x:v>25.066666666666666</x:v>
      </x:c>
      <x:c r="P1219" s="220" t="n">
        <x:v>21.616666666666667</x:v>
      </x:c>
      <x:c r="Q1219" s="220" t="n">
        <x:v>3.45</x:v>
      </x:c>
      <x:c r="R1219" s="220" t="n">
        <x:v>0.13763297872340424</x:v>
      </x:c>
      <x:c r="S1219" s="220" t="n">
        <x:v>46.096774193548384</x:v>
      </x:c>
      <x:c r="T1219" s="220" t="n">
        <x:v>42.16129032258065</x:v>
      </x:c>
      <x:c r="U1219" s="220" t="n">
        <x:v>3.935483870967742</x:v>
      </x:c>
      <x:c r="V1219" s="218" t="n">
        <x:v>0.018433179723502304</x:v>
      </x:c>
      <x:c r="W1219" s="217" t="n">
        <x:v>1</x:v>
      </x:c>
      <x:c r="X1219" s="222" t="n">
        <x:v>450</x:v>
      </x:c>
      <x:c r="Y1219" s="217" t="n">
        <x:v>25</x:v>
      </x:c>
    </x:row>
    <x:row r="1220">
      <x:c r="A1220" s="216" t="n">
        <x:v>303</x:v>
      </x:c>
      <x:c r="B1220" s="216" t="str">
        <x:v>永安長安街131巷口</x:v>
      </x:c>
      <x:c r="C1220" s="216" t="str">
        <x:v>蘆洲區</x:v>
      </x:c>
      <x:c r="D1220" s="216" t="n">
        <x:v>14</x:v>
      </x:c>
      <x:c r="E1220" s="216" t="n">
        <x:v>120</x:v>
      </x:c>
      <x:c r="F1220" s="219" t="n">
        <x:v>0.9994791666666667</x:v>
      </x:c>
      <x:c r="G1220" s="216" t="n">
        <x:v>1216</x:v>
      </x:c>
      <x:c r="H1220" s="216" t="str">
        <x:f>IF(G1220&lt;='排名定義'!$B$5,"是","")</x:f>
        <x:v>是</x:v>
      </x:c>
      <x:c r="I1220" s="216" t="n">
        <x:v>1215</x:v>
      </x:c>
      <x:c r="J1220" s="216" t="str">
        <x:f>IF(I1220&lt;='排名定義'!$B$5,"是","")</x:f>
        <x:v>是</x:v>
      </x:c>
      <x:c r="K1220" s="216" t="n">
        <x:v>1179</x:v>
      </x:c>
      <x:c r="L1220" s="216" t="str">
        <x:f>IF(K1220&lt;='排名定義'!$B$5,"是","")</x:f>
        <x:v>是</x:v>
      </x:c>
      <x:c r="M1220" s="216" t="n">
        <x:f>COUNTIF(H1220:L1220,"是")</x:f>
        <x:v>3</x:v>
      </x:c>
      <x:c r="N1220" s="216" t="str">
        <x:v>三份皆未入選</x:v>
      </x:c>
      <x:c r="O1220" s="221" t="n">
        <x:v>25</x:v>
      </x:c>
      <x:c r="P1220" s="221" t="n">
        <x:v>22.041666666666668</x:v>
      </x:c>
      <x:c r="Q1220" s="221" t="n">
        <x:v>2.9583333333333335</x:v>
      </x:c>
      <x:c r="R1220" s="221" t="n">
        <x:v>0.11833333333333333</x:v>
      </x:c>
      <x:c r="S1220" s="221" t="n">
        <x:v>34.32258064516129</x:v>
      </x:c>
      <x:c r="T1220" s="221" t="n">
        <x:v>32.25806451612903</x:v>
      </x:c>
      <x:c r="U1220" s="221" t="n">
        <x:v>2.064516129032258</x:v>
      </x:c>
      <x:c r="V1220" s="219" t="n">
        <x:v>0.055299539170506916</x:v>
      </x:c>
      <x:c r="W1220" s="216" t="n">
        <x:v>17</x:v>
      </x:c>
      <x:c r="X1220" s="223" t="n">
        <x:v>1950</x:v>
      </x:c>
      <x:c r="Y1220" s="216" t="n">
        <x:v>14</x:v>
      </x:c>
    </x:row>
    <x:row r="1221">
      <x:c r="A1221" s="217" t="n">
        <x:v>392</x:v>
      </x:c>
      <x:c r="B1221" s="217" t="str">
        <x:v>裕華街</x:v>
      </x:c>
      <x:c r="C1221" s="217" t="str">
        <x:v>土城區</x:v>
      </x:c>
      <x:c r="D1221" s="217" t="n">
        <x:v>15</x:v>
      </x:c>
      <x:c r="E1221" s="217" t="n">
        <x:v>120</x:v>
      </x:c>
      <x:c r="F1221" s="218" t="n">
        <x:v>0.9994791666666667</x:v>
      </x:c>
      <x:c r="G1221" s="217" t="n">
        <x:v>1217</x:v>
      </x:c>
      <x:c r="H1221" s="217" t="str">
        <x:f>IF(G1221&lt;='排名定義'!$B$5,"是","")</x:f>
        <x:v>是</x:v>
      </x:c>
      <x:c r="I1221" s="217" t="n">
        <x:v>1216</x:v>
      </x:c>
      <x:c r="J1221" s="217" t="str">
        <x:f>IF(I1221&lt;='排名定義'!$B$5,"是","")</x:f>
        <x:v>是</x:v>
      </x:c>
      <x:c r="K1221" s="217" t="n">
        <x:v>1153</x:v>
      </x:c>
      <x:c r="L1221" s="217" t="str">
        <x:f>IF(K1221&lt;='排名定義'!$B$5,"是","")</x:f>
        <x:v>是</x:v>
      </x:c>
      <x:c r="M1221" s="217" t="n">
        <x:f>COUNTIF(H1221:L1221,"是")</x:f>
        <x:v>3</x:v>
      </x:c>
      <x:c r="N1221" s="217" t="str">
        <x:v>三份皆未入選</x:v>
      </x:c>
      <x:c r="O1221" s="220" t="n">
        <x:v>25</x:v>
      </x:c>
      <x:c r="P1221" s="220" t="n">
        <x:v>21.95</x:v>
      </x:c>
      <x:c r="Q1221" s="220" t="n">
        <x:v>3.05</x:v>
      </x:c>
      <x:c r="R1221" s="220" t="n">
        <x:v>0.122</x:v>
      </x:c>
      <x:c r="S1221" s="220" t="n">
        <x:v>33.935483870967744</x:v>
      </x:c>
      <x:c r="T1221" s="220" t="n">
        <x:v>31.225806451612904</x:v>
      </x:c>
      <x:c r="U1221" s="220" t="n">
        <x:v>2.7096774193548385</x:v>
      </x:c>
      <x:c r="V1221" s="218" t="n">
        <x:v>0.09907834101382489</x:v>
      </x:c>
      <x:c r="W1221" s="217" t="n">
        <x:v>19</x:v>
      </x:c>
      <x:c r="X1221" s="222" t="n">
        <x:v>1950</x:v>
      </x:c>
      <x:c r="Y1221" s="217" t="n">
        <x:v>15</x:v>
      </x:c>
    </x:row>
    <x:row r="1222">
      <x:c r="A1222" s="216" t="n">
        <x:v>470</x:v>
      </x:c>
      <x:c r="B1222" s="216" t="str">
        <x:v>中央陸橋(中央一街)</x:v>
      </x:c>
      <x:c r="C1222" s="216" t="str">
        <x:v>新店區</x:v>
      </x:c>
      <x:c r="D1222" s="216" t="n">
        <x:v>16</x:v>
      </x:c>
      <x:c r="E1222" s="216" t="n">
        <x:v>120</x:v>
      </x:c>
      <x:c r="F1222" s="219" t="n">
        <x:v>0.9994791666666667</x:v>
      </x:c>
      <x:c r="G1222" s="216" t="n">
        <x:v>1218</x:v>
      </x:c>
      <x:c r="H1222" s="216" t="str">
        <x:f>IF(G1222&lt;='排名定義'!$B$5,"是","")</x:f>
        <x:v>是</x:v>
      </x:c>
      <x:c r="I1222" s="216" t="n">
        <x:v>1211</x:v>
      </x:c>
      <x:c r="J1222" s="216" t="str">
        <x:f>IF(I1222&lt;='排名定義'!$B$5,"是","")</x:f>
        <x:v>是</x:v>
      </x:c>
      <x:c r="K1222" s="216" t="n">
        <x:v>1265</x:v>
      </x:c>
      <x:c r="L1222" s="216" t="str">
        <x:f>IF(K1222&lt;='排名定義'!$B$5,"是","")</x:f>
        <x:v>是</x:v>
      </x:c>
      <x:c r="M1222" s="216" t="n">
        <x:f>COUNTIF(H1222:L1222,"是")</x:f>
        <x:v>3</x:v>
      </x:c>
      <x:c r="N1222" s="216" t="str">
        <x:v>三份皆未入選</x:v>
      </x:c>
      <x:c r="O1222" s="221" t="n">
        <x:v>24.883333333333333</x:v>
      </x:c>
      <x:c r="P1222" s="221" t="n">
        <x:v>22.241666666666667</x:v>
      </x:c>
      <x:c r="Q1222" s="221" t="n">
        <x:v>2.6416666666666666</x:v>
      </x:c>
      <x:c r="R1222" s="221" t="n">
        <x:v>0.10616208975217682</x:v>
      </x:c>
      <x:c r="S1222" s="221" t="n">
        <x:v>43.806451612903224</x:v>
      </x:c>
      <x:c r="T1222" s="221" t="n">
        <x:v>41.32258064516129</x:v>
      </x:c>
      <x:c r="U1222" s="221" t="n">
        <x:v>2.4838709677419355</x:v>
      </x:c>
      <x:c r="V1222" s="219" t="n">
        <x:v>0.04838709677419355</x:v>
      </x:c>
      <x:c r="W1222" s="216" t="n">
        <x:v>20</x:v>
      </x:c>
      <x:c r="X1222" s="223" t="n">
        <x:v>2250</x:v>
      </x:c>
      <x:c r="Y1222" s="216" t="n">
        <x:v>16</x:v>
      </x:c>
    </x:row>
    <x:row r="1223">
      <x:c r="A1223" s="217" t="n">
        <x:v>705</x:v>
      </x:c>
      <x:c r="B1223" s="217" t="str">
        <x:v>尖山國中</x:v>
      </x:c>
      <x:c r="C1223" s="217" t="str">
        <x:v>鶯歌區</x:v>
      </x:c>
      <x:c r="D1223" s="217" t="n">
        <x:v>20</x:v>
      </x:c>
      <x:c r="E1223" s="217" t="n">
        <x:v>120</x:v>
      </x:c>
      <x:c r="F1223" s="218" t="n">
        <x:v>0.9994791666666667</x:v>
      </x:c>
      <x:c r="G1223" s="217" t="n">
        <x:v>1219</x:v>
      </x:c>
      <x:c r="H1223" s="217" t="str">
        <x:f>IF(G1223&lt;='排名定義'!$B$5,"是","")</x:f>
        <x:v>是</x:v>
      </x:c>
      <x:c r="I1223" s="217" t="n">
        <x:v>1227</x:v>
      </x:c>
      <x:c r="J1223" s="217" t="str">
        <x:f>IF(I1223&lt;='排名定義'!$B$5,"是","")</x:f>
        <x:v>是</x:v>
      </x:c>
      <x:c r="K1223" s="217" t="n">
        <x:v>1042</x:v>
      </x:c>
      <x:c r="L1223" s="217" t="str">
        <x:f>IF(K1223&lt;='排名定義'!$B$5,"是","")</x:f>
        <x:v>是</x:v>
      </x:c>
      <x:c r="M1223" s="217" t="n">
        <x:f>COUNTIF(H1223:L1223,"是")</x:f>
        <x:v>3</x:v>
      </x:c>
      <x:c r="N1223" s="217" t="str">
        <x:v>三份皆未入選</x:v>
      </x:c>
      <x:c r="O1223" s="220" t="n">
        <x:v>24.716666666666665</x:v>
      </x:c>
      <x:c r="P1223" s="220" t="n">
        <x:v>21.366666666666667</x:v>
      </x:c>
      <x:c r="Q1223" s="220" t="n">
        <x:v>3.35</x:v>
      </x:c>
      <x:c r="R1223" s="220" t="n">
        <x:v>0.13553607552258934</x:v>
      </x:c>
      <x:c r="S1223" s="220" t="n">
        <x:v>43.83870967741935</x:v>
      </x:c>
      <x:c r="T1223" s="220" t="n">
        <x:v>40.96774193548387</x:v>
      </x:c>
      <x:c r="U1223" s="220" t="n">
        <x:v>2.870967741935484</x:v>
      </x:c>
      <x:c r="V1223" s="218" t="n">
        <x:v>0.029953917050691243</x:v>
      </x:c>
      <x:c r="W1223" s="217" t="n">
        <x:v>6</x:v>
      </x:c>
      <x:c r="X1223" s="222" t="n">
        <x:v>570</x:v>
      </x:c>
      <x:c r="Y1223" s="217" t="n">
        <x:v>20</x:v>
      </x:c>
    </x:row>
    <x:row r="1224">
      <x:c r="A1224" s="216" t="n">
        <x:v>516</x:v>
      </x:c>
      <x:c r="B1224" s="216" t="str">
        <x:v>中正千歲街口</x:v>
      </x:c>
      <x:c r="C1224" s="216" t="str">
        <x:v>樹林區</x:v>
      </x:c>
      <x:c r="D1224" s="216" t="n">
        <x:v>17</x:v>
      </x:c>
      <x:c r="E1224" s="216" t="n">
        <x:v>120</x:v>
      </x:c>
      <x:c r="F1224" s="219" t="n">
        <x:v>0.9994791666666667</x:v>
      </x:c>
      <x:c r="G1224" s="216" t="n">
        <x:v>1220</x:v>
      </x:c>
      <x:c r="H1224" s="216" t="str">
        <x:f>IF(G1224&lt;='排名定義'!$B$5,"是","")</x:f>
        <x:v>是</x:v>
      </x:c>
      <x:c r="I1224" s="216" t="n">
        <x:v>1219</x:v>
      </x:c>
      <x:c r="J1224" s="216" t="str">
        <x:f>IF(I1224&lt;='排名定義'!$B$5,"是","")</x:f>
        <x:v>是</x:v>
      </x:c>
      <x:c r="K1224" s="216" t="n">
        <x:v>1184</x:v>
      </x:c>
      <x:c r="L1224" s="216" t="str">
        <x:f>IF(K1224&lt;='排名定義'!$B$5,"是","")</x:f>
        <x:v>是</x:v>
      </x:c>
      <x:c r="M1224" s="216" t="n">
        <x:f>COUNTIF(H1224:L1224,"是")</x:f>
        <x:v>3</x:v>
      </x:c>
      <x:c r="N1224" s="216" t="str">
        <x:v>三份皆未入選</x:v>
      </x:c>
      <x:c r="O1224" s="221" t="n">
        <x:v>24.666666666666668</x:v>
      </x:c>
      <x:c r="P1224" s="221" t="n">
        <x:v>21.716666666666665</x:v>
      </x:c>
      <x:c r="Q1224" s="221" t="n">
        <x:v>2.95</x:v>
      </x:c>
      <x:c r="R1224" s="221" t="n">
        <x:v>0.1195945945945946</x:v>
      </x:c>
      <x:c r="S1224" s="221" t="n">
        <x:v>41.67741935483871</x:v>
      </x:c>
      <x:c r="T1224" s="221" t="n">
        <x:v>38.516129032258064</x:v>
      </x:c>
      <x:c r="U1224" s="221" t="n">
        <x:v>3.161290322580645</x:v>
      </x:c>
      <x:c r="V1224" s="219" t="n">
        <x:v>0.013824884792626729</x:v>
      </x:c>
      <x:c r="W1224" s="216" t="n">
        <x:v>6</x:v>
      </x:c>
      <x:c r="X1224" s="223" t="n">
        <x:v>570</x:v>
      </x:c>
      <x:c r="Y1224" s="216" t="n">
        <x:v>17</x:v>
      </x:c>
    </x:row>
    <x:row r="1225">
      <x:c r="A1225" s="217" t="n">
        <x:v>598</x:v>
      </x:c>
      <x:c r="B1225" s="217" t="str">
        <x:v>文化一麗園路2巷口</x:v>
      </x:c>
      <x:c r="C1225" s="217" t="str">
        <x:v>林口區</x:v>
      </x:c>
      <x:c r="D1225" s="217" t="n">
        <x:v>18</x:v>
      </x:c>
      <x:c r="E1225" s="217" t="n">
        <x:v>120</x:v>
      </x:c>
      <x:c r="F1225" s="218" t="n">
        <x:v>0.9994791666666667</x:v>
      </x:c>
      <x:c r="G1225" s="217" t="n">
        <x:v>1221</x:v>
      </x:c>
      <x:c r="H1225" s="217" t="str">
        <x:f>IF(G1225&lt;='排名定義'!$B$5,"是","")</x:f>
        <x:v>是</x:v>
      </x:c>
      <x:c r="I1225" s="217" t="n">
        <x:v>1214</x:v>
      </x:c>
      <x:c r="J1225" s="217" t="str">
        <x:f>IF(I1225&lt;='排名定義'!$B$5,"是","")</x:f>
        <x:v>是</x:v>
      </x:c>
      <x:c r="K1225" s="217" t="n">
        <x:v>1304</x:v>
      </x:c>
      <x:c r="L1225" s="217" t="str">
        <x:f>IF(K1225&lt;='排名定義'!$B$5,"是","")</x:f>
        <x:v>是</x:v>
      </x:c>
      <x:c r="M1225" s="217" t="n">
        <x:f>COUNTIF(H1225:L1225,"是")</x:f>
        <x:v>3</x:v>
      </x:c>
      <x:c r="N1225" s="217" t="str">
        <x:v>三份皆未入選</x:v>
      </x:c>
      <x:c r="O1225" s="220" t="n">
        <x:v>24.541666666666668</x:v>
      </x:c>
      <x:c r="P1225" s="220" t="n">
        <x:v>22.091666666666665</x:v>
      </x:c>
      <x:c r="Q1225" s="220" t="n">
        <x:v>2.45</x:v>
      </x:c>
      <x:c r="R1225" s="220" t="n">
        <x:v>0.099830220713073</x:v>
      </x:c>
      <x:c r="S1225" s="220" t="n">
        <x:v>42.41935483870968</x:v>
      </x:c>
      <x:c r="T1225" s="220" t="n">
        <x:v>39.03225806451613</x:v>
      </x:c>
      <x:c r="U1225" s="220" t="n">
        <x:v>3.3870967741935485</x:v>
      </x:c>
      <x:c r="V1225" s="218" t="n">
        <x:v>0.06451612903225806</x:v>
      </x:c>
      <x:c r="W1225" s="217" t="n">
        <x:v>11</x:v>
      </x:c>
      <x:c r="X1225" s="222" t="n">
        <x:v>1320</x:v>
      </x:c>
      <x:c r="Y1225" s="217" t="n">
        <x:v>18</x:v>
      </x:c>
    </x:row>
    <x:row r="1226">
      <x:c r="A1226" s="216" t="n">
        <x:v>207</x:v>
      </x:c>
      <x:c r="B1226" s="216" t="str">
        <x:v>八德街東豐街口</x:v>
      </x:c>
      <x:c r="C1226" s="216" t="str">
        <x:v>樹林區</x:v>
      </x:c>
      <x:c r="D1226" s="216" t="n">
        <x:v>12</x:v>
      </x:c>
      <x:c r="E1226" s="216" t="n">
        <x:v>120</x:v>
      </x:c>
      <x:c r="F1226" s="219" t="n">
        <x:v>0.9994791666666667</x:v>
      </x:c>
      <x:c r="G1226" s="216" t="n">
        <x:v>1222</x:v>
      </x:c>
      <x:c r="H1226" s="216" t="str">
        <x:f>IF(G1226&lt;='排名定義'!$B$5,"是","")</x:f>
        <x:v>是</x:v>
      </x:c>
      <x:c r="I1226" s="216" t="n">
        <x:v>1220</x:v>
      </x:c>
      <x:c r="J1226" s="216" t="str">
        <x:f>IF(I1226&lt;='排名定義'!$B$5,"是","")</x:f>
        <x:v>是</x:v>
      </x:c>
      <x:c r="K1226" s="216" t="n">
        <x:v>1232</x:v>
      </x:c>
      <x:c r="L1226" s="216" t="str">
        <x:f>IF(K1226&lt;='排名定義'!$B$5,"是","")</x:f>
        <x:v>是</x:v>
      </x:c>
      <x:c r="M1226" s="216" t="n">
        <x:f>COUNTIF(H1226:L1226,"是")</x:f>
        <x:v>3</x:v>
      </x:c>
      <x:c r="N1226" s="216" t="str">
        <x:v>三份皆未入選</x:v>
      </x:c>
      <x:c r="O1226" s="221" t="n">
        <x:v>24.516666666666666</x:v>
      </x:c>
      <x:c r="P1226" s="221" t="n">
        <x:v>21.708333333333332</x:v>
      </x:c>
      <x:c r="Q1226" s="221" t="n">
        <x:v>2.808333333333333</x:v>
      </x:c>
      <x:c r="R1226" s="221" t="n">
        <x:v>0.11454792658055744</x:v>
      </x:c>
      <x:c r="S1226" s="221" t="n">
        <x:v>43.25806451612903</x:v>
      </x:c>
      <x:c r="T1226" s="221" t="n">
        <x:v>39.903225806451616</x:v>
      </x:c>
      <x:c r="U1226" s="221" t="n">
        <x:v>3.3548387096774195</x:v>
      </x:c>
      <x:c r="V1226" s="219" t="n">
        <x:v>0.041474654377880185</x:v>
      </x:c>
      <x:c r="W1226" s="216" t="n">
        <x:v>6</x:v>
      </x:c>
      <x:c r="X1226" s="223" t="n">
        <x:v>1140</x:v>
      </x:c>
      <x:c r="Y1226" s="216" t="n">
        <x:v>12</x:v>
      </x:c>
    </x:row>
    <x:row r="1227">
      <x:c r="A1227" s="217" t="n">
        <x:v>322</x:v>
      </x:c>
      <x:c r="B1227" s="217" t="str">
        <x:v>中央路四段33號北側</x:v>
      </x:c>
      <x:c r="C1227" s="217" t="str">
        <x:v>土城區</x:v>
      </x:c>
      <x:c r="D1227" s="217" t="n">
        <x:v>15</x:v>
      </x:c>
      <x:c r="E1227" s="217" t="n">
        <x:v>120</x:v>
      </x:c>
      <x:c r="F1227" s="218" t="n">
        <x:v>0.9994791666666667</x:v>
      </x:c>
      <x:c r="G1227" s="217" t="n">
        <x:v>1223</x:v>
      </x:c>
      <x:c r="H1227" s="217" t="str">
        <x:f>IF(G1227&lt;='排名定義'!$B$5,"是","")</x:f>
        <x:v>是</x:v>
      </x:c>
      <x:c r="I1227" s="217" t="n">
        <x:v>1223</x:v>
      </x:c>
      <x:c r="J1227" s="217" t="str">
        <x:f>IF(I1227&lt;='排名定義'!$B$5,"是","")</x:f>
        <x:v>是</x:v>
      </x:c>
      <x:c r="K1227" s="217" t="n">
        <x:v>1204</x:v>
      </x:c>
      <x:c r="L1227" s="217" t="str">
        <x:f>IF(K1227&lt;='排名定義'!$B$5,"是","")</x:f>
        <x:v>是</x:v>
      </x:c>
      <x:c r="M1227" s="217" t="n">
        <x:f>COUNTIF(H1227:L1227,"是")</x:f>
        <x:v>3</x:v>
      </x:c>
      <x:c r="N1227" s="217" t="str">
        <x:v>三份皆未入選</x:v>
      </x:c>
      <x:c r="O1227" s="220" t="n">
        <x:v>24.508333333333333</x:v>
      </x:c>
      <x:c r="P1227" s="220" t="n">
        <x:v>21.616666666666667</x:v>
      </x:c>
      <x:c r="Q1227" s="220" t="n">
        <x:v>2.8916666666666666</x:v>
      </x:c>
      <x:c r="R1227" s="220" t="n">
        <x:v>0.11798707922475349</x:v>
      </x:c>
      <x:c r="S1227" s="220" t="n">
        <x:v>37.54838709677419</x:v>
      </x:c>
      <x:c r="T1227" s="220" t="n">
        <x:v>34.806451612903224</x:v>
      </x:c>
      <x:c r="U1227" s="220" t="n">
        <x:v>2.7419354838709675</x:v>
      </x:c>
      <x:c r="V1227" s="218" t="n">
        <x:v>0.029953917050691243</x:v>
      </x:c>
      <x:c r="W1227" s="217" t="n">
        <x:v>4</x:v>
      </x:c>
      <x:c r="X1227" s="222" t="n">
        <x:v>480</x:v>
      </x:c>
      <x:c r="Y1227" s="217" t="n">
        <x:v>15</x:v>
      </x:c>
    </x:row>
    <x:row r="1228">
      <x:c r="A1228" s="216" t="n">
        <x:v>341</x:v>
      </x:c>
      <x:c r="B1228" s="216" t="str">
        <x:v>和城停車場</x:v>
      </x:c>
      <x:c r="C1228" s="216" t="str">
        <x:v>中和區</x:v>
      </x:c>
      <x:c r="D1228" s="216" t="n">
        <x:v>15</x:v>
      </x:c>
      <x:c r="E1228" s="216" t="n">
        <x:v>120</x:v>
      </x:c>
      <x:c r="F1228" s="219" t="n">
        <x:v>0.9994791666666667</x:v>
      </x:c>
      <x:c r="G1228" s="216" t="n">
        <x:v>1224</x:v>
      </x:c>
      <x:c r="H1228" s="216" t="str">
        <x:f>IF(G1228&lt;='排名定義'!$B$5,"是","")</x:f>
        <x:v>是</x:v>
      </x:c>
      <x:c r="I1228" s="216" t="n">
        <x:v>1225</x:v>
      </x:c>
      <x:c r="J1228" s="216" t="str">
        <x:f>IF(I1228&lt;='排名定義'!$B$5,"是","")</x:f>
        <x:v>是</x:v>
      </x:c>
      <x:c r="K1228" s="216" t="n">
        <x:v>1180</x:v>
      </x:c>
      <x:c r="L1228" s="216" t="str">
        <x:f>IF(K1228&lt;='排名定義'!$B$5,"是","")</x:f>
        <x:v>是</x:v>
      </x:c>
      <x:c r="M1228" s="216" t="n">
        <x:f>COUNTIF(H1228:L1228,"是")</x:f>
        <x:v>3</x:v>
      </x:c>
      <x:c r="N1228" s="216" t="str">
        <x:v>三份皆未入選</x:v>
      </x:c>
      <x:c r="O1228" s="221" t="n">
        <x:v>24.5</x:v>
      </x:c>
      <x:c r="P1228" s="221" t="n">
        <x:v>21.541666666666668</x:v>
      </x:c>
      <x:c r="Q1228" s="221" t="n">
        <x:v>2.9583333333333335</x:v>
      </x:c>
      <x:c r="R1228" s="221" t="n">
        <x:v>0.12074829931972789</x:v>
      </x:c>
      <x:c r="S1228" s="221" t="n">
        <x:v>40.16129032258065</x:v>
      </x:c>
      <x:c r="T1228" s="221" t="n">
        <x:v>37.516129032258064</x:v>
      </x:c>
      <x:c r="U1228" s="221" t="n">
        <x:v>2.6451612903225805</x:v>
      </x:c>
      <x:c r="V1228" s="219" t="n">
        <x:v>0.07603686635944701</x:v>
      </x:c>
      <x:c r="W1228" s="216" t="n">
        <x:v>14</x:v>
      </x:c>
      <x:c r="X1228" s="223" t="n">
        <x:v>1710</x:v>
      </x:c>
      <x:c r="Y1228" s="216" t="n">
        <x:v>15</x:v>
      </x:c>
    </x:row>
    <x:row r="1229">
      <x:c r="A1229" s="217" t="n">
        <x:v>425</x:v>
      </x:c>
      <x:c r="B1229" s="217" t="str">
        <x:v>新市一路一段331巷/義山路一段163巷口(東南側)</x:v>
      </x:c>
      <x:c r="C1229" s="217" t="str">
        <x:v>淡水區</x:v>
      </x:c>
      <x:c r="D1229" s="217" t="n">
        <x:v>15</x:v>
      </x:c>
      <x:c r="E1229" s="217" t="n">
        <x:v>120</x:v>
      </x:c>
      <x:c r="F1229" s="218" t="n">
        <x:v>0.9994791666666667</x:v>
      </x:c>
      <x:c r="G1229" s="217" t="n">
        <x:v>1225</x:v>
      </x:c>
      <x:c r="H1229" s="217" t="str">
        <x:f>IF(G1229&lt;='排名定義'!$B$5,"是","")</x:f>
        <x:v>是</x:v>
      </x:c>
      <x:c r="I1229" s="217" t="n">
        <x:v>1222</x:v>
      </x:c>
      <x:c r="J1229" s="217" t="str">
        <x:f>IF(I1229&lt;='排名定義'!$B$5,"是","")</x:f>
        <x:v>是</x:v>
      </x:c>
      <x:c r="K1229" s="217" t="n">
        <x:v>1231</x:v>
      </x:c>
      <x:c r="L1229" s="217" t="str">
        <x:f>IF(K1229&lt;='排名定義'!$B$5,"是","")</x:f>
        <x:v>是</x:v>
      </x:c>
      <x:c r="M1229" s="217" t="n">
        <x:f>COUNTIF(H1229:L1229,"是")</x:f>
        <x:v>3</x:v>
      </x:c>
      <x:c r="N1229" s="217" t="str">
        <x:v>三份皆未入選</x:v>
      </x:c>
      <x:c r="O1229" s="220" t="n">
        <x:v>24.491666666666667</x:v>
      </x:c>
      <x:c r="P1229" s="220" t="n">
        <x:v>21.675</x:v>
      </x:c>
      <x:c r="Q1229" s="220" t="n">
        <x:v>2.816666666666667</x:v>
      </x:c>
      <x:c r="R1229" s="220" t="n">
        <x:v>0.11500510377679483</x:v>
      </x:c>
      <x:c r="S1229" s="220" t="n">
        <x:v>39.516129032258064</x:v>
      </x:c>
      <x:c r="T1229" s="220" t="n">
        <x:v>36.16129032258065</x:v>
      </x:c>
      <x:c r="U1229" s="220" t="n">
        <x:v>3.3548387096774195</x:v>
      </x:c>
      <x:c r="V1229" s="218" t="n">
        <x:v>0.06451612903225806</x:v>
      </x:c>
      <x:c r="W1229" s="217" t="n">
        <x:v>12</x:v>
      </x:c>
      <x:c r="X1229" s="222" t="n">
        <x:v>1530</x:v>
      </x:c>
      <x:c r="Y1229" s="217" t="n">
        <x:v>15</x:v>
      </x:c>
    </x:row>
    <x:row r="1230">
      <x:c r="A1230" s="216" t="n">
        <x:v>770</x:v>
      </x:c>
      <x:c r="B1230" s="216" t="str">
        <x:v>民生路二段226巷8弄</x:v>
      </x:c>
      <x:c r="C1230" s="216" t="str">
        <x:v>板橋區</x:v>
      </x:c>
      <x:c r="D1230" s="216" t="n">
        <x:v>21</x:v>
      </x:c>
      <x:c r="E1230" s="216" t="n">
        <x:v>120</x:v>
      </x:c>
      <x:c r="F1230" s="219" t="n">
        <x:v>0.9994791666666667</x:v>
      </x:c>
      <x:c r="G1230" s="216" t="n">
        <x:v>1226</x:v>
      </x:c>
      <x:c r="H1230" s="216" t="str">
        <x:f>IF(G1230&lt;='排名定義'!$B$5,"是","")</x:f>
        <x:v>是</x:v>
      </x:c>
      <x:c r="I1230" s="216" t="n">
        <x:v>1221</x:v>
      </x:c>
      <x:c r="J1230" s="216" t="str">
        <x:f>IF(I1230&lt;='排名定義'!$B$5,"是","")</x:f>
        <x:v>是</x:v>
      </x:c>
      <x:c r="K1230" s="216" t="n">
        <x:v>1255</x:v>
      </x:c>
      <x:c r="L1230" s="216" t="str">
        <x:f>IF(K1230&lt;='排名定義'!$B$5,"是","")</x:f>
        <x:v>是</x:v>
      </x:c>
      <x:c r="M1230" s="216" t="n">
        <x:f>COUNTIF(H1230:L1230,"是")</x:f>
        <x:v>3</x:v>
      </x:c>
      <x:c r="N1230" s="216" t="str">
        <x:v>三份皆未入選</x:v>
      </x:c>
      <x:c r="O1230" s="221" t="n">
        <x:v>24.383333333333333</x:v>
      </x:c>
      <x:c r="P1230" s="221" t="n">
        <x:v>21.7</x:v>
      </x:c>
      <x:c r="Q1230" s="221" t="n">
        <x:v>2.683333333333333</x:v>
      </x:c>
      <x:c r="R1230" s="221" t="n">
        <x:v>0.11004784688995216</x:v>
      </x:c>
      <x:c r="S1230" s="221" t="n">
        <x:v>38.354838709677416</x:v>
      </x:c>
      <x:c r="T1230" s="221" t="n">
        <x:v>36.58064516129032</x:v>
      </x:c>
      <x:c r="U1230" s="221" t="n">
        <x:v>1.7741935483870968</x:v>
      </x:c>
      <x:c r="V1230" s="219" t="n">
        <x:v>0.0967741935483871</x:v>
      </x:c>
      <x:c r="W1230" s="216" t="n">
        <x:v>25</x:v>
      </x:c>
      <x:c r="X1230" s="223" t="n">
        <x:v>2760</x:v>
      </x:c>
      <x:c r="Y1230" s="216" t="n">
        <x:v>21</x:v>
      </x:c>
    </x:row>
    <x:row r="1231">
      <x:c r="A1231" s="217" t="n">
        <x:v>529</x:v>
      </x:c>
      <x:c r="B1231" s="217" t="str">
        <x:v>新和街32巷口</x:v>
      </x:c>
      <x:c r="C1231" s="217" t="str">
        <x:v>新店區</x:v>
      </x:c>
      <x:c r="D1231" s="217" t="n">
        <x:v>17</x:v>
      </x:c>
      <x:c r="E1231" s="217" t="n">
        <x:v>120</x:v>
      </x:c>
      <x:c r="F1231" s="218" t="n">
        <x:v>0.9994791666666667</x:v>
      </x:c>
      <x:c r="G1231" s="217" t="n">
        <x:v>1227</x:v>
      </x:c>
      <x:c r="H1231" s="217" t="str">
        <x:f>IF(G1231&lt;='排名定義'!$B$5,"是","")</x:f>
        <x:v>是</x:v>
      </x:c>
      <x:c r="I1231" s="217" t="n">
        <x:v>1233</x:v>
      </x:c>
      <x:c r="J1231" s="217" t="str">
        <x:f>IF(I1231&lt;='排名定義'!$B$5,"是","")</x:f>
        <x:v>是</x:v>
      </x:c>
      <x:c r="K1231" s="217" t="n">
        <x:v>1048</x:v>
      </x:c>
      <x:c r="L1231" s="217" t="str">
        <x:f>IF(K1231&lt;='排名定義'!$B$5,"是","")</x:f>
        <x:v>是</x:v>
      </x:c>
      <x:c r="M1231" s="217" t="n">
        <x:f>COUNTIF(H1231:L1231,"是")</x:f>
        <x:v>3</x:v>
      </x:c>
      <x:c r="N1231" s="217" t="str">
        <x:v>三份皆未入選</x:v>
      </x:c>
      <x:c r="O1231" s="220" t="n">
        <x:v>24.258333333333333</x:v>
      </x:c>
      <x:c r="P1231" s="220" t="n">
        <x:v>20.916666666666668</x:v>
      </x:c>
      <x:c r="Q1231" s="220" t="n">
        <x:v>3.341666666666667</x:v>
      </x:c>
      <x:c r="R1231" s="220" t="n">
        <x:v>0.13775334936447955</x:v>
      </x:c>
      <x:c r="S1231" s="220" t="n">
        <x:v>36.806451612903224</x:v>
      </x:c>
      <x:c r="T1231" s="220" t="n">
        <x:v>34.54838709677419</x:v>
      </x:c>
      <x:c r="U1231" s="220" t="n">
        <x:v>2.2580645161290325</x:v>
      </x:c>
      <x:c r="V1231" s="218" t="n">
        <x:v>0.020737327188940093</x:v>
      </x:c>
      <x:c r="W1231" s="217" t="n">
        <x:v>8</x:v>
      </x:c>
      <x:c r="X1231" s="222" t="n">
        <x:v>870</x:v>
      </x:c>
      <x:c r="Y1231" s="217" t="n">
        <x:v>17</x:v>
      </x:c>
    </x:row>
    <x:row r="1232">
      <x:c r="A1232" s="216" t="n">
        <x:v>664</x:v>
      </x:c>
      <x:c r="B1232" s="216" t="str">
        <x:v>新北市立圖書館樹林東昇分館</x:v>
      </x:c>
      <x:c r="C1232" s="216" t="str">
        <x:v>樹林區</x:v>
      </x:c>
      <x:c r="D1232" s="216" t="n">
        <x:v>20</x:v>
      </x:c>
      <x:c r="E1232" s="216" t="n">
        <x:v>120</x:v>
      </x:c>
      <x:c r="F1232" s="219" t="n">
        <x:v>0.9994791666666667</x:v>
      </x:c>
      <x:c r="G1232" s="216" t="n">
        <x:v>1228</x:v>
      </x:c>
      <x:c r="H1232" s="216" t="str">
        <x:f>IF(G1232&lt;='排名定義'!$B$5,"是","")</x:f>
        <x:v>是</x:v>
      </x:c>
      <x:c r="I1232" s="216" t="n">
        <x:v>1230</x:v>
      </x:c>
      <x:c r="J1232" s="216" t="str">
        <x:f>IF(I1232&lt;='排名定義'!$B$5,"是","")</x:f>
        <x:v>是</x:v>
      </x:c>
      <x:c r="K1232" s="216" t="n">
        <x:v>1186</x:v>
      </x:c>
      <x:c r="L1232" s="216" t="str">
        <x:f>IF(K1232&lt;='排名定義'!$B$5,"是","")</x:f>
        <x:v>是</x:v>
      </x:c>
      <x:c r="M1232" s="216" t="n">
        <x:f>COUNTIF(H1232:L1232,"是")</x:f>
        <x:v>3</x:v>
      </x:c>
      <x:c r="N1232" s="216" t="str">
        <x:v>三份皆未入選</x:v>
      </x:c>
      <x:c r="O1232" s="221" t="n">
        <x:v>24.141666666666666</x:v>
      </x:c>
      <x:c r="P1232" s="221" t="n">
        <x:v>21.208333333333332</x:v>
      </x:c>
      <x:c r="Q1232" s="221" t="n">
        <x:v>2.933333333333333</x:v>
      </x:c>
      <x:c r="R1232" s="221" t="n">
        <x:v>0.1215050051777701</x:v>
      </x:c>
      <x:c r="S1232" s="221" t="n">
        <x:v>40.61290322580645</x:v>
      </x:c>
      <x:c r="T1232" s="221" t="n">
        <x:v>35.74193548387097</x:v>
      </x:c>
      <x:c r="U1232" s="221" t="n">
        <x:v>4.870967741935484</x:v>
      </x:c>
      <x:c r="V1232" s="219" t="n">
        <x:v>0.07373271889400922</x:v>
      </x:c>
      <x:c r="W1232" s="216" t="n">
        <x:v>15</x:v>
      </x:c>
      <x:c r="X1232" s="223" t="n">
        <x:v>1740</x:v>
      </x:c>
      <x:c r="Y1232" s="216" t="n">
        <x:v>20</x:v>
      </x:c>
    </x:row>
    <x:row r="1233">
      <x:c r="A1233" s="217" t="n">
        <x:v>270</x:v>
      </x:c>
      <x:c r="B1233" s="217" t="str">
        <x:v>學府大成路口</x:v>
      </x:c>
      <x:c r="C1233" s="217" t="str">
        <x:v>樹林區</x:v>
      </x:c>
      <x:c r="D1233" s="217" t="n">
        <x:v>14</x:v>
      </x:c>
      <x:c r="E1233" s="217" t="n">
        <x:v>120</x:v>
      </x:c>
      <x:c r="F1233" s="218" t="n">
        <x:v>0.9994791666666667</x:v>
      </x:c>
      <x:c r="G1233" s="217" t="n">
        <x:v>1229</x:v>
      </x:c>
      <x:c r="H1233" s="217" t="str">
        <x:f>IF(G1233&lt;='排名定義'!$B$5,"是","")</x:f>
        <x:v>是</x:v>
      </x:c>
      <x:c r="I1233" s="217" t="n">
        <x:v>1226</x:v>
      </x:c>
      <x:c r="J1233" s="217" t="str">
        <x:f>IF(I1233&lt;='排名定義'!$B$5,"是","")</x:f>
        <x:v>是</x:v>
      </x:c>
      <x:c r="K1233" s="217" t="n">
        <x:v>1268</x:v>
      </x:c>
      <x:c r="L1233" s="217" t="str">
        <x:f>IF(K1233&lt;='排名定義'!$B$5,"是","")</x:f>
        <x:v>是</x:v>
      </x:c>
      <x:c r="M1233" s="217" t="n">
        <x:f>COUNTIF(H1233:L1233,"是")</x:f>
        <x:v>3</x:v>
      </x:c>
      <x:c r="N1233" s="217" t="str">
        <x:v>三份皆未入選</x:v>
      </x:c>
      <x:c r="O1233" s="220" t="n">
        <x:v>24.075</x:v>
      </x:c>
      <x:c r="P1233" s="220" t="n">
        <x:v>21.441666666666666</x:v>
      </x:c>
      <x:c r="Q1233" s="220" t="n">
        <x:v>2.6333333333333333</x:v>
      </x:c>
      <x:c r="R1233" s="220" t="n">
        <x:v>0.10938040844582901</x:v>
      </x:c>
      <x:c r="S1233" s="220" t="n">
        <x:v>42.61290322580645</x:v>
      </x:c>
      <x:c r="T1233" s="220" t="n">
        <x:v>39.225806451612904</x:v>
      </x:c>
      <x:c r="U1233" s="220" t="n">
        <x:v>3.3870967741935485</x:v>
      </x:c>
      <x:c r="V1233" s="218" t="n">
        <x:v>0.052995391705069124</x:v>
      </x:c>
      <x:c r="W1233" s="217" t="n">
        <x:v>7</x:v>
      </x:c>
      <x:c r="X1233" s="222" t="n">
        <x:v>1050</x:v>
      </x:c>
      <x:c r="Y1233" s="217" t="n">
        <x:v>14</x:v>
      </x:c>
    </x:row>
    <x:row r="1234">
      <x:c r="A1234" s="216" t="n">
        <x:v>418</x:v>
      </x:c>
      <x:c r="B1234" s="216" t="str">
        <x:v>崁頂三路</x:v>
      </x:c>
      <x:c r="C1234" s="216" t="str">
        <x:v>淡水區</x:v>
      </x:c>
      <x:c r="D1234" s="216" t="n">
        <x:v>15</x:v>
      </x:c>
      <x:c r="E1234" s="216" t="n">
        <x:v>120</x:v>
      </x:c>
      <x:c r="F1234" s="219" t="n">
        <x:v>0.9994791666666667</x:v>
      </x:c>
      <x:c r="G1234" s="216" t="n">
        <x:v>1230</x:v>
      </x:c>
      <x:c r="H1234" s="216" t="str">
        <x:f>IF(G1234&lt;='排名定義'!$B$5,"是","")</x:f>
        <x:v>是</x:v>
      </x:c>
      <x:c r="I1234" s="216" t="n">
        <x:v>1231</x:v>
      </x:c>
      <x:c r="J1234" s="216" t="str">
        <x:f>IF(I1234&lt;='排名定義'!$B$5,"是","")</x:f>
        <x:v>是</x:v>
      </x:c>
      <x:c r="K1234" s="216" t="n">
        <x:v>1195</x:v>
      </x:c>
      <x:c r="L1234" s="216" t="str">
        <x:f>IF(K1234&lt;='排名定義'!$B$5,"是","")</x:f>
        <x:v>是</x:v>
      </x:c>
      <x:c r="M1234" s="216" t="n">
        <x:f>COUNTIF(H1234:L1234,"是")</x:f>
        <x:v>3</x:v>
      </x:c>
      <x:c r="N1234" s="216" t="str">
        <x:v>三份皆未入選</x:v>
      </x:c>
      <x:c r="O1234" s="221" t="n">
        <x:v>23.983333333333334</x:v>
      </x:c>
      <x:c r="P1234" s="221" t="n">
        <x:v>21.075</x:v>
      </x:c>
      <x:c r="Q1234" s="221" t="n">
        <x:v>2.908333333333333</x:v>
      </x:c>
      <x:c r="R1234" s="221" t="n">
        <x:v>0.12126476719944405</x:v>
      </x:c>
      <x:c r="S1234" s="221" t="n">
        <x:v>44.03225806451613</x:v>
      </x:c>
      <x:c r="T1234" s="221" t="n">
        <x:v>41.483870967741936</x:v>
      </x:c>
      <x:c r="U1234" s="221" t="n">
        <x:v>2.5483870967741935</x:v>
      </x:c>
      <x:c r="V1234" s="219" t="n">
        <x:v>0.06682027649769585</x:v>
      </x:c>
      <x:c r="W1234" s="216" t="n">
        <x:v>15</x:v>
      </x:c>
      <x:c r="X1234" s="223" t="n">
        <x:v>2160</x:v>
      </x:c>
      <x:c r="Y1234" s="216" t="n">
        <x:v>15</x:v>
      </x:c>
    </x:row>
    <x:row r="1235">
      <x:c r="A1235" s="217" t="n">
        <x:v>1038</x:v>
      </x:c>
      <x:c r="B1235" s="217" t="str">
        <x:v>蘭庭序大廈</x:v>
      </x:c>
      <x:c r="C1235" s="217" t="str">
        <x:v>汐止區</x:v>
      </x:c>
      <x:c r="D1235" s="217" t="n">
        <x:v>30</x:v>
      </x:c>
      <x:c r="E1235" s="217" t="n">
        <x:v>120</x:v>
      </x:c>
      <x:c r="F1235" s="218" t="n">
        <x:v>0.9994791666666667</x:v>
      </x:c>
      <x:c r="G1235" s="217" t="n">
        <x:v>1231</x:v>
      </x:c>
      <x:c r="H1235" s="217" t="str">
        <x:f>IF(G1235&lt;='排名定義'!$B$5,"是","")</x:f>
        <x:v>是</x:v>
      </x:c>
      <x:c r="I1235" s="217" t="n">
        <x:v>1235</x:v>
      </x:c>
      <x:c r="J1235" s="217" t="str">
        <x:f>IF(I1235&lt;='排名定義'!$B$5,"是","")</x:f>
        <x:v>是</x:v>
      </x:c>
      <x:c r="K1235" s="217" t="n">
        <x:v>1163</x:v>
      </x:c>
      <x:c r="L1235" s="217" t="str">
        <x:f>IF(K1235&lt;='排名定義'!$B$5,"是","")</x:f>
        <x:v>是</x:v>
      </x:c>
      <x:c r="M1235" s="217" t="n">
        <x:f>COUNTIF(H1235:L1235,"是")</x:f>
        <x:v>3</x:v>
      </x:c>
      <x:c r="N1235" s="217" t="str">
        <x:v>三份皆未入選</x:v>
      </x:c>
      <x:c r="O1235" s="220" t="n">
        <x:v>23.866666666666667</x:v>
      </x:c>
      <x:c r="P1235" s="220" t="n">
        <x:v>20.866666666666667</x:v>
      </x:c>
      <x:c r="Q1235" s="220" t="n">
        <x:v>3</x:v>
      </x:c>
      <x:c r="R1235" s="220" t="n">
        <x:v>0.12569832402234637</x:v>
      </x:c>
      <x:c r="S1235" s="220" t="n">
        <x:v>38</x:v>
      </x:c>
      <x:c r="T1235" s="220" t="n">
        <x:v>34.96774193548387</x:v>
      </x:c>
      <x:c r="U1235" s="220" t="n">
        <x:v>3.032258064516129</x:v>
      </x:c>
      <x:c r="V1235" s="218" t="n">
        <x:v>0.029953917050691243</x:v>
      </x:c>
      <x:c r="W1235" s="217" t="n">
        <x:v>7</x:v>
      </x:c>
      <x:c r="X1235" s="222" t="n">
        <x:v>630</x:v>
      </x:c>
      <x:c r="Y1235" s="217" t="n">
        <x:v>30</x:v>
      </x:c>
    </x:row>
    <x:row r="1236">
      <x:c r="A1236" s="216" t="n">
        <x:v>1045</x:v>
      </x:c>
      <x:c r="B1236" s="216" t="str">
        <x:v>中山大安路口</x:v>
      </x:c>
      <x:c r="C1236" s="216" t="str">
        <x:v>樹林區</x:v>
      </x:c>
      <x:c r="D1236" s="216" t="n">
        <x:v>30</x:v>
      </x:c>
      <x:c r="E1236" s="216" t="n">
        <x:v>120</x:v>
      </x:c>
      <x:c r="F1236" s="219" t="n">
        <x:v>0.9994791666666667</x:v>
      </x:c>
      <x:c r="G1236" s="216" t="n">
        <x:v>1232</x:v>
      </x:c>
      <x:c r="H1236" s="216" t="str">
        <x:f>IF(G1236&lt;='排名定義'!$B$5,"是","")</x:f>
        <x:v>是</x:v>
      </x:c>
      <x:c r="I1236" s="216" t="n">
        <x:v>1228</x:v>
      </x:c>
      <x:c r="J1236" s="216" t="str">
        <x:f>IF(I1236&lt;='排名定義'!$B$5,"是","")</x:f>
        <x:v>是</x:v>
      </x:c>
      <x:c r="K1236" s="216" t="n">
        <x:v>1273</x:v>
      </x:c>
      <x:c r="L1236" s="216" t="str">
        <x:f>IF(K1236&lt;='排名定義'!$B$5,"是","")</x:f>
        <x:v>是</x:v>
      </x:c>
      <x:c r="M1236" s="216" t="n">
        <x:f>COUNTIF(H1236:L1236,"是")</x:f>
        <x:v>3</x:v>
      </x:c>
      <x:c r="N1236" s="216" t="str">
        <x:v>三份皆未入選</x:v>
      </x:c>
      <x:c r="O1236" s="221" t="n">
        <x:v>23.858333333333334</x:v>
      </x:c>
      <x:c r="P1236" s="221" t="n">
        <x:v>21.241666666666667</x:v>
      </x:c>
      <x:c r="Q1236" s="221" t="n">
        <x:v>2.6166666666666667</x:v>
      </x:c>
      <x:c r="R1236" s="221" t="n">
        <x:v>0.10967516590988474</x:v>
      </x:c>
      <x:c r="S1236" s="221" t="n">
        <x:v>39.54838709677419</x:v>
      </x:c>
      <x:c r="T1236" s="221" t="n">
        <x:v>37.645161290322584</x:v>
      </x:c>
      <x:c r="U1236" s="221" t="n">
        <x:v>1.903225806451613</x:v>
      </x:c>
      <x:c r="V1236" s="219" t="n">
        <x:v>0.013824884792626729</x:v>
      </x:c>
      <x:c r="W1236" s="216" t="n">
        <x:v>5</x:v>
      </x:c>
      <x:c r="X1236" s="223" t="n">
        <x:v>360</x:v>
      </x:c>
      <x:c r="Y1236" s="216" t="n">
        <x:v>30</x:v>
      </x:c>
    </x:row>
    <x:row r="1237">
      <x:c r="A1237" s="217" t="n">
        <x:v>1023</x:v>
      </x:c>
      <x:c r="B1237" s="217" t="str">
        <x:v>土城綜合球場</x:v>
      </x:c>
      <x:c r="C1237" s="217" t="str">
        <x:v>土城區</x:v>
      </x:c>
      <x:c r="D1237" s="217" t="n">
        <x:v>30</x:v>
      </x:c>
      <x:c r="E1237" s="217" t="n">
        <x:v>120</x:v>
      </x:c>
      <x:c r="F1237" s="218" t="n">
        <x:v>0.9994791666666667</x:v>
      </x:c>
      <x:c r="G1237" s="217" t="n">
        <x:v>1233</x:v>
      </x:c>
      <x:c r="H1237" s="217" t="str">
        <x:f>IF(G1237&lt;='排名定義'!$B$5,"是","")</x:f>
        <x:v>是</x:v>
      </x:c>
      <x:c r="I1237" s="217" t="n">
        <x:v>1243</x:v>
      </x:c>
      <x:c r="J1237" s="217" t="str">
        <x:f>IF(I1237&lt;='排名定義'!$B$5,"是","")</x:f>
        <x:v>是</x:v>
      </x:c>
      <x:c r="K1237" s="217" t="n">
        <x:v>1029</x:v>
      </x:c>
      <x:c r="L1237" s="217" t="str">
        <x:f>IF(K1237&lt;='排名定義'!$B$5,"是","")</x:f>
        <x:v>是</x:v>
      </x:c>
      <x:c r="M1237" s="217" t="n">
        <x:f>COUNTIF(H1237:L1237,"是")</x:f>
        <x:v>3</x:v>
      </x:c>
      <x:c r="N1237" s="217" t="str">
        <x:v>三份皆未入選</x:v>
      </x:c>
      <x:c r="O1237" s="220" t="n">
        <x:v>23.758333333333333</x:v>
      </x:c>
      <x:c r="P1237" s="220" t="n">
        <x:v>20.383333333333333</x:v>
      </x:c>
      <x:c r="Q1237" s="220" t="n">
        <x:v>3.375</x:v>
      </x:c>
      <x:c r="R1237" s="220" t="n">
        <x:v>0.14205541915117503</x:v>
      </x:c>
      <x:c r="S1237" s="220" t="n">
        <x:v>36.935483870967744</x:v>
      </x:c>
      <x:c r="T1237" s="220" t="n">
        <x:v>33.096774193548384</x:v>
      </x:c>
      <x:c r="U1237" s="220" t="n">
        <x:v>3.838709677419355</x:v>
      </x:c>
      <x:c r="V1237" s="218" t="n">
        <x:v>0.10599078341013825</x:v>
      </x:c>
      <x:c r="W1237" s="217" t="n">
        <x:v>24</x:v>
      </x:c>
      <x:c r="X1237" s="222" t="n">
        <x:v>2670</x:v>
      </x:c>
      <x:c r="Y1237" s="217" t="n">
        <x:v>30</x:v>
      </x:c>
    </x:row>
    <x:row r="1238">
      <x:c r="A1238" s="216" t="n">
        <x:v>377</x:v>
      </x:c>
      <x:c r="B1238" s="216" t="str">
        <x:v>泰山體育館</x:v>
      </x:c>
      <x:c r="C1238" s="216" t="str">
        <x:v>泰山區</x:v>
      </x:c>
      <x:c r="D1238" s="216" t="n">
        <x:v>15</x:v>
      </x:c>
      <x:c r="E1238" s="216" t="n">
        <x:v>120</x:v>
      </x:c>
      <x:c r="F1238" s="219" t="n">
        <x:v>0.9994791666666667</x:v>
      </x:c>
      <x:c r="G1238" s="216" t="n">
        <x:v>1234</x:v>
      </x:c>
      <x:c r="H1238" s="216" t="str">
        <x:f>IF(G1238&lt;='排名定義'!$B$5,"是","")</x:f>
        <x:v>是</x:v>
      </x:c>
      <x:c r="I1238" s="216" t="n">
        <x:v>1237</x:v>
      </x:c>
      <x:c r="J1238" s="216" t="str">
        <x:f>IF(I1238&lt;='排名定義'!$B$5,"是","")</x:f>
        <x:v>是</x:v>
      </x:c>
      <x:c r="K1238" s="216" t="n">
        <x:v>1199</x:v>
      </x:c>
      <x:c r="L1238" s="216" t="str">
        <x:f>IF(K1238&lt;='排名定義'!$B$5,"是","")</x:f>
        <x:v>是</x:v>
      </x:c>
      <x:c r="M1238" s="216" t="n">
        <x:f>COUNTIF(H1238:L1238,"是")</x:f>
        <x:v>3</x:v>
      </x:c>
      <x:c r="N1238" s="216" t="str">
        <x:v>三份皆未入選</x:v>
      </x:c>
      <x:c r="O1238" s="221" t="n">
        <x:v>23.75</x:v>
      </x:c>
      <x:c r="P1238" s="221" t="n">
        <x:v>20.85</x:v>
      </x:c>
      <x:c r="Q1238" s="221" t="n">
        <x:v>2.9</x:v>
      </x:c>
      <x:c r="R1238" s="221" t="n">
        <x:v>0.12210526315789473</x:v>
      </x:c>
      <x:c r="S1238" s="221" t="n">
        <x:v>37.12903225806452</x:v>
      </x:c>
      <x:c r="T1238" s="221" t="n">
        <x:v>35.03225806451613</x:v>
      </x:c>
      <x:c r="U1238" s="221" t="n">
        <x:v>2.096774193548387</x:v>
      </x:c>
      <x:c r="V1238" s="219" t="n">
        <x:v>0.07373271889400922</x:v>
      </x:c>
      <x:c r="W1238" s="216" t="n">
        <x:v>35</x:v>
      </x:c>
      <x:c r="X1238" s="223" t="n">
        <x:v>4890</x:v>
      </x:c>
      <x:c r="Y1238" s="216" t="n">
        <x:v>15</x:v>
      </x:c>
    </x:row>
    <x:row r="1239">
      <x:c r="A1239" s="217" t="n">
        <x:v>396</x:v>
      </x:c>
      <x:c r="B1239" s="217" t="str">
        <x:v>重陽橋市民活動中心</x:v>
      </x:c>
      <x:c r="C1239" s="217" t="str">
        <x:v>三重區</x:v>
      </x:c>
      <x:c r="D1239" s="217" t="n">
        <x:v>15</x:v>
      </x:c>
      <x:c r="E1239" s="217" t="n">
        <x:v>120</x:v>
      </x:c>
      <x:c r="F1239" s="218" t="n">
        <x:v>0.9994791666666667</x:v>
      </x:c>
      <x:c r="G1239" s="217" t="n">
        <x:v>1235</x:v>
      </x:c>
      <x:c r="H1239" s="217" t="str">
        <x:f>IF(G1239&lt;='排名定義'!$B$5,"是","")</x:f>
        <x:v>是</x:v>
      </x:c>
      <x:c r="I1239" s="217" t="n">
        <x:v>1229</x:v>
      </x:c>
      <x:c r="J1239" s="217" t="str">
        <x:f>IF(I1239&lt;='排名定義'!$B$5,"是","")</x:f>
        <x:v>是</x:v>
      </x:c>
      <x:c r="K1239" s="217" t="n">
        <x:v>1317</x:v>
      </x:c>
      <x:c r="L1239" s="217" t="str">
        <x:f>IF(K1239&lt;='排名定義'!$B$5,"是","")</x:f>
        <x:v>是</x:v>
      </x:c>
      <x:c r="M1239" s="217" t="n">
        <x:f>COUNTIF(H1239:L1239,"是")</x:f>
        <x:v>3</x:v>
      </x:c>
      <x:c r="N1239" s="217" t="str">
        <x:v>三份皆未入選</x:v>
      </x:c>
      <x:c r="O1239" s="220" t="n">
        <x:v>23.616666666666667</x:v>
      </x:c>
      <x:c r="P1239" s="220" t="n">
        <x:v>21.208333333333332</x:v>
      </x:c>
      <x:c r="Q1239" s="220" t="n">
        <x:v>2.408333333333333</x:v>
      </x:c>
      <x:c r="R1239" s="220" t="n">
        <x:v>0.10197600564573042</x:v>
      </x:c>
      <x:c r="S1239" s="220" t="n">
        <x:v>38.806451612903224</x:v>
      </x:c>
      <x:c r="T1239" s="220" t="n">
        <x:v>36.645161290322584</x:v>
      </x:c>
      <x:c r="U1239" s="220" t="n">
        <x:v>2.161290322580645</x:v>
      </x:c>
      <x:c r="V1239" s="218" t="n">
        <x:v>0.04838709677419355</x:v>
      </x:c>
      <x:c r="W1239" s="217" t="n">
        <x:v>8</x:v>
      </x:c>
      <x:c r="X1239" s="222" t="n">
        <x:v>1230</x:v>
      </x:c>
      <x:c r="Y1239" s="217" t="n">
        <x:v>15</x:v>
      </x:c>
    </x:row>
    <x:row r="1240">
      <x:c r="A1240" s="216" t="n">
        <x:v>848</x:v>
      </x:c>
      <x:c r="B1240" s="216" t="str">
        <x:v>中正橋(環河西路一段)</x:v>
      </x:c>
      <x:c r="C1240" s="216" t="str">
        <x:v>永和區</x:v>
      </x:c>
      <x:c r="D1240" s="216" t="n">
        <x:v>24</x:v>
      </x:c>
      <x:c r="E1240" s="216" t="n">
        <x:v>120</x:v>
      </x:c>
      <x:c r="F1240" s="219" t="n">
        <x:v>0.9994791666666667</x:v>
      </x:c>
      <x:c r="G1240" s="216" t="n">
        <x:v>1236</x:v>
      </x:c>
      <x:c r="H1240" s="216" t="str">
        <x:f>IF(G1240&lt;='排名定義'!$B$5,"是","")</x:f>
        <x:v>是</x:v>
      </x:c>
      <x:c r="I1240" s="216" t="n">
        <x:v>1232</x:v>
      </x:c>
      <x:c r="J1240" s="216" t="str">
        <x:f>IF(I1240&lt;='排名定義'!$B$5,"是","")</x:f>
        <x:v>是</x:v>
      </x:c>
      <x:c r="K1240" s="216" t="n">
        <x:v>1283</x:v>
      </x:c>
      <x:c r="L1240" s="216" t="str">
        <x:f>IF(K1240&lt;='排名定義'!$B$5,"是","")</x:f>
        <x:v>是</x:v>
      </x:c>
      <x:c r="M1240" s="216" t="n">
        <x:f>COUNTIF(H1240:L1240,"是")</x:f>
        <x:v>3</x:v>
      </x:c>
      <x:c r="N1240" s="216" t="str">
        <x:v>三份皆未入選</x:v>
      </x:c>
      <x:c r="O1240" s="221" t="n">
        <x:v>23.566666666666666</x:v>
      </x:c>
      <x:c r="P1240" s="221" t="n">
        <x:v>20.991666666666667</x:v>
      </x:c>
      <x:c r="Q1240" s="221" t="n">
        <x:v>2.575</x:v>
      </x:c>
      <x:c r="R1240" s="221" t="n">
        <x:v>0.10926449787835926</x:v>
      </x:c>
      <x:c r="S1240" s="221" t="n">
        <x:v>37.645161290322584</x:v>
      </x:c>
      <x:c r="T1240" s="221" t="n">
        <x:v>33.935483870967744</x:v>
      </x:c>
      <x:c r="U1240" s="221" t="n">
        <x:v>3.7096774193548385</x:v>
      </x:c>
      <x:c r="V1240" s="219" t="n">
        <x:v>0.06451612903225806</x:v>
      </x:c>
      <x:c r="W1240" s="216" t="n">
        <x:v>16</x:v>
      </x:c>
      <x:c r="X1240" s="223" t="n">
        <x:v>1800</x:v>
      </x:c>
      <x:c r="Y1240" s="216" t="n">
        <x:v>24</x:v>
      </x:c>
    </x:row>
    <x:row r="1241">
      <x:c r="A1241" s="217" t="n">
        <x:v>412</x:v>
      </x:c>
      <x:c r="B1241" s="217" t="str">
        <x:v>國中高職東街口</x:v>
      </x:c>
      <x:c r="C1241" s="217" t="str">
        <x:v>鶯歌區</x:v>
      </x:c>
      <x:c r="D1241" s="217" t="n">
        <x:v>15</x:v>
      </x:c>
      <x:c r="E1241" s="217" t="n">
        <x:v>120</x:v>
      </x:c>
      <x:c r="F1241" s="218" t="n">
        <x:v>0.9994791666666667</x:v>
      </x:c>
      <x:c r="G1241" s="217" t="n">
        <x:v>1237</x:v>
      </x:c>
      <x:c r="H1241" s="217" t="str">
        <x:f>IF(G1241&lt;='排名定義'!$B$5,"是","")</x:f>
        <x:v>是</x:v>
      </x:c>
      <x:c r="I1241" s="217" t="n">
        <x:v>1236</x:v>
      </x:c>
      <x:c r="J1241" s="217" t="str">
        <x:f>IF(I1241&lt;='排名定義'!$B$5,"是","")</x:f>
        <x:v>是</x:v>
      </x:c>
      <x:c r="K1241" s="217" t="n">
        <x:v>1250</x:v>
      </x:c>
      <x:c r="L1241" s="217" t="str">
        <x:f>IF(K1241&lt;='排名定義'!$B$5,"是","")</x:f>
        <x:v>是</x:v>
      </x:c>
      <x:c r="M1241" s="217" t="n">
        <x:f>COUNTIF(H1241:L1241,"是")</x:f>
        <x:v>3</x:v>
      </x:c>
      <x:c r="N1241" s="217" t="str">
        <x:v>三份皆未入選</x:v>
      </x:c>
      <x:c r="O1241" s="220" t="n">
        <x:v>23.558333333333334</x:v>
      </x:c>
      <x:c r="P1241" s="220" t="n">
        <x:v>20.858333333333334</x:v>
      </x:c>
      <x:c r="Q1241" s="220" t="n">
        <x:v>2.7</x:v>
      </x:c>
      <x:c r="R1241" s="220" t="n">
        <x:v>0.11460912628227804</x:v>
      </x:c>
      <x:c r="S1241" s="220" t="n">
        <x:v>33.806451612903224</x:v>
      </x:c>
      <x:c r="T1241" s="220" t="n">
        <x:v>31.387096774193548</x:v>
      </x:c>
      <x:c r="U1241" s="220" t="n">
        <x:v>2.4193548387096775</x:v>
      </x:c>
      <x:c r="V1241" s="218" t="n">
        <x:v>0.0576036866359447</x:v>
      </x:c>
      <x:c r="W1241" s="217" t="n">
        <x:v>8</x:v>
      </x:c>
      <x:c r="X1241" s="222" t="n">
        <x:v>960</x:v>
      </x:c>
      <x:c r="Y1241" s="217" t="n">
        <x:v>15</x:v>
      </x:c>
    </x:row>
    <x:row r="1242">
      <x:c r="A1242" s="216" t="n">
        <x:v>862</x:v>
      </x:c>
      <x:c r="B1242" s="216" t="str">
        <x:v>安居公教住宅</x:v>
      </x:c>
      <x:c r="C1242" s="216" t="str">
        <x:v>新店區</x:v>
      </x:c>
      <x:c r="D1242" s="216" t="n">
        <x:v>24</x:v>
      </x:c>
      <x:c r="E1242" s="216" t="n">
        <x:v>120</x:v>
      </x:c>
      <x:c r="F1242" s="219" t="n">
        <x:v>0.9994791666666667</x:v>
      </x:c>
      <x:c r="G1242" s="216" t="n">
        <x:v>1238</x:v>
      </x:c>
      <x:c r="H1242" s="216" t="str">
        <x:f>IF(G1242&lt;='排名定義'!$B$5,"是","")</x:f>
        <x:v>是</x:v>
      </x:c>
      <x:c r="I1242" s="216" t="n">
        <x:v>1249</x:v>
      </x:c>
      <x:c r="J1242" s="216" t="str">
        <x:f>IF(I1242&lt;='排名定義'!$B$5,"是","")</x:f>
        <x:v>是</x:v>
      </x:c>
      <x:c r="K1242" s="216" t="n">
        <x:v>1050</x:v>
      </x:c>
      <x:c r="L1242" s="216" t="str">
        <x:f>IF(K1242&lt;='排名定義'!$B$5,"是","")</x:f>
        <x:v>是</x:v>
      </x:c>
      <x:c r="M1242" s="216" t="n">
        <x:f>COUNTIF(H1242:L1242,"是")</x:f>
        <x:v>3</x:v>
      </x:c>
      <x:c r="N1242" s="216" t="str">
        <x:v>三份皆未入選</x:v>
      </x:c>
      <x:c r="O1242" s="221" t="n">
        <x:v>23.416666666666668</x:v>
      </x:c>
      <x:c r="P1242" s="221" t="n">
        <x:v>20.075</x:v>
      </x:c>
      <x:c r="Q1242" s="221" t="n">
        <x:v>3.341666666666667</x:v>
      </x:c>
      <x:c r="R1242" s="221" t="n">
        <x:v>0.14270462633451958</x:v>
      </x:c>
      <x:c r="S1242" s="221" t="n">
        <x:v>39.354838709677416</x:v>
      </x:c>
      <x:c r="T1242" s="221" t="n">
        <x:v>36.29032258064516</x:v>
      </x:c>
      <x:c r="U1242" s="221" t="n">
        <x:v>3.064516129032258</x:v>
      </x:c>
      <x:c r="V1242" s="219" t="n">
        <x:v>0.06451612903225806</x:v>
      </x:c>
      <x:c r="W1242" s="216" t="n">
        <x:v>17</x:v>
      </x:c>
      <x:c r="X1242" s="223" t="n">
        <x:v>1830</x:v>
      </x:c>
      <x:c r="Y1242" s="216" t="n">
        <x:v>24</x:v>
      </x:c>
    </x:row>
    <x:row r="1243">
      <x:c r="A1243" s="217" t="n">
        <x:v>683</x:v>
      </x:c>
      <x:c r="B1243" s="217" t="str">
        <x:v>育德國小</x:v>
      </x:c>
      <x:c r="C1243" s="217" t="str">
        <x:v>樹林區</x:v>
      </x:c>
      <x:c r="D1243" s="217" t="n">
        <x:v>20</x:v>
      </x:c>
      <x:c r="E1243" s="217" t="n">
        <x:v>120</x:v>
      </x:c>
      <x:c r="F1243" s="218" t="n">
        <x:v>0.9994791666666667</x:v>
      </x:c>
      <x:c r="G1243" s="217" t="n">
        <x:v>1239</x:v>
      </x:c>
      <x:c r="H1243" s="217" t="str">
        <x:f>IF(G1243&lt;='排名定義'!$B$5,"是","")</x:f>
        <x:v>是</x:v>
      </x:c>
      <x:c r="I1243" s="217" t="n">
        <x:v>1241</x:v>
      </x:c>
      <x:c r="J1243" s="217" t="str">
        <x:f>IF(I1243&lt;='排名定義'!$B$5,"是","")</x:f>
        <x:v>是</x:v>
      </x:c>
      <x:c r="K1243" s="217" t="n">
        <x:v>1241</x:v>
      </x:c>
      <x:c r="L1243" s="217" t="str">
        <x:f>IF(K1243&lt;='排名定義'!$B$5,"是","")</x:f>
        <x:v>是</x:v>
      </x:c>
      <x:c r="M1243" s="217" t="n">
        <x:f>COUNTIF(H1243:L1243,"是")</x:f>
        <x:v>3</x:v>
      </x:c>
      <x:c r="N1243" s="217" t="str">
        <x:v>三份皆未入選</x:v>
      </x:c>
      <x:c r="O1243" s="220" t="n">
        <x:v>23.366666666666667</x:v>
      </x:c>
      <x:c r="P1243" s="220" t="n">
        <x:v>20.6</x:v>
      </x:c>
      <x:c r="Q1243" s="220" t="n">
        <x:v>2.7666666666666666</x:v>
      </x:c>
      <x:c r="R1243" s="220" t="n">
        <x:v>0.11840228245363767</x:v>
      </x:c>
      <x:c r="S1243" s="220" t="n">
        <x:v>42.45161290322581</x:v>
      </x:c>
      <x:c r="T1243" s="220" t="n">
        <x:v>39.483870967741936</x:v>
      </x:c>
      <x:c r="U1243" s="220" t="n">
        <x:v>2.967741935483871</x:v>
      </x:c>
      <x:c r="V1243" s="218" t="n">
        <x:v>0.052995391705069124</x:v>
      </x:c>
      <x:c r="W1243" s="217" t="n">
        <x:v>8</x:v>
      </x:c>
      <x:c r="X1243" s="222" t="n">
        <x:v>1050</x:v>
      </x:c>
      <x:c r="Y1243" s="217" t="n">
        <x:v>20</x:v>
      </x:c>
    </x:row>
    <x:row r="1244">
      <x:c r="A1244" s="216" t="n">
        <x:v>1306</x:v>
      </x:c>
      <x:c r="B1244" s="216" t="str">
        <x:v>中正新月二街口(富江翠社區)</x:v>
      </x:c>
      <x:c r="C1244" s="216" t="str">
        <x:v>板橋區</x:v>
      </x:c>
      <x:c r="D1244" s="216" t="n">
        <x:v>40</x:v>
      </x:c>
      <x:c r="E1244" s="216" t="n">
        <x:v>120</x:v>
      </x:c>
      <x:c r="F1244" s="219" t="n">
        <x:v>0.9994791666666667</x:v>
      </x:c>
      <x:c r="G1244" s="216" t="n">
        <x:v>1240</x:v>
      </x:c>
      <x:c r="H1244" s="216" t="str">
        <x:f>IF(G1244&lt;='排名定義'!$B$5,"是","")</x:f>
        <x:v>是</x:v>
      </x:c>
      <x:c r="I1244" s="216" t="n">
        <x:v>1253</x:v>
      </x:c>
      <x:c r="J1244" s="216" t="str">
        <x:f>IF(I1244&lt;='排名定義'!$B$5,"是","")</x:f>
        <x:v>是</x:v>
      </x:c>
      <x:c r="K1244" s="216" t="n">
        <x:v>965</x:v>
      </x:c>
      <x:c r="L1244" s="216" t="str">
        <x:f>IF(K1244&lt;='排名定義'!$B$5,"是","")</x:f>
        <x:v>是</x:v>
      </x:c>
      <x:c r="M1244" s="216" t="n">
        <x:f>COUNTIF(H1244:L1244,"是")</x:f>
        <x:v>3</x:v>
      </x:c>
      <x:c r="N1244" s="216" t="str">
        <x:v>三份皆未入選</x:v>
      </x:c>
      <x:c r="O1244" s="221" t="n">
        <x:v>23.325</x:v>
      </x:c>
      <x:c r="P1244" s="221" t="n">
        <x:v>19.8</x:v>
      </x:c>
      <x:c r="Q1244" s="221" t="n">
        <x:v>3.525</x:v>
      </x:c>
      <x:c r="R1244" s="221" t="n">
        <x:v>0.15112540192926044</x:v>
      </x:c>
      <x:c r="S1244" s="221" t="n">
        <x:v>39.225806451612904</x:v>
      </x:c>
      <x:c r="T1244" s="221" t="n">
        <x:v>35.16129032258065</x:v>
      </x:c>
      <x:c r="U1244" s="221" t="n">
        <x:v>4.064516129032258</x:v>
      </x:c>
      <x:c r="V1244" s="219" t="n">
        <x:v>0.09907834101382489</x:v>
      </x:c>
      <x:c r="W1244" s="216" t="n">
        <x:v>12</x:v>
      </x:c>
      <x:c r="X1244" s="223" t="n">
        <x:v>1830</x:v>
      </x:c>
      <x:c r="Y1244" s="216" t="n">
        <x:v>40</x:v>
      </x:c>
    </x:row>
    <x:row r="1245">
      <x:c r="A1245" s="217" t="n">
        <x:v>1080</x:v>
      </x:c>
      <x:c r="B1245" s="217" t="str">
        <x:v>光華橋(保平路)</x:v>
      </x:c>
      <x:c r="C1245" s="217" t="str">
        <x:v>中和區</x:v>
      </x:c>
      <x:c r="D1245" s="217" t="n">
        <x:v>31</x:v>
      </x:c>
      <x:c r="E1245" s="217" t="n">
        <x:v>120</x:v>
      </x:c>
      <x:c r="F1245" s="218" t="n">
        <x:v>0.9994791666666667</x:v>
      </x:c>
      <x:c r="G1245" s="217" t="n">
        <x:v>1241</x:v>
      </x:c>
      <x:c r="H1245" s="217" t="str">
        <x:f>IF(G1245&lt;='排名定義'!$B$5,"是","")</x:f>
        <x:v>是</x:v>
      </x:c>
      <x:c r="I1245" s="217" t="n">
        <x:v>1257</x:v>
      </x:c>
      <x:c r="J1245" s="217" t="str">
        <x:f>IF(I1245&lt;='排名定義'!$B$5,"是","")</x:f>
        <x:v>是</x:v>
      </x:c>
      <x:c r="K1245" s="217" t="n">
        <x:v>878</x:v>
      </x:c>
      <x:c r="L1245" s="217" t="str">
        <x:f>IF(K1245&lt;='排名定義'!$B$5,"是","")</x:f>
        <x:v>是</x:v>
      </x:c>
      <x:c r="M1245" s="217" t="n">
        <x:f>COUNTIF(H1245:L1245,"是")</x:f>
        <x:v>3</x:v>
      </x:c>
      <x:c r="N1245" s="217" t="str">
        <x:v>三份皆未入選</x:v>
      </x:c>
      <x:c r="O1245" s="220" t="n">
        <x:v>23.258333333333333</x:v>
      </x:c>
      <x:c r="P1245" s="220" t="n">
        <x:v>19.466666666666665</x:v>
      </x:c>
      <x:c r="Q1245" s="220" t="n">
        <x:v>3.7916666666666665</x:v>
      </x:c>
      <x:c r="R1245" s="220" t="n">
        <x:v>0.16302400573271228</x:v>
      </x:c>
      <x:c r="S1245" s="220" t="n">
        <x:v>40.61290322580645</x:v>
      </x:c>
      <x:c r="T1245" s="220" t="n">
        <x:v>37.32258064516129</x:v>
      </x:c>
      <x:c r="U1245" s="220" t="n">
        <x:v>3.2903225806451615</x:v>
      </x:c>
      <x:c r="V1245" s="218" t="n">
        <x:v>0.016129032258064516</x:v>
      </x:c>
      <x:c r="W1245" s="217" t="n">
        <x:v>5</x:v>
      </x:c>
      <x:c r="X1245" s="222" t="n">
        <x:v>570</x:v>
      </x:c>
      <x:c r="Y1245" s="217" t="n">
        <x:v>31</x:v>
      </x:c>
    </x:row>
    <x:row r="1246">
      <x:c r="A1246" s="216" t="n">
        <x:v>801</x:v>
      </x:c>
      <x:c r="B1246" s="216" t="str">
        <x:v>新市二路三段36巷口</x:v>
      </x:c>
      <x:c r="C1246" s="216" t="str">
        <x:v>淡水區</x:v>
      </x:c>
      <x:c r="D1246" s="216" t="n">
        <x:v>22</x:v>
      </x:c>
      <x:c r="E1246" s="216" t="n">
        <x:v>120</x:v>
      </x:c>
      <x:c r="F1246" s="219" t="n">
        <x:v>0.9994791666666667</x:v>
      </x:c>
      <x:c r="G1246" s="216" t="n">
        <x:v>1242</x:v>
      </x:c>
      <x:c r="H1246" s="216" t="str">
        <x:f>IF(G1246&lt;='排名定義'!$B$5,"是","")</x:f>
        <x:v>是</x:v>
      </x:c>
      <x:c r="I1246" s="216" t="n">
        <x:v>1248</x:v>
      </x:c>
      <x:c r="J1246" s="216" t="str">
        <x:f>IF(I1246&lt;='排名定義'!$B$5,"是","")</x:f>
        <x:v>是</x:v>
      </x:c>
      <x:c r="K1246" s="216" t="n">
        <x:v>1125</x:v>
      </x:c>
      <x:c r="L1246" s="216" t="str">
        <x:f>IF(K1246&lt;='排名定義'!$B$5,"是","")</x:f>
        <x:v>是</x:v>
      </x:c>
      <x:c r="M1246" s="216" t="n">
        <x:f>COUNTIF(H1246:L1246,"是")</x:f>
        <x:v>3</x:v>
      </x:c>
      <x:c r="N1246" s="216" t="str">
        <x:v>三份皆未入選</x:v>
      </x:c>
      <x:c r="O1246" s="221" t="n">
        <x:v>23.225</x:v>
      </x:c>
      <x:c r="P1246" s="221" t="n">
        <x:v>20.1</x:v>
      </x:c>
      <x:c r="Q1246" s="221" t="n">
        <x:v>3.125</x:v>
      </x:c>
      <x:c r="R1246" s="221" t="n">
        <x:v>0.13455328310010764</x:v>
      </x:c>
      <x:c r="S1246" s="221" t="n">
        <x:v>38.58064516129032</x:v>
      </x:c>
      <x:c r="T1246" s="221" t="n">
        <x:v>35.41935483870968</x:v>
      </x:c>
      <x:c r="U1246" s="221" t="n">
        <x:v>3.161290322580645</x:v>
      </x:c>
      <x:c r="V1246" s="219" t="n">
        <x:v>0.05069124423963134</x:v>
      </x:c>
      <x:c r="W1246" s="216" t="n">
        <x:v>8</x:v>
      </x:c>
      <x:c r="X1246" s="223" t="n">
        <x:v>840</x:v>
      </x:c>
      <x:c r="Y1246" s="216" t="n">
        <x:v>22</x:v>
      </x:c>
    </x:row>
    <x:row r="1247">
      <x:c r="A1247" s="217" t="n">
        <x:v>166</x:v>
      </x:c>
      <x:c r="B1247" s="217" t="str">
        <x:v>鳳七鶯歌路口</x:v>
      </x:c>
      <x:c r="C1247" s="217" t="str">
        <x:v>鶯歌區</x:v>
      </x:c>
      <x:c r="D1247" s="217" t="n">
        <x:v>11</x:v>
      </x:c>
      <x:c r="E1247" s="217" t="n">
        <x:v>120</x:v>
      </x:c>
      <x:c r="F1247" s="218" t="n">
        <x:v>0.9994791666666667</x:v>
      </x:c>
      <x:c r="G1247" s="217" t="n">
        <x:v>1243</x:v>
      </x:c>
      <x:c r="H1247" s="217" t="str">
        <x:f>IF(G1247&lt;='排名定義'!$B$5,"是","")</x:f>
        <x:v>是</x:v>
      </x:c>
      <x:c r="I1247" s="217" t="n">
        <x:v>1245</x:v>
      </x:c>
      <x:c r="J1247" s="217" t="str">
        <x:f>IF(I1247&lt;='排名定義'!$B$5,"是","")</x:f>
        <x:v>是</x:v>
      </x:c>
      <x:c r="K1247" s="217" t="n">
        <x:v>1224</x:v>
      </x:c>
      <x:c r="L1247" s="217" t="str">
        <x:f>IF(K1247&lt;='排名定義'!$B$5,"是","")</x:f>
        <x:v>是</x:v>
      </x:c>
      <x:c r="M1247" s="217" t="n">
        <x:f>COUNTIF(H1247:L1247,"是")</x:f>
        <x:v>3</x:v>
      </x:c>
      <x:c r="N1247" s="217" t="str">
        <x:v>三份皆未入選</x:v>
      </x:c>
      <x:c r="O1247" s="220" t="n">
        <x:v>23.183333333333334</x:v>
      </x:c>
      <x:c r="P1247" s="220" t="n">
        <x:v>20.35</x:v>
      </x:c>
      <x:c r="Q1247" s="220" t="n">
        <x:v>2.8333333333333335</x:v>
      </x:c>
      <x:c r="R1247" s="220" t="n">
        <x:v>0.12221423436376708</x:v>
      </x:c>
      <x:c r="S1247" s="220" t="n">
        <x:v>38.54838709677419</x:v>
      </x:c>
      <x:c r="T1247" s="220" t="n">
        <x:v>35.354838709677416</x:v>
      </x:c>
      <x:c r="U1247" s="220" t="n">
        <x:v>3.193548387096774</x:v>
      </x:c>
      <x:c r="V1247" s="218" t="n">
        <x:v>0.08064516129032258</x:v>
      </x:c>
      <x:c r="W1247" s="217" t="n">
        <x:v>13</x:v>
      </x:c>
      <x:c r="X1247" s="222" t="n">
        <x:v>1620</x:v>
      </x:c>
      <x:c r="Y1247" s="217" t="n">
        <x:v>11</x:v>
      </x:c>
    </x:row>
    <x:row r="1248">
      <x:c r="A1248" s="216" t="n">
        <x:v>602</x:v>
      </x:c>
      <x:c r="B1248" s="216" t="str">
        <x:v>水之公園</x:v>
      </x:c>
      <x:c r="C1248" s="216" t="str">
        <x:v>中和區</x:v>
      </x:c>
      <x:c r="D1248" s="216" t="n">
        <x:v>18</x:v>
      </x:c>
      <x:c r="E1248" s="216" t="n">
        <x:v>120</x:v>
      </x:c>
      <x:c r="F1248" s="219" t="n">
        <x:v>0.9994791666666667</x:v>
      </x:c>
      <x:c r="G1248" s="216" t="n">
        <x:v>1244</x:v>
      </x:c>
      <x:c r="H1248" s="216" t="str">
        <x:f>IF(G1248&lt;='排名定義'!$B$5,"是","")</x:f>
        <x:v>是</x:v>
      </x:c>
      <x:c r="I1248" s="216" t="n">
        <x:v>1246</x:v>
      </x:c>
      <x:c r="J1248" s="216" t="str">
        <x:f>IF(I1248&lt;='排名定義'!$B$5,"是","")</x:f>
        <x:v>是</x:v>
      </x:c>
      <x:c r="K1248" s="216" t="n">
        <x:v>1216</x:v>
      </x:c>
      <x:c r="L1248" s="216" t="str">
        <x:f>IF(K1248&lt;='排名定義'!$B$5,"是","")</x:f>
        <x:v>是</x:v>
      </x:c>
      <x:c r="M1248" s="216" t="n">
        <x:f>COUNTIF(H1248:L1248,"是")</x:f>
        <x:v>3</x:v>
      </x:c>
      <x:c r="N1248" s="216" t="str">
        <x:v>三份皆未入選</x:v>
      </x:c>
      <x:c r="O1248" s="221" t="n">
        <x:v>23.075</x:v>
      </x:c>
      <x:c r="P1248" s="221" t="n">
        <x:v>20.225</x:v>
      </x:c>
      <x:c r="Q1248" s="221" t="n">
        <x:v>2.85</x:v>
      </x:c>
      <x:c r="R1248" s="221" t="n">
        <x:v>0.12351029252437704</x:v>
      </x:c>
      <x:c r="S1248" s="221" t="n">
        <x:v>43.03225806451613</x:v>
      </x:c>
      <x:c r="T1248" s="221" t="n">
        <x:v>40.354838709677416</x:v>
      </x:c>
      <x:c r="U1248" s="221" t="n">
        <x:v>2.6774193548387095</x:v>
      </x:c>
      <x:c r="V1248" s="219" t="n">
        <x:v>0.013824884792626729</x:v>
      </x:c>
      <x:c r="W1248" s="216" t="n">
        <x:v>1</x:v>
      </x:c>
      <x:c r="X1248" s="223" t="n">
        <x:v>210</x:v>
      </x:c>
      <x:c r="Y1248" s="216" t="n">
        <x:v>18</x:v>
      </x:c>
    </x:row>
    <x:row r="1249">
      <x:c r="A1249" s="217" t="n">
        <x:v>286</x:v>
      </x:c>
      <x:c r="B1249" s="217" t="str">
        <x:v>衛教公園</x:v>
      </x:c>
      <x:c r="C1249" s="217" t="str">
        <x:v>淡水區</x:v>
      </x:c>
      <x:c r="D1249" s="217" t="n">
        <x:v>14</x:v>
      </x:c>
      <x:c r="E1249" s="217" t="n">
        <x:v>120</x:v>
      </x:c>
      <x:c r="F1249" s="218" t="n">
        <x:v>0.9994791666666667</x:v>
      </x:c>
      <x:c r="G1249" s="217" t="n">
        <x:v>1245</x:v>
      </x:c>
      <x:c r="H1249" s="217" t="str">
        <x:f>IF(G1249&lt;='排名定義'!$B$5,"是","")</x:f>
        <x:v>是</x:v>
      </x:c>
      <x:c r="I1249" s="217" t="n">
        <x:v>1238</x:v>
      </x:c>
      <x:c r="J1249" s="217" t="str">
        <x:f>IF(I1249&lt;='排名定義'!$B$5,"是","")</x:f>
        <x:v>是</x:v>
      </x:c>
      <x:c r="K1249" s="217" t="n">
        <x:v>1322</x:v>
      </x:c>
      <x:c r="L1249" s="217" t="str">
        <x:f>IF(K1249&lt;='排名定義'!$B$5,"是","")</x:f>
        <x:v>是</x:v>
      </x:c>
      <x:c r="M1249" s="217" t="n">
        <x:f>COUNTIF(H1249:L1249,"是")</x:f>
        <x:v>3</x:v>
      </x:c>
      <x:c r="N1249" s="217" t="str">
        <x:v>三份皆未入選</x:v>
      </x:c>
      <x:c r="O1249" s="220" t="n">
        <x:v>23.058333333333334</x:v>
      </x:c>
      <x:c r="P1249" s="220" t="n">
        <x:v>20.691666666666666</x:v>
      </x:c>
      <x:c r="Q1249" s="220" t="n">
        <x:v>2.3666666666666667</x:v>
      </x:c>
      <x:c r="R1249" s="220" t="n">
        <x:v>0.10263823635706541</x:v>
      </x:c>
      <x:c r="S1249" s="220" t="n">
        <x:v>37.74193548387097</x:v>
      </x:c>
      <x:c r="T1249" s="220" t="n">
        <x:v>35.354838709677416</x:v>
      </x:c>
      <x:c r="U1249" s="220" t="n">
        <x:v>2.3870967741935485</x:v>
      </x:c>
      <x:c r="V1249" s="218" t="n">
        <x:v>0.10599078341013825</x:v>
      </x:c>
      <x:c r="W1249" s="217" t="n">
        <x:v>42</x:v>
      </x:c>
      <x:c r="X1249" s="222" t="n">
        <x:v>4020</x:v>
      </x:c>
      <x:c r="Y1249" s="217" t="n">
        <x:v>14</x:v>
      </x:c>
    </x:row>
    <x:row r="1250">
      <x:c r="A1250" s="216" t="n">
        <x:v>580</x:v>
      </x:c>
      <x:c r="B1250" s="216" t="str">
        <x:v>昌平國小</x:v>
      </x:c>
      <x:c r="C1250" s="216" t="str">
        <x:v>新莊區</x:v>
      </x:c>
      <x:c r="D1250" s="216" t="n">
        <x:v>18</x:v>
      </x:c>
      <x:c r="E1250" s="216" t="n">
        <x:v>120</x:v>
      </x:c>
      <x:c r="F1250" s="219" t="n">
        <x:v>0.9994791666666667</x:v>
      </x:c>
      <x:c r="G1250" s="216" t="n">
        <x:v>1246</x:v>
      </x:c>
      <x:c r="H1250" s="216" t="str">
        <x:f>IF(G1250&lt;='排名定義'!$B$5,"是","")</x:f>
        <x:v>是</x:v>
      </x:c>
      <x:c r="I1250" s="216" t="n">
        <x:v>1251</x:v>
      </x:c>
      <x:c r="J1250" s="216" t="str">
        <x:f>IF(I1250&lt;='排名定義'!$B$5,"是","")</x:f>
        <x:v>是</x:v>
      </x:c>
      <x:c r="K1250" s="216" t="n">
        <x:v>1111</x:v>
      </x:c>
      <x:c r="L1250" s="216" t="str">
        <x:f>IF(K1250&lt;='排名定義'!$B$5,"是","")</x:f>
        <x:v>是</x:v>
      </x:c>
      <x:c r="M1250" s="216" t="n">
        <x:f>COUNTIF(H1250:L1250,"是")</x:f>
        <x:v>3</x:v>
      </x:c>
      <x:c r="N1250" s="216" t="str">
        <x:v>三份皆未入選</x:v>
      </x:c>
      <x:c r="O1250" s="221" t="n">
        <x:v>23.041666666666668</x:v>
      </x:c>
      <x:c r="P1250" s="221" t="n">
        <x:v>19.866666666666667</x:v>
      </x:c>
      <x:c r="Q1250" s="221" t="n">
        <x:v>3.175</x:v>
      </x:c>
      <x:c r="R1250" s="221" t="n">
        <x:v>0.13779385171790234</x:v>
      </x:c>
      <x:c r="S1250" s="221" t="n">
        <x:v>46.935483870967744</x:v>
      </x:c>
      <x:c r="T1250" s="221" t="n">
        <x:v>43.61290322580645</x:v>
      </x:c>
      <x:c r="U1250" s="221" t="n">
        <x:v>3.3225806451612905</x:v>
      </x:c>
      <x:c r="V1250" s="219" t="n">
        <x:v>0.08755760368663594</x:v>
      </x:c>
      <x:c r="W1250" s="216" t="n">
        <x:v>16</x:v>
      </x:c>
      <x:c r="X1250" s="223" t="n">
        <x:v>1890</x:v>
      </x:c>
      <x:c r="Y1250" s="216" t="n">
        <x:v>18</x:v>
      </x:c>
    </x:row>
    <x:row r="1251">
      <x:c r="A1251" s="217" t="n">
        <x:v>861</x:v>
      </x:c>
      <x:c r="B1251" s="217" t="str">
        <x:v>南勢國中</x:v>
      </x:c>
      <x:c r="C1251" s="217" t="str">
        <x:v>林口區</x:v>
      </x:c>
      <x:c r="D1251" s="217" t="n">
        <x:v>24</x:v>
      </x:c>
      <x:c r="E1251" s="217" t="n">
        <x:v>120</x:v>
      </x:c>
      <x:c r="F1251" s="218" t="n">
        <x:v>0.9994791666666667</x:v>
      </x:c>
      <x:c r="G1251" s="217" t="n">
        <x:v>1247</x:v>
      </x:c>
      <x:c r="H1251" s="217" t="str">
        <x:f>IF(G1251&lt;='排名定義'!$B$5,"是","")</x:f>
        <x:v>是</x:v>
      </x:c>
      <x:c r="I1251" s="217" t="n">
        <x:v>1274</x:v>
      </x:c>
      <x:c r="J1251" s="217" t="str">
        <x:f>IF(I1251&lt;='排名定義'!$B$5,"是","")</x:f>
        <x:v>是</x:v>
      </x:c>
      <x:c r="K1251" s="217" t="n">
        <x:v>757</x:v>
      </x:c>
      <x:c r="L1251" s="217" t="str">
        <x:f>IF(K1251&lt;='排名定義'!$B$5,"是","")</x:f>
        <x:v>是</x:v>
      </x:c>
      <x:c r="M1251" s="217" t="n">
        <x:f>COUNTIF(H1251:L1251,"是")</x:f>
        <x:v>3</x:v>
      </x:c>
      <x:c r="N1251" s="217" t="str">
        <x:v>三份皆未入選</x:v>
      </x:c>
      <x:c r="O1251" s="220" t="n">
        <x:v>23.008333333333333</x:v>
      </x:c>
      <x:c r="P1251" s="220" t="n">
        <x:v>18.891666666666666</x:v>
      </x:c>
      <x:c r="Q1251" s="220" t="n">
        <x:v>4.116666666666666</x:v>
      </x:c>
      <x:c r="R1251" s="220" t="n">
        <x:v>0.1789206809127128</x:v>
      </x:c>
      <x:c r="S1251" s="220" t="n">
        <x:v>37.74193548387097</x:v>
      </x:c>
      <x:c r="T1251" s="220" t="n">
        <x:v>34.03225806451613</x:v>
      </x:c>
      <x:c r="U1251" s="220" t="n">
        <x:v>3.7096774193548385</x:v>
      </x:c>
      <x:c r="V1251" s="218" t="n">
        <x:v>0.06451612903225806</x:v>
      </x:c>
      <x:c r="W1251" s="217" t="n">
        <x:v>10</x:v>
      </x:c>
      <x:c r="X1251" s="222" t="n">
        <x:v>1260</x:v>
      </x:c>
      <x:c r="Y1251" s="217" t="n">
        <x:v>24</x:v>
      </x:c>
    </x:row>
    <x:row r="1252">
      <x:c r="A1252" s="216" t="n">
        <x:v>190</x:v>
      </x:c>
      <x:c r="B1252" s="216" t="str">
        <x:v>民族路33巷</x:v>
      </x:c>
      <x:c r="C1252" s="216" t="str">
        <x:v>淡水區</x:v>
      </x:c>
      <x:c r="D1252" s="216" t="n">
        <x:v>12</x:v>
      </x:c>
      <x:c r="E1252" s="216" t="n">
        <x:v>120</x:v>
      </x:c>
      <x:c r="F1252" s="219" t="n">
        <x:v>0.9994791666666667</x:v>
      </x:c>
      <x:c r="G1252" s="216" t="n">
        <x:v>1248</x:v>
      </x:c>
      <x:c r="H1252" s="216" t="str">
        <x:f>IF(G1252&lt;='排名定義'!$B$5,"是","")</x:f>
        <x:v>是</x:v>
      </x:c>
      <x:c r="I1252" s="216" t="n">
        <x:v>1250</x:v>
      </x:c>
      <x:c r="J1252" s="216" t="str">
        <x:f>IF(I1252&lt;='排名定義'!$B$5,"是","")</x:f>
        <x:v>是</x:v>
      </x:c>
      <x:c r="K1252" s="216" t="n">
        <x:v>1198</x:v>
      </x:c>
      <x:c r="L1252" s="216" t="str">
        <x:f>IF(K1252&lt;='排名定義'!$B$5,"是","")</x:f>
        <x:v>是</x:v>
      </x:c>
      <x:c r="M1252" s="216" t="n">
        <x:f>COUNTIF(H1252:L1252,"是")</x:f>
        <x:v>3</x:v>
      </x:c>
      <x:c r="N1252" s="216" t="str">
        <x:v>三份皆未入選</x:v>
      </x:c>
      <x:c r="O1252" s="221" t="n">
        <x:v>22.941666666666666</x:v>
      </x:c>
      <x:c r="P1252" s="221" t="n">
        <x:v>20.041666666666668</x:v>
      </x:c>
      <x:c r="Q1252" s="221" t="n">
        <x:v>2.9</x:v>
      </x:c>
      <x:c r="R1252" s="221" t="n">
        <x:v>0.12640755539411552</x:v>
      </x:c>
      <x:c r="S1252" s="221" t="n">
        <x:v>36.483870967741936</x:v>
      </x:c>
      <x:c r="T1252" s="221" t="n">
        <x:v>33.16129032258065</x:v>
      </x:c>
      <x:c r="U1252" s="221" t="n">
        <x:v>3.3225806451612905</x:v>
      </x:c>
      <x:c r="V1252" s="219" t="n">
        <x:v>0.08755760368663594</x:v>
      </x:c>
      <x:c r="W1252" s="216" t="n">
        <x:v>30</x:v>
      </x:c>
      <x:c r="X1252" s="223" t="n">
        <x:v>3990</x:v>
      </x:c>
      <x:c r="Y1252" s="216" t="n">
        <x:v>12</x:v>
      </x:c>
    </x:row>
    <x:row r="1253">
      <x:c r="A1253" s="217" t="n">
        <x:v>546</x:v>
      </x:c>
      <x:c r="B1253" s="217" t="str">
        <x:v>國道路二段88號</x:v>
      </x:c>
      <x:c r="C1253" s="217" t="str">
        <x:v>蘆洲區</x:v>
      </x:c>
      <x:c r="D1253" s="217" t="n">
        <x:v>17</x:v>
      </x:c>
      <x:c r="E1253" s="217" t="n">
        <x:v>120</x:v>
      </x:c>
      <x:c r="F1253" s="218" t="n">
        <x:v>0.9994791666666667</x:v>
      </x:c>
      <x:c r="G1253" s="217" t="n">
        <x:v>1249</x:v>
      </x:c>
      <x:c r="H1253" s="217" t="str">
        <x:f>IF(G1253&lt;='排名定義'!$B$5,"是","")</x:f>
        <x:v>是</x:v>
      </x:c>
      <x:c r="I1253" s="217" t="n">
        <x:v>1242</x:v>
      </x:c>
      <x:c r="J1253" s="217" t="str">
        <x:f>IF(I1253&lt;='排名定義'!$B$5,"是","")</x:f>
        <x:v>是</x:v>
      </x:c>
      <x:c r="K1253" s="217" t="n">
        <x:v>1308</x:v>
      </x:c>
      <x:c r="L1253" s="217" t="str">
        <x:f>IF(K1253&lt;='排名定義'!$B$5,"是","")</x:f>
        <x:v>是</x:v>
      </x:c>
      <x:c r="M1253" s="217" t="n">
        <x:f>COUNTIF(H1253:L1253,"是")</x:f>
        <x:v>3</x:v>
      </x:c>
      <x:c r="N1253" s="217" t="str">
        <x:v>三份皆未入選</x:v>
      </x:c>
      <x:c r="O1253" s="220" t="n">
        <x:v>22.925</x:v>
      </x:c>
      <x:c r="P1253" s="220" t="n">
        <x:v>20.491666666666667</x:v>
      </x:c>
      <x:c r="Q1253" s="220" t="n">
        <x:v>2.433333333333333</x:v>
      </x:c>
      <x:c r="R1253" s="220" t="n">
        <x:v>0.10614322064703745</x:v>
      </x:c>
      <x:c r="S1253" s="220" t="n">
        <x:v>37.58064516129032</x:v>
      </x:c>
      <x:c r="T1253" s="220" t="n">
        <x:v>34.61290322580645</x:v>
      </x:c>
      <x:c r="U1253" s="220" t="n">
        <x:v>2.967741935483871</x:v>
      </x:c>
      <x:c r="V1253" s="218" t="n">
        <x:v>0.03686635944700461</x:v>
      </x:c>
      <x:c r="W1253" s="217" t="n">
        <x:v>9</x:v>
      </x:c>
      <x:c r="X1253" s="222" t="n">
        <x:v>1080</x:v>
      </x:c>
      <x:c r="Y1253" s="217" t="n">
        <x:v>17</x:v>
      </x:c>
    </x:row>
    <x:row r="1254">
      <x:c r="A1254" s="216" t="n">
        <x:v>1297</x:v>
      </x:c>
      <x:c r="B1254" s="216" t="str">
        <x:v>新北大道幸福路口(大道鎏域社區)</x:v>
      </x:c>
      <x:c r="C1254" s="216" t="str">
        <x:v>泰山區</x:v>
      </x:c>
      <x:c r="D1254" s="216" t="n">
        <x:v>40</x:v>
      </x:c>
      <x:c r="E1254" s="216" t="n">
        <x:v>120</x:v>
      </x:c>
      <x:c r="F1254" s="219" t="n">
        <x:v>0.9994791666666667</x:v>
      </x:c>
      <x:c r="G1254" s="216" t="n">
        <x:v>1250</x:v>
      </x:c>
      <x:c r="H1254" s="216" t="str">
        <x:f>IF(G1254&lt;='排名定義'!$B$5,"是","")</x:f>
        <x:v>是</x:v>
      </x:c>
      <x:c r="I1254" s="216" t="n">
        <x:v>1273</x:v>
      </x:c>
      <x:c r="J1254" s="216" t="str">
        <x:f>IF(I1254&lt;='排名定義'!$B$5,"是","")</x:f>
        <x:v>是</x:v>
      </x:c>
      <x:c r="K1254" s="216" t="n">
        <x:v>860</x:v>
      </x:c>
      <x:c r="L1254" s="216" t="str">
        <x:f>IF(K1254&lt;='排名定義'!$B$5,"是","")</x:f>
        <x:v>是</x:v>
      </x:c>
      <x:c r="M1254" s="216" t="n">
        <x:f>COUNTIF(H1254:L1254,"是")</x:f>
        <x:v>3</x:v>
      </x:c>
      <x:c r="N1254" s="216" t="str">
        <x:v>三份皆未入選</x:v>
      </x:c>
      <x:c r="O1254" s="221" t="n">
        <x:v>22.783333333333335</x:v>
      </x:c>
      <x:c r="P1254" s="221" t="n">
        <x:v>18.941666666666666</x:v>
      </x:c>
      <x:c r="Q1254" s="221" t="n">
        <x:v>3.841666666666667</x:v>
      </x:c>
      <x:c r="R1254" s="221" t="n">
        <x:v>0.1686174103877103</x:v>
      </x:c>
      <x:c r="S1254" s="221" t="n">
        <x:v>34.774193548387096</x:v>
      </x:c>
      <x:c r="T1254" s="221" t="n">
        <x:v>31.193548387096776</x:v>
      </x:c>
      <x:c r="U1254" s="221" t="n">
        <x:v>3.5806451612903225</x:v>
      </x:c>
      <x:c r="V1254" s="219" t="n">
        <x:v>0.02304147465437788</x:v>
      </x:c>
      <x:c r="W1254" s="216" t="n">
        <x:v>4</x:v>
      </x:c>
      <x:c r="X1254" s="223" t="n">
        <x:v>600</x:v>
      </x:c>
      <x:c r="Y1254" s="216" t="n">
        <x:v>40</x:v>
      </x:c>
    </x:row>
    <x:row r="1255">
      <x:c r="A1255" s="217" t="n">
        <x:v>379</x:v>
      </x:c>
      <x:c r="B1255" s="217" t="str">
        <x:v>湳仔溝抽水站</x:v>
      </x:c>
      <x:c r="C1255" s="217" t="str">
        <x:v>板橋區</x:v>
      </x:c>
      <x:c r="D1255" s="217" t="n">
        <x:v>15</x:v>
      </x:c>
      <x:c r="E1255" s="217" t="n">
        <x:v>120</x:v>
      </x:c>
      <x:c r="F1255" s="218" t="n">
        <x:v>0.9994791666666667</x:v>
      </x:c>
      <x:c r="G1255" s="217" t="n">
        <x:v>1251</x:v>
      </x:c>
      <x:c r="H1255" s="217" t="str">
        <x:f>IF(G1255&lt;='排名定義'!$B$5,"是","")</x:f>
        <x:v>是</x:v>
      </x:c>
      <x:c r="I1255" s="217" t="n">
        <x:v>1247</x:v>
      </x:c>
      <x:c r="J1255" s="217" t="str">
        <x:f>IF(I1255&lt;='排名定義'!$B$5,"是","")</x:f>
        <x:v>是</x:v>
      </x:c>
      <x:c r="K1255" s="217" t="n">
        <x:v>1263</x:v>
      </x:c>
      <x:c r="L1255" s="217" t="str">
        <x:f>IF(K1255&lt;='排名定義'!$B$5,"是","")</x:f>
        <x:v>是</x:v>
      </x:c>
      <x:c r="M1255" s="217" t="n">
        <x:f>COUNTIF(H1255:L1255,"是")</x:f>
        <x:v>3</x:v>
      </x:c>
      <x:c r="N1255" s="217" t="str">
        <x:v>三份皆未入選</x:v>
      </x:c>
      <x:c r="O1255" s="220" t="n">
        <x:v>22.766666666666666</x:v>
      </x:c>
      <x:c r="P1255" s="220" t="n">
        <x:v>20.116666666666667</x:v>
      </x:c>
      <x:c r="Q1255" s="220" t="n">
        <x:v>2.65</x:v>
      </x:c>
      <x:c r="R1255" s="220" t="n">
        <x:v>0.116398243045388</x:v>
      </x:c>
      <x:c r="S1255" s="220" t="n">
        <x:v>38.54838709677419</x:v>
      </x:c>
      <x:c r="T1255" s="220" t="n">
        <x:v>35.096774193548384</x:v>
      </x:c>
      <x:c r="U1255" s="220" t="n">
        <x:v>3.4516129032258065</x:v>
      </x:c>
      <x:c r="V1255" s="218" t="n">
        <x:v>0.0576036866359447</x:v>
      </x:c>
      <x:c r="W1255" s="217" t="n">
        <x:v>11</x:v>
      </x:c>
      <x:c r="X1255" s="222" t="n">
        <x:v>1500</x:v>
      </x:c>
      <x:c r="Y1255" s="217" t="n">
        <x:v>15</x:v>
      </x:c>
    </x:row>
    <x:row r="1256">
      <x:c r="A1256" s="216" t="n">
        <x:v>122</x:v>
      </x:c>
      <x:c r="B1256" s="216" t="str">
        <x:v>明德平面停車場</x:v>
      </x:c>
      <x:c r="C1256" s="216" t="str">
        <x:v>土城區</x:v>
      </x:c>
      <x:c r="D1256" s="216" t="n">
        <x:v>10</x:v>
      </x:c>
      <x:c r="E1256" s="216" t="n">
        <x:v>120</x:v>
      </x:c>
      <x:c r="F1256" s="219" t="n">
        <x:v>0.9994791666666667</x:v>
      </x:c>
      <x:c r="G1256" s="216" t="n">
        <x:v>1252</x:v>
      </x:c>
      <x:c r="H1256" s="216" t="str">
        <x:f>IF(G1256&lt;='排名定義'!$B$5,"是","")</x:f>
        <x:v>是</x:v>
      </x:c>
      <x:c r="I1256" s="216" t="n">
        <x:v>1239</x:v>
      </x:c>
      <x:c r="J1256" s="216" t="str">
        <x:f>IF(I1256&lt;='排名定義'!$B$5,"是","")</x:f>
        <x:v>是</x:v>
      </x:c>
      <x:c r="K1256" s="216" t="n">
        <x:v>1361</x:v>
      </x:c>
      <x:c r="L1256" s="216" t="str">
        <x:f>IF(K1256&lt;='排名定義'!$B$5,"是","")</x:f>
        <x:v>是</x:v>
      </x:c>
      <x:c r="M1256" s="216" t="n">
        <x:f>COUNTIF(H1256:L1256,"是")</x:f>
        <x:v>3</x:v>
      </x:c>
      <x:c r="N1256" s="216" t="str">
        <x:v>三份皆未入選</x:v>
      </x:c>
      <x:c r="O1256" s="221" t="n">
        <x:v>22.75</x:v>
      </x:c>
      <x:c r="P1256" s="221" t="n">
        <x:v>20.666666666666668</x:v>
      </x:c>
      <x:c r="Q1256" s="221" t="n">
        <x:v>2.0833333333333335</x:v>
      </x:c>
      <x:c r="R1256" s="221" t="n">
        <x:v>0.09157509157509157</x:v>
      </x:c>
      <x:c r="S1256" s="221" t="n">
        <x:v>32.54838709677419</x:v>
      </x:c>
      <x:c r="T1256" s="221" t="n">
        <x:v>29.451612903225808</x:v>
      </x:c>
      <x:c r="U1256" s="221" t="n">
        <x:v>3.096774193548387</x:v>
      </x:c>
      <x:c r="V1256" s="219" t="n">
        <x:v>0.20506912442396313</x:v>
      </x:c>
      <x:c r="W1256" s="216" t="n">
        <x:v>42</x:v>
      </x:c>
      <x:c r="X1256" s="223" t="n">
        <x:v>4080</x:v>
      </x:c>
      <x:c r="Y1256" s="216" t="n">
        <x:v>10</x:v>
      </x:c>
    </x:row>
    <x:row r="1257">
      <x:c r="A1257" s="217" t="n">
        <x:v>371</x:v>
      </x:c>
      <x:c r="B1257" s="217" t="str">
        <x:v>林口東湖國小</x:v>
      </x:c>
      <x:c r="C1257" s="217" t="str">
        <x:v>林口區</x:v>
      </x:c>
      <x:c r="D1257" s="217" t="n">
        <x:v>15</x:v>
      </x:c>
      <x:c r="E1257" s="217" t="n">
        <x:v>120</x:v>
      </x:c>
      <x:c r="F1257" s="218" t="n">
        <x:v>0.9994791666666667</x:v>
      </x:c>
      <x:c r="G1257" s="217" t="n">
        <x:v>1253</x:v>
      </x:c>
      <x:c r="H1257" s="217" t="str">
        <x:f>IF(G1257&lt;='排名定義'!$B$5,"是","")</x:f>
        <x:v>是</x:v>
      </x:c>
      <x:c r="I1257" s="217" t="n">
        <x:v>1240</x:v>
      </x:c>
      <x:c r="J1257" s="217" t="str">
        <x:f>IF(I1257&lt;='排名定義'!$B$5,"是","")</x:f>
        <x:v>是</x:v>
      </x:c>
      <x:c r="K1257" s="217" t="n">
        <x:v>1377</x:v>
      </x:c>
      <x:c r="L1257" s="217" t="str">
        <x:f>IF(K1257&lt;='排名定義'!$B$5,"是","")</x:f>
        <x:v>是</x:v>
      </x:c>
      <x:c r="M1257" s="217" t="n">
        <x:f>COUNTIF(H1257:L1257,"是")</x:f>
        <x:v>3</x:v>
      </x:c>
      <x:c r="N1257" s="217" t="str">
        <x:v>三份皆未入選</x:v>
      </x:c>
      <x:c r="O1257" s="220" t="n">
        <x:v>22.65</x:v>
      </x:c>
      <x:c r="P1257" s="220" t="n">
        <x:v>20.65</x:v>
      </x:c>
      <x:c r="Q1257" s="220" t="n">
        <x:v>2</x:v>
      </x:c>
      <x:c r="R1257" s="220" t="n">
        <x:v>0.08830022075055188</x:v>
      </x:c>
      <x:c r="S1257" s="220" t="n">
        <x:v>41.12903225806452</x:v>
      </x:c>
      <x:c r="T1257" s="220" t="n">
        <x:v>38.774193548387096</x:v>
      </x:c>
      <x:c r="U1257" s="220" t="n">
        <x:v>2.3548387096774195</x:v>
      </x:c>
      <x:c r="V1257" s="218" t="n">
        <x:v>0.029953917050691243</x:v>
      </x:c>
      <x:c r="W1257" s="217" t="n">
        <x:v>10</x:v>
      </x:c>
      <x:c r="X1257" s="222" t="n">
        <x:v>1140</x:v>
      </x:c>
      <x:c r="Y1257" s="217" t="n">
        <x:v>15</x:v>
      </x:c>
    </x:row>
    <x:row r="1258">
      <x:c r="A1258" s="216" t="n">
        <x:v>721</x:v>
      </x:c>
      <x:c r="B1258" s="216" t="str">
        <x:v>永昌里兒一公園</x:v>
      </x:c>
      <x:c r="C1258" s="216" t="str">
        <x:v>鶯歌區</x:v>
      </x:c>
      <x:c r="D1258" s="216" t="n">
        <x:v>20</x:v>
      </x:c>
      <x:c r="E1258" s="216" t="n">
        <x:v>120</x:v>
      </x:c>
      <x:c r="F1258" s="219" t="n">
        <x:v>0.9994791666666667</x:v>
      </x:c>
      <x:c r="G1258" s="216" t="n">
        <x:v>1254</x:v>
      </x:c>
      <x:c r="H1258" s="216" t="str">
        <x:f>IF(G1258&lt;='排名定義'!$B$5,"是","")</x:f>
        <x:v>是</x:v>
      </x:c>
      <x:c r="I1258" s="216" t="n">
        <x:v>1255</x:v>
      </x:c>
      <x:c r="J1258" s="216" t="str">
        <x:f>IF(I1258&lt;='排名定義'!$B$5,"是","")</x:f>
        <x:v>是</x:v>
      </x:c>
      <x:c r="K1258" s="216" t="n">
        <x:v>1196</x:v>
      </x:c>
      <x:c r="L1258" s="216" t="str">
        <x:f>IF(K1258&lt;='排名定義'!$B$5,"是","")</x:f>
        <x:v>是</x:v>
      </x:c>
      <x:c r="M1258" s="216" t="n">
        <x:f>COUNTIF(H1258:L1258,"是")</x:f>
        <x:v>3</x:v>
      </x:c>
      <x:c r="N1258" s="216" t="str">
        <x:v>三份皆未入選</x:v>
      </x:c>
      <x:c r="O1258" s="221" t="n">
        <x:v>22.608333333333334</x:v>
      </x:c>
      <x:c r="P1258" s="221" t="n">
        <x:v>19.7</x:v>
      </x:c>
      <x:c r="Q1258" s="221" t="n">
        <x:v>2.908333333333333</x:v>
      </x:c>
      <x:c r="R1258" s="221" t="n">
        <x:v>0.1286398820493918</x:v>
      </x:c>
      <x:c r="S1258" s="221" t="n">
        <x:v>36.45161290322581</x:v>
      </x:c>
      <x:c r="T1258" s="221" t="n">
        <x:v>33.38709677419355</x:v>
      </x:c>
      <x:c r="U1258" s="221" t="n">
        <x:v>3.064516129032258</x:v>
      </x:c>
      <x:c r="V1258" s="219" t="n">
        <x:v>0.0069124423963133645</x:v>
      </x:c>
      <x:c r="W1258" s="216" t="n">
        <x:v>0</x:v>
      </x:c>
      <x:c r="X1258" s="223" t="n">
        <x:v>90</x:v>
      </x:c>
      <x:c r="Y1258" s="216" t="n">
        <x:v>20</x:v>
      </x:c>
    </x:row>
    <x:row r="1259">
      <x:c r="A1259" s="217" t="n">
        <x:v>1291</x:v>
      </x:c>
      <x:c r="B1259" s="217" t="str">
        <x:v>中和福美公園</x:v>
      </x:c>
      <x:c r="C1259" s="217" t="str">
        <x:v>中和區</x:v>
      </x:c>
      <x:c r="D1259" s="217" t="n">
        <x:v>40</x:v>
      </x:c>
      <x:c r="E1259" s="217" t="n">
        <x:v>120</x:v>
      </x:c>
      <x:c r="F1259" s="218" t="n">
        <x:v>0.9994791666666667</x:v>
      </x:c>
      <x:c r="G1259" s="217" t="n">
        <x:v>1255</x:v>
      </x:c>
      <x:c r="H1259" s="217" t="str">
        <x:f>IF(G1259&lt;='排名定義'!$B$5,"是","")</x:f>
        <x:v>是</x:v>
      </x:c>
      <x:c r="I1259" s="217" t="n">
        <x:v>1258</x:v>
      </x:c>
      <x:c r="J1259" s="217" t="str">
        <x:f>IF(I1259&lt;='排名定義'!$B$5,"是","")</x:f>
        <x:v>是</x:v>
      </x:c>
      <x:c r="K1259" s="217" t="n">
        <x:v>1094</x:v>
      </x:c>
      <x:c r="L1259" s="217" t="str">
        <x:f>IF(K1259&lt;='排名定義'!$B$5,"是","")</x:f>
        <x:v>是</x:v>
      </x:c>
      <x:c r="M1259" s="217" t="n">
        <x:f>COUNTIF(H1259:L1259,"是")</x:f>
        <x:v>3</x:v>
      </x:c>
      <x:c r="N1259" s="217" t="str">
        <x:v>三份皆未入選</x:v>
      </x:c>
      <x:c r="O1259" s="220" t="n">
        <x:v>22.6</x:v>
      </x:c>
      <x:c r="P1259" s="220" t="n">
        <x:v>19.375</x:v>
      </x:c>
      <x:c r="Q1259" s="220" t="n">
        <x:v>3.225</x:v>
      </x:c>
      <x:c r="R1259" s="220" t="n">
        <x:v>0.1426991150442478</x:v>
      </x:c>
      <x:c r="S1259" s="220" t="n">
        <x:v>37</x:v>
      </x:c>
      <x:c r="T1259" s="220" t="n">
        <x:v>34.096774193548384</x:v>
      </x:c>
      <x:c r="U1259" s="220" t="n">
        <x:v>2.903225806451613</x:v>
      </x:c>
      <x:c r="V1259" s="218" t="n">
        <x:v>0.009216589861751152</x:v>
      </x:c>
      <x:c r="W1259" s="217" t="n">
        <x:v>6</x:v>
      </x:c>
      <x:c r="X1259" s="222" t="n">
        <x:v>690</x:v>
      </x:c>
      <x:c r="Y1259" s="217" t="n">
        <x:v>40</x:v>
      </x:c>
    </x:row>
    <x:row r="1260">
      <x:c r="A1260" s="216" t="n">
        <x:v>755</x:v>
      </x:c>
      <x:c r="B1260" s="216" t="str">
        <x:v>建二建三路口</x:v>
      </x:c>
      <x:c r="C1260" s="216" t="str">
        <x:v>中和區</x:v>
      </x:c>
      <x:c r="D1260" s="216" t="n">
        <x:v>20</x:v>
      </x:c>
      <x:c r="E1260" s="216" t="n">
        <x:v>120</x:v>
      </x:c>
      <x:c r="F1260" s="219" t="n">
        <x:v>0.9994791666666667</x:v>
      </x:c>
      <x:c r="G1260" s="216" t="n">
        <x:v>1256</x:v>
      </x:c>
      <x:c r="H1260" s="216" t="str">
        <x:f>IF(G1260&lt;='排名定義'!$B$5,"是","")</x:f>
        <x:v>是</x:v>
      </x:c>
      <x:c r="I1260" s="216" t="n">
        <x:v>1252</x:v>
      </x:c>
      <x:c r="J1260" s="216" t="str">
        <x:f>IF(I1260&lt;='排名定義'!$B$5,"是","")</x:f>
        <x:v>是</x:v>
      </x:c>
      <x:c r="K1260" s="216" t="n">
        <x:v>1236</x:v>
      </x:c>
      <x:c r="L1260" s="216" t="str">
        <x:f>IF(K1260&lt;='排名定義'!$B$5,"是","")</x:f>
        <x:v>是</x:v>
      </x:c>
      <x:c r="M1260" s="216" t="n">
        <x:f>COUNTIF(H1260:L1260,"是")</x:f>
        <x:v>3</x:v>
      </x:c>
      <x:c r="N1260" s="216" t="str">
        <x:v>三份皆未入選</x:v>
      </x:c>
      <x:c r="O1260" s="221" t="n">
        <x:v>22.591666666666665</x:v>
      </x:c>
      <x:c r="P1260" s="221" t="n">
        <x:v>19.8</x:v>
      </x:c>
      <x:c r="Q1260" s="221" t="n">
        <x:v>2.7916666666666665</x:v>
      </x:c>
      <x:c r="R1260" s="221" t="n">
        <x:v>0.12357063814090742</x:v>
      </x:c>
      <x:c r="S1260" s="221" t="n">
        <x:v>36.45161290322581</x:v>
      </x:c>
      <x:c r="T1260" s="221" t="n">
        <x:v>34.064516129032256</x:v>
      </x:c>
      <x:c r="U1260" s="221" t="n">
        <x:v>2.3870967741935485</x:v>
      </x:c>
      <x:c r="V1260" s="219" t="n">
        <x:v>0.004608294930875576</x:v>
      </x:c>
      <x:c r="W1260" s="216" t="n">
        <x:v>1</x:v>
      </x:c>
      <x:c r="X1260" s="223" t="n">
        <x:v>120</x:v>
      </x:c>
      <x:c r="Y1260" s="216" t="n">
        <x:v>20</x:v>
      </x:c>
    </x:row>
    <x:row r="1261">
      <x:c r="A1261" s="217" t="n">
        <x:v>1065</x:v>
      </x:c>
      <x:c r="B1261" s="217" t="str">
        <x:v>瓊林公園</x:v>
      </x:c>
      <x:c r="C1261" s="217" t="str">
        <x:v>新莊區</x:v>
      </x:c>
      <x:c r="D1261" s="217" t="n">
        <x:v>30</x:v>
      </x:c>
      <x:c r="E1261" s="217" t="n">
        <x:v>120</x:v>
      </x:c>
      <x:c r="F1261" s="218" t="n">
        <x:v>0.9994791666666667</x:v>
      </x:c>
      <x:c r="G1261" s="217" t="n">
        <x:v>1257</x:v>
      </x:c>
      <x:c r="H1261" s="217" t="str">
        <x:f>IF(G1261&lt;='排名定義'!$B$5,"是","")</x:f>
        <x:v>是</x:v>
      </x:c>
      <x:c r="I1261" s="217" t="n">
        <x:v>1254</x:v>
      </x:c>
      <x:c r="J1261" s="217" t="str">
        <x:f>IF(I1261&lt;='排名定義'!$B$5,"是","")</x:f>
        <x:v>是</x:v>
      </x:c>
      <x:c r="K1261" s="217" t="n">
        <x:v>1223</x:v>
      </x:c>
      <x:c r="L1261" s="217" t="str">
        <x:f>IF(K1261&lt;='排名定義'!$B$5,"是","")</x:f>
        <x:v>是</x:v>
      </x:c>
      <x:c r="M1261" s="217" t="n">
        <x:f>COUNTIF(H1261:L1261,"是")</x:f>
        <x:v>3</x:v>
      </x:c>
      <x:c r="N1261" s="217" t="str">
        <x:v>三份皆未入選</x:v>
      </x:c>
      <x:c r="O1261" s="220" t="n">
        <x:v>22.575</x:v>
      </x:c>
      <x:c r="P1261" s="220" t="n">
        <x:v>19.733333333333334</x:v>
      </x:c>
      <x:c r="Q1261" s="220" t="n">
        <x:v>2.841666666666667</x:v>
      </x:c>
      <x:c r="R1261" s="220" t="n">
        <x:v>0.1258767072720561</x:v>
      </x:c>
      <x:c r="S1261" s="220" t="n">
        <x:v>34.354838709677416</x:v>
      </x:c>
      <x:c r="T1261" s="220" t="n">
        <x:v>30.516129032258064</x:v>
      </x:c>
      <x:c r="U1261" s="220" t="n">
        <x:v>3.838709677419355</x:v>
      </x:c>
      <x:c r="V1261" s="218" t="n">
        <x:v>0</x:v>
      </x:c>
      <x:c r="W1261" s="217" t="n">
        <x:v>1</x:v>
      </x:c>
      <x:c r="X1261" s="222" t="n">
        <x:v>60</x:v>
      </x:c>
      <x:c r="Y1261" s="217" t="n">
        <x:v>30</x:v>
      </x:c>
    </x:row>
    <x:row r="1262">
      <x:c r="A1262" s="216" t="n">
        <x:v>840</x:v>
      </x:c>
      <x:c r="B1262" s="216" t="str">
        <x:v>北大高中</x:v>
      </x:c>
      <x:c r="C1262" s="216" t="str">
        <x:v>三峽區</x:v>
      </x:c>
      <x:c r="D1262" s="216" t="n">
        <x:v>23</x:v>
      </x:c>
      <x:c r="E1262" s="216" t="n">
        <x:v>120</x:v>
      </x:c>
      <x:c r="F1262" s="219" t="n">
        <x:v>0.9994791666666667</x:v>
      </x:c>
      <x:c r="G1262" s="216" t="n">
        <x:v>1258</x:v>
      </x:c>
      <x:c r="H1262" s="216" t="str">
        <x:f>IF(G1262&lt;='排名定義'!$B$5,"是","")</x:f>
        <x:v>是</x:v>
      </x:c>
      <x:c r="I1262" s="216" t="n">
        <x:v>1266</x:v>
      </x:c>
      <x:c r="J1262" s="216" t="str">
        <x:f>IF(I1262&lt;='排名定義'!$B$5,"是","")</x:f>
        <x:v>是</x:v>
      </x:c>
      <x:c r="K1262" s="216" t="n">
        <x:v>1000</x:v>
      </x:c>
      <x:c r="L1262" s="216" t="str">
        <x:f>IF(K1262&lt;='排名定義'!$B$5,"是","")</x:f>
        <x:v>是</x:v>
      </x:c>
      <x:c r="M1262" s="216" t="n">
        <x:f>COUNTIF(H1262:L1262,"是")</x:f>
        <x:v>3</x:v>
      </x:c>
      <x:c r="N1262" s="216" t="str">
        <x:v>三份皆未入選</x:v>
      </x:c>
      <x:c r="O1262" s="221" t="n">
        <x:v>22.533333333333335</x:v>
      </x:c>
      <x:c r="P1262" s="221" t="n">
        <x:v>19.091666666666665</x:v>
      </x:c>
      <x:c r="Q1262" s="221" t="n">
        <x:v>3.441666666666667</x:v>
      </x:c>
      <x:c r="R1262" s="221" t="n">
        <x:v>0.15273668639053253</x:v>
      </x:c>
      <x:c r="S1262" s="221" t="n">
        <x:v>39.774193548387096</x:v>
      </x:c>
      <x:c r="T1262" s="221" t="n">
        <x:v>36.483870967741936</x:v>
      </x:c>
      <x:c r="U1262" s="221" t="n">
        <x:v>3.2903225806451615</x:v>
      </x:c>
      <x:c r="V1262" s="219" t="n">
        <x:v>0.01152073732718894</x:v>
      </x:c>
      <x:c r="W1262" s="216" t="n">
        <x:v>3</x:v>
      </x:c>
      <x:c r="X1262" s="223" t="n">
        <x:v>390</x:v>
      </x:c>
      <x:c r="Y1262" s="216" t="n">
        <x:v>23</x:v>
      </x:c>
    </x:row>
    <x:row r="1263">
      <x:c r="A1263" s="217" t="n">
        <x:v>206</x:v>
      </x:c>
      <x:c r="B1263" s="217" t="str">
        <x:v>中華路一段70巷口</x:v>
      </x:c>
      <x:c r="C1263" s="217" t="str">
        <x:v>土城區</x:v>
      </x:c>
      <x:c r="D1263" s="217" t="n">
        <x:v>12</x:v>
      </x:c>
      <x:c r="E1263" s="217" t="n">
        <x:v>120</x:v>
      </x:c>
      <x:c r="F1263" s="218" t="n">
        <x:v>0.9994791666666667</x:v>
      </x:c>
      <x:c r="G1263" s="217" t="n">
        <x:v>1259</x:v>
      </x:c>
      <x:c r="H1263" s="217" t="str">
        <x:f>IF(G1263&lt;='排名定義'!$B$5,"是","")</x:f>
        <x:v>是</x:v>
      </x:c>
      <x:c r="I1263" s="217" t="n">
        <x:v>1244</x:v>
      </x:c>
      <x:c r="J1263" s="217" t="str">
        <x:f>IF(I1263&lt;='排名定義'!$B$5,"是","")</x:f>
        <x:v>是</x:v>
      </x:c>
      <x:c r="K1263" s="217" t="n">
        <x:v>1350</x:v>
      </x:c>
      <x:c r="L1263" s="217" t="str">
        <x:f>IF(K1263&lt;='排名定義'!$B$5,"是","")</x:f>
        <x:v>是</x:v>
      </x:c>
      <x:c r="M1263" s="217" t="n">
        <x:f>COUNTIF(H1263:L1263,"是")</x:f>
        <x:v>3</x:v>
      </x:c>
      <x:c r="N1263" s="217" t="str">
        <x:v>三份皆未入選</x:v>
      </x:c>
      <x:c r="O1263" s="220" t="n">
        <x:v>22.516666666666666</x:v>
      </x:c>
      <x:c r="P1263" s="220" t="n">
        <x:v>20.358333333333334</x:v>
      </x:c>
      <x:c r="Q1263" s="220" t="n">
        <x:v>2.158333333333333</x:v>
      </x:c>
      <x:c r="R1263" s="220" t="n">
        <x:v>0.09585492227979274</x:v>
      </x:c>
      <x:c r="S1263" s="220" t="n">
        <x:v>36.58064516129032</x:v>
      </x:c>
      <x:c r="T1263" s="220" t="n">
        <x:v>34.83870967741935</x:v>
      </x:c>
      <x:c r="U1263" s="220" t="n">
        <x:v>1.7419354838709677</x:v>
      </x:c>
      <x:c r="V1263" s="218" t="n">
        <x:v>0.03456221198156682</x:v>
      </x:c>
      <x:c r="W1263" s="217" t="n">
        <x:v>5</x:v>
      </x:c>
      <x:c r="X1263" s="222" t="n">
        <x:v>840</x:v>
      </x:c>
      <x:c r="Y1263" s="217" t="n">
        <x:v>12</x:v>
      </x:c>
    </x:row>
    <x:row r="1264">
      <x:c r="A1264" s="216" t="n">
        <x:v>760</x:v>
      </x:c>
      <x:c r="B1264" s="216" t="str">
        <x:v>三峽國小(中山路)</x:v>
      </x:c>
      <x:c r="C1264" s="216" t="str">
        <x:v>三峽區</x:v>
      </x:c>
      <x:c r="D1264" s="216" t="n">
        <x:v>21</x:v>
      </x:c>
      <x:c r="E1264" s="216" t="n">
        <x:v>120</x:v>
      </x:c>
      <x:c r="F1264" s="219" t="n">
        <x:v>0.9994791666666667</x:v>
      </x:c>
      <x:c r="G1264" s="216" t="n">
        <x:v>1260</x:v>
      </x:c>
      <x:c r="H1264" s="216" t="str">
        <x:f>IF(G1264&lt;='排名定義'!$B$5,"是","")</x:f>
        <x:v>是</x:v>
      </x:c>
      <x:c r="I1264" s="216" t="n">
        <x:v>1271</x:v>
      </x:c>
      <x:c r="J1264" s="216" t="str">
        <x:f>IF(I1264&lt;='排名定義'!$B$5,"是","")</x:f>
        <x:v>是</x:v>
      </x:c>
      <x:c r="K1264" s="216" t="n">
        <x:v>976</x:v>
      </x:c>
      <x:c r="L1264" s="216" t="str">
        <x:f>IF(K1264&lt;='排名定義'!$B$5,"是","")</x:f>
        <x:v>是</x:v>
      </x:c>
      <x:c r="M1264" s="216" t="n">
        <x:f>COUNTIF(H1264:L1264,"是")</x:f>
        <x:v>3</x:v>
      </x:c>
      <x:c r="N1264" s="216" t="str">
        <x:v>三份皆未入選</x:v>
      </x:c>
      <x:c r="O1264" s="221" t="n">
        <x:v>22.491666666666667</x:v>
      </x:c>
      <x:c r="P1264" s="221" t="n">
        <x:v>19</x:v>
      </x:c>
      <x:c r="Q1264" s="221" t="n">
        <x:v>3.4916666666666667</x:v>
      </x:c>
      <x:c r="R1264" s="221" t="n">
        <x:v>0.15524268247499073</x:v>
      </x:c>
      <x:c r="S1264" s="221" t="n">
        <x:v>31.612903225806452</x:v>
      </x:c>
      <x:c r="T1264" s="221" t="n">
        <x:v>28.032258064516128</x:v>
      </x:c>
      <x:c r="U1264" s="221" t="n">
        <x:v>3.5806451612903225</x:v>
      </x:c>
      <x:c r="V1264" s="219" t="n">
        <x:v>0</x:v>
      </x:c>
      <x:c r="W1264" s="216" t="n">
        <x:v>0</x:v>
      </x:c>
      <x:c r="X1264" s="223" t="n">
        <x:v>60</x:v>
      </x:c>
      <x:c r="Y1264" s="216" t="n">
        <x:v>21</x:v>
      </x:c>
    </x:row>
    <x:row r="1265">
      <x:c r="A1265" s="217" t="n">
        <x:v>852</x:v>
      </x:c>
      <x:c r="B1265" s="217" t="str">
        <x:v>復興民生街口</x:v>
      </x:c>
      <x:c r="C1265" s="217" t="str">
        <x:v>三峽區</x:v>
      </x:c>
      <x:c r="D1265" s="217" t="n">
        <x:v>24</x:v>
      </x:c>
      <x:c r="E1265" s="217" t="n">
        <x:v>120</x:v>
      </x:c>
      <x:c r="F1265" s="218" t="n">
        <x:v>0.9994791666666667</x:v>
      </x:c>
      <x:c r="G1265" s="217" t="n">
        <x:v>1261</x:v>
      </x:c>
      <x:c r="H1265" s="217" t="str">
        <x:f>IF(G1265&lt;='排名定義'!$B$5,"是","")</x:f>
        <x:v>是</x:v>
      </x:c>
      <x:c r="I1265" s="217" t="n">
        <x:v>1234</x:v>
      </x:c>
      <x:c r="J1265" s="217" t="str">
        <x:f>IF(I1265&lt;='排名定義'!$B$5,"是","")</x:f>
        <x:v>是</x:v>
      </x:c>
      <x:c r="K1265" s="217" t="n">
        <x:v>1428</x:v>
      </x:c>
      <x:c r="L1265" s="217" t="str">
        <x:f>IF(K1265&lt;='排名定義'!$B$5,"是","")</x:f>
        <x:v>是</x:v>
      </x:c>
      <x:c r="M1265" s="217" t="n">
        <x:f>COUNTIF(H1265:L1265,"是")</x:f>
        <x:v>3</x:v>
      </x:c>
      <x:c r="N1265" s="217" t="str">
        <x:v>三份皆未入選</x:v>
      </x:c>
      <x:c r="O1265" s="220" t="n">
        <x:v>22.35</x:v>
      </x:c>
      <x:c r="P1265" s="220" t="n">
        <x:v>20.875</x:v>
      </x:c>
      <x:c r="Q1265" s="220" t="n">
        <x:v>1.475</x:v>
      </x:c>
      <x:c r="R1265" s="220" t="n">
        <x:v>0.06599552572706935</x:v>
      </x:c>
      <x:c r="S1265" s="220" t="n">
        <x:v>77.54838709677419</x:v>
      </x:c>
      <x:c r="T1265" s="220" t="n">
        <x:v>74.12903225806451</x:v>
      </x:c>
      <x:c r="U1265" s="220" t="n">
        <x:v>3.4193548387096775</x:v>
      </x:c>
      <x:c r="V1265" s="218" t="n">
        <x:v>0.004608294930875576</x:v>
      </x:c>
      <x:c r="W1265" s="217" t="n">
        <x:v>2</x:v>
      </x:c>
      <x:c r="X1265" s="222" t="n">
        <x:v>240</x:v>
      </x:c>
      <x:c r="Y1265" s="217" t="n">
        <x:v>32</x:v>
      </x:c>
    </x:row>
    <x:row r="1266">
      <x:c r="A1266" s="216" t="n">
        <x:v>300</x:v>
      </x:c>
      <x:c r="B1266" s="216" t="str">
        <x:v>成功運動公園</x:v>
      </x:c>
      <x:c r="C1266" s="216" t="str">
        <x:v>五股區</x:v>
      </x:c>
      <x:c r="D1266" s="216" t="n">
        <x:v>14</x:v>
      </x:c>
      <x:c r="E1266" s="216" t="n">
        <x:v>120</x:v>
      </x:c>
      <x:c r="F1266" s="219" t="n">
        <x:v>0.9994791666666667</x:v>
      </x:c>
      <x:c r="G1266" s="216" t="n">
        <x:v>1262</x:v>
      </x:c>
      <x:c r="H1266" s="216" t="str">
        <x:f>IF(G1266&lt;='排名定義'!$B$5,"是","")</x:f>
        <x:v>是</x:v>
      </x:c>
      <x:c r="I1266" s="216" t="n">
        <x:v>1256</x:v>
      </x:c>
      <x:c r="J1266" s="216" t="str">
        <x:f>IF(I1266&lt;='排名定義'!$B$5,"是","")</x:f>
        <x:v>是</x:v>
      </x:c>
      <x:c r="K1266" s="216" t="n">
        <x:v>1259</x:v>
      </x:c>
      <x:c r="L1266" s="216" t="str">
        <x:f>IF(K1266&lt;='排名定義'!$B$5,"是","")</x:f>
        <x:v>是</x:v>
      </x:c>
      <x:c r="M1266" s="216" t="n">
        <x:f>COUNTIF(H1266:L1266,"是")</x:f>
        <x:v>3</x:v>
      </x:c>
      <x:c r="N1266" s="216" t="str">
        <x:v>三份皆未入選</x:v>
      </x:c>
      <x:c r="O1266" s="221" t="n">
        <x:v>22.341666666666665</x:v>
      </x:c>
      <x:c r="P1266" s="221" t="n">
        <x:v>19.683333333333334</x:v>
      </x:c>
      <x:c r="Q1266" s="221" t="n">
        <x:v>2.658333333333333</x:v>
      </x:c>
      <x:c r="R1266" s="221" t="n">
        <x:v>0.11898545318910854</x:v>
      </x:c>
      <x:c r="S1266" s="221" t="n">
        <x:v>34.70967741935484</x:v>
      </x:c>
      <x:c r="T1266" s="221" t="n">
        <x:v>32.70967741935484</x:v>
      </x:c>
      <x:c r="U1266" s="221" t="n">
        <x:v>2</x:v>
      </x:c>
      <x:c r="V1266" s="219" t="n">
        <x:v>0.055299539170506916</x:v>
      </x:c>
      <x:c r="W1266" s="216" t="n">
        <x:v>17</x:v>
      </x:c>
      <x:c r="X1266" s="223" t="n">
        <x:v>1590</x:v>
      </x:c>
      <x:c r="Y1266" s="216" t="n">
        <x:v>14</x:v>
      </x:c>
    </x:row>
    <x:row r="1267">
      <x:c r="A1267" s="217" t="n">
        <x:v>1521</x:v>
      </x:c>
      <x:c r="B1267" s="217" t="str">
        <x:v>八里文化公園(棒球場)</x:v>
      </x:c>
      <x:c r="C1267" s="217" t="str">
        <x:v>八里區</x:v>
      </x:c>
      <x:c r="D1267" s="217" t="n">
        <x:v>60</x:v>
      </x:c>
      <x:c r="E1267" s="217" t="n">
        <x:v>120</x:v>
      </x:c>
      <x:c r="F1267" s="218" t="n">
        <x:v>0.9994791666666667</x:v>
      </x:c>
      <x:c r="G1267" s="217" t="n">
        <x:v>1263</x:v>
      </x:c>
      <x:c r="H1267" s="217" t="str">
        <x:f>IF(G1267&lt;='排名定義'!$B$5,"是","")</x:f>
        <x:v>是</x:v>
      </x:c>
      <x:c r="I1267" s="217" t="n">
        <x:v>1281</x:v>
      </x:c>
      <x:c r="J1267" s="217" t="str">
        <x:f>IF(I1267&lt;='排名定義'!$B$5,"是","")</x:f>
        <x:v>是</x:v>
      </x:c>
      <x:c r="K1267" s="217" t="n">
        <x:v>861</x:v>
      </x:c>
      <x:c r="L1267" s="217" t="str">
        <x:f>IF(K1267&lt;='排名定義'!$B$5,"是","")</x:f>
        <x:v>是</x:v>
      </x:c>
      <x:c r="M1267" s="217" t="n">
        <x:f>COUNTIF(H1267:L1267,"是")</x:f>
        <x:v>3</x:v>
      </x:c>
      <x:c r="N1267" s="217" t="str">
        <x:v>三份皆未入選</x:v>
      </x:c>
      <x:c r="O1267" s="220" t="n">
        <x:v>22.116666666666667</x:v>
      </x:c>
      <x:c r="P1267" s="220" t="n">
        <x:v>18.275</x:v>
      </x:c>
      <x:c r="Q1267" s="220" t="n">
        <x:v>3.841666666666667</x:v>
      </x:c>
      <x:c r="R1267" s="220" t="n">
        <x:v>0.17370007535795026</x:v>
      </x:c>
      <x:c r="S1267" s="220" t="n">
        <x:v>123</x:v>
      </x:c>
      <x:c r="T1267" s="220" t="n">
        <x:v>114.12903225806451</x:v>
      </x:c>
      <x:c r="U1267" s="220" t="n">
        <x:v>8.870967741935484</x:v>
      </x:c>
      <x:c r="V1267" s="218" t="n">
        <x:v>0.044226044226044224</x:v>
      </x:c>
      <x:c r="W1267" s="217" t="n">
        <x:v>11</x:v>
      </x:c>
      <x:c r="X1267" s="222" t="n">
        <x:v>1380</x:v>
      </x:c>
      <x:c r="Y1267" s="217" t="n">
        <x:v>60</x:v>
      </x:c>
    </x:row>
    <x:row r="1268">
      <x:c r="A1268" s="216" t="n">
        <x:v>540</x:v>
      </x:c>
      <x:c r="B1268" s="216" t="str">
        <x:v>三重區停八停車場</x:v>
      </x:c>
      <x:c r="C1268" s="216" t="str">
        <x:v>三重區</x:v>
      </x:c>
      <x:c r="D1268" s="216" t="n">
        <x:v>17</x:v>
      </x:c>
      <x:c r="E1268" s="216" t="n">
        <x:v>120</x:v>
      </x:c>
      <x:c r="F1268" s="219" t="n">
        <x:v>0.9994791666666667</x:v>
      </x:c>
      <x:c r="G1268" s="216" t="n">
        <x:v>1264</x:v>
      </x:c>
      <x:c r="H1268" s="216" t="str">
        <x:f>IF(G1268&lt;='排名定義'!$B$5,"是","")</x:f>
        <x:v>是</x:v>
      </x:c>
      <x:c r="I1268" s="216" t="n">
        <x:v>1262</x:v>
      </x:c>
      <x:c r="J1268" s="216" t="str">
        <x:f>IF(I1268&lt;='排名定義'!$B$5,"是","")</x:f>
        <x:v>是</x:v>
      </x:c>
      <x:c r="K1268" s="216" t="n">
        <x:v>1207</x:v>
      </x:c>
      <x:c r="L1268" s="216" t="str">
        <x:f>IF(K1268&lt;='排名定義'!$B$5,"是","")</x:f>
        <x:v>是</x:v>
      </x:c>
      <x:c r="M1268" s="216" t="n">
        <x:f>COUNTIF(H1268:L1268,"是")</x:f>
        <x:v>3</x:v>
      </x:c>
      <x:c r="N1268" s="216" t="str">
        <x:v>三份皆未入選</x:v>
      </x:c>
      <x:c r="O1268" s="221" t="n">
        <x:v>22.075</x:v>
      </x:c>
      <x:c r="P1268" s="221" t="n">
        <x:v>19.191666666666666</x:v>
      </x:c>
      <x:c r="Q1268" s="221" t="n">
        <x:v>2.8833333333333333</x:v>
      </x:c>
      <x:c r="R1268" s="221" t="n">
        <x:v>0.13061532653831634</x:v>
      </x:c>
      <x:c r="S1268" s="221" t="n">
        <x:v>34.516129032258064</x:v>
      </x:c>
      <x:c r="T1268" s="221" t="n">
        <x:v>31.64516129032258</x:v>
      </x:c>
      <x:c r="U1268" s="221" t="n">
        <x:v>2.870967741935484</x:v>
      </x:c>
      <x:c r="V1268" s="219" t="n">
        <x:v>0.03917050691244239</x:v>
      </x:c>
      <x:c r="W1268" s="216" t="n">
        <x:v>11</x:v>
      </x:c>
      <x:c r="X1268" s="223" t="n">
        <x:v>1050</x:v>
      </x:c>
      <x:c r="Y1268" s="216" t="n">
        <x:v>17</x:v>
      </x:c>
    </x:row>
    <x:row r="1269">
      <x:c r="A1269" s="217" t="n">
        <x:v>1064</x:v>
      </x:c>
      <x:c r="B1269" s="217" t="str">
        <x:v>深坑區公所(深坑老街)</x:v>
      </x:c>
      <x:c r="C1269" s="217" t="str">
        <x:v>深坑區</x:v>
      </x:c>
      <x:c r="D1269" s="217" t="n">
        <x:v>30</x:v>
      </x:c>
      <x:c r="E1269" s="217" t="n">
        <x:v>120</x:v>
      </x:c>
      <x:c r="F1269" s="218" t="n">
        <x:v>0.9994791666666667</x:v>
      </x:c>
      <x:c r="G1269" s="217" t="n">
        <x:v>1265</x:v>
      </x:c>
      <x:c r="H1269" s="217" t="str">
        <x:f>IF(G1269&lt;='排名定義'!$B$5,"是","")</x:f>
        <x:v>是</x:v>
      </x:c>
      <x:c r="I1269" s="217" t="n">
        <x:v>1259</x:v>
      </x:c>
      <x:c r="J1269" s="217" t="str">
        <x:f>IF(I1269&lt;='排名定義'!$B$5,"是","")</x:f>
        <x:v>是</x:v>
      </x:c>
      <x:c r="K1269" s="217" t="n">
        <x:v>1274</x:v>
      </x:c>
      <x:c r="L1269" s="217" t="str">
        <x:f>IF(K1269&lt;='排名定義'!$B$5,"是","")</x:f>
        <x:v>是</x:v>
      </x:c>
      <x:c r="M1269" s="217" t="n">
        <x:f>COUNTIF(H1269:L1269,"是")</x:f>
        <x:v>3</x:v>
      </x:c>
      <x:c r="N1269" s="217" t="str">
        <x:v>三份皆未入選</x:v>
      </x:c>
      <x:c r="O1269" s="220" t="n">
        <x:v>21.916666666666668</x:v>
      </x:c>
      <x:c r="P1269" s="220" t="n">
        <x:v>19.308333333333334</x:v>
      </x:c>
      <x:c r="Q1269" s="220" t="n">
        <x:v>2.6083333333333334</x:v>
      </x:c>
      <x:c r="R1269" s="220" t="n">
        <x:v>0.11901140684410647</x:v>
      </x:c>
      <x:c r="S1269" s="220" t="n">
        <x:v>42.064516129032256</x:v>
      </x:c>
      <x:c r="T1269" s="220" t="n">
        <x:v>39.903225806451616</x:v>
      </x:c>
      <x:c r="U1269" s="220" t="n">
        <x:v>2.161290322580645</x:v>
      </x:c>
      <x:c r="V1269" s="218" t="n">
        <x:v>0.01152073732718894</x:v>
      </x:c>
      <x:c r="W1269" s="217" t="n">
        <x:v>2</x:v>
      </x:c>
      <x:c r="X1269" s="222" t="n">
        <x:v>510</x:v>
      </x:c>
      <x:c r="Y1269" s="217" t="n">
        <x:v>30</x:v>
      </x:c>
    </x:row>
    <x:row r="1270">
      <x:c r="A1270" s="216" t="n">
        <x:v>407</x:v>
      </x:c>
      <x:c r="B1270" s="216" t="str">
        <x:v>伯爵山莊第二期(康寧街)</x:v>
      </x:c>
      <x:c r="C1270" s="216" t="str">
        <x:v>汐止區</x:v>
      </x:c>
      <x:c r="D1270" s="216" t="n">
        <x:v>15</x:v>
      </x:c>
      <x:c r="E1270" s="216" t="n">
        <x:v>120</x:v>
      </x:c>
      <x:c r="F1270" s="219" t="n">
        <x:v>0.9994791666666667</x:v>
      </x:c>
      <x:c r="G1270" s="216" t="n">
        <x:v>1266</x:v>
      </x:c>
      <x:c r="H1270" s="216" t="str">
        <x:f>IF(G1270&lt;='排名定義'!$B$5,"是","")</x:f>
        <x:v>是</x:v>
      </x:c>
      <x:c r="I1270" s="216" t="n">
        <x:v>1261</x:v>
      </x:c>
      <x:c r="J1270" s="216" t="str">
        <x:f>IF(I1270&lt;='排名定義'!$B$5,"是","")</x:f>
        <x:v>是</x:v>
      </x:c>
      <x:c r="K1270" s="216" t="n">
        <x:v>1253</x:v>
      </x:c>
      <x:c r="L1270" s="216" t="str">
        <x:f>IF(K1270&lt;='排名定義'!$B$5,"是","")</x:f>
        <x:v>是</x:v>
      </x:c>
      <x:c r="M1270" s="216" t="n">
        <x:f>COUNTIF(H1270:L1270,"是")</x:f>
        <x:v>3</x:v>
      </x:c>
      <x:c r="N1270" s="216" t="str">
        <x:v>三份皆未入選</x:v>
      </x:c>
      <x:c r="O1270" s="221" t="n">
        <x:v>21.883333333333333</x:v>
      </x:c>
      <x:c r="P1270" s="221" t="n">
        <x:v>19.191666666666666</x:v>
      </x:c>
      <x:c r="Q1270" s="221" t="n">
        <x:v>2.691666666666667</x:v>
      </x:c>
      <x:c r="R1270" s="221" t="n">
        <x:v>0.123000761614623</x:v>
      </x:c>
      <x:c r="S1270" s="221" t="n">
        <x:v>36.67741935483871</x:v>
      </x:c>
      <x:c r="T1270" s="221" t="n">
        <x:v>34.41935483870968</x:v>
      </x:c>
      <x:c r="U1270" s="221" t="n">
        <x:v>2.2580645161290325</x:v>
      </x:c>
      <x:c r="V1270" s="219" t="n">
        <x:v>0.016129032258064516</x:v>
      </x:c>
      <x:c r="W1270" s="216" t="n">
        <x:v>7</x:v>
      </x:c>
      <x:c r="X1270" s="223" t="n">
        <x:v>780</x:v>
      </x:c>
      <x:c r="Y1270" s="216" t="n">
        <x:v>15</x:v>
      </x:c>
    </x:row>
    <x:row r="1271">
      <x:c r="A1271" s="217" t="n">
        <x:v>727</x:v>
      </x:c>
      <x:c r="B1271" s="217" t="str">
        <x:v>福德一路392巷41弄口</x:v>
      </x:c>
      <x:c r="C1271" s="217" t="str">
        <x:v>汐止區</x:v>
      </x:c>
      <x:c r="D1271" s="217" t="n">
        <x:v>20</x:v>
      </x:c>
      <x:c r="E1271" s="217" t="n">
        <x:v>120</x:v>
      </x:c>
      <x:c r="F1271" s="218" t="n">
        <x:v>0.9994791666666667</x:v>
      </x:c>
      <x:c r="G1271" s="217" t="n">
        <x:v>1267</x:v>
      </x:c>
      <x:c r="H1271" s="217" t="str">
        <x:f>IF(G1271&lt;='排名定義'!$B$5,"是","")</x:f>
        <x:v>是</x:v>
      </x:c>
      <x:c r="I1271" s="217" t="n">
        <x:v>1264</x:v>
      </x:c>
      <x:c r="J1271" s="217" t="str">
        <x:f>IF(I1271&lt;='排名定義'!$B$5,"是","")</x:f>
        <x:v>是</x:v>
      </x:c>
      <x:c r="K1271" s="217" t="n">
        <x:v>1247</x:v>
      </x:c>
      <x:c r="L1271" s="217" t="str">
        <x:f>IF(K1271&lt;='排名定義'!$B$5,"是","")</x:f>
        <x:v>是</x:v>
      </x:c>
      <x:c r="M1271" s="217" t="n">
        <x:f>COUNTIF(H1271:L1271,"是")</x:f>
        <x:v>3</x:v>
      </x:c>
      <x:c r="N1271" s="217" t="str">
        <x:v>三份皆未入選</x:v>
      </x:c>
      <x:c r="O1271" s="220" t="n">
        <x:v>21.883333333333333</x:v>
      </x:c>
      <x:c r="P1271" s="220" t="n">
        <x:v>19.141666666666666</x:v>
      </x:c>
      <x:c r="Q1271" s="220" t="n">
        <x:v>2.7416666666666667</x:v>
      </x:c>
      <x:c r="R1271" s="220" t="n">
        <x:v>0.12528560548362527</x:v>
      </x:c>
      <x:c r="S1271" s="220" t="n">
        <x:v>38.41935483870968</x:v>
      </x:c>
      <x:c r="T1271" s="220" t="n">
        <x:v>35.83870967741935</x:v>
      </x:c>
      <x:c r="U1271" s="220" t="n">
        <x:v>2.5806451612903225</x:v>
      </x:c>
      <x:c r="V1271" s="218" t="n">
        <x:v>0.018433179723502304</x:v>
      </x:c>
      <x:c r="W1271" s="217" t="n">
        <x:v>7</x:v>
      </x:c>
      <x:c r="X1271" s="222" t="n">
        <x:v>870</x:v>
      </x:c>
      <x:c r="Y1271" s="217" t="n">
        <x:v>20</x:v>
      </x:c>
    </x:row>
    <x:row r="1272">
      <x:c r="A1272" s="216" t="n">
        <x:v>290</x:v>
      </x:c>
      <x:c r="B1272" s="216" t="str">
        <x:v>中山二永安南路口</x:v>
      </x:c>
      <x:c r="C1272" s="216" t="str">
        <x:v>蘆洲區</x:v>
      </x:c>
      <x:c r="D1272" s="216" t="n">
        <x:v>14</x:v>
      </x:c>
      <x:c r="E1272" s="216" t="n">
        <x:v>120</x:v>
      </x:c>
      <x:c r="F1272" s="219" t="n">
        <x:v>0.9994791666666667</x:v>
      </x:c>
      <x:c r="G1272" s="216" t="n">
        <x:v>1268</x:v>
      </x:c>
      <x:c r="H1272" s="216" t="str">
        <x:f>IF(G1272&lt;='排名定義'!$B$5,"是","")</x:f>
        <x:v>是</x:v>
      </x:c>
      <x:c r="I1272" s="216" t="n">
        <x:v>1268</x:v>
      </x:c>
      <x:c r="J1272" s="216" t="str">
        <x:f>IF(I1272&lt;='排名定義'!$B$5,"是","")</x:f>
        <x:v>是</x:v>
      </x:c>
      <x:c r="K1272" s="216" t="n">
        <x:v>1240</x:v>
      </x:c>
      <x:c r="L1272" s="216" t="str">
        <x:f>IF(K1272&lt;='排名定義'!$B$5,"是","")</x:f>
        <x:v>是</x:v>
      </x:c>
      <x:c r="M1272" s="216" t="n">
        <x:f>COUNTIF(H1272:L1272,"是")</x:f>
        <x:v>3</x:v>
      </x:c>
      <x:c r="N1272" s="216" t="str">
        <x:v>三份皆未入選</x:v>
      </x:c>
      <x:c r="O1272" s="221" t="n">
        <x:v>21.791666666666668</x:v>
      </x:c>
      <x:c r="P1272" s="221" t="n">
        <x:v>19.025</x:v>
      </x:c>
      <x:c r="Q1272" s="221" t="n">
        <x:v>2.7666666666666666</x:v>
      </x:c>
      <x:c r="R1272" s="221" t="n">
        <x:v>0.12695984703632887</x:v>
      </x:c>
      <x:c r="S1272" s="221" t="n">
        <x:v>32.774193548387096</x:v>
      </x:c>
      <x:c r="T1272" s="221" t="n">
        <x:v>30.70967741935484</x:v>
      </x:c>
      <x:c r="U1272" s="221" t="n">
        <x:v>2.064516129032258</x:v>
      </x:c>
      <x:c r="V1272" s="219" t="n">
        <x:v>0.055299539170506916</x:v>
      </x:c>
      <x:c r="W1272" s="216" t="n">
        <x:v>18</x:v>
      </x:c>
      <x:c r="X1272" s="223" t="n">
        <x:v>2190</x:v>
      </x:c>
      <x:c r="Y1272" s="216" t="n">
        <x:v>14</x:v>
      </x:c>
    </x:row>
    <x:row r="1273">
      <x:c r="A1273" s="217" t="n">
        <x:v>933</x:v>
      </x:c>
      <x:c r="B1273" s="217" t="str">
        <x:v>神農街/光復路二段129巷口</x:v>
      </x:c>
      <x:c r="C1273" s="217" t="str">
        <x:v>三重區</x:v>
      </x:c>
      <x:c r="D1273" s="217" t="n">
        <x:v>26</x:v>
      </x:c>
      <x:c r="E1273" s="217" t="n">
        <x:v>120</x:v>
      </x:c>
      <x:c r="F1273" s="218" t="n">
        <x:v>0.9994791666666667</x:v>
      </x:c>
      <x:c r="G1273" s="217" t="n">
        <x:v>1269</x:v>
      </x:c>
      <x:c r="H1273" s="217" t="str">
        <x:f>IF(G1273&lt;='排名定義'!$B$5,"是","")</x:f>
        <x:v>是</x:v>
      </x:c>
      <x:c r="I1273" s="217" t="n">
        <x:v>1267</x:v>
      </x:c>
      <x:c r="J1273" s="217" t="str">
        <x:f>IF(I1273&lt;='排名定義'!$B$5,"是","")</x:f>
        <x:v>是</x:v>
      </x:c>
      <x:c r="K1273" s="217" t="n">
        <x:v>1252</x:v>
      </x:c>
      <x:c r="L1273" s="217" t="str">
        <x:f>IF(K1273&lt;='排名定義'!$B$5,"是","")</x:f>
        <x:v>是</x:v>
      </x:c>
      <x:c r="M1273" s="217" t="n">
        <x:f>COUNTIF(H1273:L1273,"是")</x:f>
        <x:v>3</x:v>
      </x:c>
      <x:c r="N1273" s="217" t="str">
        <x:v>三份皆未入選</x:v>
      </x:c>
      <x:c r="O1273" s="220" t="n">
        <x:v>21.766666666666666</x:v>
      </x:c>
      <x:c r="P1273" s="220" t="n">
        <x:v>19.066666666666666</x:v>
      </x:c>
      <x:c r="Q1273" s="220" t="n">
        <x:v>2.7</x:v>
      </x:c>
      <x:c r="R1273" s="220" t="n">
        <x:v>0.12404287901990811</x:v>
      </x:c>
      <x:c r="S1273" s="220" t="n">
        <x:v>32.483870967741936</x:v>
      </x:c>
      <x:c r="T1273" s="220" t="n">
        <x:v>30.06451612903226</x:v>
      </x:c>
      <x:c r="U1273" s="220" t="n">
        <x:v>2.4193548387096775</x:v>
      </x:c>
      <x:c r="V1273" s="218" t="n">
        <x:v>0.03456221198156682</x:v>
      </x:c>
      <x:c r="W1273" s="217" t="n">
        <x:v>10</x:v>
      </x:c>
      <x:c r="X1273" s="222" t="n">
        <x:v>990</x:v>
      </x:c>
      <x:c r="Y1273" s="217" t="n">
        <x:v>26</x:v>
      </x:c>
    </x:row>
    <x:row r="1274">
      <x:c r="A1274" s="216" t="n">
        <x:v>297</x:v>
      </x:c>
      <x:c r="B1274" s="216" t="str">
        <x:v>國泰國小</x:v>
      </x:c>
      <x:c r="C1274" s="216" t="str">
        <x:v>新莊區</x:v>
      </x:c>
      <x:c r="D1274" s="216" t="n">
        <x:v>14</x:v>
      </x:c>
      <x:c r="E1274" s="216" t="n">
        <x:v>120</x:v>
      </x:c>
      <x:c r="F1274" s="219" t="n">
        <x:v>0.9994791666666667</x:v>
      </x:c>
      <x:c r="G1274" s="216" t="n">
        <x:v>1270</x:v>
      </x:c>
      <x:c r="H1274" s="216" t="str">
        <x:f>IF(G1274&lt;='排名定義'!$B$5,"是","")</x:f>
        <x:v>是</x:v>
      </x:c>
      <x:c r="I1274" s="216" t="n">
        <x:v>1269</x:v>
      </x:c>
      <x:c r="J1274" s="216" t="str">
        <x:f>IF(I1274&lt;='排名定義'!$B$5,"是","")</x:f>
        <x:v>是</x:v>
      </x:c>
      <x:c r="K1274" s="216" t="n">
        <x:v>1248</x:v>
      </x:c>
      <x:c r="L1274" s="216" t="str">
        <x:f>IF(K1274&lt;='排名定義'!$B$5,"是","")</x:f>
        <x:v>是</x:v>
      </x:c>
      <x:c r="M1274" s="216" t="n">
        <x:f>COUNTIF(H1274:L1274,"是")</x:f>
        <x:v>3</x:v>
      </x:c>
      <x:c r="N1274" s="216" t="str">
        <x:v>三份皆未入選</x:v>
      </x:c>
      <x:c r="O1274" s="221" t="n">
        <x:v>21.75</x:v>
      </x:c>
      <x:c r="P1274" s="221" t="n">
        <x:v>19.016666666666666</x:v>
      </x:c>
      <x:c r="Q1274" s="221" t="n">
        <x:v>2.7333333333333334</x:v>
      </x:c>
      <x:c r="R1274" s="221" t="n">
        <x:v>0.12567049808429118</x:v>
      </x:c>
      <x:c r="S1274" s="221" t="n">
        <x:v>39.87096774193548</x:v>
      </x:c>
      <x:c r="T1274" s="221" t="n">
        <x:v>35.32258064516129</x:v>
      </x:c>
      <x:c r="U1274" s="221" t="n">
        <x:v>4.548387096774194</x:v>
      </x:c>
      <x:c r="V1274" s="219" t="n">
        <x:v>0.03917050691244239</x:v>
      </x:c>
      <x:c r="W1274" s="216" t="n">
        <x:v>8</x:v>
      </x:c>
      <x:c r="X1274" s="223" t="n">
        <x:v>990</x:v>
      </x:c>
      <x:c r="Y1274" s="216" t="n">
        <x:v>14</x:v>
      </x:c>
    </x:row>
    <x:row r="1275">
      <x:c r="A1275" s="217" t="n">
        <x:v>214</x:v>
      </x:c>
      <x:c r="B1275" s="217" t="str">
        <x:v>碧潭大橋(溪洲路6巷)</x:v>
      </x:c>
      <x:c r="C1275" s="217" t="str">
        <x:v>新店區</x:v>
      </x:c>
      <x:c r="D1275" s="217" t="n">
        <x:v>12</x:v>
      </x:c>
      <x:c r="E1275" s="217" t="n">
        <x:v>120</x:v>
      </x:c>
      <x:c r="F1275" s="218" t="n">
        <x:v>0.9994791666666667</x:v>
      </x:c>
      <x:c r="G1275" s="217" t="n">
        <x:v>1271</x:v>
      </x:c>
      <x:c r="H1275" s="217" t="str">
        <x:f>IF(G1275&lt;='排名定義'!$B$5,"是","")</x:f>
        <x:v>是</x:v>
      </x:c>
      <x:c r="I1275" s="217" t="n">
        <x:v>1272</x:v>
      </x:c>
      <x:c r="J1275" s="217" t="str">
        <x:f>IF(I1275&lt;='排名定義'!$B$5,"是","")</x:f>
        <x:v>是</x:v>
      </x:c>
      <x:c r="K1275" s="217" t="n">
        <x:v>1244</x:v>
      </x:c>
      <x:c r="L1275" s="217" t="str">
        <x:f>IF(K1275&lt;='排名定義'!$B$5,"是","")</x:f>
        <x:v>是</x:v>
      </x:c>
      <x:c r="M1275" s="217" t="n">
        <x:f>COUNTIF(H1275:L1275,"是")</x:f>
        <x:v>3</x:v>
      </x:c>
      <x:c r="N1275" s="217" t="str">
        <x:v>三份皆未入選</x:v>
      </x:c>
      <x:c r="O1275" s="220" t="n">
        <x:v>21.7</x:v>
      </x:c>
      <x:c r="P1275" s="220" t="n">
        <x:v>18.95</x:v>
      </x:c>
      <x:c r="Q1275" s="220" t="n">
        <x:v>2.75</x:v>
      </x:c>
      <x:c r="R1275" s="220" t="n">
        <x:v>0.12672811059907835</x:v>
      </x:c>
      <x:c r="S1275" s="220" t="n">
        <x:v>36.354838709677416</x:v>
      </x:c>
      <x:c r="T1275" s="220" t="n">
        <x:v>33.41935483870968</x:v>
      </x:c>
      <x:c r="U1275" s="220" t="n">
        <x:v>2.935483870967742</x:v>
      </x:c>
      <x:c r="V1275" s="218" t="n">
        <x:v>0.08986175115207373</x:v>
      </x:c>
      <x:c r="W1275" s="217" t="n">
        <x:v>18</x:v>
      </x:c>
      <x:c r="X1275" s="222" t="n">
        <x:v>2550</x:v>
      </x:c>
      <x:c r="Y1275" s="217" t="n">
        <x:v>12</x:v>
      </x:c>
    </x:row>
    <x:row r="1276">
      <x:c r="A1276" s="216" t="n">
        <x:v>576</x:v>
      </x:c>
      <x:c r="B1276" s="216" t="str">
        <x:v>文化北忠孝一路口</x:v>
      </x:c>
      <x:c r="C1276" s="216" t="str">
        <x:v>林口區</x:v>
      </x:c>
      <x:c r="D1276" s="216" t="n">
        <x:v>18</x:v>
      </x:c>
      <x:c r="E1276" s="216" t="n">
        <x:v>120</x:v>
      </x:c>
      <x:c r="F1276" s="219" t="n">
        <x:v>0.9994791666666667</x:v>
      </x:c>
      <x:c r="G1276" s="216" t="n">
        <x:v>1272</x:v>
      </x:c>
      <x:c r="H1276" s="216" t="str">
        <x:f>IF(G1276&lt;='排名定義'!$B$5,"是","")</x:f>
        <x:v>是</x:v>
      </x:c>
      <x:c r="I1276" s="216" t="n">
        <x:v>1270</x:v>
      </x:c>
      <x:c r="J1276" s="216" t="str">
        <x:f>IF(I1276&lt;='排名定義'!$B$5,"是","")</x:f>
        <x:v>是</x:v>
      </x:c>
      <x:c r="K1276" s="216" t="n">
        <x:v>1280</x:v>
      </x:c>
      <x:c r="L1276" s="216" t="str">
        <x:f>IF(K1276&lt;='排名定義'!$B$5,"是","")</x:f>
        <x:v>是</x:v>
      </x:c>
      <x:c r="M1276" s="216" t="n">
        <x:f>COUNTIF(H1276:L1276,"是")</x:f>
        <x:v>3</x:v>
      </x:c>
      <x:c r="N1276" s="216" t="str">
        <x:v>三份皆未入選</x:v>
      </x:c>
      <x:c r="O1276" s="221" t="n">
        <x:v>21.6</x:v>
      </x:c>
      <x:c r="P1276" s="221" t="n">
        <x:v>19.016666666666666</x:v>
      </x:c>
      <x:c r="Q1276" s="221" t="n">
        <x:v>2.5833333333333335</x:v>
      </x:c>
      <x:c r="R1276" s="221" t="n">
        <x:v>0.11959876543209877</x:v>
      </x:c>
      <x:c r="S1276" s="221" t="n">
        <x:v>37.67741935483871</x:v>
      </x:c>
      <x:c r="T1276" s="221" t="n">
        <x:v>35.225806451612904</x:v>
      </x:c>
      <x:c r="U1276" s="221" t="n">
        <x:v>2.4516129032258065</x:v>
      </x:c>
      <x:c r="V1276" s="219" t="n">
        <x:v>0.0576036866359447</x:v>
      </x:c>
      <x:c r="W1276" s="216" t="n">
        <x:v>12</x:v>
      </x:c>
      <x:c r="X1276" s="223" t="n">
        <x:v>1380</x:v>
      </x:c>
      <x:c r="Y1276" s="216" t="n">
        <x:v>18</x:v>
      </x:c>
    </x:row>
    <x:row r="1277">
      <x:c r="A1277" s="217" t="n">
        <x:v>620</x:v>
      </x:c>
      <x:c r="B1277" s="217" t="str">
        <x:v>下街福德宮</x:v>
      </x:c>
      <x:c r="C1277" s="217" t="str">
        <x:v>汐止區</x:v>
      </x:c>
      <x:c r="D1277" s="217" t="n">
        <x:v>19</x:v>
      </x:c>
      <x:c r="E1277" s="217" t="n">
        <x:v>120</x:v>
      </x:c>
      <x:c r="F1277" s="218" t="n">
        <x:v>0.9994791666666667</x:v>
      </x:c>
      <x:c r="G1277" s="217" t="n">
        <x:v>1273</x:v>
      </x:c>
      <x:c r="H1277" s="217" t="str">
        <x:f>IF(G1277&lt;='排名定義'!$B$5,"是","")</x:f>
        <x:v>是</x:v>
      </x:c>
      <x:c r="I1277" s="217" t="n">
        <x:v>1263</x:v>
      </x:c>
      <x:c r="J1277" s="217" t="str">
        <x:f>IF(I1277&lt;='排名定義'!$B$5,"是","")</x:f>
        <x:v>是</x:v>
      </x:c>
      <x:c r="K1277" s="217" t="n">
        <x:v>1331</x:v>
      </x:c>
      <x:c r="L1277" s="217" t="str">
        <x:f>IF(K1277&lt;='排名定義'!$B$5,"是","")</x:f>
        <x:v>是</x:v>
      </x:c>
      <x:c r="M1277" s="217" t="n">
        <x:f>COUNTIF(H1277:L1277,"是")</x:f>
        <x:v>3</x:v>
      </x:c>
      <x:c r="N1277" s="217" t="str">
        <x:v>三份皆未入選</x:v>
      </x:c>
      <x:c r="O1277" s="220" t="n">
        <x:v>21.483333333333334</x:v>
      </x:c>
      <x:c r="P1277" s="220" t="n">
        <x:v>19.166666666666668</x:v>
      </x:c>
      <x:c r="Q1277" s="220" t="n">
        <x:v>2.316666666666667</x:v>
      </x:c>
      <x:c r="R1277" s="220" t="n">
        <x:v>0.1078355314197052</x:v>
      </x:c>
      <x:c r="S1277" s="220" t="n">
        <x:v>45.61290322580645</x:v>
      </x:c>
      <x:c r="T1277" s="220" t="n">
        <x:v>42.806451612903224</x:v>
      </x:c>
      <x:c r="U1277" s="220" t="n">
        <x:v>2.806451612903226</x:v>
      </x:c>
      <x:c r="V1277" s="218" t="n">
        <x:v>0.052995391705069124</x:v>
      </x:c>
      <x:c r="W1277" s="217" t="n">
        <x:v>8</x:v>
      </x:c>
      <x:c r="X1277" s="222" t="n">
        <x:v>1200</x:v>
      </x:c>
      <x:c r="Y1277" s="217" t="n">
        <x:v>19</x:v>
      </x:c>
    </x:row>
    <x:row r="1278">
      <x:c r="A1278" s="216" t="n">
        <x:v>548</x:v>
      </x:c>
      <x:c r="B1278" s="216" t="str">
        <x:v>安和路二段117巷口</x:v>
      </x:c>
      <x:c r="C1278" s="216" t="str">
        <x:v>新店區</x:v>
      </x:c>
      <x:c r="D1278" s="216" t="n">
        <x:v>17</x:v>
      </x:c>
      <x:c r="E1278" s="216" t="n">
        <x:v>120</x:v>
      </x:c>
      <x:c r="F1278" s="219" t="n">
        <x:v>0.9994791666666667</x:v>
      </x:c>
      <x:c r="G1278" s="216" t="n">
        <x:v>1274</x:v>
      </x:c>
      <x:c r="H1278" s="216" t="str">
        <x:f>IF(G1278&lt;='排名定義'!$B$5,"是","")</x:f>
        <x:v>是</x:v>
      </x:c>
      <x:c r="I1278" s="216" t="n">
        <x:v>1260</x:v>
      </x:c>
      <x:c r="J1278" s="216" t="str">
        <x:f>IF(I1278&lt;='排名定義'!$B$5,"是","")</x:f>
        <x:v>是</x:v>
      </x:c>
      <x:c r="K1278" s="216" t="n">
        <x:v>1344</x:v>
      </x:c>
      <x:c r="L1278" s="216" t="str">
        <x:f>IF(K1278&lt;='排名定義'!$B$5,"是","")</x:f>
        <x:v>是</x:v>
      </x:c>
      <x:c r="M1278" s="216" t="n">
        <x:f>COUNTIF(H1278:L1278,"是")</x:f>
        <x:v>3</x:v>
      </x:c>
      <x:c r="N1278" s="216" t="str">
        <x:v>三份皆未入選</x:v>
      </x:c>
      <x:c r="O1278" s="221" t="n">
        <x:v>21.441666666666666</x:v>
      </x:c>
      <x:c r="P1278" s="221" t="n">
        <x:v>19.225</x:v>
      </x:c>
      <x:c r="Q1278" s="221" t="n">
        <x:v>2.216666666666667</x:v>
      </x:c>
      <x:c r="R1278" s="221" t="n">
        <x:v>0.10338126700349787</x:v>
      </x:c>
      <x:c r="S1278" s="221" t="n">
        <x:v>38.774193548387096</x:v>
      </x:c>
      <x:c r="T1278" s="221" t="n">
        <x:v>36.064516129032256</x:v>
      </x:c>
      <x:c r="U1278" s="221" t="n">
        <x:v>2.7096774193548385</x:v>
      </x:c>
      <x:c r="V1278" s="219" t="n">
        <x:v>0.06221198156682028</x:v>
      </x:c>
      <x:c r="W1278" s="216" t="n">
        <x:v>14</x:v>
      </x:c>
      <x:c r="X1278" s="223" t="n">
        <x:v>1620</x:v>
      </x:c>
      <x:c r="Y1278" s="216" t="n">
        <x:v>17</x:v>
      </x:c>
    </x:row>
    <x:row r="1279">
      <x:c r="A1279" s="217" t="n">
        <x:v>461</x:v>
      </x:c>
      <x:c r="B1279" s="217" t="str">
        <x:v>淡水新市鎮兒童公園</x:v>
      </x:c>
      <x:c r="C1279" s="217" t="str">
        <x:v>淡水區</x:v>
      </x:c>
      <x:c r="D1279" s="217" t="n">
        <x:v>15</x:v>
      </x:c>
      <x:c r="E1279" s="217" t="n">
        <x:v>120</x:v>
      </x:c>
      <x:c r="F1279" s="218" t="n">
        <x:v>0.9994791666666667</x:v>
      </x:c>
      <x:c r="G1279" s="217" t="n">
        <x:v>1275</x:v>
      </x:c>
      <x:c r="H1279" s="217" t="str">
        <x:f>IF(G1279&lt;='排名定義'!$B$5,"是","")</x:f>
        <x:v>是</x:v>
      </x:c>
      <x:c r="I1279" s="217" t="n">
        <x:v>1279</x:v>
      </x:c>
      <x:c r="J1279" s="217" t="str">
        <x:f>IF(I1279&lt;='排名定義'!$B$5,"是","")</x:f>
        <x:v>是</x:v>
      </x:c>
      <x:c r="K1279" s="217" t="n">
        <x:v>1164</x:v>
      </x:c>
      <x:c r="L1279" s="217" t="str">
        <x:f>IF(K1279&lt;='排名定義'!$B$5,"是","")</x:f>
        <x:v>是</x:v>
      </x:c>
      <x:c r="M1279" s="217" t="n">
        <x:f>COUNTIF(H1279:L1279,"是")</x:f>
        <x:v>3</x:v>
      </x:c>
      <x:c r="N1279" s="217" t="str">
        <x:v>三份皆未入選</x:v>
      </x:c>
      <x:c r="O1279" s="220" t="n">
        <x:v>21.416666666666668</x:v>
      </x:c>
      <x:c r="P1279" s="220" t="n">
        <x:v>18.425</x:v>
      </x:c>
      <x:c r="Q1279" s="220" t="n">
        <x:v>2.9916666666666667</x:v>
      </x:c>
      <x:c r="R1279" s="220" t="n">
        <x:v>0.1396887159533074</x:v>
      </x:c>
      <x:c r="S1279" s="220" t="n">
        <x:v>30.548387096774192</x:v>
      </x:c>
      <x:c r="T1279" s="220" t="n">
        <x:v>28.225806451612904</x:v>
      </x:c>
      <x:c r="U1279" s="220" t="n">
        <x:v>2.3225806451612905</x:v>
      </x:c>
      <x:c r="V1279" s="218" t="n">
        <x:v>0.04838709677419355</x:v>
      </x:c>
      <x:c r="W1279" s="217" t="n">
        <x:v>8</x:v>
      </x:c>
      <x:c r="X1279" s="222" t="n">
        <x:v>1200</x:v>
      </x:c>
      <x:c r="Y1279" s="217" t="n">
        <x:v>15</x:v>
      </x:c>
    </x:row>
    <x:row r="1280">
      <x:c r="A1280" s="216" t="n">
        <x:v>597</x:v>
      </x:c>
      <x:c r="B1280" s="216" t="str">
        <x:v>大觀段平面停車場</x:v>
      </x:c>
      <x:c r="C1280" s="216" t="str">
        <x:v>板橋區</x:v>
      </x:c>
      <x:c r="D1280" s="216" t="n">
        <x:v>18</x:v>
      </x:c>
      <x:c r="E1280" s="216" t="n">
        <x:v>120</x:v>
      </x:c>
      <x:c r="F1280" s="219" t="n">
        <x:v>0.9994791666666667</x:v>
      </x:c>
      <x:c r="G1280" s="216" t="n">
        <x:v>1276</x:v>
      </x:c>
      <x:c r="H1280" s="216" t="str">
        <x:f>IF(G1280&lt;='排名定義'!$B$5,"是","")</x:f>
        <x:v>是</x:v>
      </x:c>
      <x:c r="I1280" s="216" t="n">
        <x:v>1275</x:v>
      </x:c>
      <x:c r="J1280" s="216" t="str">
        <x:f>IF(I1280&lt;='排名定義'!$B$5,"是","")</x:f>
        <x:v>是</x:v>
      </x:c>
      <x:c r="K1280" s="216" t="n">
        <x:v>1303</x:v>
      </x:c>
      <x:c r="L1280" s="216" t="str">
        <x:f>IF(K1280&lt;='排名定義'!$B$5,"是","")</x:f>
        <x:v>是</x:v>
      </x:c>
      <x:c r="M1280" s="216" t="n">
        <x:f>COUNTIF(H1280:L1280,"是")</x:f>
        <x:v>3</x:v>
      </x:c>
      <x:c r="N1280" s="216" t="str">
        <x:v>三份皆未入選</x:v>
      </x:c>
      <x:c r="O1280" s="221" t="n">
        <x:v>21.291666666666668</x:v>
      </x:c>
      <x:c r="P1280" s="221" t="n">
        <x:v>18.841666666666665</x:v>
      </x:c>
      <x:c r="Q1280" s="221" t="n">
        <x:v>2.45</x:v>
      </x:c>
      <x:c r="R1280" s="221" t="n">
        <x:v>0.11506849315068493</x:v>
      </x:c>
      <x:c r="S1280" s="221" t="n">
        <x:v>36.12903225806452</x:v>
      </x:c>
      <x:c r="T1280" s="221" t="n">
        <x:v>32.74193548387097</x:v>
      </x:c>
      <x:c r="U1280" s="221" t="n">
        <x:v>3.3870967741935485</x:v>
      </x:c>
      <x:c r="V1280" s="219" t="n">
        <x:v>0.02304147465437788</x:v>
      </x:c>
      <x:c r="W1280" s="216" t="n">
        <x:v>4</x:v>
      </x:c>
      <x:c r="X1280" s="223" t="n">
        <x:v>690</x:v>
      </x:c>
      <x:c r="Y1280" s="216" t="n">
        <x:v>18</x:v>
      </x:c>
    </x:row>
    <x:row r="1281">
      <x:c r="A1281" s="217" t="n">
        <x:v>481</x:v>
      </x:c>
      <x:c r="B1281" s="217" t="str">
        <x:v>師大林口校區體育館前</x:v>
      </x:c>
      <x:c r="C1281" s="217" t="str">
        <x:v>林口區</x:v>
      </x:c>
      <x:c r="D1281" s="217" t="n">
        <x:v>16</x:v>
      </x:c>
      <x:c r="E1281" s="217" t="n">
        <x:v>120</x:v>
      </x:c>
      <x:c r="F1281" s="218" t="n">
        <x:v>0.9994791666666667</x:v>
      </x:c>
      <x:c r="G1281" s="217" t="n">
        <x:v>1277</x:v>
      </x:c>
      <x:c r="H1281" s="217" t="str">
        <x:f>IF(G1281&lt;='排名定義'!$B$5,"是","")</x:f>
        <x:v>是</x:v>
      </x:c>
      <x:c r="I1281" s="217" t="n">
        <x:v>1285</x:v>
      </x:c>
      <x:c r="J1281" s="217" t="str">
        <x:f>IF(I1281&lt;='排名定義'!$B$5,"是","")</x:f>
        <x:v>是</x:v>
      </x:c>
      <x:c r="K1281" s="217" t="n">
        <x:v>1018</x:v>
      </x:c>
      <x:c r="L1281" s="217" t="str">
        <x:f>IF(K1281&lt;='排名定義'!$B$5,"是","")</x:f>
        <x:v>是</x:v>
      </x:c>
      <x:c r="M1281" s="217" t="n">
        <x:f>COUNTIF(H1281:L1281,"是")</x:f>
        <x:v>3</x:v>
      </x:c>
      <x:c r="N1281" s="217" t="str">
        <x:v>三份皆未入選</x:v>
      </x:c>
      <x:c r="O1281" s="220" t="n">
        <x:v>21.233333333333334</x:v>
      </x:c>
      <x:c r="P1281" s="220" t="n">
        <x:v>17.833333333333332</x:v>
      </x:c>
      <x:c r="Q1281" s="220" t="n">
        <x:v>3.4</x:v>
      </x:c>
      <x:c r="R1281" s="220" t="n">
        <x:v>0.16012558869701726</x:v>
      </x:c>
      <x:c r="S1281" s="220" t="n">
        <x:v>40</x:v>
      </x:c>
      <x:c r="T1281" s="220" t="n">
        <x:v>35.38709677419355</x:v>
      </x:c>
      <x:c r="U1281" s="220" t="n">
        <x:v>4.612903225806452</x:v>
      </x:c>
      <x:c r="V1281" s="218" t="n">
        <x:v>0.12672811059907835</x:v>
      </x:c>
      <x:c r="W1281" s="217" t="n">
        <x:v>16</x:v>
      </x:c>
      <x:c r="X1281" s="222" t="n">
        <x:v>2100</x:v>
      </x:c>
      <x:c r="Y1281" s="217" t="n">
        <x:v>16</x:v>
      </x:c>
    </x:row>
    <x:row r="1282">
      <x:c r="A1282" s="216" t="n">
        <x:v>553</x:v>
      </x:c>
      <x:c r="B1282" s="216" t="str">
        <x:v>光明路69巷口</x:v>
      </x:c>
      <x:c r="C1282" s="216" t="str">
        <x:v>三峽區</x:v>
      </x:c>
      <x:c r="D1282" s="216" t="n">
        <x:v>17</x:v>
      </x:c>
      <x:c r="E1282" s="216" t="n">
        <x:v>120</x:v>
      </x:c>
      <x:c r="F1282" s="219" t="n">
        <x:v>0.9994791666666667</x:v>
      </x:c>
      <x:c r="G1282" s="216" t="n">
        <x:v>1278</x:v>
      </x:c>
      <x:c r="H1282" s="216" t="str">
        <x:f>IF(G1282&lt;='排名定義'!$B$5,"是","")</x:f>
        <x:v>是</x:v>
      </x:c>
      <x:c r="I1282" s="216" t="n">
        <x:v>1265</x:v>
      </x:c>
      <x:c r="J1282" s="216" t="str">
        <x:f>IF(I1282&lt;='排名定義'!$B$5,"是","")</x:f>
        <x:v>是</x:v>
      </x:c>
      <x:c r="K1282" s="216" t="n">
        <x:v>1369</x:v>
      </x:c>
      <x:c r="L1282" s="216" t="str">
        <x:f>IF(K1282&lt;='排名定義'!$B$5,"是","")</x:f>
        <x:v>是</x:v>
      </x:c>
      <x:c r="M1282" s="216" t="n">
        <x:f>COUNTIF(H1282:L1282,"是")</x:f>
        <x:v>3</x:v>
      </x:c>
      <x:c r="N1282" s="216" t="str">
        <x:v>三份皆未入選</x:v>
      </x:c>
      <x:c r="O1282" s="221" t="n">
        <x:v>21.166666666666668</x:v>
      </x:c>
      <x:c r="P1282" s="221" t="n">
        <x:v>19.133333333333333</x:v>
      </x:c>
      <x:c r="Q1282" s="221" t="n">
        <x:v>2.033333333333333</x:v>
      </x:c>
      <x:c r="R1282" s="221" t="n">
        <x:v>0.09606299212598425</x:v>
      </x:c>
      <x:c r="S1282" s="221" t="n">
        <x:v>40.806451612903224</x:v>
      </x:c>
      <x:c r="T1282" s="221" t="n">
        <x:v>37.67741935483871</x:v>
      </x:c>
      <x:c r="U1282" s="221" t="n">
        <x:v>3.129032258064516</x:v>
      </x:c>
      <x:c r="V1282" s="219" t="n">
        <x:v>0.0069124423963133645</x:v>
      </x:c>
      <x:c r="W1282" s="216" t="n">
        <x:v>2</x:v>
      </x:c>
      <x:c r="X1282" s="223" t="n">
        <x:v>120</x:v>
      </x:c>
      <x:c r="Y1282" s="216" t="n">
        <x:v>17</x:v>
      </x:c>
    </x:row>
    <x:row r="1283">
      <x:c r="A1283" s="217" t="n">
        <x:v>787</x:v>
      </x:c>
      <x:c r="B1283" s="217" t="str">
        <x:v>民權路3巷12弄口</x:v>
      </x:c>
      <x:c r="C1283" s="217" t="str">
        <x:v>淡水區</x:v>
      </x:c>
      <x:c r="D1283" s="217" t="n">
        <x:v>21</x:v>
      </x:c>
      <x:c r="E1283" s="217" t="n">
        <x:v>120</x:v>
      </x:c>
      <x:c r="F1283" s="218" t="n">
        <x:v>0.9994791666666667</x:v>
      </x:c>
      <x:c r="G1283" s="217" t="n">
        <x:v>1279</x:v>
      </x:c>
      <x:c r="H1283" s="217" t="str">
        <x:f>IF(G1283&lt;='排名定義'!$B$5,"是","")</x:f>
        <x:v>是</x:v>
      </x:c>
      <x:c r="I1283" s="217" t="n">
        <x:v>1276</x:v>
      </x:c>
      <x:c r="J1283" s="217" t="str">
        <x:f>IF(I1283&lt;='排名定義'!$B$5,"是","")</x:f>
        <x:v>是</x:v>
      </x:c>
      <x:c r="K1283" s="217" t="n">
        <x:v>1310</x:v>
      </x:c>
      <x:c r="L1283" s="217" t="str">
        <x:f>IF(K1283&lt;='排名定義'!$B$5,"是","")</x:f>
        <x:v>是</x:v>
      </x:c>
      <x:c r="M1283" s="217" t="n">
        <x:f>COUNTIF(H1283:L1283,"是")</x:f>
        <x:v>3</x:v>
      </x:c>
      <x:c r="N1283" s="217" t="str">
        <x:v>三份皆未入選</x:v>
      </x:c>
      <x:c r="O1283" s="220" t="n">
        <x:v>21.033333333333335</x:v>
      </x:c>
      <x:c r="P1283" s="220" t="n">
        <x:v>18.6</x:v>
      </x:c>
      <x:c r="Q1283" s="220" t="n">
        <x:v>2.433333333333333</x:v>
      </x:c>
      <x:c r="R1283" s="220" t="n">
        <x:v>0.11568938193343899</x:v>
      </x:c>
      <x:c r="S1283" s="220" t="n">
        <x:v>39.903225806451616</x:v>
      </x:c>
      <x:c r="T1283" s="220" t="n">
        <x:v>37.064516129032256</x:v>
      </x:c>
      <x:c r="U1283" s="220" t="n">
        <x:v>2.838709677419355</x:v>
      </x:c>
      <x:c r="V1283" s="218" t="n">
        <x:v>0.016129032258064516</x:v>
      </x:c>
      <x:c r="W1283" s="217" t="n">
        <x:v>13</x:v>
      </x:c>
      <x:c r="X1283" s="222" t="n">
        <x:v>1890</x:v>
      </x:c>
      <x:c r="Y1283" s="217" t="n">
        <x:v>21</x:v>
      </x:c>
    </x:row>
    <x:row r="1284">
      <x:c r="A1284" s="216" t="n">
        <x:v>723</x:v>
      </x:c>
      <x:c r="B1284" s="216" t="str">
        <x:v>淡水公23公園</x:v>
      </x:c>
      <x:c r="C1284" s="216" t="str">
        <x:v>淡水區</x:v>
      </x:c>
      <x:c r="D1284" s="216" t="n">
        <x:v>20</x:v>
      </x:c>
      <x:c r="E1284" s="216" t="n">
        <x:v>120</x:v>
      </x:c>
      <x:c r="F1284" s="219" t="n">
        <x:v>0.9994791666666667</x:v>
      </x:c>
      <x:c r="G1284" s="216" t="n">
        <x:v>1280</x:v>
      </x:c>
      <x:c r="H1284" s="216" t="str">
        <x:f>IF(G1284&lt;='排名定義'!$B$5,"是","")</x:f>
        <x:v>是</x:v>
      </x:c>
      <x:c r="I1284" s="216" t="n">
        <x:v>1277</x:v>
      </x:c>
      <x:c r="J1284" s="216" t="str">
        <x:f>IF(I1284&lt;='排名定義'!$B$5,"是","")</x:f>
        <x:v>是</x:v>
      </x:c>
      <x:c r="K1284" s="216" t="n">
        <x:v>1300</x:v>
      </x:c>
      <x:c r="L1284" s="216" t="str">
        <x:f>IF(K1284&lt;='排名定義'!$B$5,"是","")</x:f>
        <x:v>是</x:v>
      </x:c>
      <x:c r="M1284" s="216" t="n">
        <x:f>COUNTIF(H1284:L1284,"是")</x:f>
        <x:v>3</x:v>
      </x:c>
      <x:c r="N1284" s="216" t="str">
        <x:v>三份皆未入選</x:v>
      </x:c>
      <x:c r="O1284" s="221" t="n">
        <x:v>20.983333333333334</x:v>
      </x:c>
      <x:c r="P1284" s="221" t="n">
        <x:v>18.525</x:v>
      </x:c>
      <x:c r="Q1284" s="221" t="n">
        <x:v>2.4583333333333335</x:v>
      </x:c>
      <x:c r="R1284" s="221" t="n">
        <x:v>0.11715647339158063</x:v>
      </x:c>
      <x:c r="S1284" s="221" t="n">
        <x:v>37.96774193548387</x:v>
      </x:c>
      <x:c r="T1284" s="221" t="n">
        <x:v>34.45161290322581</x:v>
      </x:c>
      <x:c r="U1284" s="221" t="n">
        <x:v>3.5161290322580645</x:v>
      </x:c>
      <x:c r="V1284" s="219" t="n">
        <x:v>0.03686635944700461</x:v>
      </x:c>
      <x:c r="W1284" s="216" t="n">
        <x:v>7</x:v>
      </x:c>
      <x:c r="X1284" s="223" t="n">
        <x:v>1050</x:v>
      </x:c>
      <x:c r="Y1284" s="216" t="n">
        <x:v>20</x:v>
      </x:c>
    </x:row>
    <x:row r="1285">
      <x:c r="A1285" s="217" t="n">
        <x:v>493</x:v>
      </x:c>
      <x:c r="B1285" s="217" t="str">
        <x:v>華江橋自行車牽引道</x:v>
      </x:c>
      <x:c r="C1285" s="217" t="str">
        <x:v>板橋區</x:v>
      </x:c>
      <x:c r="D1285" s="217" t="n">
        <x:v>16</x:v>
      </x:c>
      <x:c r="E1285" s="217" t="n">
        <x:v>120</x:v>
      </x:c>
      <x:c r="F1285" s="218" t="n">
        <x:v>0.9994791666666667</x:v>
      </x:c>
      <x:c r="G1285" s="217" t="n">
        <x:v>1281</x:v>
      </x:c>
      <x:c r="H1285" s="217" t="str">
        <x:f>IF(G1285&lt;='排名定義'!$B$5,"是","")</x:f>
        <x:v>是</x:v>
      </x:c>
      <x:c r="I1285" s="217" t="n">
        <x:v>1278</x:v>
      </x:c>
      <x:c r="J1285" s="217" t="str">
        <x:f>IF(I1285&lt;='排名定義'!$B$5,"是","")</x:f>
        <x:v>是</x:v>
      </x:c>
      <x:c r="K1285" s="217" t="n">
        <x:v>1298</x:v>
      </x:c>
      <x:c r="L1285" s="217" t="str">
        <x:f>IF(K1285&lt;='排名定義'!$B$5,"是","")</x:f>
        <x:v>是</x:v>
      </x:c>
      <x:c r="M1285" s="217" t="n">
        <x:f>COUNTIF(H1285:L1285,"是")</x:f>
        <x:v>3</x:v>
      </x:c>
      <x:c r="N1285" s="217" t="str">
        <x:v>三份皆未入選</x:v>
      </x:c>
      <x:c r="O1285" s="220" t="n">
        <x:v>20.908333333333335</x:v>
      </x:c>
      <x:c r="P1285" s="220" t="n">
        <x:v>18.441666666666666</x:v>
      </x:c>
      <x:c r="Q1285" s="220" t="n">
        <x:v>2.466666666666667</x:v>
      </x:c>
      <x:c r="R1285" s="220" t="n">
        <x:v>0.11797528895974492</x:v>
      </x:c>
      <x:c r="S1285" s="220" t="n">
        <x:v>35.87096774193548</x:v>
      </x:c>
      <x:c r="T1285" s="220" t="n">
        <x:v>33.064516129032256</x:v>
      </x:c>
      <x:c r="U1285" s="220" t="n">
        <x:v>2.806451612903226</x:v>
      </x:c>
      <x:c r="V1285" s="218" t="n">
        <x:v>0.09907834101382489</x:v>
      </x:c>
      <x:c r="W1285" s="217" t="n">
        <x:v>22</x:v>
      </x:c>
      <x:c r="X1285" s="222" t="n">
        <x:v>2730</x:v>
      </x:c>
      <x:c r="Y1285" s="217" t="n">
        <x:v>16</x:v>
      </x:c>
    </x:row>
    <x:row r="1286">
      <x:c r="A1286" s="216" t="n">
        <x:v>404</x:v>
      </x:c>
      <x:c r="B1286" s="216" t="str">
        <x:v>中園街福隆宮</x:v>
      </x:c>
      <x:c r="C1286" s="216" t="str">
        <x:v>三峽區</x:v>
      </x:c>
      <x:c r="D1286" s="216" t="n">
        <x:v>15</x:v>
      </x:c>
      <x:c r="E1286" s="216" t="n">
        <x:v>120</x:v>
      </x:c>
      <x:c r="F1286" s="219" t="n">
        <x:v>0.9994791666666667</x:v>
      </x:c>
      <x:c r="G1286" s="216" t="n">
        <x:v>1282</x:v>
      </x:c>
      <x:c r="H1286" s="216" t="str">
        <x:f>IF(G1286&lt;='排名定義'!$B$5,"是","")</x:f>
        <x:v>是</x:v>
      </x:c>
      <x:c r="I1286" s="216" t="n">
        <x:v>1280</x:v>
      </x:c>
      <x:c r="J1286" s="216" t="str">
        <x:f>IF(I1286&lt;='排名定義'!$B$5,"是","")</x:f>
        <x:v>是</x:v>
      </x:c>
      <x:c r="K1286" s="216" t="n">
        <x:v>1321</x:v>
      </x:c>
      <x:c r="L1286" s="216" t="str">
        <x:f>IF(K1286&lt;='排名定義'!$B$5,"是","")</x:f>
        <x:v>是</x:v>
      </x:c>
      <x:c r="M1286" s="216" t="n">
        <x:f>COUNTIF(H1286:L1286,"是")</x:f>
        <x:v>3</x:v>
      </x:c>
      <x:c r="N1286" s="216" t="str">
        <x:v>三份皆未入選</x:v>
      </x:c>
      <x:c r="O1286" s="221" t="n">
        <x:v>20.675</x:v>
      </x:c>
      <x:c r="P1286" s="221" t="n">
        <x:v>18.3</x:v>
      </x:c>
      <x:c r="Q1286" s="221" t="n">
        <x:v>2.375</x:v>
      </x:c>
      <x:c r="R1286" s="221" t="n">
        <x:v>0.11487303506650544</x:v>
      </x:c>
      <x:c r="S1286" s="221" t="n">
        <x:v>35.03225806451613</x:v>
      </x:c>
      <x:c r="T1286" s="221" t="n">
        <x:v>33.03225806451613</x:v>
      </x:c>
      <x:c r="U1286" s="221" t="n">
        <x:v>2</x:v>
      </x:c>
      <x:c r="V1286" s="219" t="n">
        <x:v>0.016129032258064516</x:v>
      </x:c>
      <x:c r="W1286" s="216" t="n">
        <x:v>4</x:v>
      </x:c>
      <x:c r="X1286" s="223" t="n">
        <x:v>360</x:v>
      </x:c>
      <x:c r="Y1286" s="216" t="n">
        <x:v>15</x:v>
      </x:c>
    </x:row>
    <x:row r="1287">
      <x:c r="A1287" s="217" t="n">
        <x:v>420</x:v>
      </x:c>
      <x:c r="B1287" s="217" t="str">
        <x:v>建國國小</x:v>
      </x:c>
      <x:c r="C1287" s="217" t="str">
        <x:v>鶯歌區</x:v>
      </x:c>
      <x:c r="D1287" s="217" t="n">
        <x:v>15</x:v>
      </x:c>
      <x:c r="E1287" s="217" t="n">
        <x:v>120</x:v>
      </x:c>
      <x:c r="F1287" s="218" t="n">
        <x:v>0.9994791666666667</x:v>
      </x:c>
      <x:c r="G1287" s="217" t="n">
        <x:v>1283</x:v>
      </x:c>
      <x:c r="H1287" s="217" t="str">
        <x:f>IF(G1287&lt;='排名定義'!$B$5,"是","")</x:f>
        <x:v>是</x:v>
      </x:c>
      <x:c r="I1287" s="217" t="n">
        <x:v>1282</x:v>
      </x:c>
      <x:c r="J1287" s="217" t="str">
        <x:f>IF(I1287&lt;='排名定義'!$B$5,"是","")</x:f>
        <x:v>是</x:v>
      </x:c>
      <x:c r="K1287" s="217" t="n">
        <x:v>1296</x:v>
      </x:c>
      <x:c r="L1287" s="217" t="str">
        <x:f>IF(K1287&lt;='排名定義'!$B$5,"是","")</x:f>
        <x:v>是</x:v>
      </x:c>
      <x:c r="M1287" s="217" t="n">
        <x:f>COUNTIF(H1287:L1287,"是")</x:f>
        <x:v>3</x:v>
      </x:c>
      <x:c r="N1287" s="217" t="str">
        <x:v>三份皆未入選</x:v>
      </x:c>
      <x:c r="O1287" s="220" t="n">
        <x:v>20.6</x:v>
      </x:c>
      <x:c r="P1287" s="220" t="n">
        <x:v>18.125</x:v>
      </x:c>
      <x:c r="Q1287" s="220" t="n">
        <x:v>2.475</x:v>
      </x:c>
      <x:c r="R1287" s="220" t="n">
        <x:v>0.12014563106796117</x:v>
      </x:c>
      <x:c r="S1287" s="220" t="n">
        <x:v>34.25806451612903</x:v>
      </x:c>
      <x:c r="T1287" s="220" t="n">
        <x:v>31.677419354838708</x:v>
      </x:c>
      <x:c r="U1287" s="220" t="n">
        <x:v>2.5806451612903225</x:v>
      </x:c>
      <x:c r="V1287" s="218" t="n">
        <x:v>0.018433179723502304</x:v>
      </x:c>
      <x:c r="W1287" s="217" t="n">
        <x:v>5</x:v>
      </x:c>
      <x:c r="X1287" s="222" t="n">
        <x:v>570</x:v>
      </x:c>
      <x:c r="Y1287" s="217" t="n">
        <x:v>15</x:v>
      </x:c>
    </x:row>
    <x:row r="1288">
      <x:c r="A1288" s="216" t="n">
        <x:v>405</x:v>
      </x:c>
      <x:c r="B1288" s="216" t="str">
        <x:v>中正東路一段81巷</x:v>
      </x:c>
      <x:c r="C1288" s="216" t="str">
        <x:v>淡水區</x:v>
      </x:c>
      <x:c r="D1288" s="216" t="n">
        <x:v>15</x:v>
      </x:c>
      <x:c r="E1288" s="216" t="n">
        <x:v>120</x:v>
      </x:c>
      <x:c r="F1288" s="219" t="n">
        <x:v>0.9994791666666667</x:v>
      </x:c>
      <x:c r="G1288" s="216" t="n">
        <x:v>1284</x:v>
      </x:c>
      <x:c r="H1288" s="216" t="str">
        <x:f>IF(G1288&lt;='排名定義'!$B$5,"是","")</x:f>
        <x:v>是</x:v>
      </x:c>
      <x:c r="I1288" s="216" t="n">
        <x:v>1287</x:v>
      </x:c>
      <x:c r="J1288" s="216" t="str">
        <x:f>IF(I1288&lt;='排名定義'!$B$5,"是","")</x:f>
        <x:v>是</x:v>
      </x:c>
      <x:c r="K1288" s="216" t="n">
        <x:v>1235</x:v>
      </x:c>
      <x:c r="L1288" s="216" t="str">
        <x:f>IF(K1288&lt;='排名定義'!$B$5,"是","")</x:f>
        <x:v>是</x:v>
      </x:c>
      <x:c r="M1288" s="216" t="n">
        <x:f>COUNTIF(H1288:L1288,"是")</x:f>
        <x:v>3</x:v>
      </x:c>
      <x:c r="N1288" s="216" t="str">
        <x:v>三份皆未入選</x:v>
      </x:c>
      <x:c r="O1288" s="221" t="n">
        <x:v>20.591666666666665</x:v>
      </x:c>
      <x:c r="P1288" s="221" t="n">
        <x:v>17.8</x:v>
      </x:c>
      <x:c r="Q1288" s="221" t="n">
        <x:v>2.7916666666666665</x:v>
      </x:c>
      <x:c r="R1288" s="221" t="n">
        <x:v>0.13557264265479563</x:v>
      </x:c>
      <x:c r="S1288" s="221" t="n">
        <x:v>38.483870967741936</x:v>
      </x:c>
      <x:c r="T1288" s="221" t="n">
        <x:v>35.483870967741936</x:v>
      </x:c>
      <x:c r="U1288" s="221" t="n">
        <x:v>3</x:v>
      </x:c>
      <x:c r="V1288" s="219" t="n">
        <x:v>0.027649769585253458</x:v>
      </x:c>
      <x:c r="W1288" s="216" t="n">
        <x:v>20</x:v>
      </x:c>
      <x:c r="X1288" s="223" t="n">
        <x:v>2160</x:v>
      </x:c>
      <x:c r="Y1288" s="216" t="n">
        <x:v>15</x:v>
      </x:c>
    </x:row>
    <x:row r="1289">
      <x:c r="A1289" s="217" t="n">
        <x:v>239</x:v>
      </x:c>
      <x:c r="B1289" s="217" t="str">
        <x:v>樟江大橋</x:v>
      </x:c>
      <x:c r="C1289" s="217" t="str">
        <x:v>汐止區</x:v>
      </x:c>
      <x:c r="D1289" s="217" t="n">
        <x:v>13</x:v>
      </x:c>
      <x:c r="E1289" s="217" t="n">
        <x:v>120</x:v>
      </x:c>
      <x:c r="F1289" s="218" t="n">
        <x:v>0.9994791666666667</x:v>
      </x:c>
      <x:c r="G1289" s="217" t="n">
        <x:v>1285</x:v>
      </x:c>
      <x:c r="H1289" s="217" t="str">
        <x:f>IF(G1289&lt;='排名定義'!$B$5,"是","")</x:f>
        <x:v>是</x:v>
      </x:c>
      <x:c r="I1289" s="217" t="n">
        <x:v>1289</x:v>
      </x:c>
      <x:c r="J1289" s="217" t="str">
        <x:f>IF(I1289&lt;='排名定義'!$B$5,"是","")</x:f>
        <x:v>是</x:v>
      </x:c>
      <x:c r="K1289" s="217" t="n">
        <x:v>1225</x:v>
      </x:c>
      <x:c r="L1289" s="217" t="str">
        <x:f>IF(K1289&lt;='排名定義'!$B$5,"是","")</x:f>
        <x:v>是</x:v>
      </x:c>
      <x:c r="M1289" s="217" t="n">
        <x:f>COUNTIF(H1289:L1289,"是")</x:f>
        <x:v>3</x:v>
      </x:c>
      <x:c r="N1289" s="217" t="str">
        <x:v>三份皆未入選</x:v>
      </x:c>
      <x:c r="O1289" s="220" t="n">
        <x:v>20.408333333333335</x:v>
      </x:c>
      <x:c r="P1289" s="220" t="n">
        <x:v>17.575</x:v>
      </x:c>
      <x:c r="Q1289" s="220" t="n">
        <x:v>2.8333333333333335</x:v>
      </x:c>
      <x:c r="R1289" s="220" t="n">
        <x:v>0.13883217639853002</x:v>
      </x:c>
      <x:c r="S1289" s="220" t="n">
        <x:v>35.96774193548387</x:v>
      </x:c>
      <x:c r="T1289" s="220" t="n">
        <x:v>32.25806451612903</x:v>
      </x:c>
      <x:c r="U1289" s="220" t="n">
        <x:v>3.7096774193548385</x:v>
      </x:c>
      <x:c r="V1289" s="218" t="n">
        <x:v>0.059907834101382486</x:v>
      </x:c>
      <x:c r="W1289" s="217" t="n">
        <x:v>8</x:v>
      </x:c>
      <x:c r="X1289" s="222" t="n">
        <x:v>1530</x:v>
      </x:c>
      <x:c r="Y1289" s="217" t="n">
        <x:v>13</x:v>
      </x:c>
    </x:row>
    <x:row r="1290">
      <x:c r="A1290" s="216" t="n">
        <x:v>112</x:v>
      </x:c>
      <x:c r="B1290" s="216" t="str">
        <x:v>八安大橋(清水街)</x:v>
      </x:c>
      <x:c r="C1290" s="216" t="str">
        <x:v>三峽區</x:v>
      </x:c>
      <x:c r="D1290" s="216" t="n">
        <x:v>10</x:v>
      </x:c>
      <x:c r="E1290" s="216" t="n">
        <x:v>120</x:v>
      </x:c>
      <x:c r="F1290" s="219" t="n">
        <x:v>0.9994791666666667</x:v>
      </x:c>
      <x:c r="G1290" s="216" t="n">
        <x:v>1286</x:v>
      </x:c>
      <x:c r="H1290" s="216" t="str">
        <x:f>IF(G1290&lt;='排名定義'!$B$5,"是","")</x:f>
        <x:v>是</x:v>
      </x:c>
      <x:c r="I1290" s="216" t="n">
        <x:v>1283</x:v>
      </x:c>
      <x:c r="J1290" s="216" t="str">
        <x:f>IF(I1290&lt;='排名定義'!$B$5,"是","")</x:f>
        <x:v>是</x:v>
      </x:c>
      <x:c r="K1290" s="216" t="n">
        <x:v>1324</x:v>
      </x:c>
      <x:c r="L1290" s="216" t="str">
        <x:f>IF(K1290&lt;='排名定義'!$B$5,"是","")</x:f>
        <x:v>是</x:v>
      </x:c>
      <x:c r="M1290" s="216" t="n">
        <x:f>COUNTIF(H1290:L1290,"是")</x:f>
        <x:v>3</x:v>
      </x:c>
      <x:c r="N1290" s="216" t="str">
        <x:v>三份皆未入選</x:v>
      </x:c>
      <x:c r="O1290" s="221" t="n">
        <x:v>20.275</x:v>
      </x:c>
      <x:c r="P1290" s="221" t="n">
        <x:v>17.916666666666668</x:v>
      </x:c>
      <x:c r="Q1290" s="221" t="n">
        <x:v>2.3583333333333334</x:v>
      </x:c>
      <x:c r="R1290" s="221" t="n">
        <x:v>0.1163173037402384</x:v>
      </x:c>
      <x:c r="S1290" s="221" t="n">
        <x:v>33.774193548387096</x:v>
      </x:c>
      <x:c r="T1290" s="221" t="n">
        <x:v>31.387096774193548</x:v>
      </x:c>
      <x:c r="U1290" s="221" t="n">
        <x:v>2.3870967741935485</x:v>
      </x:c>
      <x:c r="V1290" s="219" t="n">
        <x:v>0.04608294930875576</x:v>
      </x:c>
      <x:c r="W1290" s="216" t="n">
        <x:v>9</x:v>
      </x:c>
      <x:c r="X1290" s="223" t="n">
        <x:v>1410</x:v>
      </x:c>
      <x:c r="Y1290" s="216" t="n">
        <x:v>10</x:v>
      </x:c>
    </x:row>
    <x:row r="1291">
      <x:c r="A1291" s="217" t="n">
        <x:v>167</x:v>
      </x:c>
      <x:c r="B1291" s="217" t="str">
        <x:v>民族街78巷口</x:v>
      </x:c>
      <x:c r="C1291" s="217" t="str">
        <x:v>三峽區</x:v>
      </x:c>
      <x:c r="D1291" s="217" t="n">
        <x:v>11</x:v>
      </x:c>
      <x:c r="E1291" s="217" t="n">
        <x:v>91</x:v>
      </x:c>
      <x:c r="F1291" s="218" t="n">
        <x:v>0.9993131868131868</x:v>
      </x:c>
      <x:c r="G1291" s="217" t="n">
        <x:v>1287</x:v>
      </x:c>
      <x:c r="H1291" s="217" t="str">
        <x:f>IF(G1291&lt;='排名定義'!$B$5,"是","")</x:f>
        <x:v>是</x:v>
      </x:c>
      <x:c r="I1291" s="217" t="n">
        <x:v>1288</x:v>
      </x:c>
      <x:c r="J1291" s="217" t="str">
        <x:f>IF(I1291&lt;='排名定義'!$B$5,"是","")</x:f>
        <x:v>是</x:v>
      </x:c>
      <x:c r="K1291" s="217" t="n">
        <x:v>1288</x:v>
      </x:c>
      <x:c r="L1291" s="217" t="str">
        <x:f>IF(K1291&lt;='排名定義'!$B$5,"是","")</x:f>
        <x:v>是</x:v>
      </x:c>
      <x:c r="M1291" s="217" t="n">
        <x:f>COUNTIF(H1291:L1291,"是")</x:f>
        <x:v>3</x:v>
      </x:c>
      <x:c r="N1291" s="217" t="str">
        <x:v>三份皆未入選</x:v>
      </x:c>
      <x:c r="O1291" s="220" t="n">
        <x:v>20.24175824175824</x:v>
      </x:c>
      <x:c r="P1291" s="220" t="n">
        <x:v>17.703296703296704</x:v>
      </x:c>
      <x:c r="Q1291" s="220" t="n">
        <x:v>2.5384615384615383</x:v>
      </x:c>
      <x:c r="R1291" s="220" t="n">
        <x:v>0.1254071661237785</x:v>
      </x:c>
      <x:c r="S1291" s="220" t="n">
        <x:v>30.806451612903224</x:v>
      </x:c>
      <x:c r="T1291" s="220" t="n">
        <x:v>28.516129032258064</x:v>
      </x:c>
      <x:c r="U1291" s="220" t="n">
        <x:v>2.2903225806451615</x:v>
      </x:c>
      <x:c r="V1291" s="218" t="n">
        <x:v>0.018433179723502304</x:v>
      </x:c>
      <x:c r="W1291" s="217" t="n">
        <x:v>5</x:v>
      </x:c>
      <x:c r="X1291" s="222" t="n">
        <x:v>690</x:v>
      </x:c>
      <x:c r="Y1291" s="217" t="n">
        <x:v>11</x:v>
      </x:c>
    </x:row>
    <x:row r="1292">
      <x:c r="A1292" s="216" t="n">
        <x:v>192</x:v>
      </x:c>
      <x:c r="B1292" s="216" t="str">
        <x:v>永成市民活動中心</x:v>
      </x:c>
      <x:c r="C1292" s="216" t="str">
        <x:v>永和區</x:v>
      </x:c>
      <x:c r="D1292" s="216" t="n">
        <x:v>12</x:v>
      </x:c>
      <x:c r="E1292" s="216" t="n">
        <x:v>120</x:v>
      </x:c>
      <x:c r="F1292" s="219" t="n">
        <x:v>0.9994791666666667</x:v>
      </x:c>
      <x:c r="G1292" s="216" t="n">
        <x:v>1288</x:v>
      </x:c>
      <x:c r="H1292" s="216" t="str">
        <x:f>IF(G1292&lt;='排名定義'!$B$5,"是","")</x:f>
        <x:v>是</x:v>
      </x:c>
      <x:c r="I1292" s="216" t="n">
        <x:v>1284</x:v>
      </x:c>
      <x:c r="J1292" s="216" t="str">
        <x:f>IF(I1292&lt;='排名定義'!$B$5,"是","")</x:f>
        <x:v>是</x:v>
      </x:c>
      <x:c r="K1292" s="216" t="n">
        <x:v>1339</x:v>
      </x:c>
      <x:c r="L1292" s="216" t="str">
        <x:f>IF(K1292&lt;='排名定義'!$B$5,"是","")</x:f>
        <x:v>是</x:v>
      </x:c>
      <x:c r="M1292" s="216" t="n">
        <x:f>COUNTIF(H1292:L1292,"是")</x:f>
        <x:v>3</x:v>
      </x:c>
      <x:c r="N1292" s="216" t="str">
        <x:v>三份皆未入選</x:v>
      </x:c>
      <x:c r="O1292" s="221" t="n">
        <x:v>20.108333333333334</x:v>
      </x:c>
      <x:c r="P1292" s="221" t="n">
        <x:v>17.866666666666667</x:v>
      </x:c>
      <x:c r="Q1292" s="221" t="n">
        <x:v>2.2416666666666667</x:v>
      </x:c>
      <x:c r="R1292" s="221" t="n">
        <x:v>0.11147948611686698</x:v>
      </x:c>
      <x:c r="S1292" s="221" t="n">
        <x:v>12.161290322580646</x:v>
      </x:c>
      <x:c r="T1292" s="221" t="n">
        <x:v>11.64516129032258</x:v>
      </x:c>
      <x:c r="U1292" s="221" t="n">
        <x:v>0.5161290322580645</x:v>
      </x:c>
      <x:c r="V1292" s="219" t="n">
        <x:v>0.1175115207373272</x:v>
      </x:c>
      <x:c r="W1292" s="216" t="n">
        <x:v>7</x:v>
      </x:c>
      <x:c r="X1292" s="223" t="n">
        <x:v>4080</x:v>
      </x:c>
      <x:c r="Y1292" s="216" t="n">
        <x:v>12</x:v>
      </x:c>
    </x:row>
    <x:row r="1293">
      <x:c r="A1293" s="217" t="n">
        <x:v>318</x:v>
      </x:c>
      <x:c r="B1293" s="217" t="str">
        <x:v>三鶯分區區務辦公室</x:v>
      </x:c>
      <x:c r="C1293" s="217" t="str">
        <x:v>樹林區</x:v>
      </x:c>
      <x:c r="D1293" s="217" t="n">
        <x:v>15</x:v>
      </x:c>
      <x:c r="E1293" s="217" t="n">
        <x:v>120</x:v>
      </x:c>
      <x:c r="F1293" s="218" t="n">
        <x:v>0.9994791666666667</x:v>
      </x:c>
      <x:c r="G1293" s="217" t="n">
        <x:v>1289</x:v>
      </x:c>
      <x:c r="H1293" s="217" t="str">
        <x:f>IF(G1293&lt;='排名定義'!$B$5,"是","")</x:f>
        <x:v>是</x:v>
      </x:c>
      <x:c r="I1293" s="217" t="n">
        <x:v>1286</x:v>
      </x:c>
      <x:c r="J1293" s="217" t="str">
        <x:f>IF(I1293&lt;='排名定義'!$B$5,"是","")</x:f>
        <x:v>是</x:v>
      </x:c>
      <x:c r="K1293" s="217" t="n">
        <x:v>1334</x:v>
      </x:c>
      <x:c r="L1293" s="217" t="str">
        <x:f>IF(K1293&lt;='排名定義'!$B$5,"是","")</x:f>
        <x:v>是</x:v>
      </x:c>
      <x:c r="M1293" s="217" t="n">
        <x:f>COUNTIF(H1293:L1293,"是")</x:f>
        <x:v>3</x:v>
      </x:c>
      <x:c r="N1293" s="217" t="str">
        <x:v>三份皆未入選</x:v>
      </x:c>
      <x:c r="O1293" s="220" t="n">
        <x:v>20.075</x:v>
      </x:c>
      <x:c r="P1293" s="220" t="n">
        <x:v>17.8</x:v>
      </x:c>
      <x:c r="Q1293" s="220" t="n">
        <x:v>2.275</x:v>
      </x:c>
      <x:c r="R1293" s="220" t="n">
        <x:v>0.1133250311332503</x:v>
      </x:c>
      <x:c r="S1293" s="220" t="n">
        <x:v>35.45161290322581</x:v>
      </x:c>
      <x:c r="T1293" s="220" t="n">
        <x:v>33.29032258064516</x:v>
      </x:c>
      <x:c r="U1293" s="220" t="n">
        <x:v>2.161290322580645</x:v>
      </x:c>
      <x:c r="V1293" s="218" t="n">
        <x:v>0.03456221198156682</x:v>
      </x:c>
      <x:c r="W1293" s="217" t="n">
        <x:v>9</x:v>
      </x:c>
      <x:c r="X1293" s="222" t="n">
        <x:v>1290</x:v>
      </x:c>
      <x:c r="Y1293" s="217" t="n">
        <x:v>15</x:v>
      </x:c>
    </x:row>
    <x:row r="1294">
      <x:c r="A1294" s="216" t="n">
        <x:v>902</x:v>
      </x:c>
      <x:c r="B1294" s="216" t="str">
        <x:v>新市二路四段</x:v>
      </x:c>
      <x:c r="C1294" s="216" t="str">
        <x:v>淡水區</x:v>
      </x:c>
      <x:c r="D1294" s="216" t="n">
        <x:v>25</x:v>
      </x:c>
      <x:c r="E1294" s="216" t="n">
        <x:v>120</x:v>
      </x:c>
      <x:c r="F1294" s="219" t="n">
        <x:v>0.9994791666666667</x:v>
      </x:c>
      <x:c r="G1294" s="216" t="n">
        <x:v>1290</x:v>
      </x:c>
      <x:c r="H1294" s="216" t="str">
        <x:f>IF(G1294&lt;='排名定義'!$B$5,"是","")</x:f>
        <x:v>是</x:v>
      </x:c>
      <x:c r="I1294" s="216" t="n">
        <x:v>1299</x:v>
      </x:c>
      <x:c r="J1294" s="216" t="str">
        <x:f>IF(I1294&lt;='排名定義'!$B$5,"是","")</x:f>
        <x:v>是</x:v>
      </x:c>
      <x:c r="K1294" s="216" t="n">
        <x:v>922</x:v>
      </x:c>
      <x:c r="L1294" s="216" t="str">
        <x:f>IF(K1294&lt;='排名定義'!$B$5,"是","")</x:f>
        <x:v>是</x:v>
      </x:c>
      <x:c r="M1294" s="216" t="n">
        <x:f>COUNTIF(H1294:L1294,"是")</x:f>
        <x:v>3</x:v>
      </x:c>
      <x:c r="N1294" s="216" t="str">
        <x:v>三份皆未入選</x:v>
      </x:c>
      <x:c r="O1294" s="221" t="n">
        <x:v>19.8</x:v>
      </x:c>
      <x:c r="P1294" s="221" t="n">
        <x:v>16.141666666666666</x:v>
      </x:c>
      <x:c r="Q1294" s="221" t="n">
        <x:v>3.658333333333333</x:v>
      </x:c>
      <x:c r="R1294" s="221" t="n">
        <x:v>0.18476430976430977</x:v>
      </x:c>
      <x:c r="S1294" s="221" t="n">
        <x:v>33.354838709677416</x:v>
      </x:c>
      <x:c r="T1294" s="221" t="n">
        <x:v>29.70967741935484</x:v>
      </x:c>
      <x:c r="U1294" s="221" t="n">
        <x:v>3.6451612903225805</x:v>
      </x:c>
      <x:c r="V1294" s="219" t="n">
        <x:v>0.052995391705069124</x:v>
      </x:c>
      <x:c r="W1294" s="216" t="n">
        <x:v>10</x:v>
      </x:c>
      <x:c r="X1294" s="223" t="n">
        <x:v>1530</x:v>
      </x:c>
      <x:c r="Y1294" s="216" t="n">
        <x:v>25</x:v>
      </x:c>
    </x:row>
    <x:row r="1295">
      <x:c r="A1295" s="217" t="n">
        <x:v>736</x:v>
      </x:c>
      <x:c r="B1295" s="217" t="str">
        <x:v>鶯歌老街第二停車場</x:v>
      </x:c>
      <x:c r="C1295" s="217" t="str">
        <x:v>鶯歌區</x:v>
      </x:c>
      <x:c r="D1295" s="217" t="n">
        <x:v>20</x:v>
      </x:c>
      <x:c r="E1295" s="217" t="n">
        <x:v>120</x:v>
      </x:c>
      <x:c r="F1295" s="218" t="n">
        <x:v>0.9994791666666667</x:v>
      </x:c>
      <x:c r="G1295" s="217" t="n">
        <x:v>1291</x:v>
      </x:c>
      <x:c r="H1295" s="217" t="str">
        <x:f>IF(G1295&lt;='排名定義'!$B$5,"是","")</x:f>
        <x:v>是</x:v>
      </x:c>
      <x:c r="I1295" s="217" t="n">
        <x:v>1302</x:v>
      </x:c>
      <x:c r="J1295" s="217" t="str">
        <x:f>IF(I1295&lt;='排名定義'!$B$5,"是","")</x:f>
        <x:v>是</x:v>
      </x:c>
      <x:c r="K1295" s="217" t="n">
        <x:v>868</x:v>
      </x:c>
      <x:c r="L1295" s="217" t="str">
        <x:f>IF(K1295&lt;='排名定義'!$B$5,"是","")</x:f>
        <x:v>是</x:v>
      </x:c>
      <x:c r="M1295" s="217" t="n">
        <x:f>COUNTIF(H1295:L1295,"是")</x:f>
        <x:v>3</x:v>
      </x:c>
      <x:c r="N1295" s="217" t="str">
        <x:v>三份皆未入選</x:v>
      </x:c>
      <x:c r="O1295" s="220" t="n">
        <x:v>19.766666666666666</x:v>
      </x:c>
      <x:c r="P1295" s="220" t="n">
        <x:v>15.95</x:v>
      </x:c>
      <x:c r="Q1295" s="220" t="n">
        <x:v>3.816666666666667</x:v>
      </x:c>
      <x:c r="R1295" s="220" t="n">
        <x:v>0.19308600337268128</x:v>
      </x:c>
      <x:c r="S1295" s="220" t="n">
        <x:v>32.83870967741935</x:v>
      </x:c>
      <x:c r="T1295" s="220" t="n">
        <x:v>29.06451612903226</x:v>
      </x:c>
      <x:c r="U1295" s="220" t="n">
        <x:v>3.774193548387097</x:v>
      </x:c>
      <x:c r="V1295" s="218" t="n">
        <x:v>0.052995391705069124</x:v>
      </x:c>
      <x:c r="W1295" s="217" t="n">
        <x:v>8</x:v>
      </x:c>
      <x:c r="X1295" s="222" t="n">
        <x:v>900</x:v>
      </x:c>
      <x:c r="Y1295" s="217" t="n">
        <x:v>20</x:v>
      </x:c>
    </x:row>
    <x:row r="1296">
      <x:c r="A1296" s="216" t="n">
        <x:v>606</x:v>
      </x:c>
      <x:c r="B1296" s="216" t="str">
        <x:v>柑園街一段51巷口</x:v>
      </x:c>
      <x:c r="C1296" s="216" t="str">
        <x:v>樹林區</x:v>
      </x:c>
      <x:c r="D1296" s="216" t="n">
        <x:v>18</x:v>
      </x:c>
      <x:c r="E1296" s="216" t="n">
        <x:v>120</x:v>
      </x:c>
      <x:c r="F1296" s="219" t="n">
        <x:v>0.9994791666666667</x:v>
      </x:c>
      <x:c r="G1296" s="216" t="n">
        <x:v>1292</x:v>
      </x:c>
      <x:c r="H1296" s="216" t="str">
        <x:f>IF(G1296&lt;='排名定義'!$B$5,"是","")</x:f>
        <x:v>是</x:v>
      </x:c>
      <x:c r="I1296" s="216" t="n">
        <x:v>1291</x:v>
      </x:c>
      <x:c r="J1296" s="216" t="str">
        <x:f>IF(I1296&lt;='排名定義'!$B$5,"是","")</x:f>
        <x:v>是</x:v>
      </x:c>
      <x:c r="K1296" s="216" t="n">
        <x:v>1307</x:v>
      </x:c>
      <x:c r="L1296" s="216" t="str">
        <x:f>IF(K1296&lt;='排名定義'!$B$5,"是","")</x:f>
        <x:v>是</x:v>
      </x:c>
      <x:c r="M1296" s="216" t="n">
        <x:f>COUNTIF(H1296:L1296,"是")</x:f>
        <x:v>3</x:v>
      </x:c>
      <x:c r="N1296" s="216" t="str">
        <x:v>三份皆未入選</x:v>
      </x:c>
      <x:c r="O1296" s="221" t="n">
        <x:v>19.625</x:v>
      </x:c>
      <x:c r="P1296" s="221" t="n">
        <x:v>17.183333333333334</x:v>
      </x:c>
      <x:c r="Q1296" s="221" t="n">
        <x:v>2.441666666666667</x:v>
      </x:c>
      <x:c r="R1296" s="221" t="n">
        <x:v>0.12441613588110403</x:v>
      </x:c>
      <x:c r="S1296" s="221" t="n">
        <x:v>32.516129032258064</x:v>
      </x:c>
      <x:c r="T1296" s="221" t="n">
        <x:v>30.387096774193548</x:v>
      </x:c>
      <x:c r="U1296" s="221" t="n">
        <x:v>2.129032258064516</x:v>
      </x:c>
      <x:c r="V1296" s="219" t="n">
        <x:v>0.01152073732718894</x:v>
      </x:c>
      <x:c r="W1296" s="216" t="n">
        <x:v>0</x:v>
      </x:c>
      <x:c r="X1296" s="223" t="n">
        <x:v>180</x:v>
      </x:c>
      <x:c r="Y1296" s="216" t="n">
        <x:v>18</x:v>
      </x:c>
    </x:row>
    <x:row r="1297">
      <x:c r="A1297" s="217" t="n">
        <x:v>1126</x:v>
      </x:c>
      <x:c r="B1297" s="217" t="str">
        <x:v>捷運土城站(3號出口)</x:v>
      </x:c>
      <x:c r="C1297" s="217" t="str">
        <x:v>土城區</x:v>
      </x:c>
      <x:c r="D1297" s="217" t="n">
        <x:v>33</x:v>
      </x:c>
      <x:c r="E1297" s="217" t="n">
        <x:v>120</x:v>
      </x:c>
      <x:c r="F1297" s="218" t="n">
        <x:v>0.9994791666666667</x:v>
      </x:c>
      <x:c r="G1297" s="217" t="n">
        <x:v>1293</x:v>
      </x:c>
      <x:c r="H1297" s="217" t="str">
        <x:f>IF(G1297&lt;='排名定義'!$B$5,"是","")</x:f>
        <x:v>是</x:v>
      </x:c>
      <x:c r="I1297" s="217" t="n">
        <x:v>1313</x:v>
      </x:c>
      <x:c r="J1297" s="217" t="str">
        <x:f>IF(I1297&lt;='排名定義'!$B$5,"是","")</x:f>
        <x:v>是</x:v>
      </x:c>
      <x:c r="K1297" s="217" t="n">
        <x:v>746</x:v>
      </x:c>
      <x:c r="L1297" s="217" t="str">
        <x:f>IF(K1297&lt;='排名定義'!$B$5,"是","")</x:f>
        <x:v>是</x:v>
      </x:c>
      <x:c r="M1297" s="217" t="n">
        <x:f>COUNTIF(H1297:L1297,"是")</x:f>
        <x:v>3</x:v>
      </x:c>
      <x:c r="N1297" s="217" t="str">
        <x:v>三份皆未入選</x:v>
      </x:c>
      <x:c r="O1297" s="220" t="n">
        <x:v>19.566666666666666</x:v>
      </x:c>
      <x:c r="P1297" s="220" t="n">
        <x:v>15.408333333333333</x:v>
      </x:c>
      <x:c r="Q1297" s="220" t="n">
        <x:v>4.158333333333333</x:v>
      </x:c>
      <x:c r="R1297" s="220" t="n">
        <x:v>0.2125212947189097</x:v>
      </x:c>
      <x:c r="S1297" s="220" t="n">
        <x:v>32.096774193548384</x:v>
      </x:c>
      <x:c r="T1297" s="220" t="n">
        <x:v>26.64516129032258</x:v>
      </x:c>
      <x:c r="U1297" s="220" t="n">
        <x:v>5.451612903225806</x:v>
      </x:c>
      <x:c r="V1297" s="218" t="n">
        <x:v>0.018433179723502304</x:v>
      </x:c>
      <x:c r="W1297" s="217" t="n">
        <x:v>7</x:v>
      </x:c>
      <x:c r="X1297" s="222" t="n">
        <x:v>930</x:v>
      </x:c>
      <x:c r="Y1297" s="217" t="n">
        <x:v>33</x:v>
      </x:c>
    </x:row>
    <x:row r="1298">
      <x:c r="A1298" s="216" t="n">
        <x:v>700</x:v>
      </x:c>
      <x:c r="B1298" s="216" t="str">
        <x:v>八德路500巷</x:v>
      </x:c>
      <x:c r="C1298" s="216" t="str">
        <x:v>林口區</x:v>
      </x:c>
      <x:c r="D1298" s="216" t="n">
        <x:v>20</x:v>
      </x:c>
      <x:c r="E1298" s="216" t="n">
        <x:v>120</x:v>
      </x:c>
      <x:c r="F1298" s="219" t="n">
        <x:v>0.9994791666666667</x:v>
      </x:c>
      <x:c r="G1298" s="216" t="n">
        <x:v>1294</x:v>
      </x:c>
      <x:c r="H1298" s="216" t="str">
        <x:f>IF(G1298&lt;='排名定義'!$B$5,"是","")</x:f>
        <x:v>是</x:v>
      </x:c>
      <x:c r="I1298" s="216" t="n">
        <x:v>1294</x:v>
      </x:c>
      <x:c r="J1298" s="216" t="str">
        <x:f>IF(I1298&lt;='排名定義'!$B$5,"是","")</x:f>
        <x:v>是</x:v>
      </x:c>
      <x:c r="K1298" s="216" t="n">
        <x:v>1290</x:v>
      </x:c>
      <x:c r="L1298" s="216" t="str">
        <x:f>IF(K1298&lt;='排名定義'!$B$5,"是","")</x:f>
        <x:v>是</x:v>
      </x:c>
      <x:c r="M1298" s="216" t="n">
        <x:f>COUNTIF(H1298:L1298,"是")</x:f>
        <x:v>3</x:v>
      </x:c>
      <x:c r="N1298" s="216" t="str">
        <x:v>三份皆未入選</x:v>
      </x:c>
      <x:c r="O1298" s="221" t="n">
        <x:v>19.508333333333333</x:v>
      </x:c>
      <x:c r="P1298" s="221" t="n">
        <x:v>16.975</x:v>
      </x:c>
      <x:c r="Q1298" s="221" t="n">
        <x:v>2.533333333333333</x:v>
      </x:c>
      <x:c r="R1298" s="221" t="n">
        <x:v>0.12985903460059803</x:v>
      </x:c>
      <x:c r="S1298" s="221" t="n">
        <x:v>39.193548387096776</x:v>
      </x:c>
      <x:c r="T1298" s="221" t="n">
        <x:v>36.03225806451613</x:v>
      </x:c>
      <x:c r="U1298" s="221" t="n">
        <x:v>3.161290322580645</x:v>
      </x:c>
      <x:c r="V1298" s="219" t="n">
        <x:v>0.03225806451612903</x:v>
      </x:c>
      <x:c r="W1298" s="216" t="n">
        <x:v>5</x:v>
      </x:c>
      <x:c r="X1298" s="223" t="n">
        <x:v>660</x:v>
      </x:c>
      <x:c r="Y1298" s="216" t="n">
        <x:v>20</x:v>
      </x:c>
    </x:row>
    <x:row r="1299">
      <x:c r="A1299" s="217" t="n">
        <x:v>136</x:v>
      </x:c>
      <x:c r="B1299" s="217" t="str">
        <x:v>中華日新街口</x:v>
      </x:c>
      <x:c r="C1299" s="217" t="str">
        <x:v>土城區</x:v>
      </x:c>
      <x:c r="D1299" s="217" t="n">
        <x:v>10</x:v>
      </x:c>
      <x:c r="E1299" s="217" t="n">
        <x:v>120</x:v>
      </x:c>
      <x:c r="F1299" s="218" t="n">
        <x:v>0.9994791666666667</x:v>
      </x:c>
      <x:c r="G1299" s="217" t="n">
        <x:v>1295</x:v>
      </x:c>
      <x:c r="H1299" s="217" t="str">
        <x:f>IF(G1299&lt;='排名定義'!$B$5,"是","")</x:f>
        <x:v>是</x:v>
      </x:c>
      <x:c r="I1299" s="217" t="n">
        <x:v>1296</x:v>
      </x:c>
      <x:c r="J1299" s="217" t="str">
        <x:f>IF(I1299&lt;='排名定義'!$B$5,"是","")</x:f>
        <x:v>是</x:v>
      </x:c>
      <x:c r="K1299" s="217" t="n">
        <x:v>1218</x:v>
      </x:c>
      <x:c r="L1299" s="217" t="str">
        <x:f>IF(K1299&lt;='排名定義'!$B$5,"是","")</x:f>
        <x:v>是</x:v>
      </x:c>
      <x:c r="M1299" s="217" t="n">
        <x:f>COUNTIF(H1299:L1299,"是")</x:f>
        <x:v>3</x:v>
      </x:c>
      <x:c r="N1299" s="217" t="str">
        <x:v>三份皆未入選</x:v>
      </x:c>
      <x:c r="O1299" s="220" t="n">
        <x:v>19.391666666666666</x:v>
      </x:c>
      <x:c r="P1299" s="220" t="n">
        <x:v>16.55</x:v>
      </x:c>
      <x:c r="Q1299" s="220" t="n">
        <x:v>2.841666666666667</x:v>
      </x:c>
      <x:c r="R1299" s="220" t="n">
        <x:v>0.14654061022776108</x:v>
      </x:c>
      <x:c r="S1299" s="220" t="n">
        <x:v>32.096774193548384</x:v>
      </x:c>
      <x:c r="T1299" s="220" t="n">
        <x:v>30.451612903225808</x:v>
      </x:c>
      <x:c r="U1299" s="220" t="n">
        <x:v>1.6451612903225807</x:v>
      </x:c>
      <x:c r="V1299" s="218" t="n">
        <x:v>0.08986175115207373</x:v>
      </x:c>
      <x:c r="W1299" s="217" t="n">
        <x:v>19</x:v>
      </x:c>
      <x:c r="X1299" s="222" t="n">
        <x:v>2400</x:v>
      </x:c>
      <x:c r="Y1299" s="217" t="n">
        <x:v>10</x:v>
      </x:c>
    </x:row>
    <x:row r="1300">
      <x:c r="A1300" s="216" t="n">
        <x:v>1527</x:v>
      </x:c>
      <x:c r="B1300" s="216" t="str">
        <x:v>田單北街/懷德街201巷(一川社區)</x:v>
      </x:c>
      <x:c r="C1300" s="216" t="str">
        <x:v>板橋區</x:v>
      </x:c>
      <x:c r="D1300" s="216" t="n">
        <x:v>40</x:v>
      </x:c>
      <x:c r="E1300" s="216" t="n">
        <x:v>84</x:v>
      </x:c>
      <x:c r="F1300" s="219" t="n">
        <x:v>0.9995039682539683</x:v>
      </x:c>
      <x:c r="G1300" s="216" t="n">
        <x:v>1296</x:v>
      </x:c>
      <x:c r="H1300" s="216" t="str">
        <x:f>IF(G1300&lt;='排名定義'!$B$5,"是","")</x:f>
        <x:v>是</x:v>
      </x:c>
      <x:c r="I1300" s="216" t="n">
        <x:v>1290</x:v>
      </x:c>
      <x:c r="J1300" s="216" t="str">
        <x:f>IF(I1300&lt;='排名定義'!$B$5,"是","")</x:f>
        <x:v>是</x:v>
      </x:c>
      <x:c r="K1300" s="216" t="n">
        <x:v>1365</x:v>
      </x:c>
      <x:c r="L1300" s="216" t="str">
        <x:f>IF(K1300&lt;='排名定義'!$B$5,"是","")</x:f>
        <x:v>是</x:v>
      </x:c>
      <x:c r="M1300" s="216" t="n">
        <x:f>COUNTIF(H1300:L1300,"是")</x:f>
        <x:v>3</x:v>
      </x:c>
      <x:c r="N1300" s="216" t="str">
        <x:v>三份皆未入選</x:v>
      </x:c>
      <x:c r="O1300" s="221" t="n">
        <x:v>19.36904761904762</x:v>
      </x:c>
      <x:c r="P1300" s="221" t="n">
        <x:v>17.297619047619047</x:v>
      </x:c>
      <x:c r="Q1300" s="221" t="n">
        <x:v>2.0714285714285716</x:v>
      </x:c>
      <x:c r="R1300" s="221" t="n">
        <x:v>0.10694529809465274</x:v>
      </x:c>
      <x:c r="S1300" s="221" t="n">
        <x:v>27.93548387096774</x:v>
      </x:c>
      <x:c r="T1300" s="221" t="n">
        <x:v>24.612903225806452</x:v>
      </x:c>
      <x:c r="U1300" s="221" t="n">
        <x:v>3.3225806451612905</x:v>
      </x:c>
      <x:c r="V1300" s="219" t="n">
        <x:v>0.10829493087557604</x:v>
      </x:c>
      <x:c r="W1300" s="216" t="n">
        <x:v>20</x:v>
      </x:c>
      <x:c r="X1300" s="223" t="n">
        <x:v>2190</x:v>
      </x:c>
      <x:c r="Y1300" s="216" t="n">
        <x:v>40</x:v>
      </x:c>
    </x:row>
    <x:row r="1301">
      <x:c r="A1301" s="217" t="n">
        <x:v>591</x:v>
      </x:c>
      <x:c r="B1301" s="217" t="str">
        <x:v>鳳三龍七路口</x:v>
      </x:c>
      <x:c r="C1301" s="217" t="str">
        <x:v>鶯歌區</x:v>
      </x:c>
      <x:c r="D1301" s="217" t="n">
        <x:v>18</x:v>
      </x:c>
      <x:c r="E1301" s="217" t="n">
        <x:v>120</x:v>
      </x:c>
      <x:c r="F1301" s="218" t="n">
        <x:v>0.9994791666666667</x:v>
      </x:c>
      <x:c r="G1301" s="217" t="n">
        <x:v>1297</x:v>
      </x:c>
      <x:c r="H1301" s="217" t="str">
        <x:f>IF(G1301&lt;='排名定義'!$B$5,"是","")</x:f>
        <x:v>是</x:v>
      </x:c>
      <x:c r="I1301" s="217" t="n">
        <x:v>1295</x:v>
      </x:c>
      <x:c r="J1301" s="217" t="str">
        <x:f>IF(I1301&lt;='排名定義'!$B$5,"是","")</x:f>
        <x:v>是</x:v>
      </x:c>
      <x:c r="K1301" s="217" t="n">
        <x:v>1278</x:v>
      </x:c>
      <x:c r="L1301" s="217" t="str">
        <x:f>IF(K1301&lt;='排名定義'!$B$5,"是","")</x:f>
        <x:v>是</x:v>
      </x:c>
      <x:c r="M1301" s="217" t="n">
        <x:f>COUNTIF(H1301:L1301,"是")</x:f>
        <x:v>3</x:v>
      </x:c>
      <x:c r="N1301" s="217" t="str">
        <x:v>三份皆未入選</x:v>
      </x:c>
      <x:c r="O1301" s="220" t="n">
        <x:v>19.333333333333332</x:v>
      </x:c>
      <x:c r="P1301" s="220" t="n">
        <x:v>16.741666666666667</x:v>
      </x:c>
      <x:c r="Q1301" s="220" t="n">
        <x:v>2.591666666666667</x:v>
      </x:c>
      <x:c r="R1301" s="220" t="n">
        <x:v>0.13405172413793104</x:v>
      </x:c>
      <x:c r="S1301" s="220" t="n">
        <x:v>34.903225806451616</x:v>
      </x:c>
      <x:c r="T1301" s="220" t="n">
        <x:v>32.25806451612903</x:v>
      </x:c>
      <x:c r="U1301" s="220" t="n">
        <x:v>2.6451612903225805</x:v>
      </x:c>
      <x:c r="V1301" s="218" t="n">
        <x:v>0.041474654377880185</x:v>
      </x:c>
      <x:c r="W1301" s="217" t="n">
        <x:v>27</x:v>
      </x:c>
      <x:c r="X1301" s="222" t="n">
        <x:v>3210</x:v>
      </x:c>
      <x:c r="Y1301" s="217" t="n">
        <x:v>18</x:v>
      </x:c>
    </x:row>
    <x:row r="1302">
      <x:c r="A1302" s="216" t="n">
        <x:v>419</x:v>
      </x:c>
      <x:c r="B1302" s="216" t="str">
        <x:v>崁頂林子福德宮</x:v>
      </x:c>
      <x:c r="C1302" s="216" t="str">
        <x:v>淡水區</x:v>
      </x:c>
      <x:c r="D1302" s="216" t="n">
        <x:v>15</x:v>
      </x:c>
      <x:c r="E1302" s="216" t="n">
        <x:v>120</x:v>
      </x:c>
      <x:c r="F1302" s="219" t="n">
        <x:v>0.9994791666666667</x:v>
      </x:c>
      <x:c r="G1302" s="216" t="n">
        <x:v>1298</x:v>
      </x:c>
      <x:c r="H1302" s="216" t="str">
        <x:f>IF(G1302&lt;='排名定義'!$B$5,"是","")</x:f>
        <x:v>是</x:v>
      </x:c>
      <x:c r="I1302" s="216" t="n">
        <x:v>1298</x:v>
      </x:c>
      <x:c r="J1302" s="216" t="str">
        <x:f>IF(I1302&lt;='排名定義'!$B$5,"是","")</x:f>
        <x:v>是</x:v>
      </x:c>
      <x:c r="K1302" s="216" t="n">
        <x:v>1154</x:v>
      </x:c>
      <x:c r="L1302" s="216" t="str">
        <x:f>IF(K1302&lt;='排名定義'!$B$5,"是","")</x:f>
        <x:v>是</x:v>
      </x:c>
      <x:c r="M1302" s="216" t="n">
        <x:f>COUNTIF(H1302:L1302,"是")</x:f>
        <x:v>3</x:v>
      </x:c>
      <x:c r="N1302" s="216" t="str">
        <x:v>三份皆未入選</x:v>
      </x:c>
      <x:c r="O1302" s="221" t="n">
        <x:v>19.275</x:v>
      </x:c>
      <x:c r="P1302" s="221" t="n">
        <x:v>16.225</x:v>
      </x:c>
      <x:c r="Q1302" s="221" t="n">
        <x:v>3.05</x:v>
      </x:c>
      <x:c r="R1302" s="221" t="n">
        <x:v>0.1582360570687419</x:v>
      </x:c>
      <x:c r="S1302" s="221" t="n">
        <x:v>30.161290322580644</x:v>
      </x:c>
      <x:c r="T1302" s="221" t="n">
        <x:v>27.29032258064516</x:v>
      </x:c>
      <x:c r="U1302" s="221" t="n">
        <x:v>2.870967741935484</x:v>
      </x:c>
      <x:c r="V1302" s="219" t="n">
        <x:v>0.06221198156682028</x:v>
      </x:c>
      <x:c r="W1302" s="216" t="n">
        <x:v>13</x:v>
      </x:c>
      <x:c r="X1302" s="223" t="n">
        <x:v>1470</x:v>
      </x:c>
      <x:c r="Y1302" s="216" t="n">
        <x:v>15</x:v>
      </x:c>
    </x:row>
    <x:row r="1303">
      <x:c r="A1303" s="217" t="n">
        <x:v>179</x:v>
      </x:c>
      <x:c r="B1303" s="217" t="str">
        <x:v>安德停車場</x:v>
      </x:c>
      <x:c r="C1303" s="217" t="str">
        <x:v>新店區</x:v>
      </x:c>
      <x:c r="D1303" s="217" t="n">
        <x:v>12</x:v>
      </x:c>
      <x:c r="E1303" s="217" t="n">
        <x:v>120</x:v>
      </x:c>
      <x:c r="F1303" s="218" t="n">
        <x:v>0.9994791666666667</x:v>
      </x:c>
      <x:c r="G1303" s="217" t="n">
        <x:v>1299</x:v>
      </x:c>
      <x:c r="H1303" s="217" t="str">
        <x:f>IF(G1303&lt;='排名定義'!$B$5,"是","")</x:f>
        <x:v>是</x:v>
      </x:c>
      <x:c r="I1303" s="217" t="n">
        <x:v>1292</x:v>
      </x:c>
      <x:c r="J1303" s="217" t="str">
        <x:f>IF(I1303&lt;='排名定義'!$B$5,"是","")</x:f>
        <x:v>是</x:v>
      </x:c>
      <x:c r="K1303" s="217" t="n">
        <x:v>1381</x:v>
      </x:c>
      <x:c r="L1303" s="217" t="str">
        <x:f>IF(K1303&lt;='排名定義'!$B$5,"是","")</x:f>
        <x:v>是</x:v>
      </x:c>
      <x:c r="M1303" s="217" t="n">
        <x:f>COUNTIF(H1303:L1303,"是")</x:f>
        <x:v>3</x:v>
      </x:c>
      <x:c r="N1303" s="217" t="str">
        <x:v>三份皆未入選</x:v>
      </x:c>
      <x:c r="O1303" s="220" t="n">
        <x:v>19.158333333333335</x:v>
      </x:c>
      <x:c r="P1303" s="220" t="n">
        <x:v>17.175</x:v>
      </x:c>
      <x:c r="Q1303" s="220" t="n">
        <x:v>1.9833333333333334</x:v>
      </x:c>
      <x:c r="R1303" s="220" t="n">
        <x:v>0.10352327098738583</x:v>
      </x:c>
      <x:c r="S1303" s="220" t="n">
        <x:v>35.29032258064516</x:v>
      </x:c>
      <x:c r="T1303" s="220" t="n">
        <x:v>31.93548387096774</x:v>
      </x:c>
      <x:c r="U1303" s="220" t="n">
        <x:v>3.3548387096774195</x:v>
      </x:c>
      <x:c r="V1303" s="218" t="n">
        <x:v>0.08525345622119816</x:v>
      </x:c>
      <x:c r="W1303" s="217" t="n">
        <x:v>18</x:v>
      </x:c>
      <x:c r="X1303" s="222" t="n">
        <x:v>2220</x:v>
      </x:c>
      <x:c r="Y1303" s="217" t="n">
        <x:v>12</x:v>
      </x:c>
    </x:row>
    <x:row r="1304">
      <x:c r="A1304" s="216" t="n">
        <x:v>339</x:v>
      </x:c>
      <x:c r="B1304" s="216" t="str">
        <x:v>北鶯公園</x:v>
      </x:c>
      <x:c r="C1304" s="216" t="str">
        <x:v>鶯歌區</x:v>
      </x:c>
      <x:c r="D1304" s="216" t="n">
        <x:v>15</x:v>
      </x:c>
      <x:c r="E1304" s="216" t="n">
        <x:v>120</x:v>
      </x:c>
      <x:c r="F1304" s="219" t="n">
        <x:v>0.9994791666666667</x:v>
      </x:c>
      <x:c r="G1304" s="216" t="n">
        <x:v>1300</x:v>
      </x:c>
      <x:c r="H1304" s="216" t="str">
        <x:f>IF(G1304&lt;='排名定義'!$B$5,"是","")</x:f>
        <x:v>是</x:v>
      </x:c>
      <x:c r="I1304" s="216" t="n">
        <x:v>1297</x:v>
      </x:c>
      <x:c r="J1304" s="216" t="str">
        <x:f>IF(I1304&lt;='排名定義'!$B$5,"是","")</x:f>
        <x:v>是</x:v>
      </x:c>
      <x:c r="K1304" s="216" t="n">
        <x:v>1301</x:v>
      </x:c>
      <x:c r="L1304" s="216" t="str">
        <x:f>IF(K1304&lt;='排名定義'!$B$5,"是","")</x:f>
        <x:v>是</x:v>
      </x:c>
      <x:c r="M1304" s="216" t="n">
        <x:f>COUNTIF(H1304:L1304,"是")</x:f>
        <x:v>3</x:v>
      </x:c>
      <x:c r="N1304" s="216" t="str">
        <x:v>三份皆未入選</x:v>
      </x:c>
      <x:c r="O1304" s="221" t="n">
        <x:v>18.966666666666665</x:v>
      </x:c>
      <x:c r="P1304" s="221" t="n">
        <x:v>16.516666666666666</x:v>
      </x:c>
      <x:c r="Q1304" s="221" t="n">
        <x:v>2.45</x:v>
      </x:c>
      <x:c r="R1304" s="221" t="n">
        <x:v>0.12917398945518455</x:v>
      </x:c>
      <x:c r="S1304" s="221" t="n">
        <x:v>36.645161290322584</x:v>
      </x:c>
      <x:c r="T1304" s="221" t="n">
        <x:v>33.806451612903224</x:v>
      </x:c>
      <x:c r="U1304" s="221" t="n">
        <x:v>2.838709677419355</x:v>
      </x:c>
      <x:c r="V1304" s="219" t="n">
        <x:v>0.009216589861751152</x:v>
      </x:c>
      <x:c r="W1304" s="216" t="n">
        <x:v>3</x:v>
      </x:c>
      <x:c r="X1304" s="223" t="n">
        <x:v>360</x:v>
      </x:c>
      <x:c r="Y1304" s="216" t="n">
        <x:v>15</x:v>
      </x:c>
    </x:row>
    <x:row r="1305">
      <x:c r="A1305" s="217" t="n">
        <x:v>714</x:v>
      </x:c>
      <x:c r="B1305" s="217" t="str">
        <x:v>時光公園</x:v>
      </x:c>
      <x:c r="C1305" s="217" t="str">
        <x:v>板橋區</x:v>
      </x:c>
      <x:c r="D1305" s="217" t="n">
        <x:v>20</x:v>
      </x:c>
      <x:c r="E1305" s="217" t="n">
        <x:v>120</x:v>
      </x:c>
      <x:c r="F1305" s="218" t="n">
        <x:v>0.9994791666666667</x:v>
      </x:c>
      <x:c r="G1305" s="217" t="n">
        <x:v>1301</x:v>
      </x:c>
      <x:c r="H1305" s="217" t="str">
        <x:f>IF(G1305&lt;='排名定義'!$B$5,"是","")</x:f>
        <x:v>是</x:v>
      </x:c>
      <x:c r="I1305" s="217" t="n">
        <x:v>1293</x:v>
      </x:c>
      <x:c r="J1305" s="217" t="str">
        <x:f>IF(I1305&lt;='排名定義'!$B$5,"是","")</x:f>
        <x:v>是</x:v>
      </x:c>
      <x:c r="K1305" s="217" t="n">
        <x:v>1389</x:v>
      </x:c>
      <x:c r="L1305" s="217" t="str">
        <x:f>IF(K1305&lt;='排名定義'!$B$5,"是","")</x:f>
        <x:v>是</x:v>
      </x:c>
      <x:c r="M1305" s="217" t="n">
        <x:f>COUNTIF(H1305:L1305,"是")</x:f>
        <x:v>3</x:v>
      </x:c>
      <x:c r="N1305" s="217" t="str">
        <x:v>三份皆未入選</x:v>
      </x:c>
      <x:c r="O1305" s="220" t="n">
        <x:v>18.916666666666668</x:v>
      </x:c>
      <x:c r="P1305" s="220" t="n">
        <x:v>17.033333333333335</x:v>
      </x:c>
      <x:c r="Q1305" s="220" t="n">
        <x:v>1.8833333333333333</x:v>
      </x:c>
      <x:c r="R1305" s="220" t="n">
        <x:v>0.09955947136563877</x:v>
      </x:c>
      <x:c r="S1305" s="220" t="n">
        <x:v>28.838709677419356</x:v>
      </x:c>
      <x:c r="T1305" s="220" t="n">
        <x:v>26.548387096774192</x:v>
      </x:c>
      <x:c r="U1305" s="220" t="n">
        <x:v>2.2903225806451615</x:v>
      </x:c>
      <x:c r="V1305" s="218" t="n">
        <x:v>0.055299539170506916</x:v>
      </x:c>
      <x:c r="W1305" s="217" t="n">
        <x:v>11</x:v>
      </x:c>
      <x:c r="X1305" s="222" t="n">
        <x:v>1110</x:v>
      </x:c>
      <x:c r="Y1305" s="217" t="n">
        <x:v>20</x:v>
      </x:c>
    </x:row>
    <x:row r="1306">
      <x:c r="A1306" s="216" t="n">
        <x:v>631</x:v>
      </x:c>
      <x:c r="B1306" s="216" t="str">
        <x:v>中華路12巷口</x:v>
      </x:c>
      <x:c r="C1306" s="216" t="str">
        <x:v>樹林區</x:v>
      </x:c>
      <x:c r="D1306" s="216" t="n">
        <x:v>20</x:v>
      </x:c>
      <x:c r="E1306" s="216" t="n">
        <x:v>120</x:v>
      </x:c>
      <x:c r="F1306" s="219" t="n">
        <x:v>0.9994791666666667</x:v>
      </x:c>
      <x:c r="G1306" s="216" t="n">
        <x:v>1302</x:v>
      </x:c>
      <x:c r="H1306" s="216" t="str">
        <x:f>IF(G1306&lt;='排名定義'!$B$5,"是","")</x:f>
        <x:v>是</x:v>
      </x:c>
      <x:c r="I1306" s="216" t="n">
        <x:v>1315</x:v>
      </x:c>
      <x:c r="J1306" s="216" t="str">
        <x:f>IF(I1306&lt;='排名定義'!$B$5,"是","")</x:f>
        <x:v>是</x:v>
      </x:c>
      <x:c r="K1306" s="216" t="n">
        <x:v>975</x:v>
      </x:c>
      <x:c r="L1306" s="216" t="str">
        <x:f>IF(K1306&lt;='排名定義'!$B$5,"是","")</x:f>
        <x:v>是</x:v>
      </x:c>
      <x:c r="M1306" s="216" t="n">
        <x:f>COUNTIF(H1306:L1306,"是")</x:f>
        <x:v>3</x:v>
      </x:c>
      <x:c r="N1306" s="216" t="str">
        <x:v>三份皆未入選</x:v>
      </x:c>
      <x:c r="O1306" s="221" t="n">
        <x:v>18.875</x:v>
      </x:c>
      <x:c r="P1306" s="221" t="n">
        <x:v>15.383333333333333</x:v>
      </x:c>
      <x:c r="Q1306" s="221" t="n">
        <x:v>3.4916666666666667</x:v>
      </x:c>
      <x:c r="R1306" s="221" t="n">
        <x:v>0.18498896247240618</x:v>
      </x:c>
      <x:c r="S1306" s="221" t="n">
        <x:v>31.838709677419356</x:v>
      </x:c>
      <x:c r="T1306" s="221" t="n">
        <x:v>28.548387096774192</x:v>
      </x:c>
      <x:c r="U1306" s="221" t="n">
        <x:v>3.2903225806451615</x:v>
      </x:c>
      <x:c r="V1306" s="219" t="n">
        <x:v>0.09907834101382489</x:v>
      </x:c>
      <x:c r="W1306" s="216" t="n">
        <x:v>19</x:v>
      </x:c>
      <x:c r="X1306" s="223" t="n">
        <x:v>2820</x:v>
      </x:c>
      <x:c r="Y1306" s="216" t="n">
        <x:v>20</x:v>
      </x:c>
    </x:row>
    <x:row r="1307">
      <x:c r="A1307" s="217" t="n">
        <x:v>913</x:v>
      </x:c>
      <x:c r="B1307" s="217" t="str">
        <x:v>樂活公園(文化一路)</x:v>
      </x:c>
      <x:c r="C1307" s="217" t="str">
        <x:v>林口區</x:v>
      </x:c>
      <x:c r="D1307" s="217" t="n">
        <x:v>26</x:v>
      </x:c>
      <x:c r="E1307" s="217" t="n">
        <x:v>120</x:v>
      </x:c>
      <x:c r="F1307" s="218" t="n">
        <x:v>0.9994791666666667</x:v>
      </x:c>
      <x:c r="G1307" s="217" t="n">
        <x:v>1303</x:v>
      </x:c>
      <x:c r="H1307" s="217" t="str">
        <x:f>IF(G1307&lt;='排名定義'!$B$5,"是","")</x:f>
        <x:v>是</x:v>
      </x:c>
      <x:c r="I1307" s="217" t="n">
        <x:v>1322</x:v>
      </x:c>
      <x:c r="J1307" s="217" t="str">
        <x:f>IF(I1307&lt;='排名定義'!$B$5,"是","")</x:f>
        <x:v>是</x:v>
      </x:c>
      <x:c r="K1307" s="217" t="n">
        <x:v>811</x:v>
      </x:c>
      <x:c r="L1307" s="217" t="str">
        <x:f>IF(K1307&lt;='排名定義'!$B$5,"是","")</x:f>
        <x:v>是</x:v>
      </x:c>
      <x:c r="M1307" s="217" t="n">
        <x:f>COUNTIF(H1307:L1307,"是")</x:f>
        <x:v>3</x:v>
      </x:c>
      <x:c r="N1307" s="217" t="str">
        <x:v>三份皆未入選</x:v>
      </x:c>
      <x:c r="O1307" s="220" t="n">
        <x:v>18.858333333333334</x:v>
      </x:c>
      <x:c r="P1307" s="220" t="n">
        <x:v>14.891666666666667</x:v>
      </x:c>
      <x:c r="Q1307" s="220" t="n">
        <x:v>3.966666666666667</x:v>
      </x:c>
      <x:c r="R1307" s="220" t="n">
        <x:v>0.21034025629695094</x:v>
      </x:c>
      <x:c r="S1307" s="220" t="n">
        <x:v>33.354838709677416</x:v>
      </x:c>
      <x:c r="T1307" s="220" t="n">
        <x:v>27.612903225806452</x:v>
      </x:c>
      <x:c r="U1307" s="220" t="n">
        <x:v>5.741935483870968</x:v>
      </x:c>
      <x:c r="V1307" s="218" t="n">
        <x:v>0.0967741935483871</x:v>
      </x:c>
      <x:c r="W1307" s="217" t="n">
        <x:v>15</x:v>
      </x:c>
      <x:c r="X1307" s="222" t="n">
        <x:v>1590</x:v>
      </x:c>
      <x:c r="Y1307" s="217" t="n">
        <x:v>26</x:v>
      </x:c>
    </x:row>
    <x:row r="1308">
      <x:c r="A1308" s="216" t="n">
        <x:v>716</x:v>
      </x:c>
      <x:c r="B1308" s="216" t="str">
        <x:v>板橋真武廟</x:v>
      </x:c>
      <x:c r="C1308" s="216" t="str">
        <x:v>板橋區</x:v>
      </x:c>
      <x:c r="D1308" s="216" t="n">
        <x:v>20</x:v>
      </x:c>
      <x:c r="E1308" s="216" t="n">
        <x:v>120</x:v>
      </x:c>
      <x:c r="F1308" s="219" t="n">
        <x:v>0.9994791666666667</x:v>
      </x:c>
      <x:c r="G1308" s="216" t="n">
        <x:v>1304</x:v>
      </x:c>
      <x:c r="H1308" s="216" t="str">
        <x:f>IF(G1308&lt;='排名定義'!$B$5,"是","")</x:f>
        <x:v>是</x:v>
      </x:c>
      <x:c r="I1308" s="216" t="n">
        <x:v>1304</x:v>
      </x:c>
      <x:c r="J1308" s="216" t="str">
        <x:f>IF(I1308&lt;='排名定義'!$B$5,"是","")</x:f>
        <x:v>是</x:v>
      </x:c>
      <x:c r="K1308" s="216" t="n">
        <x:v>1167</x:v>
      </x:c>
      <x:c r="L1308" s="216" t="str">
        <x:f>IF(K1308&lt;='排名定義'!$B$5,"是","")</x:f>
        <x:v>是</x:v>
      </x:c>
      <x:c r="M1308" s="216" t="n">
        <x:f>COUNTIF(H1308:L1308,"是")</x:f>
        <x:v>3</x:v>
      </x:c>
      <x:c r="N1308" s="216" t="str">
        <x:v>三份皆未入選</x:v>
      </x:c>
      <x:c r="O1308" s="221" t="n">
        <x:v>18.808333333333334</x:v>
      </x:c>
      <x:c r="P1308" s="221" t="n">
        <x:v>15.816666666666666</x:v>
      </x:c>
      <x:c r="Q1308" s="221" t="n">
        <x:v>2.9916666666666667</x:v>
      </x:c>
      <x:c r="R1308" s="221" t="n">
        <x:v>0.1590607000443066</x:v>
      </x:c>
      <x:c r="S1308" s="221" t="n">
        <x:v>41.903225806451616</x:v>
      </x:c>
      <x:c r="T1308" s="221" t="n">
        <x:v>39.03225806451613</x:v>
      </x:c>
      <x:c r="U1308" s="221" t="n">
        <x:v>2.870967741935484</x:v>
      </x:c>
      <x:c r="V1308" s="219" t="n">
        <x:v>0.004608294930875576</x:v>
      </x:c>
      <x:c r="W1308" s="216" t="n">
        <x:v>2</x:v>
      </x:c>
      <x:c r="X1308" s="223" t="n">
        <x:v>300</x:v>
      </x:c>
      <x:c r="Y1308" s="216" t="n">
        <x:v>20</x:v>
      </x:c>
    </x:row>
    <x:row r="1309">
      <x:c r="A1309" s="217" t="n">
        <x:v>756</x:v>
      </x:c>
      <x:c r="B1309" s="217" t="str">
        <x:v>新安永安街94巷口</x:v>
      </x:c>
      <x:c r="C1309" s="217" t="str">
        <x:v>新店區</x:v>
      </x:c>
      <x:c r="D1309" s="217" t="n">
        <x:v>20</x:v>
      </x:c>
      <x:c r="E1309" s="217" t="n">
        <x:v>120</x:v>
      </x:c>
      <x:c r="F1309" s="218" t="n">
        <x:v>0.9994791666666667</x:v>
      </x:c>
      <x:c r="G1309" s="217" t="n">
        <x:v>1305</x:v>
      </x:c>
      <x:c r="H1309" s="217" t="str">
        <x:f>IF(G1309&lt;='排名定義'!$B$5,"是","")</x:f>
        <x:v>是</x:v>
      </x:c>
      <x:c r="I1309" s="217" t="n">
        <x:v>1310</x:v>
      </x:c>
      <x:c r="J1309" s="217" t="str">
        <x:f>IF(I1309&lt;='排名定義'!$B$5,"是","")</x:f>
        <x:v>是</x:v>
      </x:c>
      <x:c r="K1309" s="217" t="n">
        <x:v>1102</x:v>
      </x:c>
      <x:c r="L1309" s="217" t="str">
        <x:f>IF(K1309&lt;='排名定義'!$B$5,"是","")</x:f>
        <x:v>是</x:v>
      </x:c>
      <x:c r="M1309" s="217" t="n">
        <x:f>COUNTIF(H1309:L1309,"是")</x:f>
        <x:v>3</x:v>
      </x:c>
      <x:c r="N1309" s="217" t="str">
        <x:v>三份皆未入選</x:v>
      </x:c>
      <x:c r="O1309" s="220" t="n">
        <x:v>18.791666666666668</x:v>
      </x:c>
      <x:c r="P1309" s="220" t="n">
        <x:v>15.591666666666667</x:v>
      </x:c>
      <x:c r="Q1309" s="220" t="n">
        <x:v>3.2</x:v>
      </x:c>
      <x:c r="R1309" s="220" t="n">
        <x:v>0.17028824833702882</x:v>
      </x:c>
      <x:c r="S1309" s="220" t="n">
        <x:v>31.64516129032258</x:v>
      </x:c>
      <x:c r="T1309" s="220" t="n">
        <x:v>28.096774193548388</x:v>
      </x:c>
      <x:c r="U1309" s="220" t="n">
        <x:v>3.5483870967741935</x:v>
      </x:c>
      <x:c r="V1309" s="218" t="n">
        <x:v>0.01152073732718894</x:v>
      </x:c>
      <x:c r="W1309" s="217" t="n">
        <x:v>4</x:v>
      </x:c>
      <x:c r="X1309" s="222" t="n">
        <x:v>630</x:v>
      </x:c>
      <x:c r="Y1309" s="217" t="n">
        <x:v>20</x:v>
      </x:c>
    </x:row>
    <x:row r="1310">
      <x:c r="A1310" s="216" t="n">
        <x:v>1215</x:v>
      </x:c>
      <x:c r="B1310" s="216" t="str">
        <x:v>忠山市民活動中心</x:v>
      </x:c>
      <x:c r="C1310" s="216" t="str">
        <x:v>汐止區</x:v>
      </x:c>
      <x:c r="D1310" s="216" t="n">
        <x:v>38</x:v>
      </x:c>
      <x:c r="E1310" s="216" t="n">
        <x:v>120</x:v>
      </x:c>
      <x:c r="F1310" s="219" t="n">
        <x:v>0.9994791666666667</x:v>
      </x:c>
      <x:c r="G1310" s="216" t="n">
        <x:v>1306</x:v>
      </x:c>
      <x:c r="H1310" s="216" t="str">
        <x:f>IF(G1310&lt;='排名定義'!$B$5,"是","")</x:f>
        <x:v>是</x:v>
      </x:c>
      <x:c r="I1310" s="216" t="n">
        <x:v>1311</x:v>
      </x:c>
      <x:c r="J1310" s="216" t="str">
        <x:f>IF(I1310&lt;='排名定義'!$B$5,"是","")</x:f>
        <x:v>是</x:v>
      </x:c>
      <x:c r="K1310" s="216" t="n">
        <x:v>1093</x:v>
      </x:c>
      <x:c r="L1310" s="216" t="str">
        <x:f>IF(K1310&lt;='排名定義'!$B$5,"是","")</x:f>
        <x:v>是</x:v>
      </x:c>
      <x:c r="M1310" s="216" t="n">
        <x:f>COUNTIF(H1310:L1310,"是")</x:f>
        <x:v>3</x:v>
      </x:c>
      <x:c r="N1310" s="216" t="str">
        <x:v>三份皆未入選</x:v>
      </x:c>
      <x:c r="O1310" s="221" t="n">
        <x:v>18.733333333333334</x:v>
      </x:c>
      <x:c r="P1310" s="221" t="n">
        <x:v>15.508333333333333</x:v>
      </x:c>
      <x:c r="Q1310" s="221" t="n">
        <x:v>3.225</x:v>
      </x:c>
      <x:c r="R1310" s="221" t="n">
        <x:v>0.17215302491103202</x:v>
      </x:c>
      <x:c r="S1310" s="221" t="n">
        <x:v>31.612903225806452</x:v>
      </x:c>
      <x:c r="T1310" s="221" t="n">
        <x:v>29.258064516129032</x:v>
      </x:c>
      <x:c r="U1310" s="221" t="n">
        <x:v>2.3548387096774195</x:v>
      </x:c>
      <x:c r="V1310" s="219" t="n">
        <x:v>0</x:v>
      </x:c>
      <x:c r="W1310" s="216" t="n">
        <x:v>0</x:v>
      </x:c>
      <x:c r="X1310" s="223" t="n">
        <x:v>0</x:v>
      </x:c>
      <x:c r="Y1310" s="216" t="n">
        <x:v>38</x:v>
      </x:c>
    </x:row>
    <x:row r="1311">
      <x:c r="A1311" s="217" t="n">
        <x:v>651</x:v>
      </x:c>
      <x:c r="B1311" s="217" t="str">
        <x:v>安和碧安街口</x:v>
      </x:c>
      <x:c r="C1311" s="217" t="str">
        <x:v>新店區</x:v>
      </x:c>
      <x:c r="D1311" s="217" t="n">
        <x:v>20</x:v>
      </x:c>
      <x:c r="E1311" s="217" t="n">
        <x:v>120</x:v>
      </x:c>
      <x:c r="F1311" s="218" t="n">
        <x:v>0.9994791666666667</x:v>
      </x:c>
      <x:c r="G1311" s="217" t="n">
        <x:v>1307</x:v>
      </x:c>
      <x:c r="H1311" s="217" t="str">
        <x:f>IF(G1311&lt;='排名定義'!$B$5,"是","")</x:f>
        <x:v>是</x:v>
      </x:c>
      <x:c r="I1311" s="217" t="n">
        <x:v>1301</x:v>
      </x:c>
      <x:c r="J1311" s="217" t="str">
        <x:f>IF(I1311&lt;='排名定義'!$B$5,"是","")</x:f>
        <x:v>是</x:v>
      </x:c>
      <x:c r="K1311" s="217" t="n">
        <x:v>1254</x:v>
      </x:c>
      <x:c r="L1311" s="217" t="str">
        <x:f>IF(K1311&lt;='排名定義'!$B$5,"是","")</x:f>
        <x:v>是</x:v>
      </x:c>
      <x:c r="M1311" s="217" t="n">
        <x:f>COUNTIF(H1311:L1311,"是")</x:f>
        <x:v>3</x:v>
      </x:c>
      <x:c r="N1311" s="217" t="str">
        <x:v>三份皆未入選</x:v>
      </x:c>
      <x:c r="O1311" s="220" t="n">
        <x:v>18.641666666666666</x:v>
      </x:c>
      <x:c r="P1311" s="220" t="n">
        <x:v>15.95</x:v>
      </x:c>
      <x:c r="Q1311" s="220" t="n">
        <x:v>2.691666666666667</x:v>
      </x:c>
      <x:c r="R1311" s="220" t="n">
        <x:v>0.14438980777827448</x:v>
      </x:c>
      <x:c r="S1311" s="220" t="n">
        <x:v>33.87096774193548</x:v>
      </x:c>
      <x:c r="T1311" s="220" t="n">
        <x:v>31.774193548387096</x:v>
      </x:c>
      <x:c r="U1311" s="220" t="n">
        <x:v>2.096774193548387</x:v>
      </x:c>
      <x:c r="V1311" s="218" t="n">
        <x:v>0.009216589861751152</x:v>
      </x:c>
      <x:c r="W1311" s="217" t="n">
        <x:v>2</x:v>
      </x:c>
      <x:c r="X1311" s="222" t="n">
        <x:v>210</x:v>
      </x:c>
      <x:c r="Y1311" s="217" t="n">
        <x:v>20</x:v>
      </x:c>
    </x:row>
    <x:row r="1312">
      <x:c r="A1312" s="216" t="n">
        <x:v>953</x:v>
      </x:c>
      <x:c r="B1312" s="216" t="str">
        <x:v>青潭國小</x:v>
      </x:c>
      <x:c r="C1312" s="216" t="str">
        <x:v>新店區</x:v>
      </x:c>
      <x:c r="D1312" s="216" t="n">
        <x:v>27</x:v>
      </x:c>
      <x:c r="E1312" s="216" t="n">
        <x:v>120</x:v>
      </x:c>
      <x:c r="F1312" s="219" t="n">
        <x:v>0.9994791666666667</x:v>
      </x:c>
      <x:c r="G1312" s="216" t="n">
        <x:v>1308</x:v>
      </x:c>
      <x:c r="H1312" s="216" t="str">
        <x:f>IF(G1312&lt;='排名定義'!$B$5,"是","")</x:f>
        <x:v>是</x:v>
      </x:c>
      <x:c r="I1312" s="216" t="n">
        <x:v>1305</x:v>
      </x:c>
      <x:c r="J1312" s="216" t="str">
        <x:f>IF(I1312&lt;='排名定義'!$B$5,"是","")</x:f>
        <x:v>是</x:v>
      </x:c>
      <x:c r="K1312" s="216" t="n">
        <x:v>1222</x:v>
      </x:c>
      <x:c r="L1312" s="216" t="str">
        <x:f>IF(K1312&lt;='排名定義'!$B$5,"是","")</x:f>
        <x:v>是</x:v>
      </x:c>
      <x:c r="M1312" s="216" t="n">
        <x:f>COUNTIF(H1312:L1312,"是")</x:f>
        <x:v>3</x:v>
      </x:c>
      <x:c r="N1312" s="216" t="str">
        <x:v>三份皆未入選</x:v>
      </x:c>
      <x:c r="O1312" s="221" t="n">
        <x:v>18.641666666666666</x:v>
      </x:c>
      <x:c r="P1312" s="221" t="n">
        <x:v>15.8</x:v>
      </x:c>
      <x:c r="Q1312" s="221" t="n">
        <x:v>2.841666666666667</x:v>
      </x:c>
      <x:c r="R1312" s="221" t="n">
        <x:v>0.15243629861421545</x:v>
      </x:c>
      <x:c r="S1312" s="221" t="n">
        <x:v>30.483870967741936</x:v>
      </x:c>
      <x:c r="T1312" s="221" t="n">
        <x:v>28.06451612903226</x:v>
      </x:c>
      <x:c r="U1312" s="221" t="n">
        <x:v>2.4193548387096775</x:v>
      </x:c>
      <x:c r="V1312" s="219" t="n">
        <x:v>0.009216589861751152</x:v>
      </x:c>
      <x:c r="W1312" s="216" t="n">
        <x:v>2</x:v>
      </x:c>
      <x:c r="X1312" s="223" t="n">
        <x:v>210</x:v>
      </x:c>
      <x:c r="Y1312" s="216" t="n">
        <x:v>27</x:v>
      </x:c>
    </x:row>
    <x:row r="1313">
      <x:c r="A1313" s="217" t="n">
        <x:v>603</x:v>
      </x:c>
      <x:c r="B1313" s="217" t="str">
        <x:v>永平街23巷</x:v>
      </x:c>
      <x:c r="C1313" s="217" t="str">
        <x:v>新店區</x:v>
      </x:c>
      <x:c r="D1313" s="217" t="n">
        <x:v>18</x:v>
      </x:c>
      <x:c r="E1313" s="217" t="n">
        <x:v>120</x:v>
      </x:c>
      <x:c r="F1313" s="218" t="n">
        <x:v>0.9994791666666667</x:v>
      </x:c>
      <x:c r="G1313" s="217" t="n">
        <x:v>1309</x:v>
      </x:c>
      <x:c r="H1313" s="217" t="str">
        <x:f>IF(G1313&lt;='排名定義'!$B$5,"是","")</x:f>
        <x:v>是</x:v>
      </x:c>
      <x:c r="I1313" s="217" t="n">
        <x:v>1314</x:v>
      </x:c>
      <x:c r="J1313" s="217" t="str">
        <x:f>IF(I1313&lt;='排名定義'!$B$5,"是","")</x:f>
        <x:v>是</x:v>
      </x:c>
      <x:c r="K1313" s="217" t="n">
        <x:v>1228</x:v>
      </x:c>
      <x:c r="L1313" s="217" t="str">
        <x:f>IF(K1313&lt;='排名定義'!$B$5,"是","")</x:f>
        <x:v>是</x:v>
      </x:c>
      <x:c r="M1313" s="217" t="n">
        <x:f>COUNTIF(H1313:L1313,"是")</x:f>
        <x:v>3</x:v>
      </x:c>
      <x:c r="N1313" s="217" t="str">
        <x:v>三份皆未入選</x:v>
      </x:c>
      <x:c r="O1313" s="220" t="n">
        <x:v>18.216666666666665</x:v>
      </x:c>
      <x:c r="P1313" s="220" t="n">
        <x:v>15.391666666666667</x:v>
      </x:c>
      <x:c r="Q1313" s="220" t="n">
        <x:v>2.825</x:v>
      </x:c>
      <x:c r="R1313" s="220" t="n">
        <x:v>0.15507776761207684</x:v>
      </x:c>
      <x:c r="S1313" s="220" t="n">
        <x:v>28.483870967741936</x:v>
      </x:c>
      <x:c r="T1313" s="220" t="n">
        <x:v>26.193548387096776</x:v>
      </x:c>
      <x:c r="U1313" s="220" t="n">
        <x:v>2.2903225806451615</x:v>
      </x:c>
      <x:c r="V1313" s="218" t="n">
        <x:v>0.013824884792626729</x:v>
      </x:c>
      <x:c r="W1313" s="217" t="n">
        <x:v>3</x:v>
      </x:c>
      <x:c r="X1313" s="222" t="n">
        <x:v>300</x:v>
      </x:c>
      <x:c r="Y1313" s="217" t="n">
        <x:v>18</x:v>
      </x:c>
    </x:row>
    <x:row r="1314">
      <x:c r="A1314" s="216" t="n">
        <x:v>408</x:v>
      </x:c>
      <x:c r="B1314" s="216" t="str">
        <x:v>光明停車場</x:v>
      </x:c>
      <x:c r="C1314" s="216" t="str">
        <x:v>三峽區</x:v>
      </x:c>
      <x:c r="D1314" s="216" t="n">
        <x:v>15</x:v>
      </x:c>
      <x:c r="E1314" s="216" t="n">
        <x:v>120</x:v>
      </x:c>
      <x:c r="F1314" s="219" t="n">
        <x:v>0.9994791666666667</x:v>
      </x:c>
      <x:c r="G1314" s="216" t="n">
        <x:v>1310</x:v>
      </x:c>
      <x:c r="H1314" s="216" t="str">
        <x:f>IF(G1314&lt;='排名定義'!$B$5,"是","")</x:f>
        <x:v>是</x:v>
      </x:c>
      <x:c r="I1314" s="216" t="n">
        <x:v>1300</x:v>
      </x:c>
      <x:c r="J1314" s="216" t="str">
        <x:f>IF(I1314&lt;='排名定義'!$B$5,"是","")</x:f>
        <x:v>是</x:v>
      </x:c>
      <x:c r="K1314" s="216" t="n">
        <x:v>1360</x:v>
      </x:c>
      <x:c r="L1314" s="216" t="str">
        <x:f>IF(K1314&lt;='排名定義'!$B$5,"是","")</x:f>
        <x:v>是</x:v>
      </x:c>
      <x:c r="M1314" s="216" t="n">
        <x:f>COUNTIF(H1314:L1314,"是")</x:f>
        <x:v>3</x:v>
      </x:c>
      <x:c r="N1314" s="216" t="str">
        <x:v>三份皆未入選</x:v>
      </x:c>
      <x:c r="O1314" s="221" t="n">
        <x:v>18.1</x:v>
      </x:c>
      <x:c r="P1314" s="221" t="n">
        <x:v>16.008333333333333</x:v>
      </x:c>
      <x:c r="Q1314" s="221" t="n">
        <x:v>2.091666666666667</x:v>
      </x:c>
      <x:c r="R1314" s="221" t="n">
        <x:v>0.11556169429097606</x:v>
      </x:c>
      <x:c r="S1314" s="221" t="n">
        <x:v>36.483870967741936</x:v>
      </x:c>
      <x:c r="T1314" s="221" t="n">
        <x:v>34.064516129032256</x:v>
      </x:c>
      <x:c r="U1314" s="221" t="n">
        <x:v>2.4193548387096775</x:v>
      </x:c>
      <x:c r="V1314" s="219" t="n">
        <x:v>0.020737327188940093</x:v>
      </x:c>
      <x:c r="W1314" s="216" t="n">
        <x:v>5</x:v>
      </x:c>
      <x:c r="X1314" s="223" t="n">
        <x:v>660</x:v>
      </x:c>
      <x:c r="Y1314" s="216" t="n">
        <x:v>15</x:v>
      </x:c>
    </x:row>
    <x:row r="1315">
      <x:c r="A1315" s="217" t="n">
        <x:v>464</x:v>
      </x:c>
      <x:c r="B1315" s="217" t="str">
        <x:v>水管公園</x:v>
      </x:c>
      <x:c r="C1315" s="217" t="str">
        <x:v>淡水區</x:v>
      </x:c>
      <x:c r="D1315" s="217" t="n">
        <x:v>15</x:v>
      </x:c>
      <x:c r="E1315" s="217" t="n">
        <x:v>120</x:v>
      </x:c>
      <x:c r="F1315" s="218" t="n">
        <x:v>0.9994791666666667</x:v>
      </x:c>
      <x:c r="G1315" s="217" t="n">
        <x:v>1311</x:v>
      </x:c>
      <x:c r="H1315" s="217" t="str">
        <x:f>IF(G1315&lt;='排名定義'!$B$5,"是","")</x:f>
        <x:v>是</x:v>
      </x:c>
      <x:c r="I1315" s="217" t="n">
        <x:v>1306</x:v>
      </x:c>
      <x:c r="J1315" s="217" t="str">
        <x:f>IF(I1315&lt;='排名定義'!$B$5,"是","")</x:f>
        <x:v>是</x:v>
      </x:c>
      <x:c r="K1315" s="217" t="n">
        <x:v>1312</x:v>
      </x:c>
      <x:c r="L1315" s="217" t="str">
        <x:f>IF(K1315&lt;='排名定義'!$B$5,"是","")</x:f>
        <x:v>是</x:v>
      </x:c>
      <x:c r="M1315" s="217" t="n">
        <x:f>COUNTIF(H1315:L1315,"是")</x:f>
        <x:v>3</x:v>
      </x:c>
      <x:c r="N1315" s="217" t="str">
        <x:v>三份皆未入選</x:v>
      </x:c>
      <x:c r="O1315" s="220" t="n">
        <x:v>18.083333333333332</x:v>
      </x:c>
      <x:c r="P1315" s="220" t="n">
        <x:v>15.658333333333333</x:v>
      </x:c>
      <x:c r="Q1315" s="220" t="n">
        <x:v>2.425</x:v>
      </x:c>
      <x:c r="R1315" s="220" t="n">
        <x:v>0.13410138248847928</x:v>
      </x:c>
      <x:c r="S1315" s="220" t="n">
        <x:v>27.322580645161292</x:v>
      </x:c>
      <x:c r="T1315" s="220" t="n">
        <x:v>25.322580645161292</x:v>
      </x:c>
      <x:c r="U1315" s="220" t="n">
        <x:v>2</x:v>
      </x:c>
      <x:c r="V1315" s="218" t="n">
        <x:v>0.03225806451612903</x:v>
      </x:c>
      <x:c r="W1315" s="217" t="n">
        <x:v>8</x:v>
      </x:c>
      <x:c r="X1315" s="222" t="n">
        <x:v>810</x:v>
      </x:c>
      <x:c r="Y1315" s="217" t="n">
        <x:v>15</x:v>
      </x:c>
    </x:row>
    <x:row r="1316">
      <x:c r="A1316" s="216" t="n">
        <x:v>426</x:v>
      </x:c>
      <x:c r="B1316" s="216" t="str">
        <x:v>新市六後洲路口</x:v>
      </x:c>
      <x:c r="C1316" s="216" t="str">
        <x:v>淡水區</x:v>
      </x:c>
      <x:c r="D1316" s="216" t="n">
        <x:v>15</x:v>
      </x:c>
      <x:c r="E1316" s="216" t="n">
        <x:v>120</x:v>
      </x:c>
      <x:c r="F1316" s="219" t="n">
        <x:v>0.9994791666666667</x:v>
      </x:c>
      <x:c r="G1316" s="216" t="n">
        <x:v>1312</x:v>
      </x:c>
      <x:c r="H1316" s="216" t="str">
        <x:f>IF(G1316&lt;='排名定義'!$B$5,"是","")</x:f>
        <x:v>是</x:v>
      </x:c>
      <x:c r="I1316" s="216" t="n">
        <x:v>1303</x:v>
      </x:c>
      <x:c r="J1316" s="216" t="str">
        <x:f>IF(I1316&lt;='排名定義'!$B$5,"是","")</x:f>
        <x:v>是</x:v>
      </x:c>
      <x:c r="K1316" s="216" t="n">
        <x:v>1374</x:v>
      </x:c>
      <x:c r="L1316" s="216" t="str">
        <x:f>IF(K1316&lt;='排名定義'!$B$5,"是","")</x:f>
        <x:v>是</x:v>
      </x:c>
      <x:c r="M1316" s="216" t="n">
        <x:f>COUNTIF(H1316:L1316,"是")</x:f>
        <x:v>3</x:v>
      </x:c>
      <x:c r="N1316" s="216" t="str">
        <x:v>三份皆未入選</x:v>
      </x:c>
      <x:c r="O1316" s="221" t="n">
        <x:v>17.908333333333335</x:v>
      </x:c>
      <x:c r="P1316" s="221" t="n">
        <x:v>15.9</x:v>
      </x:c>
      <x:c r="Q1316" s="221" t="n">
        <x:v>2.0083333333333333</x:v>
      </x:c>
      <x:c r="R1316" s="221" t="n">
        <x:v>0.11214518380642159</x:v>
      </x:c>
      <x:c r="S1316" s="221" t="n">
        <x:v>33.806451612903224</x:v>
      </x:c>
      <x:c r="T1316" s="221" t="n">
        <x:v>31</x:v>
      </x:c>
      <x:c r="U1316" s="221" t="n">
        <x:v>2.806451612903226</x:v>
      </x:c>
      <x:c r="V1316" s="219" t="n">
        <x:v>0.03225806451612903</x:v>
      </x:c>
      <x:c r="W1316" s="216" t="n">
        <x:v>14</x:v>
      </x:c>
      <x:c r="X1316" s="223" t="n">
        <x:v>1500</x:v>
      </x:c>
      <x:c r="Y1316" s="216" t="n">
        <x:v>15</x:v>
      </x:c>
    </x:row>
    <x:row r="1317">
      <x:c r="A1317" s="217" t="n">
        <x:v>296</x:v>
      </x:c>
      <x:c r="B1317" s="217" t="str">
        <x:v>吉安停車場</x:v>
      </x:c>
      <x:c r="C1317" s="217" t="str">
        <x:v>新店區</x:v>
      </x:c>
      <x:c r="D1317" s="217" t="n">
        <x:v>14</x:v>
      </x:c>
      <x:c r="E1317" s="217" t="n">
        <x:v>120</x:v>
      </x:c>
      <x:c r="F1317" s="218" t="n">
        <x:v>0.9994791666666667</x:v>
      </x:c>
      <x:c r="G1317" s="217" t="n">
        <x:v>1313</x:v>
      </x:c>
      <x:c r="H1317" s="217" t="str">
        <x:f>IF(G1317&lt;='排名定義'!$B$5,"是","")</x:f>
        <x:v>是</x:v>
      </x:c>
      <x:c r="I1317" s="217" t="n">
        <x:v>1312</x:v>
      </x:c>
      <x:c r="J1317" s="217" t="str">
        <x:f>IF(I1317&lt;='排名定義'!$B$5,"是","")</x:f>
        <x:v>是</x:v>
      </x:c>
      <x:c r="K1317" s="217" t="n">
        <x:v>1332</x:v>
      </x:c>
      <x:c r="L1317" s="217" t="str">
        <x:f>IF(K1317&lt;='排名定義'!$B$5,"是","")</x:f>
        <x:v>是</x:v>
      </x:c>
      <x:c r="M1317" s="217" t="n">
        <x:f>COUNTIF(H1317:L1317,"是")</x:f>
        <x:v>3</x:v>
      </x:c>
      <x:c r="N1317" s="217" t="str">
        <x:v>三份皆未入選</x:v>
      </x:c>
      <x:c r="O1317" s="220" t="n">
        <x:v>17.766666666666666</x:v>
      </x:c>
      <x:c r="P1317" s="220" t="n">
        <x:v>15.466666666666667</x:v>
      </x:c>
      <x:c r="Q1317" s="220" t="n">
        <x:v>2.3</x:v>
      </x:c>
      <x:c r="R1317" s="220" t="n">
        <x:v>0.1294559099437148</x:v>
      </x:c>
      <x:c r="S1317" s="220" t="n">
        <x:v>28.096774193548388</x:v>
      </x:c>
      <x:c r="T1317" s="220" t="n">
        <x:v>25.419354838709676</x:v>
      </x:c>
      <x:c r="U1317" s="220" t="n">
        <x:v>2.6774193548387095</x:v>
      </x:c>
      <x:c r="V1317" s="218" t="n">
        <x:v>0.1728110599078341</x:v>
      </x:c>
      <x:c r="W1317" s="217" t="n">
        <x:v>29</x:v>
      </x:c>
      <x:c r="X1317" s="222" t="n">
        <x:v>3390</x:v>
      </x:c>
      <x:c r="Y1317" s="217" t="n">
        <x:v>14</x:v>
      </x:c>
    </x:row>
    <x:row r="1318">
      <x:c r="A1318" s="216" t="n">
        <x:v>671</x:v>
      </x:c>
      <x:c r="B1318" s="216" t="str">
        <x:v>民義公園</x:v>
      </x:c>
      <x:c r="C1318" s="216" t="str">
        <x:v>五股區</x:v>
      </x:c>
      <x:c r="D1318" s="216" t="n">
        <x:v>20</x:v>
      </x:c>
      <x:c r="E1318" s="216" t="n">
        <x:v>120</x:v>
      </x:c>
      <x:c r="F1318" s="219" t="n">
        <x:v>0.9994791666666667</x:v>
      </x:c>
      <x:c r="G1318" s="216" t="n">
        <x:v>1314</x:v>
      </x:c>
      <x:c r="H1318" s="216" t="str">
        <x:f>IF(G1318&lt;='排名定義'!$B$5,"是","")</x:f>
        <x:v>是</x:v>
      </x:c>
      <x:c r="I1318" s="216" t="n">
        <x:v>1319</x:v>
      </x:c>
      <x:c r="J1318" s="216" t="str">
        <x:f>IF(I1318&lt;='排名定義'!$B$5,"是","")</x:f>
        <x:v>是</x:v>
      </x:c>
      <x:c r="K1318" s="216" t="n">
        <x:v>1293</x:v>
      </x:c>
      <x:c r="L1318" s="216" t="str">
        <x:f>IF(K1318&lt;='排名定義'!$B$5,"是","")</x:f>
        <x:v>是</x:v>
      </x:c>
      <x:c r="M1318" s="216" t="n">
        <x:f>COUNTIF(H1318:L1318,"是")</x:f>
        <x:v>3</x:v>
      </x:c>
      <x:c r="N1318" s="216" t="str">
        <x:v>三份皆未入選</x:v>
      </x:c>
      <x:c r="O1318" s="221" t="n">
        <x:v>17.75</x:v>
      </x:c>
      <x:c r="P1318" s="221" t="n">
        <x:v>15.25</x:v>
      </x:c>
      <x:c r="Q1318" s="221" t="n">
        <x:v>2.5</x:v>
      </x:c>
      <x:c r="R1318" s="221" t="n">
        <x:v>0.14084507042253522</x:v>
      </x:c>
      <x:c r="S1318" s="221" t="n">
        <x:v>32.32258064516129</x:v>
      </x:c>
      <x:c r="T1318" s="221" t="n">
        <x:v>29.967741935483872</x:v>
      </x:c>
      <x:c r="U1318" s="221" t="n">
        <x:v>2.3548387096774195</x:v>
      </x:c>
      <x:c r="V1318" s="219" t="n">
        <x:v>0.02534562211981567</x:v>
      </x:c>
      <x:c r="W1318" s="216" t="n">
        <x:v>3</x:v>
      </x:c>
      <x:c r="X1318" s="223" t="n">
        <x:v>450</x:v>
      </x:c>
      <x:c r="Y1318" s="216" t="n">
        <x:v>20</x:v>
      </x:c>
    </x:row>
    <x:row r="1319">
      <x:c r="A1319" s="217" t="n">
        <x:v>737</x:v>
      </x:c>
      <x:c r="B1319" s="217" t="str">
        <x:v>北港國小</x:v>
      </x:c>
      <x:c r="C1319" s="217" t="str">
        <x:v>汐止區</x:v>
      </x:c>
      <x:c r="D1319" s="217" t="n">
        <x:v>20</x:v>
      </x:c>
      <x:c r="E1319" s="217" t="n">
        <x:v>120</x:v>
      </x:c>
      <x:c r="F1319" s="218" t="n">
        <x:v>0.9994791666666667</x:v>
      </x:c>
      <x:c r="G1319" s="217" t="n">
        <x:v>1315</x:v>
      </x:c>
      <x:c r="H1319" s="217" t="str">
        <x:f>IF(G1319&lt;='排名定義'!$B$5,"是","")</x:f>
        <x:v>是</x:v>
      </x:c>
      <x:c r="I1319" s="217" t="n">
        <x:v>1309</x:v>
      </x:c>
      <x:c r="J1319" s="217" t="str">
        <x:f>IF(I1319&lt;='排名定義'!$B$5,"是","")</x:f>
        <x:v>是</x:v>
      </x:c>
      <x:c r="K1319" s="217" t="n">
        <x:v>1353</x:v>
      </x:c>
      <x:c r="L1319" s="217" t="str">
        <x:f>IF(K1319&lt;='排名定義'!$B$5,"是","")</x:f>
        <x:v>是</x:v>
      </x:c>
      <x:c r="M1319" s="217" t="n">
        <x:f>COUNTIF(H1319:L1319,"是")</x:f>
        <x:v>3</x:v>
      </x:c>
      <x:c r="N1319" s="217" t="str">
        <x:v>三份皆未入選</x:v>
      </x:c>
      <x:c r="O1319" s="220" t="n">
        <x:v>17.75</x:v>
      </x:c>
      <x:c r="P1319" s="220" t="n">
        <x:v>15.6</x:v>
      </x:c>
      <x:c r="Q1319" s="220" t="n">
        <x:v>2.15</x:v>
      </x:c>
      <x:c r="R1319" s="220" t="n">
        <x:v>0.12112676056338029</x:v>
      </x:c>
      <x:c r="S1319" s="220" t="n">
        <x:v>28.838709677419356</x:v>
      </x:c>
      <x:c r="T1319" s="220" t="n">
        <x:v>26.70967741935484</x:v>
      </x:c>
      <x:c r="U1319" s="220" t="n">
        <x:v>2.129032258064516</x:v>
      </x:c>
      <x:c r="V1319" s="218" t="n">
        <x:v>0.01152073732718894</x:v>
      </x:c>
      <x:c r="W1319" s="217" t="n">
        <x:v>3</x:v>
      </x:c>
      <x:c r="X1319" s="222" t="n">
        <x:v>330</x:v>
      </x:c>
      <x:c r="Y1319" s="217" t="n">
        <x:v>20</x:v>
      </x:c>
    </x:row>
    <x:row r="1320">
      <x:c r="A1320" s="216" t="n">
        <x:v>952</x:v>
      </x:c>
      <x:c r="B1320" s="216" t="str">
        <x:v>臺北大學社科院(圖資大道)</x:v>
      </x:c>
      <x:c r="C1320" s="216" t="str">
        <x:v>三峽區</x:v>
      </x:c>
      <x:c r="D1320" s="216" t="n">
        <x:v>27</x:v>
      </x:c>
      <x:c r="E1320" s="216" t="n">
        <x:v>119</x:v>
      </x:c>
      <x:c r="F1320" s="219" t="n">
        <x:v>0.9921218487394958</x:v>
      </x:c>
      <x:c r="G1320" s="216" t="n">
        <x:v>1316</x:v>
      </x:c>
      <x:c r="H1320" s="216" t="str">
        <x:f>IF(G1320&lt;='排名定義'!$B$5,"是","")</x:f>
        <x:v>是</x:v>
      </x:c>
      <x:c r="I1320" s="216" t="n">
        <x:v>1318</x:v>
      </x:c>
      <x:c r="J1320" s="216" t="str">
        <x:f>IF(I1320&lt;='排名定義'!$B$5,"是","")</x:f>
        <x:v>是</x:v>
      </x:c>
      <x:c r="K1320" s="216" t="n">
        <x:v>1330</x:v>
      </x:c>
      <x:c r="L1320" s="216" t="str">
        <x:f>IF(K1320&lt;='排名定義'!$B$5,"是","")</x:f>
        <x:v>是</x:v>
      </x:c>
      <x:c r="M1320" s="216" t="n">
        <x:f>COUNTIF(H1320:L1320,"是")</x:f>
        <x:v>3</x:v>
      </x:c>
      <x:c r="N1320" s="216" t="str">
        <x:v>三份皆未入選</x:v>
      </x:c>
      <x:c r="O1320" s="221" t="n">
        <x:v>17.638655462184875</x:v>
      </x:c>
      <x:c r="P1320" s="221" t="n">
        <x:v>15.3109243697479</x:v>
      </x:c>
      <x:c r="Q1320" s="221" t="n">
        <x:v>2.327731092436975</x:v>
      </x:c>
      <x:c r="R1320" s="221" t="n">
        <x:v>0.13196760362077178</x:v>
      </x:c>
      <x:c r="S1320" s="221" t="n">
        <x:v>35.61290322580645</x:v>
      </x:c>
      <x:c r="T1320" s="221" t="n">
        <x:v>32.903225806451616</x:v>
      </x:c>
      <x:c r="U1320" s="221" t="n">
        <x:v>2.7096774193548385</x:v>
      </x:c>
      <x:c r="V1320" s="219" t="n">
        <x:v>0.004608294930875576</x:v>
      </x:c>
      <x:c r="W1320" s="216" t="n">
        <x:v>1</x:v>
      </x:c>
      <x:c r="X1320" s="223" t="n">
        <x:v>120</x:v>
      </x:c>
      <x:c r="Y1320" s="216" t="n">
        <x:v>37</x:v>
      </x:c>
    </x:row>
    <x:row r="1321">
      <x:c r="A1321" s="217" t="n">
        <x:v>324</x:v>
      </x:c>
      <x:c r="B1321" s="217" t="str">
        <x:v>中正一仁愛路口</x:v>
      </x:c>
      <x:c r="C1321" s="217" t="str">
        <x:v>鶯歌區</x:v>
      </x:c>
      <x:c r="D1321" s="217" t="n">
        <x:v>15</x:v>
      </x:c>
      <x:c r="E1321" s="217" t="n">
        <x:v>120</x:v>
      </x:c>
      <x:c r="F1321" s="218" t="n">
        <x:v>0.9994791666666667</x:v>
      </x:c>
      <x:c r="G1321" s="217" t="n">
        <x:v>1317</x:v>
      </x:c>
      <x:c r="H1321" s="217" t="str">
        <x:f>IF(G1321&lt;='排名定義'!$B$5,"是","")</x:f>
        <x:v>是</x:v>
      </x:c>
      <x:c r="I1321" s="217" t="n">
        <x:v>1321</x:v>
      </x:c>
      <x:c r="J1321" s="217" t="str">
        <x:f>IF(I1321&lt;='排名定義'!$B$5,"是","")</x:f>
        <x:v>是</x:v>
      </x:c>
      <x:c r="K1321" s="217" t="n">
        <x:v>1314</x:v>
      </x:c>
      <x:c r="L1321" s="217" t="str">
        <x:f>IF(K1321&lt;='排名定義'!$B$5,"是","")</x:f>
        <x:v>是</x:v>
      </x:c>
      <x:c r="M1321" s="217" t="n">
        <x:f>COUNTIF(H1321:L1321,"是")</x:f>
        <x:v>3</x:v>
      </x:c>
      <x:c r="N1321" s="217" t="str">
        <x:v>三份皆未入選</x:v>
      </x:c>
      <x:c r="O1321" s="220" t="n">
        <x:v>17.575</x:v>
      </x:c>
      <x:c r="P1321" s="220" t="n">
        <x:v>15.158333333333333</x:v>
      </x:c>
      <x:c r="Q1321" s="220" t="n">
        <x:v>2.4166666666666665</x:v>
      </x:c>
      <x:c r="R1321" s="220" t="n">
        <x:v>0.1375059269796112</x:v>
      </x:c>
      <x:c r="S1321" s="220" t="n">
        <x:v>32.774193548387096</x:v>
      </x:c>
      <x:c r="T1321" s="220" t="n">
        <x:v>29.741935483870968</x:v>
      </x:c>
      <x:c r="U1321" s="220" t="n">
        <x:v>3.032258064516129</x:v>
      </x:c>
      <x:c r="V1321" s="218" t="n">
        <x:v>0.018433179723502304</x:v>
      </x:c>
      <x:c r="W1321" s="217" t="n">
        <x:v>10</x:v>
      </x:c>
      <x:c r="X1321" s="222" t="n">
        <x:v>1080</x:v>
      </x:c>
      <x:c r="Y1321" s="217" t="n">
        <x:v>15</x:v>
      </x:c>
    </x:row>
    <x:row r="1322">
      <x:c r="A1322" s="216" t="n">
        <x:v>355</x:v>
      </x:c>
      <x:c r="B1322" s="216" t="str">
        <x:v>山腳停車場</x:v>
      </x:c>
      <x:c r="C1322" s="216" t="str">
        <x:v>泰山區</x:v>
      </x:c>
      <x:c r="D1322" s="216" t="n">
        <x:v>15</x:v>
      </x:c>
      <x:c r="E1322" s="216" t="n">
        <x:v>120</x:v>
      </x:c>
      <x:c r="F1322" s="219" t="n">
        <x:v>0.9994791666666667</x:v>
      </x:c>
      <x:c r="G1322" s="216" t="n">
        <x:v>1318</x:v>
      </x:c>
      <x:c r="H1322" s="216" t="str">
        <x:f>IF(G1322&lt;='排名定義'!$B$5,"是","")</x:f>
        <x:v>是</x:v>
      </x:c>
      <x:c r="I1322" s="216" t="n">
        <x:v>1316</x:v>
      </x:c>
      <x:c r="J1322" s="216" t="str">
        <x:f>IF(I1322&lt;='排名定義'!$B$5,"是","")</x:f>
        <x:v>是</x:v>
      </x:c>
      <x:c r="K1322" s="216" t="n">
        <x:v>1348</x:v>
      </x:c>
      <x:c r="L1322" s="216" t="str">
        <x:f>IF(K1322&lt;='排名定義'!$B$5,"是","")</x:f>
        <x:v>是</x:v>
      </x:c>
      <x:c r="M1322" s="216" t="n">
        <x:f>COUNTIF(H1322:L1322,"是")</x:f>
        <x:v>3</x:v>
      </x:c>
      <x:c r="N1322" s="216" t="str">
        <x:v>三份皆未入選</x:v>
      </x:c>
      <x:c r="O1322" s="221" t="n">
        <x:v>17.525</x:v>
      </x:c>
      <x:c r="P1322" s="221" t="n">
        <x:v>15.358333333333333</x:v>
      </x:c>
      <x:c r="Q1322" s="221" t="n">
        <x:v>2.1666666666666665</x:v>
      </x:c>
      <x:c r="R1322" s="221" t="n">
        <x:v>0.12363290537327627</x:v>
      </x:c>
      <x:c r="S1322" s="221" t="n">
        <x:v>29.774193548387096</x:v>
      </x:c>
      <x:c r="T1322" s="221" t="n">
        <x:v>27.612903225806452</x:v>
      </x:c>
      <x:c r="U1322" s="221" t="n">
        <x:v>2.161290322580645</x:v>
      </x:c>
      <x:c r="V1322" s="219" t="n">
        <x:v>0.03225806451612903</x:v>
      </x:c>
      <x:c r="W1322" s="216" t="n">
        <x:v>8</x:v>
      </x:c>
      <x:c r="X1322" s="223" t="n">
        <x:v>840</x:v>
      </x:c>
      <x:c r="Y1322" s="216" t="n">
        <x:v>15</x:v>
      </x:c>
    </x:row>
    <x:row r="1323">
      <x:c r="A1323" s="217" t="n">
        <x:v>459</x:v>
      </x:c>
      <x:c r="B1323" s="217" t="str">
        <x:v>台貿三村停車場</x:v>
      </x:c>
      <x:c r="C1323" s="217" t="str">
        <x:v>泰山區</x:v>
      </x:c>
      <x:c r="D1323" s="217" t="n">
        <x:v>15</x:v>
      </x:c>
      <x:c r="E1323" s="217" t="n">
        <x:v>120</x:v>
      </x:c>
      <x:c r="F1323" s="218" t="n">
        <x:v>0.9994791666666667</x:v>
      </x:c>
      <x:c r="G1323" s="217" t="n">
        <x:v>1319</x:v>
      </x:c>
      <x:c r="H1323" s="217" t="str">
        <x:f>IF(G1323&lt;='排名定義'!$B$5,"是","")</x:f>
        <x:v>是</x:v>
      </x:c>
      <x:c r="I1323" s="217" t="n">
        <x:v>1329</x:v>
      </x:c>
      <x:c r="J1323" s="217" t="str">
        <x:f>IF(I1323&lt;='排名定義'!$B$5,"是","")</x:f>
        <x:v>是</x:v>
      </x:c>
      <x:c r="K1323" s="217" t="n">
        <x:v>1162</x:v>
      </x:c>
      <x:c r="L1323" s="217" t="str">
        <x:f>IF(K1323&lt;='排名定義'!$B$5,"是","")</x:f>
        <x:v>是</x:v>
      </x:c>
      <x:c r="M1323" s="217" t="n">
        <x:f>COUNTIF(H1323:L1323,"是")</x:f>
        <x:v>3</x:v>
      </x:c>
      <x:c r="N1323" s="217" t="str">
        <x:v>三份皆未入選</x:v>
      </x:c>
      <x:c r="O1323" s="220" t="n">
        <x:v>17.491666666666667</x:v>
      </x:c>
      <x:c r="P1323" s="220" t="n">
        <x:v>14.483333333333333</x:v>
      </x:c>
      <x:c r="Q1323" s="220" t="n">
        <x:v>3.0083333333333333</x:v>
      </x:c>
      <x:c r="R1323" s="220" t="n">
        <x:v>0.17198666031443544</x:v>
      </x:c>
      <x:c r="S1323" s="220" t="n">
        <x:v>23.967741935483872</x:v>
      </x:c>
      <x:c r="T1323" s="220" t="n">
        <x:v>21.93548387096774</x:v>
      </x:c>
      <x:c r="U1323" s="220" t="n">
        <x:v>2.032258064516129</x:v>
      </x:c>
      <x:c r="V1323" s="218" t="n">
        <x:v>0.029953917050691243</x:v>
      </x:c>
      <x:c r="W1323" s="217" t="n">
        <x:v>5</x:v>
      </x:c>
      <x:c r="X1323" s="222" t="n">
        <x:v>600</x:v>
      </x:c>
      <x:c r="Y1323" s="217" t="n">
        <x:v>15</x:v>
      </x:c>
    </x:row>
    <x:row r="1324">
      <x:c r="A1324" s="216" t="n">
        <x:v>409</x:v>
      </x:c>
      <x:c r="B1324" s="216" t="str">
        <x:v>八里國小</x:v>
      </x:c>
      <x:c r="C1324" s="216" t="str">
        <x:v>八里區</x:v>
      </x:c>
      <x:c r="D1324" s="216" t="n">
        <x:v>15</x:v>
      </x:c>
      <x:c r="E1324" s="216" t="n">
        <x:v>120</x:v>
      </x:c>
      <x:c r="F1324" s="219" t="n">
        <x:v>0.9994791666666667</x:v>
      </x:c>
      <x:c r="G1324" s="216" t="n">
        <x:v>1320</x:v>
      </x:c>
      <x:c r="H1324" s="216" t="str">
        <x:f>IF(G1324&lt;='排名定義'!$B$5,"是","")</x:f>
        <x:v>是</x:v>
      </x:c>
      <x:c r="I1324" s="216" t="n">
        <x:v>1308</x:v>
      </x:c>
      <x:c r="J1324" s="216" t="str">
        <x:f>IF(I1324&lt;='排名定義'!$B$5,"是","")</x:f>
        <x:v>是</x:v>
      </x:c>
      <x:c r="K1324" s="216" t="n">
        <x:v>1408</x:v>
      </x:c>
      <x:c r="L1324" s="216" t="str">
        <x:f>IF(K1324&lt;='排名定義'!$B$5,"是","")</x:f>
        <x:v>是</x:v>
      </x:c>
      <x:c r="M1324" s="216" t="n">
        <x:f>COUNTIF(H1324:L1324,"是")</x:f>
        <x:v>3</x:v>
      </x:c>
      <x:c r="N1324" s="216" t="str">
        <x:v>三份皆未入選</x:v>
      </x:c>
      <x:c r="O1324" s="221" t="n">
        <x:v>17.291666666666668</x:v>
      </x:c>
      <x:c r="P1324" s="221" t="n">
        <x:v>15.608333333333333</x:v>
      </x:c>
      <x:c r="Q1324" s="221" t="n">
        <x:v>1.6833333333333333</x:v>
      </x:c>
      <x:c r="R1324" s="221" t="n">
        <x:v>0.09734939759036144</x:v>
      </x:c>
      <x:c r="S1324" s="221" t="n">
        <x:v>35.225806451612904</x:v>
      </x:c>
      <x:c r="T1324" s="221" t="n">
        <x:v>33.16129032258065</x:v>
      </x:c>
      <x:c r="U1324" s="221" t="n">
        <x:v>2.064516129032258</x:v>
      </x:c>
      <x:c r="V1324" s="219" t="n">
        <x:v>0.06912442396313365</x:v>
      </x:c>
      <x:c r="W1324" s="216" t="n">
        <x:v>12</x:v>
      </x:c>
      <x:c r="X1324" s="223" t="n">
        <x:v>1440</x:v>
      </x:c>
      <x:c r="Y1324" s="216" t="n">
        <x:v>15</x:v>
      </x:c>
    </x:row>
    <x:row r="1325">
      <x:c r="A1325" s="217" t="n">
        <x:v>360</x:v>
      </x:c>
      <x:c r="B1325" s="217" t="str">
        <x:v>挖仔尾自然生態保留區</x:v>
      </x:c>
      <x:c r="C1325" s="217" t="str">
        <x:v>八里區</x:v>
      </x:c>
      <x:c r="D1325" s="217" t="n">
        <x:v>15</x:v>
      </x:c>
      <x:c r="E1325" s="217" t="n">
        <x:v>120</x:v>
      </x:c>
      <x:c r="F1325" s="218" t="n">
        <x:v>0.9994791666666667</x:v>
      </x:c>
      <x:c r="G1325" s="217" t="n">
        <x:v>1321</x:v>
      </x:c>
      <x:c r="H1325" s="217" t="str">
        <x:f>IF(G1325&lt;='排名定義'!$B$5,"是","")</x:f>
        <x:v>是</x:v>
      </x:c>
      <x:c r="I1325" s="217" t="n">
        <x:v>1323</x:v>
      </x:c>
      <x:c r="J1325" s="217" t="str">
        <x:f>IF(I1325&lt;='排名定義'!$B$5,"是","")</x:f>
        <x:v>是</x:v>
      </x:c>
      <x:c r="K1325" s="217" t="n">
        <x:v>1302</x:v>
      </x:c>
      <x:c r="L1325" s="217" t="str">
        <x:f>IF(K1325&lt;='排名定義'!$B$5,"是","")</x:f>
        <x:v>是</x:v>
      </x:c>
      <x:c r="M1325" s="217" t="n">
        <x:f>COUNTIF(H1325:L1325,"是")</x:f>
        <x:v>3</x:v>
      </x:c>
      <x:c r="N1325" s="217" t="str">
        <x:v>三份皆未入選</x:v>
      </x:c>
      <x:c r="O1325" s="220" t="n">
        <x:v>17.266666666666666</x:v>
      </x:c>
      <x:c r="P1325" s="220" t="n">
        <x:v>14.816666666666666</x:v>
      </x:c>
      <x:c r="Q1325" s="220" t="n">
        <x:v>2.45</x:v>
      </x:c>
      <x:c r="R1325" s="220" t="n">
        <x:v>0.14189189189189189</x:v>
      </x:c>
      <x:c r="S1325" s="220" t="n">
        <x:v>58.16129032258065</x:v>
      </x:c>
      <x:c r="T1325" s="220" t="n">
        <x:v>54.58064516129032</x:v>
      </x:c>
      <x:c r="U1325" s="220" t="n">
        <x:v>3.5806451612903225</x:v>
      </x:c>
      <x:c r="V1325" s="218" t="n">
        <x:v>0.16129032258064516</x:v>
      </x:c>
      <x:c r="W1325" s="217" t="n">
        <x:v>38</x:v>
      </x:c>
      <x:c r="X1325" s="222" t="n">
        <x:v>4530</x:v>
      </x:c>
      <x:c r="Y1325" s="217" t="n">
        <x:v>15</x:v>
      </x:c>
    </x:row>
    <x:row r="1326">
      <x:c r="A1326" s="216" t="n">
        <x:v>765</x:v>
      </x:c>
      <x:c r="B1326" s="216" t="str">
        <x:v>大安文化街口</x:v>
      </x:c>
      <x:c r="C1326" s="216" t="str">
        <x:v>樹林區</x:v>
      </x:c>
      <x:c r="D1326" s="216" t="n">
        <x:v>21</x:v>
      </x:c>
      <x:c r="E1326" s="216" t="n">
        <x:v>120</x:v>
      </x:c>
      <x:c r="F1326" s="219" t="n">
        <x:v>0.9994791666666667</x:v>
      </x:c>
      <x:c r="G1326" s="216" t="n">
        <x:v>1322</x:v>
      </x:c>
      <x:c r="H1326" s="216" t="str">
        <x:f>IF(G1326&lt;='排名定義'!$B$5,"是","")</x:f>
        <x:v>是</x:v>
      </x:c>
      <x:c r="I1326" s="216" t="n">
        <x:v>1327</x:v>
      </x:c>
      <x:c r="J1326" s="216" t="str">
        <x:f>IF(I1326&lt;='排名定義'!$B$5,"是","")</x:f>
        <x:v>是</x:v>
      </x:c>
      <x:c r="K1326" s="216" t="n">
        <x:v>1256</x:v>
      </x:c>
      <x:c r="L1326" s="216" t="str">
        <x:f>IF(K1326&lt;='排名定義'!$B$5,"是","")</x:f>
        <x:v>是</x:v>
      </x:c>
      <x:c r="M1326" s="216" t="n">
        <x:f>COUNTIF(H1326:L1326,"是")</x:f>
        <x:v>3</x:v>
      </x:c>
      <x:c r="N1326" s="216" t="str">
        <x:v>三份皆未入選</x:v>
      </x:c>
      <x:c r="O1326" s="221" t="n">
        <x:v>17.225</x:v>
      </x:c>
      <x:c r="P1326" s="221" t="n">
        <x:v>14.55</x:v>
      </x:c>
      <x:c r="Q1326" s="221" t="n">
        <x:v>2.675</x:v>
      </x:c>
      <x:c r="R1326" s="221" t="n">
        <x:v>0.15529753265602322</x:v>
      </x:c>
      <x:c r="S1326" s="221" t="n">
        <x:v>27.806451612903224</x:v>
      </x:c>
      <x:c r="T1326" s="221" t="n">
        <x:v>25.516129032258064</x:v>
      </x:c>
      <x:c r="U1326" s="221" t="n">
        <x:v>2.2903225806451615</x:v>
      </x:c>
      <x:c r="V1326" s="219" t="n">
        <x:v>0.07834101382488479</x:v>
      </x:c>
      <x:c r="W1326" s="216" t="n">
        <x:v>9</x:v>
      </x:c>
      <x:c r="X1326" s="223" t="n">
        <x:v>1230</x:v>
      </x:c>
      <x:c r="Y1326" s="216" t="n">
        <x:v>21</x:v>
      </x:c>
    </x:row>
    <x:row r="1327">
      <x:c r="A1327" s="217" t="n">
        <x:v>363</x:v>
      </x:c>
      <x:c r="B1327" s="217" t="str">
        <x:v>文昌公園</x:v>
      </x:c>
      <x:c r="C1327" s="217" t="str">
        <x:v>八里區</x:v>
      </x:c>
      <x:c r="D1327" s="217" t="n">
        <x:v>15</x:v>
      </x:c>
      <x:c r="E1327" s="217" t="n">
        <x:v>120</x:v>
      </x:c>
      <x:c r="F1327" s="218" t="n">
        <x:v>0.9994791666666667</x:v>
      </x:c>
      <x:c r="G1327" s="217" t="n">
        <x:v>1323</x:v>
      </x:c>
      <x:c r="H1327" s="217" t="str">
        <x:f>IF(G1327&lt;='排名定義'!$B$5,"是","")</x:f>
        <x:v>是</x:v>
      </x:c>
      <x:c r="I1327" s="217" t="n">
        <x:v>1320</x:v>
      </x:c>
      <x:c r="J1327" s="217" t="str">
        <x:f>IF(I1327&lt;='排名定義'!$B$5,"是","")</x:f>
        <x:v>是</x:v>
      </x:c>
      <x:c r="K1327" s="217" t="n">
        <x:v>1382</x:v>
      </x:c>
      <x:c r="L1327" s="217" t="str">
        <x:f>IF(K1327&lt;='排名定義'!$B$5,"是","")</x:f>
        <x:v>是</x:v>
      </x:c>
      <x:c r="M1327" s="217" t="n">
        <x:f>COUNTIF(H1327:L1327,"是")</x:f>
        <x:v>3</x:v>
      </x:c>
      <x:c r="N1327" s="217" t="str">
        <x:v>三份皆未入選</x:v>
      </x:c>
      <x:c r="O1327" s="220" t="n">
        <x:v>17.141666666666666</x:v>
      </x:c>
      <x:c r="P1327" s="220" t="n">
        <x:v>15.166666666666666</x:v>
      </x:c>
      <x:c r="Q1327" s="220" t="n">
        <x:v>1.975</x:v>
      </x:c>
      <x:c r="R1327" s="220" t="n">
        <x:v>0.11521633446767136</x:v>
      </x:c>
      <x:c r="S1327" s="220" t="n">
        <x:v>38.70967741935484</x:v>
      </x:c>
      <x:c r="T1327" s="220" t="n">
        <x:v>36.096774193548384</x:v>
      </x:c>
      <x:c r="U1327" s="220" t="n">
        <x:v>2.6129032258064515</x:v>
      </x:c>
      <x:c r="V1327" s="218" t="n">
        <x:v>0.03456221198156682</x:v>
      </x:c>
      <x:c r="W1327" s="217" t="n">
        <x:v>12</x:v>
      </x:c>
      <x:c r="X1327" s="222" t="n">
        <x:v>1320</x:v>
      </x:c>
      <x:c r="Y1327" s="217" t="n">
        <x:v>15</x:v>
      </x:c>
    </x:row>
    <x:row r="1328">
      <x:c r="A1328" s="216" t="n">
        <x:v>414</x:v>
      </x:c>
      <x:c r="B1328" s="216" t="str">
        <x:v>埔新街61巷口</x:v>
      </x:c>
      <x:c r="C1328" s="216" t="str">
        <x:v>深坑區</x:v>
      </x:c>
      <x:c r="D1328" s="216" t="n">
        <x:v>15</x:v>
      </x:c>
      <x:c r="E1328" s="216" t="n">
        <x:v>120</x:v>
      </x:c>
      <x:c r="F1328" s="219" t="n">
        <x:v>0.9994791666666667</x:v>
      </x:c>
      <x:c r="G1328" s="216" t="n">
        <x:v>1324</x:v>
      </x:c>
      <x:c r="H1328" s="216" t="str">
        <x:f>IF(G1328&lt;='排名定義'!$B$5,"是","")</x:f>
        <x:v>是</x:v>
      </x:c>
      <x:c r="I1328" s="216" t="n">
        <x:v>1307</x:v>
      </x:c>
      <x:c r="J1328" s="216" t="str">
        <x:f>IF(I1328&lt;='排名定義'!$B$5,"是","")</x:f>
        <x:v>是</x:v>
      </x:c>
      <x:c r="K1328" s="216" t="n">
        <x:v>1433</x:v>
      </x:c>
      <x:c r="L1328" s="216" t="str">
        <x:f>IF(K1328&lt;='排名定義'!$B$5,"是","")</x:f>
        <x:v>是</x:v>
      </x:c>
      <x:c r="M1328" s="216" t="n">
        <x:f>COUNTIF(H1328:L1328,"是")</x:f>
        <x:v>3</x:v>
      </x:c>
      <x:c r="N1328" s="216" t="str">
        <x:v>三份皆未入選</x:v>
      </x:c>
      <x:c r="O1328" s="221" t="n">
        <x:v>17.05</x:v>
      </x:c>
      <x:c r="P1328" s="221" t="n">
        <x:v>15.633333333333333</x:v>
      </x:c>
      <x:c r="Q1328" s="221" t="n">
        <x:v>1.4166666666666667</x:v>
      </x:c>
      <x:c r="R1328" s="221" t="n">
        <x:v>0.08308895405669599</x:v>
      </x:c>
      <x:c r="S1328" s="221" t="n">
        <x:v>31.580645161290324</x:v>
      </x:c>
      <x:c r="T1328" s="221" t="n">
        <x:v>29.93548387096774</x:v>
      </x:c>
      <x:c r="U1328" s="221" t="n">
        <x:v>1.6451612903225807</x:v>
      </x:c>
      <x:c r="V1328" s="219" t="n">
        <x:v>0.03686635944700461</x:v>
      </x:c>
      <x:c r="W1328" s="216" t="n">
        <x:v>12</x:v>
      </x:c>
      <x:c r="X1328" s="223" t="n">
        <x:v>1350</x:v>
      </x:c>
      <x:c r="Y1328" s="216" t="n">
        <x:v>15</x:v>
      </x:c>
    </x:row>
    <x:row r="1329">
      <x:c r="A1329" s="217" t="n">
        <x:v>313</x:v>
      </x:c>
      <x:c r="B1329" s="217" t="str">
        <x:v>三峽中山公園</x:v>
      </x:c>
      <x:c r="C1329" s="217" t="str">
        <x:v>三峽區</x:v>
      </x:c>
      <x:c r="D1329" s="217" t="n">
        <x:v>15</x:v>
      </x:c>
      <x:c r="E1329" s="217" t="n">
        <x:v>120</x:v>
      </x:c>
      <x:c r="F1329" s="218" t="n">
        <x:v>0.9994791666666667</x:v>
      </x:c>
      <x:c r="G1329" s="217" t="n">
        <x:v>1325</x:v>
      </x:c>
      <x:c r="H1329" s="217" t="str">
        <x:f>IF(G1329&lt;='排名定義'!$B$5,"是","")</x:f>
        <x:v>是</x:v>
      </x:c>
      <x:c r="I1329" s="217" t="n">
        <x:v>1325</x:v>
      </x:c>
      <x:c r="J1329" s="217" t="str">
        <x:f>IF(I1329&lt;='排名定義'!$B$5,"是","")</x:f>
        <x:v>是</x:v>
      </x:c>
      <x:c r="K1329" s="217" t="n">
        <x:v>1329</x:v>
      </x:c>
      <x:c r="L1329" s="217" t="str">
        <x:f>IF(K1329&lt;='排名定義'!$B$5,"是","")</x:f>
        <x:v>是</x:v>
      </x:c>
      <x:c r="M1329" s="217" t="n">
        <x:f>COUNTIF(H1329:L1329,"是")</x:f>
        <x:v>3</x:v>
      </x:c>
      <x:c r="N1329" s="217" t="str">
        <x:v>三份皆未入選</x:v>
      </x:c>
      <x:c r="O1329" s="220" t="n">
        <x:v>17.033333333333335</x:v>
      </x:c>
      <x:c r="P1329" s="220" t="n">
        <x:v>14.7</x:v>
      </x:c>
      <x:c r="Q1329" s="220" t="n">
        <x:v>2.3333333333333335</x:v>
      </x:c>
      <x:c r="R1329" s="220" t="n">
        <x:v>0.136986301369863</x:v>
      </x:c>
      <x:c r="S1329" s="220" t="n">
        <x:v>30.806451612903224</x:v>
      </x:c>
      <x:c r="T1329" s="220" t="n">
        <x:v>28.387096774193548</x:v>
      </x:c>
      <x:c r="U1329" s="220" t="n">
        <x:v>2.4193548387096775</x:v>
      </x:c>
      <x:c r="V1329" s="218" t="n">
        <x:v>0.02534562211981567</x:v>
      </x:c>
      <x:c r="W1329" s="217" t="n">
        <x:v>4</x:v>
      </x:c>
      <x:c r="X1329" s="222" t="n">
        <x:v>540</x:v>
      </x:c>
      <x:c r="Y1329" s="217" t="n">
        <x:v>15</x:v>
      </x:c>
    </x:row>
    <x:row r="1330">
      <x:c r="A1330" s="216" t="n">
        <x:v>186</x:v>
      </x:c>
      <x:c r="B1330" s="216" t="str">
        <x:v>東豐街85巷口</x:v>
      </x:c>
      <x:c r="C1330" s="216" t="str">
        <x:v>樹林區</x:v>
      </x:c>
      <x:c r="D1330" s="216" t="n">
        <x:v>12</x:v>
      </x:c>
      <x:c r="E1330" s="216" t="n">
        <x:v>120</x:v>
      </x:c>
      <x:c r="F1330" s="219" t="n">
        <x:v>0.9994791666666667</x:v>
      </x:c>
      <x:c r="G1330" s="216" t="n">
        <x:v>1326</x:v>
      </x:c>
      <x:c r="H1330" s="216" t="str">
        <x:f>IF(G1330&lt;='排名定義'!$B$5,"是","")</x:f>
        <x:v>是</x:v>
      </x:c>
      <x:c r="I1330" s="216" t="n">
        <x:v>1324</x:v>
      </x:c>
      <x:c r="J1330" s="216" t="str">
        <x:f>IF(I1330&lt;='排名定義'!$B$5,"是","")</x:f>
        <x:v>是</x:v>
      </x:c>
      <x:c r="K1330" s="216" t="n">
        <x:v>1338</x:v>
      </x:c>
      <x:c r="L1330" s="216" t="str">
        <x:f>IF(K1330&lt;='排名定義'!$B$5,"是","")</x:f>
        <x:v>是</x:v>
      </x:c>
      <x:c r="M1330" s="216" t="n">
        <x:f>COUNTIF(H1330:L1330,"是")</x:f>
        <x:v>3</x:v>
      </x:c>
      <x:c r="N1330" s="216" t="str">
        <x:v>三份皆未入選</x:v>
      </x:c>
      <x:c r="O1330" s="221" t="n">
        <x:v>17.008333333333333</x:v>
      </x:c>
      <x:c r="P1330" s="221" t="n">
        <x:v>14.766666666666667</x:v>
      </x:c>
      <x:c r="Q1330" s="221" t="n">
        <x:v>2.2416666666666667</x:v>
      </x:c>
      <x:c r="R1330" s="221" t="n">
        <x:v>0.13179813816756492</x:v>
      </x:c>
      <x:c r="S1330" s="221" t="n">
        <x:v>25.35483870967742</x:v>
      </x:c>
      <x:c r="T1330" s="221" t="n">
        <x:v>23.193548387096776</x:v>
      </x:c>
      <x:c r="U1330" s="221" t="n">
        <x:v>2.161290322580645</x:v>
      </x:c>
      <x:c r="V1330" s="219" t="n">
        <x:v>0.06912442396313365</x:v>
      </x:c>
      <x:c r="W1330" s="216" t="n">
        <x:v>6</x:v>
      </x:c>
      <x:c r="X1330" s="223" t="n">
        <x:v>1050</x:v>
      </x:c>
      <x:c r="Y1330" s="216" t="n">
        <x:v>12</x:v>
      </x:c>
    </x:row>
    <x:row r="1331">
      <x:c r="A1331" s="217" t="n">
        <x:v>320</x:v>
      </x:c>
      <x:c r="B1331" s="217" t="str">
        <x:v>中央公園地下停車場</x:v>
      </x:c>
      <x:c r="C1331" s="217" t="str">
        <x:v>土城區</x:v>
      </x:c>
      <x:c r="D1331" s="217" t="n">
        <x:v>15</x:v>
      </x:c>
      <x:c r="E1331" s="217" t="n">
        <x:v>120</x:v>
      </x:c>
      <x:c r="F1331" s="218" t="n">
        <x:v>0.9994791666666667</x:v>
      </x:c>
      <x:c r="G1331" s="217" t="n">
        <x:v>1327</x:v>
      </x:c>
      <x:c r="H1331" s="217" t="str">
        <x:f>IF(G1331&lt;='排名定義'!$B$5,"是","")</x:f>
        <x:v>是</x:v>
      </x:c>
      <x:c r="I1331" s="217" t="n">
        <x:v>1331</x:v>
      </x:c>
      <x:c r="J1331" s="217" t="str">
        <x:f>IF(I1331&lt;='排名定義'!$B$5,"是","")</x:f>
        <x:v>是</x:v>
      </x:c>
      <x:c r="K1331" s="217" t="n">
        <x:v>1234</x:v>
      </x:c>
      <x:c r="L1331" s="217" t="str">
        <x:f>IF(K1331&lt;='排名定義'!$B$5,"是","")</x:f>
        <x:v>是</x:v>
      </x:c>
      <x:c r="M1331" s="217" t="n">
        <x:f>COUNTIF(H1331:L1331,"是")</x:f>
        <x:v>3</x:v>
      </x:c>
      <x:c r="N1331" s="217" t="str">
        <x:v>三份皆未入選</x:v>
      </x:c>
      <x:c r="O1331" s="220" t="n">
        <x:v>16.966666666666665</x:v>
      </x:c>
      <x:c r="P1331" s="220" t="n">
        <x:v>14.166666666666666</x:v>
      </x:c>
      <x:c r="Q1331" s="220" t="n">
        <x:v>2.8</x:v>
      </x:c>
      <x:c r="R1331" s="220" t="n">
        <x:v>0.1650294695481336</x:v>
      </x:c>
      <x:c r="S1331" s="220" t="n">
        <x:v>25.612903225806452</x:v>
      </x:c>
      <x:c r="T1331" s="220" t="n">
        <x:v>23.322580645161292</x:v>
      </x:c>
      <x:c r="U1331" s="220" t="n">
        <x:v>2.2903225806451615</x:v>
      </x:c>
      <x:c r="V1331" s="218" t="n">
        <x:v>0.11290322580645161</x:v>
      </x:c>
      <x:c r="W1331" s="217" t="n">
        <x:v>28</x:v>
      </x:c>
      <x:c r="X1331" s="222" t="n">
        <x:v>2700</x:v>
      </x:c>
      <x:c r="Y1331" s="217" t="n">
        <x:v>15</x:v>
      </x:c>
    </x:row>
    <x:row r="1332">
      <x:c r="A1332" s="216" t="n">
        <x:v>1524</x:v>
      </x:c>
      <x:c r="B1332" s="216" t="str">
        <x:v>鎮前街347巷口</x:v>
      </x:c>
      <x:c r="C1332" s="216" t="str">
        <x:v>樹林區</x:v>
      </x:c>
      <x:c r="D1332" s="216" t="n">
        <x:v>16</x:v>
      </x:c>
      <x:c r="E1332" s="216" t="n">
        <x:v>84</x:v>
      </x:c>
      <x:c r="F1332" s="219" t="n">
        <x:v>0.9995039682539683</x:v>
      </x:c>
      <x:c r="G1332" s="216" t="n">
        <x:v>1328</x:v>
      </x:c>
      <x:c r="H1332" s="216" t="str">
        <x:f>IF(G1332&lt;='排名定義'!$B$5,"是","")</x:f>
        <x:v>是</x:v>
      </x:c>
      <x:c r="I1332" s="216" t="n">
        <x:v>1317</x:v>
      </x:c>
      <x:c r="J1332" s="216" t="str">
        <x:f>IF(I1332&lt;='排名定義'!$B$5,"是","")</x:f>
        <x:v>是</x:v>
      </x:c>
      <x:c r="K1332" s="216" t="n">
        <x:v>1413</x:v>
      </x:c>
      <x:c r="L1332" s="216" t="str">
        <x:f>IF(K1332&lt;='排名定義'!$B$5,"是","")</x:f>
        <x:v>是</x:v>
      </x:c>
      <x:c r="M1332" s="216" t="n">
        <x:f>COUNTIF(H1332:L1332,"是")</x:f>
        <x:v>3</x:v>
      </x:c>
      <x:c r="N1332" s="216" t="str">
        <x:v>三份皆未入選</x:v>
      </x:c>
      <x:c r="O1332" s="221" t="n">
        <x:v>16.94047619047619</x:v>
      </x:c>
      <x:c r="P1332" s="221" t="n">
        <x:v>15.321428571428571</x:v>
      </x:c>
      <x:c r="Q1332" s="221" t="n">
        <x:v>1.619047619047619</x:v>
      </x:c>
      <x:c r="R1332" s="221" t="n">
        <x:v>0.09557273366127898</x:v>
      </x:c>
      <x:c r="S1332" s="221" t="n">
        <x:v>24.451612903225808</x:v>
      </x:c>
      <x:c r="T1332" s="221" t="n">
        <x:v>23.967741935483872</x:v>
      </x:c>
      <x:c r="U1332" s="221" t="n">
        <x:v>0.4838709677419355</x:v>
      </x:c>
      <x:c r="V1332" s="219" t="n">
        <x:v>0.004608294930875576</x:v>
      </x:c>
      <x:c r="W1332" s="216" t="n">
        <x:v>1</x:v>
      </x:c>
      <x:c r="X1332" s="223" t="n">
        <x:v>150</x:v>
      </x:c>
      <x:c r="Y1332" s="216" t="n">
        <x:v>16</x:v>
      </x:c>
    </x:row>
    <x:row r="1333">
      <x:c r="A1333" s="217" t="n">
        <x:v>1312</x:v>
      </x:c>
      <x:c r="B1333" s="217" t="str">
        <x:v>莊泰義東街口(新潤A5社區)</x:v>
      </x:c>
      <x:c r="C1333" s="217" t="str">
        <x:v>泰山區</x:v>
      </x:c>
      <x:c r="D1333" s="217" t="n">
        <x:v>40</x:v>
      </x:c>
      <x:c r="E1333" s="217" t="n">
        <x:v>120</x:v>
      </x:c>
      <x:c r="F1333" s="218" t="n">
        <x:v>0.9994791666666667</x:v>
      </x:c>
      <x:c r="G1333" s="217" t="n">
        <x:v>1329</x:v>
      </x:c>
      <x:c r="H1333" s="217" t="str">
        <x:f>IF(G1333&lt;='排名定義'!$B$5,"是","")</x:f>
        <x:v>是</x:v>
      </x:c>
      <x:c r="I1333" s="217" t="n">
        <x:v>1330</x:v>
      </x:c>
      <x:c r="J1333" s="217" t="str">
        <x:f>IF(I1333&lt;='排名定義'!$B$5,"是","")</x:f>
        <x:v>是</x:v>
      </x:c>
      <x:c r="K1333" s="217" t="n">
        <x:v>1267</x:v>
      </x:c>
      <x:c r="L1333" s="217" t="str">
        <x:f>IF(K1333&lt;='排名定義'!$B$5,"是","")</x:f>
        <x:v>是</x:v>
      </x:c>
      <x:c r="M1333" s="217" t="n">
        <x:f>COUNTIF(H1333:L1333,"是")</x:f>
        <x:v>3</x:v>
      </x:c>
      <x:c r="N1333" s="217" t="str">
        <x:v>三份皆未入選</x:v>
      </x:c>
      <x:c r="O1333" s="220" t="n">
        <x:v>16.833333333333332</x:v>
      </x:c>
      <x:c r="P1333" s="220" t="n">
        <x:v>14.191666666666666</x:v>
      </x:c>
      <x:c r="Q1333" s="220" t="n">
        <x:v>2.6416666666666666</x:v>
      </x:c>
      <x:c r="R1333" s="220" t="n">
        <x:v>0.15693069306930693</x:v>
      </x:c>
      <x:c r="S1333" s="220" t="n">
        <x:v>31.774193548387096</x:v>
      </x:c>
      <x:c r="T1333" s="220" t="n">
        <x:v>28.903225806451612</x:v>
      </x:c>
      <x:c r="U1333" s="220" t="n">
        <x:v>2.870967741935484</x:v>
      </x:c>
      <x:c r="V1333" s="218" t="n">
        <x:v>0.002304147465437788</x:v>
      </x:c>
      <x:c r="W1333" s="217" t="n">
        <x:v>1</x:v>
      </x:c>
      <x:c r="X1333" s="222" t="n">
        <x:v>90</x:v>
      </x:c>
      <x:c r="Y1333" s="217" t="n">
        <x:v>40</x:v>
      </x:c>
    </x:row>
    <x:row r="1334">
      <x:c r="A1334" s="216" t="n">
        <x:v>332</x:v>
      </x:c>
      <x:c r="B1334" s="216" t="str">
        <x:v>俊興俊安街口</x:v>
      </x:c>
      <x:c r="C1334" s="216" t="str">
        <x:v>樹林區</x:v>
      </x:c>
      <x:c r="D1334" s="216" t="n">
        <x:v>15</x:v>
      </x:c>
      <x:c r="E1334" s="216" t="n">
        <x:v>120</x:v>
      </x:c>
      <x:c r="F1334" s="219" t="n">
        <x:v>0.9994791666666667</x:v>
      </x:c>
      <x:c r="G1334" s="216" t="n">
        <x:v>1330</x:v>
      </x:c>
      <x:c r="H1334" s="216" t="str">
        <x:f>IF(G1334&lt;='排名定義'!$B$5,"是","")</x:f>
        <x:v>是</x:v>
      </x:c>
      <x:c r="I1334" s="216" t="n">
        <x:v>1326</x:v>
      </x:c>
      <x:c r="J1334" s="216" t="str">
        <x:f>IF(I1334&lt;='排名定義'!$B$5,"是","")</x:f>
        <x:v>是</x:v>
      </x:c>
      <x:c r="K1334" s="216" t="n">
        <x:v>1343</x:v>
      </x:c>
      <x:c r="L1334" s="216" t="str">
        <x:f>IF(K1334&lt;='排名定義'!$B$5,"是","")</x:f>
        <x:v>是</x:v>
      </x:c>
      <x:c r="M1334" s="216" t="n">
        <x:f>COUNTIF(H1334:L1334,"是")</x:f>
        <x:v>3</x:v>
      </x:c>
      <x:c r="N1334" s="216" t="str">
        <x:v>三份皆未入選</x:v>
      </x:c>
      <x:c r="O1334" s="221" t="n">
        <x:v>16.825</x:v>
      </x:c>
      <x:c r="P1334" s="221" t="n">
        <x:v>14.608333333333333</x:v>
      </x:c>
      <x:c r="Q1334" s="221" t="n">
        <x:v>2.216666666666667</x:v>
      </x:c>
      <x:c r="R1334" s="221" t="n">
        <x:v>0.13174839029222388</x:v>
      </x:c>
      <x:c r="S1334" s="221" t="n">
        <x:v>28.516129032258064</x:v>
      </x:c>
      <x:c r="T1334" s="221" t="n">
        <x:v>26.548387096774192</x:v>
      </x:c>
      <x:c r="U1334" s="221" t="n">
        <x:v>1.967741935483871</x:v>
      </x:c>
      <x:c r="V1334" s="219" t="n">
        <x:v>0.027649769585253458</x:v>
      </x:c>
      <x:c r="W1334" s="216" t="n">
        <x:v>6</x:v>
      </x:c>
      <x:c r="X1334" s="223" t="n">
        <x:v>630</x:v>
      </x:c>
      <x:c r="Y1334" s="216" t="n">
        <x:v>15</x:v>
      </x:c>
    </x:row>
    <x:row r="1335">
      <x:c r="A1335" s="217" t="n">
        <x:v>504</x:v>
      </x:c>
      <x:c r="B1335" s="217" t="str">
        <x:v>汐萬路一段343巷</x:v>
      </x:c>
      <x:c r="C1335" s="217" t="str">
        <x:v>汐止區</x:v>
      </x:c>
      <x:c r="D1335" s="217" t="n">
        <x:v>16</x:v>
      </x:c>
      <x:c r="E1335" s="217" t="n">
        <x:v>120</x:v>
      </x:c>
      <x:c r="F1335" s="218" t="n">
        <x:v>0.9994791666666667</x:v>
      </x:c>
      <x:c r="G1335" s="217" t="n">
        <x:v>1331</x:v>
      </x:c>
      <x:c r="H1335" s="217" t="str">
        <x:f>IF(G1335&lt;='排名定義'!$B$5,"是","")</x:f>
        <x:v>是</x:v>
      </x:c>
      <x:c r="I1335" s="217" t="n">
        <x:v>1332</x:v>
      </x:c>
      <x:c r="J1335" s="217" t="str">
        <x:f>IF(I1335&lt;='排名定義'!$B$5,"是","")</x:f>
        <x:v>是</x:v>
      </x:c>
      <x:c r="K1335" s="217" t="n">
        <x:v>1276</x:v>
      </x:c>
      <x:c r="L1335" s="217" t="str">
        <x:f>IF(K1335&lt;='排名定義'!$B$5,"是","")</x:f>
        <x:v>是</x:v>
      </x:c>
      <x:c r="M1335" s="217" t="n">
        <x:f>COUNTIF(H1335:L1335,"是")</x:f>
        <x:v>3</x:v>
      </x:c>
      <x:c r="N1335" s="217" t="str">
        <x:v>三份皆未入選</x:v>
      </x:c>
      <x:c r="O1335" s="220" t="n">
        <x:v>16.766666666666666</x:v>
      </x:c>
      <x:c r="P1335" s="220" t="n">
        <x:v>14.166666666666666</x:v>
      </x:c>
      <x:c r="Q1335" s="220" t="n">
        <x:v>2.6</x:v>
      </x:c>
      <x:c r="R1335" s="220" t="n">
        <x:v>0.1550695825049702</x:v>
      </x:c>
      <x:c r="S1335" s="220" t="n">
        <x:v>31.516129032258064</x:v>
      </x:c>
      <x:c r="T1335" s="220" t="n">
        <x:v>29</x:v>
      </x:c>
      <x:c r="U1335" s="220" t="n">
        <x:v>2.5161290322580645</x:v>
      </x:c>
      <x:c r="V1335" s="218" t="n">
        <x:v>0.009216589861751152</x:v>
      </x:c>
      <x:c r="W1335" s="217" t="n">
        <x:v>3</x:v>
      </x:c>
      <x:c r="X1335" s="222" t="n">
        <x:v>300</x:v>
      </x:c>
      <x:c r="Y1335" s="217" t="n">
        <x:v>16</x:v>
      </x:c>
    </x:row>
    <x:row r="1336">
      <x:c r="A1336" s="216" t="n">
        <x:v>650</x:v>
      </x:c>
      <x:c r="B1336" s="216" t="str">
        <x:v>大崁國小</x:v>
      </x:c>
      <x:c r="C1336" s="216" t="str">
        <x:v>八里區</x:v>
      </x:c>
      <x:c r="D1336" s="216" t="n">
        <x:v>20</x:v>
      </x:c>
      <x:c r="E1336" s="216" t="n">
        <x:v>120</x:v>
      </x:c>
      <x:c r="F1336" s="219" t="n">
        <x:v>0.9994791666666667</x:v>
      </x:c>
      <x:c r="G1336" s="216" t="n">
        <x:v>1332</x:v>
      </x:c>
      <x:c r="H1336" s="216" t="str">
        <x:f>IF(G1336&lt;='排名定義'!$B$5,"是","")</x:f>
        <x:v>是</x:v>
      </x:c>
      <x:c r="I1336" s="216" t="n">
        <x:v>1335</x:v>
      </x:c>
      <x:c r="J1336" s="216" t="str">
        <x:f>IF(I1336&lt;='排名定義'!$B$5,"是","")</x:f>
        <x:v>是</x:v>
      </x:c>
      <x:c r="K1336" s="216" t="n">
        <x:v>1294</x:v>
      </x:c>
      <x:c r="L1336" s="216" t="str">
        <x:f>IF(K1336&lt;='排名定義'!$B$5,"是","")</x:f>
        <x:v>是</x:v>
      </x:c>
      <x:c r="M1336" s="216" t="n">
        <x:f>COUNTIF(H1336:L1336,"是")</x:f>
        <x:v>3</x:v>
      </x:c>
      <x:c r="N1336" s="216" t="str">
        <x:v>三份皆未入選</x:v>
      </x:c>
      <x:c r="O1336" s="221" t="n">
        <x:v>16.533333333333335</x:v>
      </x:c>
      <x:c r="P1336" s="221" t="n">
        <x:v>14.041666666666666</x:v>
      </x:c>
      <x:c r="Q1336" s="221" t="n">
        <x:v>2.4916666666666667</x:v>
      </x:c>
      <x:c r="R1336" s="221" t="n">
        <x:v>0.1507056451612903</x:v>
      </x:c>
      <x:c r="S1336" s="221" t="n">
        <x:v>39.58064516129032</x:v>
      </x:c>
      <x:c r="T1336" s="221" t="n">
        <x:v>36.41935483870968</x:v>
      </x:c>
      <x:c r="U1336" s="221" t="n">
        <x:v>3.161290322580645</x:v>
      </x:c>
      <x:c r="V1336" s="219" t="n">
        <x:v>0.08064516129032258</x:v>
      </x:c>
      <x:c r="W1336" s="216" t="n">
        <x:v>16</x:v>
      </x:c>
      <x:c r="X1336" s="223" t="n">
        <x:v>2550</x:v>
      </x:c>
      <x:c r="Y1336" s="216" t="n">
        <x:v>20</x:v>
      </x:c>
    </x:row>
    <x:row r="1337">
      <x:c r="A1337" s="217" t="n">
        <x:v>715</x:v>
      </x:c>
      <x:c r="B1337" s="217" t="str">
        <x:v>東明一街121巷</x:v>
      </x:c>
      <x:c r="C1337" s="217" t="str">
        <x:v>林口區</x:v>
      </x:c>
      <x:c r="D1337" s="217" t="n">
        <x:v>20</x:v>
      </x:c>
      <x:c r="E1337" s="217" t="n">
        <x:v>120</x:v>
      </x:c>
      <x:c r="F1337" s="218" t="n">
        <x:v>0.9994791666666667</x:v>
      </x:c>
      <x:c r="G1337" s="217" t="n">
        <x:v>1333</x:v>
      </x:c>
      <x:c r="H1337" s="217" t="str">
        <x:f>IF(G1337&lt;='排名定義'!$B$5,"是","")</x:f>
        <x:v>是</x:v>
      </x:c>
      <x:c r="I1337" s="217" t="n">
        <x:v>1334</x:v>
      </x:c>
      <x:c r="J1337" s="217" t="str">
        <x:f>IF(I1337&lt;='排名定義'!$B$5,"是","")</x:f>
        <x:v>是</x:v>
      </x:c>
      <x:c r="K1337" s="217" t="n">
        <x:v>1318</x:v>
      </x:c>
      <x:c r="L1337" s="217" t="str">
        <x:f>IF(K1337&lt;='排名定義'!$B$5,"是","")</x:f>
        <x:v>是</x:v>
      </x:c>
      <x:c r="M1337" s="217" t="n">
        <x:f>COUNTIF(H1337:L1337,"是")</x:f>
        <x:v>3</x:v>
      </x:c>
      <x:c r="N1337" s="217" t="str">
        <x:v>三份皆未入選</x:v>
      </x:c>
      <x:c r="O1337" s="220" t="n">
        <x:v>16.491666666666667</x:v>
      </x:c>
      <x:c r="P1337" s="220" t="n">
        <x:v>14.083333333333334</x:v>
      </x:c>
      <x:c r="Q1337" s="220" t="n">
        <x:v>2.408333333333333</x:v>
      </x:c>
      <x:c r="R1337" s="220" t="n">
        <x:v>0.146033350176857</x:v>
      </x:c>
      <x:c r="S1337" s="220" t="n">
        <x:v>30.548387096774192</x:v>
      </x:c>
      <x:c r="T1337" s="220" t="n">
        <x:v>27.903225806451612</x:v>
      </x:c>
      <x:c r="U1337" s="220" t="n">
        <x:v>2.6451612903225805</x:v>
      </x:c>
      <x:c r="V1337" s="218" t="n">
        <x:v>0.004608294930875576</x:v>
      </x:c>
      <x:c r="W1337" s="217" t="n">
        <x:v>0</x:v>
      </x:c>
      <x:c r="X1337" s="222" t="n">
        <x:v>60</x:v>
      </x:c>
      <x:c r="Y1337" s="217" t="n">
        <x:v>20</x:v>
      </x:c>
    </x:row>
    <x:row r="1338">
      <x:c r="A1338" s="216" t="n">
        <x:v>308</x:v>
      </x:c>
      <x:c r="B1338" s="216" t="str">
        <x:v>三鶯水資源回收中心</x:v>
      </x:c>
      <x:c r="C1338" s="216" t="str">
        <x:v>鶯歌區</x:v>
      </x:c>
      <x:c r="D1338" s="216" t="n">
        <x:v>14</x:v>
      </x:c>
      <x:c r="E1338" s="216" t="n">
        <x:v>120</x:v>
      </x:c>
      <x:c r="F1338" s="219" t="n">
        <x:v>0.9994791666666667</x:v>
      </x:c>
      <x:c r="G1338" s="216" t="n">
        <x:v>1334</x:v>
      </x:c>
      <x:c r="H1338" s="216" t="str">
        <x:f>IF(G1338&lt;='排名定義'!$B$5,"是","")</x:f>
        <x:v>是</x:v>
      </x:c>
      <x:c r="I1338" s="216" t="n">
        <x:v>1346</x:v>
      </x:c>
      <x:c r="J1338" s="216" t="str">
        <x:f>IF(I1338&lt;='排名定義'!$B$5,"是","")</x:f>
        <x:v>是</x:v>
      </x:c>
      <x:c r="K1338" s="216" t="n">
        <x:v>1172</x:v>
      </x:c>
      <x:c r="L1338" s="216" t="str">
        <x:f>IF(K1338&lt;='排名定義'!$B$5,"是","")</x:f>
        <x:v>是</x:v>
      </x:c>
      <x:c r="M1338" s="216" t="n">
        <x:f>COUNTIF(H1338:L1338,"是")</x:f>
        <x:v>3</x:v>
      </x:c>
      <x:c r="N1338" s="216" t="str">
        <x:v>三份皆未入選</x:v>
      </x:c>
      <x:c r="O1338" s="221" t="n">
        <x:v>16.225</x:v>
      </x:c>
      <x:c r="P1338" s="221" t="n">
        <x:v>13.241666666666667</x:v>
      </x:c>
      <x:c r="Q1338" s="221" t="n">
        <x:v>2.9833333333333334</x:v>
      </x:c>
      <x:c r="R1338" s="221" t="n">
        <x:v>0.18387262455059064</x:v>
      </x:c>
      <x:c r="S1338" s="221" t="n">
        <x:v>30.967741935483872</x:v>
      </x:c>
      <x:c r="T1338" s="221" t="n">
        <x:v>28.548387096774192</x:v>
      </x:c>
      <x:c r="U1338" s="221" t="n">
        <x:v>2.4193548387096775</x:v>
      </x:c>
      <x:c r="V1338" s="219" t="n">
        <x:v>0.03225806451612903</x:v>
      </x:c>
      <x:c r="W1338" s="216" t="n">
        <x:v>9</x:v>
      </x:c>
      <x:c r="X1338" s="223" t="n">
        <x:v>870</x:v>
      </x:c>
      <x:c r="Y1338" s="216" t="n">
        <x:v>14</x:v>
      </x:c>
    </x:row>
    <x:row r="1339">
      <x:c r="A1339" s="217" t="n">
        <x:v>254</x:v>
      </x:c>
      <x:c r="B1339" s="217" t="str">
        <x:v>鹿角溪公園</x:v>
      </x:c>
      <x:c r="C1339" s="217" t="str">
        <x:v>樹林區</x:v>
      </x:c>
      <x:c r="D1339" s="217" t="n">
        <x:v>13</x:v>
      </x:c>
      <x:c r="E1339" s="217" t="n">
        <x:v>120</x:v>
      </x:c>
      <x:c r="F1339" s="218" t="n">
        <x:v>0.9994791666666667</x:v>
      </x:c>
      <x:c r="G1339" s="217" t="n">
        <x:v>1335</x:v>
      </x:c>
      <x:c r="H1339" s="217" t="str">
        <x:f>IF(G1339&lt;='排名定義'!$B$5,"是","")</x:f>
        <x:v>是</x:v>
      </x:c>
      <x:c r="I1339" s="217" t="n">
        <x:v>1336</x:v>
      </x:c>
      <x:c r="J1339" s="217" t="str">
        <x:f>IF(I1339&lt;='排名定義'!$B$5,"是","")</x:f>
        <x:v>是</x:v>
      </x:c>
      <x:c r="K1339" s="217" t="n">
        <x:v>1359</x:v>
      </x:c>
      <x:c r="L1339" s="217" t="str">
        <x:f>IF(K1339&lt;='排名定義'!$B$5,"是","")</x:f>
        <x:v>是</x:v>
      </x:c>
      <x:c r="M1339" s="217" t="n">
        <x:f>COUNTIF(H1339:L1339,"是")</x:f>
        <x:v>3</x:v>
      </x:c>
      <x:c r="N1339" s="217" t="str">
        <x:v>三份皆未入選</x:v>
      </x:c>
      <x:c r="O1339" s="220" t="n">
        <x:v>16.116666666666667</x:v>
      </x:c>
      <x:c r="P1339" s="220" t="n">
        <x:v>14.025</x:v>
      </x:c>
      <x:c r="Q1339" s="220" t="n">
        <x:v>2.091666666666667</x:v>
      </x:c>
      <x:c r="R1339" s="220" t="n">
        <x:v>0.1297828335056877</x:v>
      </x:c>
      <x:c r="S1339" s="220" t="n">
        <x:v>30.225806451612904</x:v>
      </x:c>
      <x:c r="T1339" s="220" t="n">
        <x:v>28</x:v>
      </x:c>
      <x:c r="U1339" s="220" t="n">
        <x:v>2.225806451612903</x:v>
      </x:c>
      <x:c r="V1339" s="218" t="n">
        <x:v>0.03456221198156682</x:v>
      </x:c>
      <x:c r="W1339" s="217" t="n">
        <x:v>8</x:v>
      </x:c>
      <x:c r="X1339" s="222" t="n">
        <x:v>1110</x:v>
      </x:c>
      <x:c r="Y1339" s="217" t="n">
        <x:v>13</x:v>
      </x:c>
    </x:row>
    <x:row r="1340">
      <x:c r="A1340" s="216" t="n">
        <x:v>746</x:v>
      </x:c>
      <x:c r="B1340" s="216" t="str">
        <x:v>成州國小</x:v>
      </x:c>
      <x:c r="C1340" s="216" t="str">
        <x:v>五股區</x:v>
      </x:c>
      <x:c r="D1340" s="216" t="n">
        <x:v>20</x:v>
      </x:c>
      <x:c r="E1340" s="216" t="n">
        <x:v>120</x:v>
      </x:c>
      <x:c r="F1340" s="219" t="n">
        <x:v>0.9994791666666667</x:v>
      </x:c>
      <x:c r="G1340" s="216" t="n">
        <x:v>1336</x:v>
      </x:c>
      <x:c r="H1340" s="216" t="str">
        <x:f>IF(G1340&lt;='排名定義'!$B$5,"是","")</x:f>
        <x:v>是</x:v>
      </x:c>
      <x:c r="I1340" s="216" t="n">
        <x:v>1337</x:v>
      </x:c>
      <x:c r="J1340" s="216" t="str">
        <x:f>IF(I1340&lt;='排名定義'!$B$5,"是","")</x:f>
        <x:v>是</x:v>
      </x:c>
      <x:c r="K1340" s="216" t="n">
        <x:v>1387</x:v>
      </x:c>
      <x:c r="L1340" s="216" t="str">
        <x:f>IF(K1340&lt;='排名定義'!$B$5,"是","")</x:f>
        <x:v>是</x:v>
      </x:c>
      <x:c r="M1340" s="216" t="n">
        <x:f>COUNTIF(H1340:L1340,"是")</x:f>
        <x:v>3</x:v>
      </x:c>
      <x:c r="N1340" s="216" t="str">
        <x:v>三份皆未入選</x:v>
      </x:c>
      <x:c r="O1340" s="221" t="n">
        <x:v>15.925</x:v>
      </x:c>
      <x:c r="P1340" s="221" t="n">
        <x:v>14.008333333333333</x:v>
      </x:c>
      <x:c r="Q1340" s="221" t="n">
        <x:v>1.9166666666666667</x:v>
      </x:c>
      <x:c r="R1340" s="221" t="n">
        <x:v>0.12035583464154893</x:v>
      </x:c>
      <x:c r="S1340" s="221" t="n">
        <x:v>28.838709677419356</x:v>
      </x:c>
      <x:c r="T1340" s="221" t="n">
        <x:v>25.903225806451612</x:v>
      </x:c>
      <x:c r="U1340" s="221" t="n">
        <x:v>2.935483870967742</x:v>
      </x:c>
      <x:c r="V1340" s="219" t="n">
        <x:v>0.07142857142857142</x:v>
      </x:c>
      <x:c r="W1340" s="216" t="n">
        <x:v>14</x:v>
      </x:c>
      <x:c r="X1340" s="223" t="n">
        <x:v>1620</x:v>
      </x:c>
      <x:c r="Y1340" s="216" t="n">
        <x:v>20</x:v>
      </x:c>
    </x:row>
    <x:row r="1341">
      <x:c r="A1341" s="217" t="n">
        <x:v>429</x:v>
      </x:c>
      <x:c r="B1341" s="217" t="str">
        <x:v>東興街</x:v>
      </x:c>
      <x:c r="C1341" s="217" t="str">
        <x:v>樹林區</x:v>
      </x:c>
      <x:c r="D1341" s="217" t="n">
        <x:v>15</x:v>
      </x:c>
      <x:c r="E1341" s="217" t="n">
        <x:v>120</x:v>
      </x:c>
      <x:c r="F1341" s="218" t="n">
        <x:v>0.9994791666666667</x:v>
      </x:c>
      <x:c r="G1341" s="217" t="n">
        <x:v>1337</x:v>
      </x:c>
      <x:c r="H1341" s="217" t="str">
        <x:f>IF(G1341&lt;='排名定義'!$B$5,"是","")</x:f>
        <x:v>是</x:v>
      </x:c>
      <x:c r="I1341" s="217" t="n">
        <x:v>1339</x:v>
      </x:c>
      <x:c r="J1341" s="217" t="str">
        <x:f>IF(I1341&lt;='排名定義'!$B$5,"是","")</x:f>
        <x:v>是</x:v>
      </x:c>
      <x:c r="K1341" s="217" t="n">
        <x:v>1366</x:v>
      </x:c>
      <x:c r="L1341" s="217" t="str">
        <x:f>IF(K1341&lt;='排名定義'!$B$5,"是","")</x:f>
        <x:v>是</x:v>
      </x:c>
      <x:c r="M1341" s="217" t="n">
        <x:f>COUNTIF(H1341:L1341,"是")</x:f>
        <x:v>3</x:v>
      </x:c>
      <x:c r="N1341" s="217" t="str">
        <x:v>三份皆未入選</x:v>
      </x:c>
      <x:c r="O1341" s="220" t="n">
        <x:v>15.883333333333333</x:v>
      </x:c>
      <x:c r="P1341" s="220" t="n">
        <x:v>13.816666666666666</x:v>
      </x:c>
      <x:c r="Q1341" s="220" t="n">
        <x:v>2.066666666666667</x:v>
      </x:c>
      <x:c r="R1341" s="220" t="n">
        <x:v>0.13011542497376705</x:v>
      </x:c>
      <x:c r="S1341" s="220" t="n">
        <x:v>26.451612903225808</x:v>
      </x:c>
      <x:c r="T1341" s="220" t="n">
        <x:v>24.032258064516128</x:v>
      </x:c>
      <x:c r="U1341" s="220" t="n">
        <x:v>2.4193548387096775</x:v>
      </x:c>
      <x:c r="V1341" s="218" t="n">
        <x:v>0.0069124423963133645</x:v>
      </x:c>
      <x:c r="W1341" s="217" t="n">
        <x:v>6</x:v>
      </x:c>
      <x:c r="X1341" s="222" t="n">
        <x:v>510</x:v>
      </x:c>
      <x:c r="Y1341" s="217" t="n">
        <x:v>15</x:v>
      </x:c>
    </x:row>
    <x:row r="1342">
      <x:c r="A1342" s="216" t="n">
        <x:v>774</x:v>
      </x:c>
      <x:c r="B1342" s="216" t="str">
        <x:v>溪洲原住民族生活文化園區Cinemnemay</x:v>
      </x:c>
      <x:c r="C1342" s="216" t="str">
        <x:v>新店區</x:v>
      </x:c>
      <x:c r="D1342" s="216" t="n">
        <x:v>21</x:v>
      </x:c>
      <x:c r="E1342" s="216" t="n">
        <x:v>120</x:v>
      </x:c>
      <x:c r="F1342" s="219" t="n">
        <x:v>0.9994791666666667</x:v>
      </x:c>
      <x:c r="G1342" s="216" t="n">
        <x:v>1338</x:v>
      </x:c>
      <x:c r="H1342" s="216" t="str">
        <x:f>IF(G1342&lt;='排名定義'!$B$5,"是","")</x:f>
        <x:v>是</x:v>
      </x:c>
      <x:c r="I1342" s="216" t="n">
        <x:v>1333</x:v>
      </x:c>
      <x:c r="J1342" s="216" t="str">
        <x:f>IF(I1342&lt;='排名定義'!$B$5,"是","")</x:f>
        <x:v>是</x:v>
      </x:c>
      <x:c r="K1342" s="216" t="n">
        <x:v>1404</x:v>
      </x:c>
      <x:c r="L1342" s="216" t="str">
        <x:f>IF(K1342&lt;='排名定義'!$B$5,"是","")</x:f>
        <x:v>是</x:v>
      </x:c>
      <x:c r="M1342" s="216" t="n">
        <x:f>COUNTIF(H1342:L1342,"是")</x:f>
        <x:v>3</x:v>
      </x:c>
      <x:c r="N1342" s="216" t="str">
        <x:v>三份皆未入選</x:v>
      </x:c>
      <x:c r="O1342" s="221" t="n">
        <x:v>15.875</x:v>
      </x:c>
      <x:c r="P1342" s="221" t="n">
        <x:v>14.15</x:v>
      </x:c>
      <x:c r="Q1342" s="221" t="n">
        <x:v>1.725</x:v>
      </x:c>
      <x:c r="R1342" s="221" t="n">
        <x:v>0.10866141732283464</x:v>
      </x:c>
      <x:c r="S1342" s="221" t="n">
        <x:v>33.645161290322584</x:v>
      </x:c>
      <x:c r="T1342" s="221" t="n">
        <x:v>31.129032258064516</x:v>
      </x:c>
      <x:c r="U1342" s="221" t="n">
        <x:v>2.5161290322580645</x:v>
      </x:c>
      <x:c r="V1342" s="219" t="n">
        <x:v>0.013824884792626729</x:v>
      </x:c>
      <x:c r="W1342" s="216" t="n">
        <x:v>6</x:v>
      </x:c>
      <x:c r="X1342" s="223" t="n">
        <x:v>510</x:v>
      </x:c>
      <x:c r="Y1342" s="216" t="n">
        <x:v>21</x:v>
      </x:c>
    </x:row>
    <x:row r="1343">
      <x:c r="A1343" s="217" t="n">
        <x:v>168</x:v>
      </x:c>
      <x:c r="B1343" s="217" t="str">
        <x:v>新北大道二段139巷</x:v>
      </x:c>
      <x:c r="C1343" s="217" t="str">
        <x:v>三重區</x:v>
      </x:c>
      <x:c r="D1343" s="217" t="n">
        <x:v>11</x:v>
      </x:c>
      <x:c r="E1343" s="217" t="n">
        <x:v>91</x:v>
      </x:c>
      <x:c r="F1343" s="218" t="n">
        <x:v>0.9993131868131868</x:v>
      </x:c>
      <x:c r="G1343" s="217" t="n">
        <x:v>1339</x:v>
      </x:c>
      <x:c r="H1343" s="217" t="str">
        <x:f>IF(G1343&lt;='排名定義'!$B$5,"是","")</x:f>
        <x:v>是</x:v>
      </x:c>
      <x:c r="I1343" s="217" t="n">
        <x:v>1328</x:v>
      </x:c>
      <x:c r="J1343" s="217" t="str">
        <x:f>IF(I1343&lt;='排名定義'!$B$5,"是","")</x:f>
        <x:v>是</x:v>
      </x:c>
      <x:c r="K1343" s="217" t="n">
        <x:v>1450</x:v>
      </x:c>
      <x:c r="L1343" s="217" t="str">
        <x:f>IF(K1343&lt;='排名定義'!$B$5,"是","")</x:f>
        <x:v>是</x:v>
      </x:c>
      <x:c r="M1343" s="217" t="n">
        <x:f>COUNTIF(H1343:L1343,"是")</x:f>
        <x:v>3</x:v>
      </x:c>
      <x:c r="N1343" s="217" t="str">
        <x:v>三份皆未入選</x:v>
      </x:c>
      <x:c r="O1343" s="220" t="n">
        <x:v>15.648351648351648</x:v>
      </x:c>
      <x:c r="P1343" s="220" t="n">
        <x:v>14.516483516483516</x:v>
      </x:c>
      <x:c r="Q1343" s="220" t="n">
        <x:v>1.1318681318681318</x:v>
      </x:c>
      <x:c r="R1343" s="220" t="n">
        <x:v>0.0723314606741573</x:v>
      </x:c>
      <x:c r="S1343" s="220" t="n">
        <x:v>22.838709677419356</x:v>
      </x:c>
      <x:c r="T1343" s="220" t="n">
        <x:v>21.29032258064516</x:v>
      </x:c>
      <x:c r="U1343" s="220" t="n">
        <x:v>1.5483870967741935</x:v>
      </x:c>
      <x:c r="V1343" s="218" t="n">
        <x:v>0.041474654377880185</x:v>
      </x:c>
      <x:c r="W1343" s="217" t="n">
        <x:v>13</x:v>
      </x:c>
      <x:c r="X1343" s="222" t="n">
        <x:v>1560</x:v>
      </x:c>
      <x:c r="Y1343" s="217" t="n">
        <x:v>11</x:v>
      </x:c>
    </x:row>
    <x:row r="1344">
      <x:c r="A1344" s="216" t="n">
        <x:v>387</x:v>
      </x:c>
      <x:c r="B1344" s="216" t="str">
        <x:v>臺北大學隆恩哨(忘憂路)</x:v>
      </x:c>
      <x:c r="C1344" s="216" t="str">
        <x:v>三峽區</x:v>
      </x:c>
      <x:c r="D1344" s="216" t="n">
        <x:v>15</x:v>
      </x:c>
      <x:c r="E1344" s="216" t="n">
        <x:v>120</x:v>
      </x:c>
      <x:c r="F1344" s="219" t="n">
        <x:v>0.9994791666666667</x:v>
      </x:c>
      <x:c r="G1344" s="216" t="n">
        <x:v>1340</x:v>
      </x:c>
      <x:c r="H1344" s="216" t="str">
        <x:f>IF(G1344&lt;='排名定義'!$B$5,"是","")</x:f>
        <x:v>是</x:v>
      </x:c>
      <x:c r="I1344" s="216" t="n">
        <x:v>1347</x:v>
      </x:c>
      <x:c r="J1344" s="216" t="str">
        <x:f>IF(I1344&lt;='排名定義'!$B$5,"是","")</x:f>
        <x:v>是</x:v>
      </x:c>
      <x:c r="K1344" s="216" t="n">
        <x:v>1319</x:v>
      </x:c>
      <x:c r="L1344" s="216" t="str">
        <x:f>IF(K1344&lt;='排名定義'!$B$5,"是","")</x:f>
        <x:v>是</x:v>
      </x:c>
      <x:c r="M1344" s="216" t="n">
        <x:f>COUNTIF(H1344:L1344,"是")</x:f>
        <x:v>3</x:v>
      </x:c>
      <x:c r="N1344" s="216" t="str">
        <x:v>三份皆未入選</x:v>
      </x:c>
      <x:c r="O1344" s="221" t="n">
        <x:v>15.641666666666667</x:v>
      </x:c>
      <x:c r="P1344" s="221" t="n">
        <x:v>13.241666666666667</x:v>
      </x:c>
      <x:c r="Q1344" s="221" t="n">
        <x:v>2.4</x:v>
      </x:c>
      <x:c r="R1344" s="221" t="n">
        <x:v>0.15343633457645178</x:v>
      </x:c>
      <x:c r="S1344" s="221" t="n">
        <x:v>22.64516129032258</x:v>
      </x:c>
      <x:c r="T1344" s="221" t="n">
        <x:v>20.806451612903224</x:v>
      </x:c>
      <x:c r="U1344" s="221" t="n">
        <x:v>1.8387096774193548</x:v>
      </x:c>
      <x:c r="V1344" s="219" t="n">
        <x:v>0.029953917050691243</x:v>
      </x:c>
      <x:c r="W1344" s="216" t="n">
        <x:v>5</x:v>
      </x:c>
      <x:c r="X1344" s="223" t="n">
        <x:v>540</x:v>
      </x:c>
      <x:c r="Y1344" s="216" t="n">
        <x:v>15</x:v>
      </x:c>
    </x:row>
    <x:row r="1345">
      <x:c r="A1345" s="217" t="n">
        <x:v>309</x:v>
      </x:c>
      <x:c r="B1345" s="217" t="str">
        <x:v>柑園國小</x:v>
      </x:c>
      <x:c r="C1345" s="217" t="str">
        <x:v>樹林區</x:v>
      </x:c>
      <x:c r="D1345" s="217" t="n">
        <x:v>14</x:v>
      </x:c>
      <x:c r="E1345" s="217" t="n">
        <x:v>120</x:v>
      </x:c>
      <x:c r="F1345" s="218" t="n">
        <x:v>0.9994791666666667</x:v>
      </x:c>
      <x:c r="G1345" s="217" t="n">
        <x:v>1341</x:v>
      </x:c>
      <x:c r="H1345" s="217" t="str">
        <x:f>IF(G1345&lt;='排名定義'!$B$5,"是","")</x:f>
        <x:v>是</x:v>
      </x:c>
      <x:c r="I1345" s="217" t="n">
        <x:v>1342</x:v>
      </x:c>
      <x:c r="J1345" s="217" t="str">
        <x:f>IF(I1345&lt;='排名定義'!$B$5,"是","")</x:f>
        <x:v>是</x:v>
      </x:c>
      <x:c r="K1345" s="217" t="n">
        <x:v>1340</x:v>
      </x:c>
      <x:c r="L1345" s="217" t="str">
        <x:f>IF(K1345&lt;='排名定義'!$B$5,"是","")</x:f>
        <x:v>是</x:v>
      </x:c>
      <x:c r="M1345" s="217" t="n">
        <x:f>COUNTIF(H1345:L1345,"是")</x:f>
        <x:v>3</x:v>
      </x:c>
      <x:c r="N1345" s="217" t="str">
        <x:v>三份皆未入選</x:v>
      </x:c>
      <x:c r="O1345" s="220" t="n">
        <x:v>15.616666666666667</x:v>
      </x:c>
      <x:c r="P1345" s="220" t="n">
        <x:v>13.383333333333333</x:v>
      </x:c>
      <x:c r="Q1345" s="220" t="n">
        <x:v>2.2333333333333334</x:v>
      </x:c>
      <x:c r="R1345" s="220" t="n">
        <x:v>0.14300960512273211</x:v>
      </x:c>
      <x:c r="S1345" s="220" t="n">
        <x:v>27.741935483870968</x:v>
      </x:c>
      <x:c r="T1345" s="220" t="n">
        <x:v>25.096774193548388</x:v>
      </x:c>
      <x:c r="U1345" s="220" t="n">
        <x:v>2.6451612903225805</x:v>
      </x:c>
      <x:c r="V1345" s="218" t="n">
        <x:v>0.016129032258064516</x:v>
      </x:c>
      <x:c r="W1345" s="217" t="n">
        <x:v>5</x:v>
      </x:c>
      <x:c r="X1345" s="222" t="n">
        <x:v>420</x:v>
      </x:c>
      <x:c r="Y1345" s="217" t="n">
        <x:v>14</x:v>
      </x:c>
    </x:row>
    <x:row r="1346">
      <x:c r="A1346" s="216" t="n">
        <x:v>734</x:v>
      </x:c>
      <x:c r="B1346" s="216" t="str">
        <x:v>陸光國宅</x:v>
      </x:c>
      <x:c r="C1346" s="216" t="str">
        <x:v>五股區</x:v>
      </x:c>
      <x:c r="D1346" s="216" t="n">
        <x:v>20</x:v>
      </x:c>
      <x:c r="E1346" s="216" t="n">
        <x:v>120</x:v>
      </x:c>
      <x:c r="F1346" s="219" t="n">
        <x:v>0.9994791666666667</x:v>
      </x:c>
      <x:c r="G1346" s="216" t="n">
        <x:v>1342</x:v>
      </x:c>
      <x:c r="H1346" s="216" t="str">
        <x:f>IF(G1346&lt;='排名定義'!$B$5,"是","")</x:f>
        <x:v>是</x:v>
      </x:c>
      <x:c r="I1346" s="216" t="n">
        <x:v>1357</x:v>
      </x:c>
      <x:c r="J1346" s="216" t="str">
        <x:f>IF(I1346&lt;='排名定義'!$B$5,"是","")</x:f>
        <x:v>是</x:v>
      </x:c>
      <x:c r="K1346" s="216" t="n">
        <x:v>1197</x:v>
      </x:c>
      <x:c r="L1346" s="216" t="str">
        <x:f>IF(K1346&lt;='排名定義'!$B$5,"是","")</x:f>
        <x:v>是</x:v>
      </x:c>
      <x:c r="M1346" s="216" t="n">
        <x:f>COUNTIF(H1346:L1346,"是")</x:f>
        <x:v>3</x:v>
      </x:c>
      <x:c r="N1346" s="216" t="str">
        <x:v>三份皆未入選</x:v>
      </x:c>
      <x:c r="O1346" s="221" t="n">
        <x:v>15.6</x:v>
      </x:c>
      <x:c r="P1346" s="221" t="n">
        <x:v>12.691666666666666</x:v>
      </x:c>
      <x:c r="Q1346" s="221" t="n">
        <x:v>2.908333333333333</x:v>
      </x:c>
      <x:c r="R1346" s="221" t="n">
        <x:v>0.18643162393162394</x:v>
      </x:c>
      <x:c r="S1346" s="221" t="n">
        <x:v>25.774193548387096</x:v>
      </x:c>
      <x:c r="T1346" s="221" t="n">
        <x:v>22.967741935483872</x:v>
      </x:c>
      <x:c r="U1346" s="221" t="n">
        <x:v>2.806451612903226</x:v>
      </x:c>
      <x:c r="V1346" s="219" t="n">
        <x:v>0.009216589861751152</x:v>
      </x:c>
      <x:c r="W1346" s="216" t="n">
        <x:v>3</x:v>
      </x:c>
      <x:c r="X1346" s="223" t="n">
        <x:v>240</x:v>
      </x:c>
      <x:c r="Y1346" s="216" t="n">
        <x:v>20</x:v>
      </x:c>
    </x:row>
    <x:row r="1347">
      <x:c r="A1347" s="217" t="n">
        <x:v>276</x:v>
      </x:c>
      <x:c r="B1347" s="217" t="str">
        <x:v>樂活公園</x:v>
      </x:c>
      <x:c r="C1347" s="217" t="str">
        <x:v>林口區</x:v>
      </x:c>
      <x:c r="D1347" s="217" t="n">
        <x:v>14</x:v>
      </x:c>
      <x:c r="E1347" s="217" t="n">
        <x:v>120</x:v>
      </x:c>
      <x:c r="F1347" s="218" t="n">
        <x:v>0.9994791666666667</x:v>
      </x:c>
      <x:c r="G1347" s="217" t="n">
        <x:v>1343</x:v>
      </x:c>
      <x:c r="H1347" s="217" t="str">
        <x:f>IF(G1347&lt;='排名定義'!$B$5,"是","")</x:f>
        <x:v>是</x:v>
      </x:c>
      <x:c r="I1347" s="217" t="n">
        <x:v>1344</x:v>
      </x:c>
      <x:c r="J1347" s="217" t="str">
        <x:f>IF(I1347&lt;='排名定義'!$B$5,"是","")</x:f>
        <x:v>是</x:v>
      </x:c>
      <x:c r="K1347" s="217" t="n">
        <x:v>1342</x:v>
      </x:c>
      <x:c r="L1347" s="217" t="str">
        <x:f>IF(K1347&lt;='排名定義'!$B$5,"是","")</x:f>
        <x:v>是</x:v>
      </x:c>
      <x:c r="M1347" s="217" t="n">
        <x:f>COUNTIF(H1347:L1347,"是")</x:f>
        <x:v>3</x:v>
      </x:c>
      <x:c r="N1347" s="217" t="str">
        <x:v>三份皆未入選</x:v>
      </x:c>
      <x:c r="O1347" s="220" t="n">
        <x:v>15.575</x:v>
      </x:c>
      <x:c r="P1347" s="220" t="n">
        <x:v>13.35</x:v>
      </x:c>
      <x:c r="Q1347" s="220" t="n">
        <x:v>2.225</x:v>
      </x:c>
      <x:c r="R1347" s="220" t="n">
        <x:v>0.14285714285714285</x:v>
      </x:c>
      <x:c r="S1347" s="220" t="n">
        <x:v>29.451612903225808</x:v>
      </x:c>
      <x:c r="T1347" s="220" t="n">
        <x:v>27.419354838709676</x:v>
      </x:c>
      <x:c r="U1347" s="220" t="n">
        <x:v>2.032258064516129</x:v>
      </x:c>
      <x:c r="V1347" s="218" t="n">
        <x:v>0.01152073732718894</x:v>
      </x:c>
      <x:c r="W1347" s="217" t="n">
        <x:v>3</x:v>
      </x:c>
      <x:c r="X1347" s="222" t="n">
        <x:v>390</x:v>
      </x:c>
      <x:c r="Y1347" s="217" t="n">
        <x:v>14</x:v>
      </x:c>
    </x:row>
    <x:row r="1348">
      <x:c r="A1348" s="216" t="n">
        <x:v>518</x:v>
      </x:c>
      <x:c r="B1348" s="216" t="str">
        <x:v>中華街57巷口</x:v>
      </x:c>
      <x:c r="C1348" s="216" t="str">
        <x:v>汐止區</x:v>
      </x:c>
      <x:c r="D1348" s="216" t="n">
        <x:v>17</x:v>
      </x:c>
      <x:c r="E1348" s="216" t="n">
        <x:v>120</x:v>
      </x:c>
      <x:c r="F1348" s="219" t="n">
        <x:v>0.9994791666666667</x:v>
      </x:c>
      <x:c r="G1348" s="216" t="n">
        <x:v>1344</x:v>
      </x:c>
      <x:c r="H1348" s="216" t="str">
        <x:f>IF(G1348&lt;='排名定義'!$B$5,"是","")</x:f>
        <x:v>是</x:v>
      </x:c>
      <x:c r="I1348" s="216" t="n">
        <x:v>1341</x:v>
      </x:c>
      <x:c r="J1348" s="216" t="str">
        <x:f>IF(I1348&lt;='排名定義'!$B$5,"是","")</x:f>
        <x:v>是</x:v>
      </x:c>
      <x:c r="K1348" s="216" t="n">
        <x:v>1367</x:v>
      </x:c>
      <x:c r="L1348" s="216" t="str">
        <x:f>IF(K1348&lt;='排名定義'!$B$5,"是","")</x:f>
        <x:v>是</x:v>
      </x:c>
      <x:c r="M1348" s="216" t="n">
        <x:f>COUNTIF(H1348:L1348,"是")</x:f>
        <x:v>3</x:v>
      </x:c>
      <x:c r="N1348" s="216" t="str">
        <x:v>三份皆未入選</x:v>
      </x:c>
      <x:c r="O1348" s="221" t="n">
        <x:v>15.575</x:v>
      </x:c>
      <x:c r="P1348" s="221" t="n">
        <x:v>13.508333333333333</x:v>
      </x:c>
      <x:c r="Q1348" s="221" t="n">
        <x:v>2.066666666666667</x:v>
      </x:c>
      <x:c r="R1348" s="221" t="n">
        <x:v>0.1326912787586945</x:v>
      </x:c>
      <x:c r="S1348" s="221" t="n">
        <x:v>27.225806451612904</x:v>
      </x:c>
      <x:c r="T1348" s="221" t="n">
        <x:v>24.516129032258064</x:v>
      </x:c>
      <x:c r="U1348" s="221" t="n">
        <x:v>2.7096774193548385</x:v>
      </x:c>
      <x:c r="V1348" s="219" t="n">
        <x:v>0.03456221198156682</x:v>
      </x:c>
      <x:c r="W1348" s="216" t="n">
        <x:v>12</x:v>
      </x:c>
      <x:c r="X1348" s="223" t="n">
        <x:v>1170</x:v>
      </x:c>
      <x:c r="Y1348" s="216" t="n">
        <x:v>17</x:v>
      </x:c>
    </x:row>
    <x:row r="1349">
      <x:c r="A1349" s="217" t="n">
        <x:v>345</x:v>
      </x:c>
      <x:c r="B1349" s="217" t="str">
        <x:v>國際一路112巷口</x:v>
      </x:c>
      <x:c r="C1349" s="217" t="str">
        <x:v>鶯歌區</x:v>
      </x:c>
      <x:c r="D1349" s="217" t="n">
        <x:v>15</x:v>
      </x:c>
      <x:c r="E1349" s="217" t="n">
        <x:v>120</x:v>
      </x:c>
      <x:c r="F1349" s="218" t="n">
        <x:v>0.9994791666666667</x:v>
      </x:c>
      <x:c r="G1349" s="217" t="n">
        <x:v>1345</x:v>
      </x:c>
      <x:c r="H1349" s="217" t="str">
        <x:f>IF(G1349&lt;='排名定義'!$B$5,"是","")</x:f>
        <x:v>是</x:v>
      </x:c>
      <x:c r="I1349" s="217" t="n">
        <x:v>1352</x:v>
      </x:c>
      <x:c r="J1349" s="217" t="str">
        <x:f>IF(I1349&lt;='排名定義'!$B$5,"是","")</x:f>
        <x:v>是</x:v>
      </x:c>
      <x:c r="K1349" s="217" t="n">
        <x:v>1282</x:v>
      </x:c>
      <x:c r="L1349" s="217" t="str">
        <x:f>IF(K1349&lt;='排名定義'!$B$5,"是","")</x:f>
        <x:v>是</x:v>
      </x:c>
      <x:c r="M1349" s="217" t="n">
        <x:f>COUNTIF(H1349:L1349,"是")</x:f>
        <x:v>3</x:v>
      </x:c>
      <x:c r="N1349" s="217" t="str">
        <x:v>三份皆未入選</x:v>
      </x:c>
      <x:c r="O1349" s="220" t="n">
        <x:v>15.541666666666666</x:v>
      </x:c>
      <x:c r="P1349" s="220" t="n">
        <x:v>12.966666666666667</x:v>
      </x:c>
      <x:c r="Q1349" s="220" t="n">
        <x:v>2.575</x:v>
      </x:c>
      <x:c r="R1349" s="220" t="n">
        <x:v>0.16568364611260053</x:v>
      </x:c>
      <x:c r="S1349" s="220" t="n">
        <x:v>22.967741935483872</x:v>
      </x:c>
      <x:c r="T1349" s="220" t="n">
        <x:v>20.870967741935484</x:v>
      </x:c>
      <x:c r="U1349" s="220" t="n">
        <x:v>2.096774193548387</x:v>
      </x:c>
      <x:c r="V1349" s="218" t="n">
        <x:v>0.0069124423963133645</x:v>
      </x:c>
      <x:c r="W1349" s="217" t="n">
        <x:v>1</x:v>
      </x:c>
      <x:c r="X1349" s="222" t="n">
        <x:v>90</x:v>
      </x:c>
      <x:c r="Y1349" s="217" t="n">
        <x:v>15</x:v>
      </x:c>
    </x:row>
    <x:row r="1350">
      <x:c r="A1350" s="216" t="n">
        <x:v>823</x:v>
      </x:c>
      <x:c r="B1350" s="216" t="str">
        <x:v>新市二路四段230巷</x:v>
      </x:c>
      <x:c r="C1350" s="216" t="str">
        <x:v>淡水區</x:v>
      </x:c>
      <x:c r="D1350" s="216" t="n">
        <x:v>22</x:v>
      </x:c>
      <x:c r="E1350" s="216" t="n">
        <x:v>120</x:v>
      </x:c>
      <x:c r="F1350" s="219" t="n">
        <x:v>0.9994791666666667</x:v>
      </x:c>
      <x:c r="G1350" s="216" t="n">
        <x:v>1346</x:v>
      </x:c>
      <x:c r="H1350" s="216" t="str">
        <x:f>IF(G1350&lt;='排名定義'!$B$5,"是","")</x:f>
        <x:v>是</x:v>
      </x:c>
      <x:c r="I1350" s="216" t="n">
        <x:v>1340</x:v>
      </x:c>
      <x:c r="J1350" s="216" t="str">
        <x:f>IF(I1350&lt;='排名定義'!$B$5,"是","")</x:f>
        <x:v>是</x:v>
      </x:c>
      <x:c r="K1350" s="216" t="n">
        <x:v>1392</x:v>
      </x:c>
      <x:c r="L1350" s="216" t="str">
        <x:f>IF(K1350&lt;='排名定義'!$B$5,"是","")</x:f>
        <x:v>是</x:v>
      </x:c>
      <x:c r="M1350" s="216" t="n">
        <x:f>COUNTIF(H1350:L1350,"是")</x:f>
        <x:v>3</x:v>
      </x:c>
      <x:c r="N1350" s="216" t="str">
        <x:v>三份皆未入選</x:v>
      </x:c>
      <x:c r="O1350" s="221" t="n">
        <x:v>15.541666666666666</x:v>
      </x:c>
      <x:c r="P1350" s="221" t="n">
        <x:v>13.708333333333334</x:v>
      </x:c>
      <x:c r="Q1350" s="221" t="n">
        <x:v>1.8333333333333333</x:v>
      </x:c>
      <x:c r="R1350" s="221" t="n">
        <x:v>0.11796246648793565</x:v>
      </x:c>
      <x:c r="S1350" s="221" t="n">
        <x:v>28.161290322580644</x:v>
      </x:c>
      <x:c r="T1350" s="221" t="n">
        <x:v>26.35483870967742</x:v>
      </x:c>
      <x:c r="U1350" s="221" t="n">
        <x:v>1.8064516129032258</x:v>
      </x:c>
      <x:c r="V1350" s="219" t="n">
        <x:v>0.03456221198156682</x:v>
      </x:c>
      <x:c r="W1350" s="216" t="n">
        <x:v>6</x:v>
      </x:c>
      <x:c r="X1350" s="223" t="n">
        <x:v>570</x:v>
      </x:c>
      <x:c r="Y1350" s="216" t="n">
        <x:v>22</x:v>
      </x:c>
    </x:row>
    <x:row r="1351">
      <x:c r="A1351" s="217" t="n">
        <x:v>353</x:v>
      </x:c>
      <x:c r="B1351" s="217" t="str">
        <x:v>宗北公園</x:v>
      </x:c>
      <x:c r="C1351" s="217" t="str">
        <x:v>林口區</x:v>
      </x:c>
      <x:c r="D1351" s="217" t="n">
        <x:v>15</x:v>
      </x:c>
      <x:c r="E1351" s="217" t="n">
        <x:v>120</x:v>
      </x:c>
      <x:c r="F1351" s="218" t="n">
        <x:v>0.9994791666666667</x:v>
      </x:c>
      <x:c r="G1351" s="217" t="n">
        <x:v>1347</x:v>
      </x:c>
      <x:c r="H1351" s="217" t="str">
        <x:f>IF(G1351&lt;='排名定義'!$B$5,"是","")</x:f>
        <x:v>是</x:v>
      </x:c>
      <x:c r="I1351" s="217" t="n">
        <x:v>1343</x:v>
      </x:c>
      <x:c r="J1351" s="217" t="str">
        <x:f>IF(I1351&lt;='排名定義'!$B$5,"是","")</x:f>
        <x:v>是</x:v>
      </x:c>
      <x:c r="K1351" s="217" t="n">
        <x:v>1352</x:v>
      </x:c>
      <x:c r="L1351" s="217" t="str">
        <x:f>IF(K1351&lt;='排名定義'!$B$5,"是","")</x:f>
        <x:v>是</x:v>
      </x:c>
      <x:c r="M1351" s="217" t="n">
        <x:f>COUNTIF(H1351:L1351,"是")</x:f>
        <x:v>3</x:v>
      </x:c>
      <x:c r="N1351" s="217" t="str">
        <x:v>三份皆未入選</x:v>
      </x:c>
      <x:c r="O1351" s="220" t="n">
        <x:v>15.525</x:v>
      </x:c>
      <x:c r="P1351" s="220" t="n">
        <x:v>13.375</x:v>
      </x:c>
      <x:c r="Q1351" s="220" t="n">
        <x:v>2.15</x:v>
      </x:c>
      <x:c r="R1351" s="220" t="n">
        <x:v>0.13848631239935588</x:v>
      </x:c>
      <x:c r="S1351" s="220" t="n">
        <x:v>26</x:v>
      </x:c>
      <x:c r="T1351" s="220" t="n">
        <x:v>24</x:v>
      </x:c>
      <x:c r="U1351" s="220" t="n">
        <x:v>2</x:v>
      </x:c>
      <x:c r="V1351" s="218" t="n">
        <x:v>0</x:v>
      </x:c>
      <x:c r="W1351" s="217" t="n">
        <x:v>1</x:v>
      </x:c>
      <x:c r="X1351" s="222" t="n">
        <x:v>120</x:v>
      </x:c>
      <x:c r="Y1351" s="217" t="n">
        <x:v>15</x:v>
      </x:c>
    </x:row>
    <x:row r="1352">
      <x:c r="A1352" s="216" t="n">
        <x:v>123</x:v>
      </x:c>
      <x:c r="B1352" s="216" t="str">
        <x:v>松柏公園</x:v>
      </x:c>
      <x:c r="C1352" s="216" t="str">
        <x:v>林口區</x:v>
      </x:c>
      <x:c r="D1352" s="216" t="n">
        <x:v>10</x:v>
      </x:c>
      <x:c r="E1352" s="216" t="n">
        <x:v>120</x:v>
      </x:c>
      <x:c r="F1352" s="219" t="n">
        <x:v>0.9994791666666667</x:v>
      </x:c>
      <x:c r="G1352" s="216" t="n">
        <x:v>1348</x:v>
      </x:c>
      <x:c r="H1352" s="216" t="str">
        <x:f>IF(G1352&lt;='排名定義'!$B$5,"是","")</x:f>
        <x:v>是</x:v>
      </x:c>
      <x:c r="I1352" s="216" t="n">
        <x:v>1338</x:v>
      </x:c>
      <x:c r="J1352" s="216" t="str">
        <x:f>IF(I1352&lt;='排名定義'!$B$5,"是","")</x:f>
        <x:v>是</x:v>
      </x:c>
      <x:c r="K1352" s="216" t="n">
        <x:v>1411</x:v>
      </x:c>
      <x:c r="L1352" s="216" t="str">
        <x:f>IF(K1352&lt;='排名定義'!$B$5,"是","")</x:f>
        <x:v>是</x:v>
      </x:c>
      <x:c r="M1352" s="216" t="n">
        <x:f>COUNTIF(H1352:L1352,"是")</x:f>
        <x:v>3</x:v>
      </x:c>
      <x:c r="N1352" s="216" t="str">
        <x:v>三份皆未入選</x:v>
      </x:c>
      <x:c r="O1352" s="221" t="n">
        <x:v>15.5</x:v>
      </x:c>
      <x:c r="P1352" s="221" t="n">
        <x:v>13.875</x:v>
      </x:c>
      <x:c r="Q1352" s="221" t="n">
        <x:v>1.625</x:v>
      </x:c>
      <x:c r="R1352" s="221" t="n">
        <x:v>0.10483870967741936</x:v>
      </x:c>
      <x:c r="S1352" s="221" t="n">
        <x:v>28</x:v>
      </x:c>
      <x:c r="T1352" s="221" t="n">
        <x:v>25.580645161290324</x:v>
      </x:c>
      <x:c r="U1352" s="221" t="n">
        <x:v>2.4193548387096775</x:v>
      </x:c>
      <x:c r="V1352" s="219" t="n">
        <x:v>0.02304147465437788</x:v>
      </x:c>
      <x:c r="W1352" s="216" t="n">
        <x:v>3</x:v>
      </x:c>
      <x:c r="X1352" s="223" t="n">
        <x:v>480</x:v>
      </x:c>
      <x:c r="Y1352" s="216" t="n">
        <x:v>10</x:v>
      </x:c>
    </x:row>
    <x:row r="1353">
      <x:c r="A1353" s="217" t="n">
        <x:v>981</x:v>
      </x:c>
      <x:c r="B1353" s="217" t="str">
        <x:v>竹圍國小</x:v>
      </x:c>
      <x:c r="C1353" s="217" t="str">
        <x:v>淡水區</x:v>
      </x:c>
      <x:c r="D1353" s="217" t="n">
        <x:v>28</x:v>
      </x:c>
      <x:c r="E1353" s="217" t="n">
        <x:v>120</x:v>
      </x:c>
      <x:c r="F1353" s="218" t="n">
        <x:v>0.9994791666666667</x:v>
      </x:c>
      <x:c r="G1353" s="217" t="n">
        <x:v>1349</x:v>
      </x:c>
      <x:c r="H1353" s="217" t="str">
        <x:f>IF(G1353&lt;='排名定義'!$B$5,"是","")</x:f>
        <x:v>是</x:v>
      </x:c>
      <x:c r="I1353" s="217" t="n">
        <x:v>1368</x:v>
      </x:c>
      <x:c r="J1353" s="217" t="str">
        <x:f>IF(I1353&lt;='排名定義'!$B$5,"是","")</x:f>
        <x:v>是</x:v>
      </x:c>
      <x:c r="K1353" s="217" t="n">
        <x:v>945</x:v>
      </x:c>
      <x:c r="L1353" s="217" t="str">
        <x:f>IF(K1353&lt;='排名定義'!$B$5,"是","")</x:f>
        <x:v>是</x:v>
      </x:c>
      <x:c r="M1353" s="217" t="n">
        <x:f>COUNTIF(H1353:L1353,"是")</x:f>
        <x:v>3</x:v>
      </x:c>
      <x:c r="N1353" s="217" t="str">
        <x:v>三份皆未入選</x:v>
      </x:c>
      <x:c r="O1353" s="220" t="n">
        <x:v>15.416666666666666</x:v>
      </x:c>
      <x:c r="P1353" s="220" t="n">
        <x:v>11.825</x:v>
      </x:c>
      <x:c r="Q1353" s="220" t="n">
        <x:v>3.591666666666667</x:v>
      </x:c>
      <x:c r="R1353" s="220" t="n">
        <x:v>0.23297297297297298</x:v>
      </x:c>
      <x:c r="S1353" s="220" t="n">
        <x:v>22.225806451612904</x:v>
      </x:c>
      <x:c r="T1353" s="220" t="n">
        <x:v>19.096774193548388</x:v>
      </x:c>
      <x:c r="U1353" s="220" t="n">
        <x:v>3.129032258064516</x:v>
      </x:c>
      <x:c r="V1353" s="218" t="n">
        <x:v>0</x:v>
      </x:c>
      <x:c r="W1353" s="217" t="n">
        <x:v>1</x:v>
      </x:c>
      <x:c r="X1353" s="222" t="n">
        <x:v>90</x:v>
      </x:c>
      <x:c r="Y1353" s="217" t="n">
        <x:v>28</x:v>
      </x:c>
    </x:row>
    <x:row r="1354">
      <x:c r="A1354" s="216" t="n">
        <x:v>1043</x:v>
      </x:c>
      <x:c r="B1354" s="216" t="str">
        <x:v>龍鳳夜市</x:v>
      </x:c>
      <x:c r="C1354" s="216" t="str">
        <x:v>鶯歌區</x:v>
      </x:c>
      <x:c r="D1354" s="216" t="n">
        <x:v>30</x:v>
      </x:c>
      <x:c r="E1354" s="216" t="n">
        <x:v>120</x:v>
      </x:c>
      <x:c r="F1354" s="219" t="n">
        <x:v>0.9994791666666667</x:v>
      </x:c>
      <x:c r="G1354" s="216" t="n">
        <x:v>1350</x:v>
      </x:c>
      <x:c r="H1354" s="216" t="str">
        <x:f>IF(G1354&lt;='排名定義'!$B$5,"是","")</x:f>
        <x:v>是</x:v>
      </x:c>
      <x:c r="I1354" s="216" t="n">
        <x:v>1364</x:v>
      </x:c>
      <x:c r="J1354" s="216" t="str">
        <x:f>IF(I1354&lt;='排名定義'!$B$5,"是","")</x:f>
        <x:v>是</x:v>
      </x:c>
      <x:c r="K1354" s="216" t="n">
        <x:v>1126</x:v>
      </x:c>
      <x:c r="L1354" s="216" t="str">
        <x:f>IF(K1354&lt;='排名定義'!$B$5,"是","")</x:f>
        <x:v>是</x:v>
      </x:c>
      <x:c r="M1354" s="216" t="n">
        <x:f>COUNTIF(H1354:L1354,"是")</x:f>
        <x:v>3</x:v>
      </x:c>
      <x:c r="N1354" s="216" t="str">
        <x:v>三份皆未入選</x:v>
      </x:c>
      <x:c r="O1354" s="221" t="n">
        <x:v>15.3</x:v>
      </x:c>
      <x:c r="P1354" s="221" t="n">
        <x:v>12.175</x:v>
      </x:c>
      <x:c r="Q1354" s="221" t="n">
        <x:v>3.125</x:v>
      </x:c>
      <x:c r="R1354" s="221" t="n">
        <x:v>0.2042483660130719</x:v>
      </x:c>
      <x:c r="S1354" s="221" t="n">
        <x:v>30.516129032258064</x:v>
      </x:c>
      <x:c r="T1354" s="221" t="n">
        <x:v>27.096774193548388</x:v>
      </x:c>
      <x:c r="U1354" s="221" t="n">
        <x:v>3.4193548387096775</x:v>
      </x:c>
      <x:c r="V1354" s="219" t="n">
        <x:v>0.009216589861751152</x:v>
      </x:c>
      <x:c r="W1354" s="216" t="n">
        <x:v>2</x:v>
      </x:c>
      <x:c r="X1354" s="223" t="n">
        <x:v>240</x:v>
      </x:c>
      <x:c r="Y1354" s="216" t="n">
        <x:v>30</x:v>
      </x:c>
    </x:row>
    <x:row r="1355">
      <x:c r="A1355" s="217" t="n">
        <x:v>441</x:v>
      </x:c>
      <x:c r="B1355" s="217" t="str">
        <x:v>聖若望平面停車場</x:v>
      </x:c>
      <x:c r="C1355" s="217" t="str">
        <x:v>板橋區</x:v>
      </x:c>
      <x:c r="D1355" s="217" t="n">
        <x:v>15</x:v>
      </x:c>
      <x:c r="E1355" s="217" t="n">
        <x:v>120</x:v>
      </x:c>
      <x:c r="F1355" s="218" t="n">
        <x:v>0.9994791666666667</x:v>
      </x:c>
      <x:c r="G1355" s="217" t="n">
        <x:v>1351</x:v>
      </x:c>
      <x:c r="H1355" s="217" t="str">
        <x:f>IF(G1355&lt;='排名定義'!$B$5,"是","")</x:f>
        <x:v>是</x:v>
      </x:c>
      <x:c r="I1355" s="217" t="n">
        <x:v>1349</x:v>
      </x:c>
      <x:c r="J1355" s="217" t="str">
        <x:f>IF(I1355&lt;='排名定義'!$B$5,"是","")</x:f>
        <x:v>是</x:v>
      </x:c>
      <x:c r="K1355" s="217" t="n">
        <x:v>1375</x:v>
      </x:c>
      <x:c r="L1355" s="217" t="str">
        <x:f>IF(K1355&lt;='排名定義'!$B$5,"是","")</x:f>
        <x:v>是</x:v>
      </x:c>
      <x:c r="M1355" s="217" t="n">
        <x:f>COUNTIF(H1355:L1355,"是")</x:f>
        <x:v>3</x:v>
      </x:c>
      <x:c r="N1355" s="217" t="str">
        <x:v>三份皆未入選</x:v>
      </x:c>
      <x:c r="O1355" s="220" t="n">
        <x:v>15.166666666666666</x:v>
      </x:c>
      <x:c r="P1355" s="220" t="n">
        <x:v>13.158333333333333</x:v>
      </x:c>
      <x:c r="Q1355" s="220" t="n">
        <x:v>2.0083333333333333</x:v>
      </x:c>
      <x:c r="R1355" s="220" t="n">
        <x:v>0.13241758241758242</x:v>
      </x:c>
      <x:c r="S1355" s="220" t="n">
        <x:v>26.032258064516128</x:v>
      </x:c>
      <x:c r="T1355" s="220" t="n">
        <x:v>23.161290322580644</x:v>
      </x:c>
      <x:c r="U1355" s="220" t="n">
        <x:v>2.870967741935484</x:v>
      </x:c>
      <x:c r="V1355" s="218" t="n">
        <x:v>0.07142857142857142</x:v>
      </x:c>
      <x:c r="W1355" s="217" t="n">
        <x:v>16</x:v>
      </x:c>
      <x:c r="X1355" s="222" t="n">
        <x:v>1680</x:v>
      </x:c>
      <x:c r="Y1355" s="217" t="n">
        <x:v>15</x:v>
      </x:c>
    </x:row>
    <x:row r="1356">
      <x:c r="A1356" s="216" t="n">
        <x:v>506</x:v>
      </x:c>
      <x:c r="B1356" s="216" t="str">
        <x:v>輕軌崁頂站</x:v>
      </x:c>
      <x:c r="C1356" s="216" t="str">
        <x:v>淡水區</x:v>
      </x:c>
      <x:c r="D1356" s="216" t="n">
        <x:v>16</x:v>
      </x:c>
      <x:c r="E1356" s="216" t="n">
        <x:v>120</x:v>
      </x:c>
      <x:c r="F1356" s="219" t="n">
        <x:v>0.9994791666666667</x:v>
      </x:c>
      <x:c r="G1356" s="216" t="n">
        <x:v>1352</x:v>
      </x:c>
      <x:c r="H1356" s="216" t="str">
        <x:f>IF(G1356&lt;='排名定義'!$B$5,"是","")</x:f>
        <x:v>是</x:v>
      </x:c>
      <x:c r="I1356" s="216" t="n">
        <x:v>1353</x:v>
      </x:c>
      <x:c r="J1356" s="216" t="str">
        <x:f>IF(I1356&lt;='排名定義'!$B$5,"是","")</x:f>
        <x:v>是</x:v>
      </x:c>
      <x:c r="K1356" s="216" t="n">
        <x:v>1323</x:v>
      </x:c>
      <x:c r="L1356" s="216" t="str">
        <x:f>IF(K1356&lt;='排名定義'!$B$5,"是","")</x:f>
        <x:v>是</x:v>
      </x:c>
      <x:c r="M1356" s="216" t="n">
        <x:f>COUNTIF(H1356:L1356,"是")</x:f>
        <x:v>3</x:v>
      </x:c>
      <x:c r="N1356" s="216" t="str">
        <x:v>三份皆未入選</x:v>
      </x:c>
      <x:c r="O1356" s="221" t="n">
        <x:v>15.15</x:v>
      </x:c>
      <x:c r="P1356" s="221" t="n">
        <x:v>12.783333333333333</x:v>
      </x:c>
      <x:c r="Q1356" s="221" t="n">
        <x:v>2.3666666666666667</x:v>
      </x:c>
      <x:c r="R1356" s="221" t="n">
        <x:v>0.1562156215621562</x:v>
      </x:c>
      <x:c r="S1356" s="221" t="n">
        <x:v>24.806451612903224</x:v>
      </x:c>
      <x:c r="T1356" s="221" t="n">
        <x:v>22.032258064516128</x:v>
      </x:c>
      <x:c r="U1356" s="221" t="n">
        <x:v>2.774193548387097</x:v>
      </x:c>
      <x:c r="V1356" s="219" t="n">
        <x:v>0.08755760368663594</x:v>
      </x:c>
      <x:c r="W1356" s="216" t="n">
        <x:v>23</x:v>
      </x:c>
      <x:c r="X1356" s="223" t="n">
        <x:v>2790</x:v>
      </x:c>
      <x:c r="Y1356" s="216" t="n">
        <x:v>16</x:v>
      </x:c>
    </x:row>
    <x:row r="1357">
      <x:c r="A1357" s="217" t="n">
        <x:v>466</x:v>
      </x:c>
      <x:c r="B1357" s="217" t="str">
        <x:v>程氏古厝</x:v>
      </x:c>
      <x:c r="C1357" s="217" t="str">
        <x:v>淡水區</x:v>
      </x:c>
      <x:c r="D1357" s="217" t="n">
        <x:v>15</x:v>
      </x:c>
      <x:c r="E1357" s="217" t="n">
        <x:v>120</x:v>
      </x:c>
      <x:c r="F1357" s="218" t="n">
        <x:v>0.9994791666666667</x:v>
      </x:c>
      <x:c r="G1357" s="217" t="n">
        <x:v>1353</x:v>
      </x:c>
      <x:c r="H1357" s="217" t="str">
        <x:f>IF(G1357&lt;='排名定義'!$B$5,"是","")</x:f>
        <x:v>是</x:v>
      </x:c>
      <x:c r="I1357" s="217" t="n">
        <x:v>1355</x:v>
      </x:c>
      <x:c r="J1357" s="217" t="str">
        <x:f>IF(I1357&lt;='排名定義'!$B$5,"是","")</x:f>
        <x:v>是</x:v>
      </x:c>
      <x:c r="K1357" s="217" t="n">
        <x:v>1313</x:v>
      </x:c>
      <x:c r="L1357" s="217" t="str">
        <x:f>IF(K1357&lt;='排名定義'!$B$5,"是","")</x:f>
        <x:v>是</x:v>
      </x:c>
      <x:c r="M1357" s="217" t="n">
        <x:f>COUNTIF(H1357:L1357,"是")</x:f>
        <x:v>3</x:v>
      </x:c>
      <x:c r="N1357" s="217" t="str">
        <x:v>三份皆未入選</x:v>
      </x:c>
      <x:c r="O1357" s="220" t="n">
        <x:v>15.141666666666667</x:v>
      </x:c>
      <x:c r="P1357" s="220" t="n">
        <x:v>12.716666666666667</x:v>
      </x:c>
      <x:c r="Q1357" s="220" t="n">
        <x:v>2.425</x:v>
      </x:c>
      <x:c r="R1357" s="220" t="n">
        <x:v>0.1601541001651073</x:v>
      </x:c>
      <x:c r="S1357" s="220" t="n">
        <x:v>24.774193548387096</x:v>
      </x:c>
      <x:c r="T1357" s="220" t="n">
        <x:v>22.322580645161292</x:v>
      </x:c>
      <x:c r="U1357" s="220" t="n">
        <x:v>2.4516129032258065</x:v>
      </x:c>
      <x:c r="V1357" s="218" t="n">
        <x:v>0.055299539170506916</x:v>
      </x:c>
      <x:c r="W1357" s="217" t="n">
        <x:v>15</x:v>
      </x:c>
      <x:c r="X1357" s="222" t="n">
        <x:v>1590</x:v>
      </x:c>
      <x:c r="Y1357" s="217" t="n">
        <x:v>15</x:v>
      </x:c>
    </x:row>
    <x:row r="1358">
      <x:c r="A1358" s="216" t="n">
        <x:v>739</x:v>
      </x:c>
      <x:c r="B1358" s="216" t="str">
        <x:v>崁頂市民活動中心</x:v>
      </x:c>
      <x:c r="C1358" s="216" t="str">
        <x:v>淡水區</x:v>
      </x:c>
      <x:c r="D1358" s="216" t="n">
        <x:v>20</x:v>
      </x:c>
      <x:c r="E1358" s="216" t="n">
        <x:v>120</x:v>
      </x:c>
      <x:c r="F1358" s="219" t="n">
        <x:v>0.9994791666666667</x:v>
      </x:c>
      <x:c r="G1358" s="216" t="n">
        <x:v>1354</x:v>
      </x:c>
      <x:c r="H1358" s="216" t="str">
        <x:f>IF(G1358&lt;='排名定義'!$B$5,"是","")</x:f>
        <x:v>是</x:v>
      </x:c>
      <x:c r="I1358" s="216" t="n">
        <x:v>1360</x:v>
      </x:c>
      <x:c r="J1358" s="216" t="str">
        <x:f>IF(I1358&lt;='排名定義'!$B$5,"是","")</x:f>
        <x:v>是</x:v>
      </x:c>
      <x:c r="K1358" s="216" t="n">
        <x:v>1287</x:v>
      </x:c>
      <x:c r="L1358" s="216" t="str">
        <x:f>IF(K1358&lt;='排名定義'!$B$5,"是","")</x:f>
        <x:v>是</x:v>
      </x:c>
      <x:c r="M1358" s="216" t="n">
        <x:f>COUNTIF(H1358:L1358,"是")</x:f>
        <x:v>3</x:v>
      </x:c>
      <x:c r="N1358" s="216" t="str">
        <x:v>三份皆未入選</x:v>
      </x:c>
      <x:c r="O1358" s="221" t="n">
        <x:v>15.091666666666667</x:v>
      </x:c>
      <x:c r="P1358" s="221" t="n">
        <x:v>12.55</x:v>
      </x:c>
      <x:c r="Q1358" s="221" t="n">
        <x:v>2.5416666666666665</x:v>
      </x:c>
      <x:c r="R1358" s="221" t="n">
        <x:v>0.1684152401987852</x:v>
      </x:c>
      <x:c r="S1358" s="221" t="n">
        <x:v>26.806451612903224</x:v>
      </x:c>
      <x:c r="T1358" s="221" t="n">
        <x:v>24.29032258064516</x:v>
      </x:c>
      <x:c r="U1358" s="221" t="n">
        <x:v>2.5161290322580645</x:v>
      </x:c>
      <x:c r="V1358" s="219" t="n">
        <x:v>0.07834101382488479</x:v>
      </x:c>
      <x:c r="W1358" s="216" t="n">
        <x:v>18</x:v>
      </x:c>
      <x:c r="X1358" s="223" t="n">
        <x:v>3120</x:v>
      </x:c>
      <x:c r="Y1358" s="216" t="n">
        <x:v>20</x:v>
      </x:c>
    </x:row>
    <x:row r="1359">
      <x:c r="A1359" s="217" t="n">
        <x:v>452</x:v>
      </x:c>
      <x:c r="B1359" s="217" t="str">
        <x:v>新城一路(守讓堂)</x:v>
      </x:c>
      <x:c r="C1359" s="217" t="str">
        <x:v>五股區</x:v>
      </x:c>
      <x:c r="D1359" s="217" t="n">
        <x:v>15</x:v>
      </x:c>
      <x:c r="E1359" s="217" t="n">
        <x:v>120</x:v>
      </x:c>
      <x:c r="F1359" s="218" t="n">
        <x:v>0.9994791666666667</x:v>
      </x:c>
      <x:c r="G1359" s="217" t="n">
        <x:v>1355</x:v>
      </x:c>
      <x:c r="H1359" s="217" t="str">
        <x:f>IF(G1359&lt;='排名定義'!$B$5,"是","")</x:f>
        <x:v>是</x:v>
      </x:c>
      <x:c r="I1359" s="217" t="n">
        <x:v>1354</x:v>
      </x:c>
      <x:c r="J1359" s="217" t="str">
        <x:f>IF(I1359&lt;='排名定義'!$B$5,"是","")</x:f>
        <x:v>是</x:v>
      </x:c>
      <x:c r="K1359" s="217" t="n">
        <x:v>1335</x:v>
      </x:c>
      <x:c r="L1359" s="217" t="str">
        <x:f>IF(K1359&lt;='排名定義'!$B$5,"是","")</x:f>
        <x:v>是</x:v>
      </x:c>
      <x:c r="M1359" s="217" t="n">
        <x:f>COUNTIF(H1359:L1359,"是")</x:f>
        <x:v>3</x:v>
      </x:c>
      <x:c r="N1359" s="217" t="str">
        <x:v>三份皆未入選</x:v>
      </x:c>
      <x:c r="O1359" s="220" t="n">
        <x:v>15</x:v>
      </x:c>
      <x:c r="P1359" s="220" t="n">
        <x:v>12.725</x:v>
      </x:c>
      <x:c r="Q1359" s="220" t="n">
        <x:v>2.275</x:v>
      </x:c>
      <x:c r="R1359" s="220" t="n">
        <x:v>0.15166666666666667</x:v>
      </x:c>
      <x:c r="S1359" s="220" t="n">
        <x:v>26.29032258064516</x:v>
      </x:c>
      <x:c r="T1359" s="220" t="n">
        <x:v>24.29032258064516</x:v>
      </x:c>
      <x:c r="U1359" s="220" t="n">
        <x:v>2</x:v>
      </x:c>
      <x:c r="V1359" s="218" t="n">
        <x:v>0.020737327188940093</x:v>
      </x:c>
      <x:c r="W1359" s="217" t="n">
        <x:v>5</x:v>
      </x:c>
      <x:c r="X1359" s="222" t="n">
        <x:v>660</x:v>
      </x:c>
      <x:c r="Y1359" s="217" t="n">
        <x:v>15</x:v>
      </x:c>
    </x:row>
    <x:row r="1360">
      <x:c r="A1360" s="216" t="n">
        <x:v>342</x:v>
      </x:c>
      <x:c r="B1360" s="216" t="str">
        <x:v>商港公園(商港七商港一路口)</x:v>
      </x:c>
      <x:c r="C1360" s="216" t="str">
        <x:v>八里區</x:v>
      </x:c>
      <x:c r="D1360" s="216" t="n">
        <x:v>15</x:v>
      </x:c>
      <x:c r="E1360" s="216" t="n">
        <x:v>120</x:v>
      </x:c>
      <x:c r="F1360" s="219" t="n">
        <x:v>0.9994791666666667</x:v>
      </x:c>
      <x:c r="G1360" s="216" t="n">
        <x:v>1356</x:v>
      </x:c>
      <x:c r="H1360" s="216" t="str">
        <x:f>IF(G1360&lt;='排名定義'!$B$5,"是","")</x:f>
        <x:v>是</x:v>
      </x:c>
      <x:c r="I1360" s="216" t="n">
        <x:v>1350</x:v>
      </x:c>
      <x:c r="J1360" s="216" t="str">
        <x:f>IF(I1360&lt;='排名定義'!$B$5,"是","")</x:f>
        <x:v>是</x:v>
      </x:c>
      <x:c r="K1360" s="216" t="n">
        <x:v>1383</x:v>
      </x:c>
      <x:c r="L1360" s="216" t="str">
        <x:f>IF(K1360&lt;='排名定義'!$B$5,"是","")</x:f>
        <x:v>是</x:v>
      </x:c>
      <x:c r="M1360" s="216" t="n">
        <x:f>COUNTIF(H1360:L1360,"是")</x:f>
        <x:v>3</x:v>
      </x:c>
      <x:c r="N1360" s="216" t="str">
        <x:v>三份皆未入選</x:v>
      </x:c>
      <x:c r="O1360" s="221" t="n">
        <x:v>14.983333333333333</x:v>
      </x:c>
      <x:c r="P1360" s="221" t="n">
        <x:v>13.05</x:v>
      </x:c>
      <x:c r="Q1360" s="221" t="n">
        <x:v>1.9333333333333333</x:v>
      </x:c>
      <x:c r="R1360" s="221" t="n">
        <x:v>0.12903225806451613</x:v>
      </x:c>
      <x:c r="S1360" s="221" t="n">
        <x:v>34.935483870967744</x:v>
      </x:c>
      <x:c r="T1360" s="221" t="n">
        <x:v>32.87096774193548</x:v>
      </x:c>
      <x:c r="U1360" s="221" t="n">
        <x:v>2.064516129032258</x:v>
      </x:c>
      <x:c r="V1360" s="219" t="n">
        <x:v>0.08064516129032258</x:v>
      </x:c>
      <x:c r="W1360" s="216" t="n">
        <x:v>16</x:v>
      </x:c>
      <x:c r="X1360" s="223" t="n">
        <x:v>1890</x:v>
      </x:c>
      <x:c r="Y1360" s="216" t="n">
        <x:v>15</x:v>
      </x:c>
    </x:row>
    <x:row r="1361">
      <x:c r="A1361" s="217" t="n">
        <x:v>307</x:v>
      </x:c>
      <x:c r="B1361" s="217" t="str">
        <x:v>三芝國中</x:v>
      </x:c>
      <x:c r="C1361" s="217" t="str">
        <x:v>三芝區</x:v>
      </x:c>
      <x:c r="D1361" s="217" t="n">
        <x:v>14</x:v>
      </x:c>
      <x:c r="E1361" s="217" t="n">
        <x:v>120</x:v>
      </x:c>
      <x:c r="F1361" s="218" t="n">
        <x:v>0.9994791666666667</x:v>
      </x:c>
      <x:c r="G1361" s="217" t="n">
        <x:v>1357</x:v>
      </x:c>
      <x:c r="H1361" s="217" t="str">
        <x:f>IF(G1361&lt;='排名定義'!$B$5,"是","")</x:f>
        <x:v>是</x:v>
      </x:c>
      <x:c r="I1361" s="217" t="n">
        <x:v>1345</x:v>
      </x:c>
      <x:c r="J1361" s="217" t="str">
        <x:f>IF(I1361&lt;='排名定義'!$B$5,"是","")</x:f>
        <x:v>是</x:v>
      </x:c>
      <x:c r="K1361" s="217" t="n">
        <x:v>1401</x:v>
      </x:c>
      <x:c r="L1361" s="217" t="str">
        <x:f>IF(K1361&lt;='排名定義'!$B$5,"是","")</x:f>
        <x:v>是</x:v>
      </x:c>
      <x:c r="M1361" s="217" t="n">
        <x:f>COUNTIF(H1361:L1361,"是")</x:f>
        <x:v>3</x:v>
      </x:c>
      <x:c r="N1361" s="217" t="str">
        <x:v>三份皆未入選</x:v>
      </x:c>
      <x:c r="O1361" s="220" t="n">
        <x:v>14.975</x:v>
      </x:c>
      <x:c r="P1361" s="220" t="n">
        <x:v>13.241666666666667</x:v>
      </x:c>
      <x:c r="Q1361" s="220" t="n">
        <x:v>1.7333333333333334</x:v>
      </x:c>
      <x:c r="R1361" s="220" t="n">
        <x:v>0.11574846967167501</x:v>
      </x:c>
      <x:c r="S1361" s="220" t="n">
        <x:v>26.967741935483872</x:v>
      </x:c>
      <x:c r="T1361" s="220" t="n">
        <x:v>23.322580645161292</x:v>
      </x:c>
      <x:c r="U1361" s="220" t="n">
        <x:v>3.6451612903225805</x:v>
      </x:c>
      <x:c r="V1361" s="218" t="n">
        <x:v>0.06682027649769585</x:v>
      </x:c>
      <x:c r="W1361" s="217" t="n">
        <x:v>21</x:v>
      </x:c>
      <x:c r="X1361" s="222" t="n">
        <x:v>3120</x:v>
      </x:c>
      <x:c r="Y1361" s="217" t="n">
        <x:v>14</x:v>
      </x:c>
    </x:row>
    <x:row r="1362">
      <x:c r="A1362" s="216" t="n">
        <x:v>479</x:v>
      </x:c>
      <x:c r="B1362" s="216" t="str">
        <x:v>大觀路一段75巷</x:v>
      </x:c>
      <x:c r="C1362" s="216" t="str">
        <x:v>板橋區</x:v>
      </x:c>
      <x:c r="D1362" s="216" t="n">
        <x:v>16</x:v>
      </x:c>
      <x:c r="E1362" s="216" t="n">
        <x:v>120</x:v>
      </x:c>
      <x:c r="F1362" s="219" t="n">
        <x:v>0.9994791666666667</x:v>
      </x:c>
      <x:c r="G1362" s="216" t="n">
        <x:v>1358</x:v>
      </x:c>
      <x:c r="H1362" s="216" t="str">
        <x:f>IF(G1362&lt;='排名定義'!$B$5,"是","")</x:f>
        <x:v>是</x:v>
      </x:c>
      <x:c r="I1362" s="216" t="n">
        <x:v>1358</x:v>
      </x:c>
      <x:c r="J1362" s="216" t="str">
        <x:f>IF(I1362&lt;='排名定義'!$B$5,"是","")</x:f>
        <x:v>是</x:v>
      </x:c>
      <x:c r="K1362" s="216" t="n">
        <x:v>1362</x:v>
      </x:c>
      <x:c r="L1362" s="216" t="str">
        <x:f>IF(K1362&lt;='排名定義'!$B$5,"是","")</x:f>
        <x:v>是</x:v>
      </x:c>
      <x:c r="M1362" s="216" t="n">
        <x:f>COUNTIF(H1362:L1362,"是")</x:f>
        <x:v>3</x:v>
      </x:c>
      <x:c r="N1362" s="216" t="str">
        <x:v>三份皆未入選</x:v>
      </x:c>
      <x:c r="O1362" s="221" t="n">
        <x:v>14.758333333333333</x:v>
      </x:c>
      <x:c r="P1362" s="221" t="n">
        <x:v>12.675</x:v>
      </x:c>
      <x:c r="Q1362" s="221" t="n">
        <x:v>2.0833333333333335</x:v>
      </x:c>
      <x:c r="R1362" s="221" t="n">
        <x:v>0.1411631846414455</x:v>
      </x:c>
      <x:c r="S1362" s="221" t="n">
        <x:v>25.032258064516128</x:v>
      </x:c>
      <x:c r="T1362" s="221" t="n">
        <x:v>23.06451612903226</x:v>
      </x:c>
      <x:c r="U1362" s="221" t="n">
        <x:v>1.967741935483871</x:v>
      </x:c>
      <x:c r="V1362" s="219" t="n">
        <x:v>0.01152073732718894</x:v>
      </x:c>
      <x:c r="W1362" s="216" t="n">
        <x:v>2</x:v>
      </x:c>
      <x:c r="X1362" s="223" t="n">
        <x:v>300</x:v>
      </x:c>
      <x:c r="Y1362" s="216" t="n">
        <x:v>16</x:v>
      </x:c>
    </x:row>
    <x:row r="1363">
      <x:c r="A1363" s="217" t="n">
        <x:v>448</x:v>
      </x:c>
      <x:c r="B1363" s="217" t="str">
        <x:v>商港公園(商港八商港一路口)</x:v>
      </x:c>
      <x:c r="C1363" s="217" t="str">
        <x:v>八里區</x:v>
      </x:c>
      <x:c r="D1363" s="217" t="n">
        <x:v>15</x:v>
      </x:c>
      <x:c r="E1363" s="217" t="n">
        <x:v>120</x:v>
      </x:c>
      <x:c r="F1363" s="218" t="n">
        <x:v>0.9994791666666667</x:v>
      </x:c>
      <x:c r="G1363" s="217" t="n">
        <x:v>1359</x:v>
      </x:c>
      <x:c r="H1363" s="217" t="str">
        <x:f>IF(G1363&lt;='排名定義'!$B$5,"是","")</x:f>
        <x:v>是</x:v>
      </x:c>
      <x:c r="I1363" s="217" t="n">
        <x:v>1356</x:v>
      </x:c>
      <x:c r="J1363" s="217" t="str">
        <x:f>IF(I1363&lt;='排名定義'!$B$5,"是","")</x:f>
        <x:v>是</x:v>
      </x:c>
      <x:c r="K1363" s="217" t="n">
        <x:v>1376</x:v>
      </x:c>
      <x:c r="L1363" s="217" t="str">
        <x:f>IF(K1363&lt;='排名定義'!$B$5,"是","")</x:f>
        <x:v>是</x:v>
      </x:c>
      <x:c r="M1363" s="217" t="n">
        <x:f>COUNTIF(H1363:L1363,"是")</x:f>
        <x:v>3</x:v>
      </x:c>
      <x:c r="N1363" s="217" t="str">
        <x:v>三份皆未入選</x:v>
      </x:c>
      <x:c r="O1363" s="220" t="n">
        <x:v>14.7</x:v>
      </x:c>
      <x:c r="P1363" s="220" t="n">
        <x:v>12.691666666666666</x:v>
      </x:c>
      <x:c r="Q1363" s="220" t="n">
        <x:v>2.0083333333333333</x:v>
      </x:c>
      <x:c r="R1363" s="220" t="n">
        <x:v>0.13662131519274376</x:v>
      </x:c>
      <x:c r="S1363" s="220" t="n">
        <x:v>29.838709677419356</x:v>
      </x:c>
      <x:c r="T1363" s="220" t="n">
        <x:v>27.903225806451612</x:v>
      </x:c>
      <x:c r="U1363" s="220" t="n">
        <x:v>1.935483870967742</x:v>
      </x:c>
      <x:c r="V1363" s="218" t="n">
        <x:v>0.08064516129032258</x:v>
      </x:c>
      <x:c r="W1363" s="217" t="n">
        <x:v>19</x:v>
      </x:c>
      <x:c r="X1363" s="222" t="n">
        <x:v>1770</x:v>
      </x:c>
      <x:c r="Y1363" s="217" t="n">
        <x:v>15</x:v>
      </x:c>
    </x:row>
    <x:row r="1364">
      <x:c r="A1364" s="216" t="n">
        <x:v>912</x:v>
      </x:c>
      <x:c r="B1364" s="216" t="str">
        <x:v>板橋果菜批發市場</x:v>
      </x:c>
      <x:c r="C1364" s="216" t="str">
        <x:v>板橋區</x:v>
      </x:c>
      <x:c r="D1364" s="216" t="n">
        <x:v>26</x:v>
      </x:c>
      <x:c r="E1364" s="216" t="n">
        <x:v>120</x:v>
      </x:c>
      <x:c r="F1364" s="219" t="n">
        <x:v>0.9994791666666667</x:v>
      </x:c>
      <x:c r="G1364" s="216" t="n">
        <x:v>1360</x:v>
      </x:c>
      <x:c r="H1364" s="216" t="str">
        <x:f>IF(G1364&lt;='排名定義'!$B$5,"是","")</x:f>
        <x:v>是</x:v>
      </x:c>
      <x:c r="I1364" s="216" t="n">
        <x:v>1348</x:v>
      </x:c>
      <x:c r="J1364" s="216" t="str">
        <x:f>IF(I1364&lt;='排名定義'!$B$5,"是","")</x:f>
        <x:v>是</x:v>
      </x:c>
      <x:c r="K1364" s="216" t="n">
        <x:v>1432</x:v>
      </x:c>
      <x:c r="L1364" s="216" t="str">
        <x:f>IF(K1364&lt;='排名定義'!$B$5,"是","")</x:f>
        <x:v>是</x:v>
      </x:c>
      <x:c r="M1364" s="216" t="n">
        <x:f>COUNTIF(H1364:L1364,"是")</x:f>
        <x:v>3</x:v>
      </x:c>
      <x:c r="N1364" s="216" t="str">
        <x:v>三份皆未入選</x:v>
      </x:c>
      <x:c r="O1364" s="221" t="n">
        <x:v>14.675</x:v>
      </x:c>
      <x:c r="P1364" s="221" t="n">
        <x:v>13.241666666666667</x:v>
      </x:c>
      <x:c r="Q1364" s="221" t="n">
        <x:v>1.4333333333333333</x:v>
      </x:c>
      <x:c r="R1364" s="221" t="n">
        <x:v>0.097671777399205</x:v>
      </x:c>
      <x:c r="S1364" s="221" t="n">
        <x:v>26.483870967741936</x:v>
      </x:c>
      <x:c r="T1364" s="221" t="n">
        <x:v>24.161290322580644</x:v>
      </x:c>
      <x:c r="U1364" s="221" t="n">
        <x:v>2.3225806451612905</x:v>
      </x:c>
      <x:c r="V1364" s="219" t="n">
        <x:v>0.002304147465437788</x:v>
      </x:c>
      <x:c r="W1364" s="216" t="n">
        <x:v>0</x:v>
      </x:c>
      <x:c r="X1364" s="223" t="n">
        <x:v>30</x:v>
      </x:c>
      <x:c r="Y1364" s="216" t="n">
        <x:v>26</x:v>
      </x:c>
    </x:row>
    <x:row r="1365">
      <x:c r="A1365" s="217" t="n">
        <x:v>1068</x:v>
      </x:c>
      <x:c r="B1365" s="217" t="str">
        <x:v>輕軌玫瑰中國城站</x:v>
      </x:c>
      <x:c r="C1365" s="217" t="str">
        <x:v>新店區</x:v>
      </x:c>
      <x:c r="D1365" s="217" t="n">
        <x:v>30</x:v>
      </x:c>
      <x:c r="E1365" s="217" t="n">
        <x:v>120</x:v>
      </x:c>
      <x:c r="F1365" s="218" t="n">
        <x:v>0.9994791666666667</x:v>
      </x:c>
      <x:c r="G1365" s="217" t="n">
        <x:v>1361</x:v>
      </x:c>
      <x:c r="H1365" s="217" t="str">
        <x:f>IF(G1365&lt;='排名定義'!$B$5,"是","")</x:f>
        <x:v>是</x:v>
      </x:c>
      <x:c r="I1365" s="217" t="n">
        <x:v>1380</x:v>
      </x:c>
      <x:c r="J1365" s="217" t="str">
        <x:f>IF(I1365&lt;='排名定義'!$B$5,"是","")</x:f>
        <x:v>是</x:v>
      </x:c>
      <x:c r="K1365" s="217" t="n">
        <x:v>1178</x:v>
      </x:c>
      <x:c r="L1365" s="217" t="str">
        <x:f>IF(K1365&lt;='排名定義'!$B$5,"是","")</x:f>
        <x:v>是</x:v>
      </x:c>
      <x:c r="M1365" s="217" t="n">
        <x:f>COUNTIF(H1365:L1365,"是")</x:f>
        <x:v>3</x:v>
      </x:c>
      <x:c r="N1365" s="217" t="str">
        <x:v>三份皆未入選</x:v>
      </x:c>
      <x:c r="O1365" s="220" t="n">
        <x:v>14.408333333333333</x:v>
      </x:c>
      <x:c r="P1365" s="220" t="n">
        <x:v>11.441666666666666</x:v>
      </x:c>
      <x:c r="Q1365" s="220" t="n">
        <x:v>2.966666666666667</x:v>
      </x:c>
      <x:c r="R1365" s="220" t="n">
        <x:v>0.20589936379410065</x:v>
      </x:c>
      <x:c r="S1365" s="220" t="n">
        <x:v>21.322580645161292</x:v>
      </x:c>
      <x:c r="T1365" s="220" t="n">
        <x:v>18.451612903225808</x:v>
      </x:c>
      <x:c r="U1365" s="220" t="n">
        <x:v>2.870967741935484</x:v>
      </x:c>
      <x:c r="V1365" s="218" t="n">
        <x:v>0</x:v>
      </x:c>
      <x:c r="W1365" s="217" t="n">
        <x:v>0</x:v>
      </x:c>
      <x:c r="X1365" s="222" t="n">
        <x:v>30</x:v>
      </x:c>
      <x:c r="Y1365" s="217" t="n">
        <x:v>30</x:v>
      </x:c>
    </x:row>
    <x:row r="1366">
      <x:c r="A1366" s="216" t="n">
        <x:v>660</x:v>
      </x:c>
      <x:c r="B1366" s="216" t="str">
        <x:v>文中一平面停車場</x:v>
      </x:c>
      <x:c r="C1366" s="216" t="str">
        <x:v>泰山區</x:v>
      </x:c>
      <x:c r="D1366" s="216" t="n">
        <x:v>20</x:v>
      </x:c>
      <x:c r="E1366" s="216" t="n">
        <x:v>120</x:v>
      </x:c>
      <x:c r="F1366" s="219" t="n">
        <x:v>0.9994791666666667</x:v>
      </x:c>
      <x:c r="G1366" s="216" t="n">
        <x:v>1362</x:v>
      </x:c>
      <x:c r="H1366" s="216" t="str">
        <x:f>IF(G1366&lt;='排名定義'!$B$5,"是","")</x:f>
        <x:v>是</x:v>
      </x:c>
      <x:c r="I1366" s="216" t="n">
        <x:v>1359</x:v>
      </x:c>
      <x:c r="J1366" s="216" t="str">
        <x:f>IF(I1366&lt;='排名定義'!$B$5,"是","")</x:f>
        <x:v>是</x:v>
      </x:c>
      <x:c r="K1366" s="216" t="n">
        <x:v>1412</x:v>
      </x:c>
      <x:c r="L1366" s="216" t="str">
        <x:f>IF(K1366&lt;='排名定義'!$B$5,"是","")</x:f>
        <x:v>是</x:v>
      </x:c>
      <x:c r="M1366" s="216" t="n">
        <x:f>COUNTIF(H1366:L1366,"是")</x:f>
        <x:v>3</x:v>
      </x:c>
      <x:c r="N1366" s="216" t="str">
        <x:v>三份皆未入選</x:v>
      </x:c>
      <x:c r="O1366" s="221" t="n">
        <x:v>14.3</x:v>
      </x:c>
      <x:c r="P1366" s="221" t="n">
        <x:v>12.675</x:v>
      </x:c>
      <x:c r="Q1366" s="221" t="n">
        <x:v>1.625</x:v>
      </x:c>
      <x:c r="R1366" s="221" t="n">
        <x:v>0.11363636363636363</x:v>
      </x:c>
      <x:c r="S1366" s="221" t="n">
        <x:v>20.64516129032258</x:v>
      </x:c>
      <x:c r="T1366" s="221" t="n">
        <x:v>18.70967741935484</x:v>
      </x:c>
      <x:c r="U1366" s="221" t="n">
        <x:v>1.935483870967742</x:v>
      </x:c>
      <x:c r="V1366" s="219" t="n">
        <x:v>0.018433179723502304</x:v>
      </x:c>
      <x:c r="W1366" s="216" t="n">
        <x:v>3</x:v>
      </x:c>
      <x:c r="X1366" s="223" t="n">
        <x:v>360</x:v>
      </x:c>
      <x:c r="Y1366" s="216" t="n">
        <x:v>20</x:v>
      </x:c>
    </x:row>
    <x:row r="1367">
      <x:c r="A1367" s="217" t="n">
        <x:v>460</x:v>
      </x:c>
      <x:c r="B1367" s="217" t="str">
        <x:v>大庄福德宮</x:v>
      </x:c>
      <x:c r="C1367" s="217" t="str">
        <x:v>淡水區</x:v>
      </x:c>
      <x:c r="D1367" s="217" t="n">
        <x:v>15</x:v>
      </x:c>
      <x:c r="E1367" s="217" t="n">
        <x:v>120</x:v>
      </x:c>
      <x:c r="F1367" s="218" t="n">
        <x:v>0.9994791666666667</x:v>
      </x:c>
      <x:c r="G1367" s="217" t="n">
        <x:v>1363</x:v>
      </x:c>
      <x:c r="H1367" s="217" t="str">
        <x:f>IF(G1367&lt;='排名定義'!$B$5,"是","")</x:f>
        <x:v>是</x:v>
      </x:c>
      <x:c r="I1367" s="217" t="n">
        <x:v>1365</x:v>
      </x:c>
      <x:c r="J1367" s="217" t="str">
        <x:f>IF(I1367&lt;='排名定義'!$B$5,"是","")</x:f>
        <x:v>是</x:v>
      </x:c>
      <x:c r="K1367" s="217" t="n">
        <x:v>1355</x:v>
      </x:c>
      <x:c r="L1367" s="217" t="str">
        <x:f>IF(K1367&lt;='排名定義'!$B$5,"是","")</x:f>
        <x:v>是</x:v>
      </x:c>
      <x:c r="M1367" s="217" t="n">
        <x:f>COUNTIF(H1367:L1367,"是")</x:f>
        <x:v>3</x:v>
      </x:c>
      <x:c r="N1367" s="217" t="str">
        <x:v>三份皆未入選</x:v>
      </x:c>
      <x:c r="O1367" s="220" t="n">
        <x:v>14.275</x:v>
      </x:c>
      <x:c r="P1367" s="220" t="n">
        <x:v>12.141666666666667</x:v>
      </x:c>
      <x:c r="Q1367" s="220" t="n">
        <x:v>2.1333333333333333</x:v>
      </x:c>
      <x:c r="R1367" s="220" t="n">
        <x:v>0.14944541739638062</x:v>
      </x:c>
      <x:c r="S1367" s="220" t="n">
        <x:v>27.806451612903224</x:v>
      </x:c>
      <x:c r="T1367" s="220" t="n">
        <x:v>25.419354838709676</x:v>
      </x:c>
      <x:c r="U1367" s="220" t="n">
        <x:v>2.3870967741935485</x:v>
      </x:c>
      <x:c r="V1367" s="218" t="n">
        <x:v>0.0576036866359447</x:v>
      </x:c>
      <x:c r="W1367" s="217" t="n">
        <x:v>15</x:v>
      </x:c>
      <x:c r="X1367" s="222" t="n">
        <x:v>1830</x:v>
      </x:c>
      <x:c r="Y1367" s="217" t="n">
        <x:v>15</x:v>
      </x:c>
    </x:row>
    <x:row r="1368">
      <x:c r="A1368" s="216" t="n">
        <x:v>508</x:v>
      </x:c>
      <x:c r="B1368" s="216" t="str">
        <x:v>龍埔介壽路口</x:v>
      </x:c>
      <x:c r="C1368" s="216" t="str">
        <x:v>三峽區</x:v>
      </x:c>
      <x:c r="D1368" s="216" t="n">
        <x:v>16</x:v>
      </x:c>
      <x:c r="E1368" s="216" t="n">
        <x:v>120</x:v>
      </x:c>
      <x:c r="F1368" s="219" t="n">
        <x:v>0.9994791666666667</x:v>
      </x:c>
      <x:c r="G1368" s="216" t="n">
        <x:v>1364</x:v>
      </x:c>
      <x:c r="H1368" s="216" t="str">
        <x:f>IF(G1368&lt;='排名定義'!$B$5,"是","")</x:f>
        <x:v>是</x:v>
      </x:c>
      <x:c r="I1368" s="216" t="n">
        <x:v>1367</x:v>
      </x:c>
      <x:c r="J1368" s="216" t="str">
        <x:f>IF(I1368&lt;='排名定義'!$B$5,"是","")</x:f>
        <x:v>是</x:v>
      </x:c>
      <x:c r="K1368" s="216" t="n">
        <x:v>1320</x:v>
      </x:c>
      <x:c r="L1368" s="216" t="str">
        <x:f>IF(K1368&lt;='排名定義'!$B$5,"是","")</x:f>
        <x:v>是</x:v>
      </x:c>
      <x:c r="M1368" s="216" t="n">
        <x:f>COUNTIF(H1368:L1368,"是")</x:f>
        <x:v>3</x:v>
      </x:c>
      <x:c r="N1368" s="216" t="str">
        <x:v>三份皆未入選</x:v>
      </x:c>
      <x:c r="O1368" s="221" t="n">
        <x:v>14.216666666666667</x:v>
      </x:c>
      <x:c r="P1368" s="221" t="n">
        <x:v>11.825</x:v>
      </x:c>
      <x:c r="Q1368" s="221" t="n">
        <x:v>2.3916666666666666</x:v>
      </x:c>
      <x:c r="R1368" s="221" t="n">
        <x:v>0.1682297772567409</x:v>
      </x:c>
      <x:c r="S1368" s="221" t="n">
        <x:v>23.838709677419356</x:v>
      </x:c>
      <x:c r="T1368" s="221" t="n">
        <x:v>21.741935483870968</x:v>
      </x:c>
      <x:c r="U1368" s="221" t="n">
        <x:v>2.096774193548387</x:v>
      </x:c>
      <x:c r="V1368" s="219" t="n">
        <x:v>0.004608294930875576</x:v>
      </x:c>
      <x:c r="W1368" s="216" t="n">
        <x:v>0</x:v>
      </x:c>
      <x:c r="X1368" s="223" t="n">
        <x:v>60</x:v>
      </x:c>
      <x:c r="Y1368" s="216" t="n">
        <x:v>30</x:v>
      </x:c>
    </x:row>
    <x:row r="1369">
      <x:c r="A1369" s="217" t="n">
        <x:v>255</x:v>
      </x:c>
      <x:c r="B1369" s="217" t="str">
        <x:v>樹林區第三平面停車場</x:v>
      </x:c>
      <x:c r="C1369" s="217" t="str">
        <x:v>樹林區</x:v>
      </x:c>
      <x:c r="D1369" s="217" t="n">
        <x:v>13</x:v>
      </x:c>
      <x:c r="E1369" s="217" t="n">
        <x:v>120</x:v>
      </x:c>
      <x:c r="F1369" s="218" t="n">
        <x:v>0.9994791666666667</x:v>
      </x:c>
      <x:c r="G1369" s="217" t="n">
        <x:v>1365</x:v>
      </x:c>
      <x:c r="H1369" s="217" t="str">
        <x:f>IF(G1369&lt;='排名定義'!$B$5,"是","")</x:f>
        <x:v>是</x:v>
      </x:c>
      <x:c r="I1369" s="217" t="n">
        <x:v>1363</x:v>
      </x:c>
      <x:c r="J1369" s="217" t="str">
        <x:f>IF(I1369&lt;='排名定義'!$B$5,"是","")</x:f>
        <x:v>是</x:v>
      </x:c>
      <x:c r="K1369" s="217" t="n">
        <x:v>1384</x:v>
      </x:c>
      <x:c r="L1369" s="217" t="str">
        <x:f>IF(K1369&lt;='排名定義'!$B$5,"是","")</x:f>
        <x:v>是</x:v>
      </x:c>
      <x:c r="M1369" s="217" t="n">
        <x:f>COUNTIF(H1369:L1369,"是")</x:f>
        <x:v>3</x:v>
      </x:c>
      <x:c r="N1369" s="217" t="str">
        <x:v>三份皆未入選</x:v>
      </x:c>
      <x:c r="O1369" s="220" t="n">
        <x:v>14.116666666666667</x:v>
      </x:c>
      <x:c r="P1369" s="220" t="n">
        <x:v>12.191666666666666</x:v>
      </x:c>
      <x:c r="Q1369" s="220" t="n">
        <x:v>1.925</x:v>
      </x:c>
      <x:c r="R1369" s="220" t="n">
        <x:v>0.13636363636363635</x:v>
      </x:c>
      <x:c r="S1369" s="220" t="n">
        <x:v>21.225806451612904</x:v>
      </x:c>
      <x:c r="T1369" s="220" t="n">
        <x:v>19.161290322580644</x:v>
      </x:c>
      <x:c r="U1369" s="220" t="n">
        <x:v>2.064516129032258</x:v>
      </x:c>
      <x:c r="V1369" s="218" t="n">
        <x:v>0.03456221198156682</x:v>
      </x:c>
      <x:c r="W1369" s="217" t="n">
        <x:v>4</x:v>
      </x:c>
      <x:c r="X1369" s="222" t="n">
        <x:v>540</x:v>
      </x:c>
      <x:c r="Y1369" s="217" t="n">
        <x:v>13</x:v>
      </x:c>
    </x:row>
    <x:row r="1370">
      <x:c r="A1370" s="216" t="n">
        <x:v>1115</x:v>
      </x:c>
      <x:c r="B1370" s="216" t="str">
        <x:v>江北二橋</x:v>
      </x:c>
      <x:c r="C1370" s="216" t="str">
        <x:v>汐止區</x:v>
      </x:c>
      <x:c r="D1370" s="216" t="n">
        <x:v>32</x:v>
      </x:c>
      <x:c r="E1370" s="216" t="n">
        <x:v>120</x:v>
      </x:c>
      <x:c r="F1370" s="219" t="n">
        <x:v>0.9994791666666667</x:v>
      </x:c>
      <x:c r="G1370" s="216" t="n">
        <x:v>1366</x:v>
      </x:c>
      <x:c r="H1370" s="216" t="str">
        <x:f>IF(G1370&lt;='排名定義'!$B$5,"是","")</x:f>
        <x:v>是</x:v>
      </x:c>
      <x:c r="I1370" s="216" t="n">
        <x:v>1351</x:v>
      </x:c>
      <x:c r="J1370" s="216" t="str">
        <x:f>IF(I1370&lt;='排名定義'!$B$5,"是","")</x:f>
        <x:v>是</x:v>
      </x:c>
      <x:c r="K1370" s="216" t="n">
        <x:v>1454</x:v>
      </x:c>
      <x:c r="L1370" s="216" t="str">
        <x:f>IF(K1370&lt;='排名定義'!$B$5,"是","")</x:f>
        <x:v>是</x:v>
      </x:c>
      <x:c r="M1370" s="216" t="n">
        <x:f>COUNTIF(H1370:L1370,"是")</x:f>
        <x:v>3</x:v>
      </x:c>
      <x:c r="N1370" s="216" t="str">
        <x:v>三份皆未入選</x:v>
      </x:c>
      <x:c r="O1370" s="221" t="n">
        <x:v>14.066666666666666</x:v>
      </x:c>
      <x:c r="P1370" s="221" t="n">
        <x:v>13.033333333333333</x:v>
      </x:c>
      <x:c r="Q1370" s="221" t="n">
        <x:v>1.0333333333333334</x:v>
      </x:c>
      <x:c r="R1370" s="221" t="n">
        <x:v>0.07345971563981042</x:v>
      </x:c>
      <x:c r="S1370" s="221" t="n">
        <x:v>25.774193548387096</x:v>
      </x:c>
      <x:c r="T1370" s="221" t="n">
        <x:v>23.70967741935484</x:v>
      </x:c>
      <x:c r="U1370" s="221" t="n">
        <x:v>2.064516129032258</x:v>
      </x:c>
      <x:c r="V1370" s="219" t="n">
        <x:v>0.029953917050691243</x:v>
      </x:c>
      <x:c r="W1370" s="216" t="n">
        <x:v>7</x:v>
      </x:c>
      <x:c r="X1370" s="223" t="n">
        <x:v>960</x:v>
      </x:c>
      <x:c r="Y1370" s="216" t="n">
        <x:v>32</x:v>
      </x:c>
    </x:row>
    <x:row r="1371">
      <x:c r="A1371" s="217" t="n">
        <x:v>219</x:v>
      </x:c>
      <x:c r="B1371" s="217" t="str">
        <x:v>中坑公園</x:v>
      </x:c>
      <x:c r="C1371" s="217" t="str">
        <x:v>中和區</x:v>
      </x:c>
      <x:c r="D1371" s="217" t="n">
        <x:v>13</x:v>
      </x:c>
      <x:c r="E1371" s="217" t="n">
        <x:v>120</x:v>
      </x:c>
      <x:c r="F1371" s="218" t="n">
        <x:v>0.9994791666666667</x:v>
      </x:c>
      <x:c r="G1371" s="217" t="n">
        <x:v>1367</x:v>
      </x:c>
      <x:c r="H1371" s="217" t="str">
        <x:f>IF(G1371&lt;='排名定義'!$B$5,"是","")</x:f>
        <x:v>是</x:v>
      </x:c>
      <x:c r="I1371" s="217" t="n">
        <x:v>1379</x:v>
      </x:c>
      <x:c r="J1371" s="217" t="str">
        <x:f>IF(I1371&lt;='排名定義'!$B$5,"是","")</x:f>
        <x:v>是</x:v>
      </x:c>
      <x:c r="K1371" s="217" t="n">
        <x:v>1275</x:v>
      </x:c>
      <x:c r="L1371" s="217" t="str">
        <x:f>IF(K1371&lt;='排名定義'!$B$5,"是","")</x:f>
        <x:v>是</x:v>
      </x:c>
      <x:c r="M1371" s="217" t="n">
        <x:f>COUNTIF(H1371:L1371,"是")</x:f>
        <x:v>3</x:v>
      </x:c>
      <x:c r="N1371" s="217" t="str">
        <x:v>三份皆未入選</x:v>
      </x:c>
      <x:c r="O1371" s="220" t="n">
        <x:v>14.05</x:v>
      </x:c>
      <x:c r="P1371" s="220" t="n">
        <x:v>11.45</x:v>
      </x:c>
      <x:c r="Q1371" s="220" t="n">
        <x:v>2.6</x:v>
      </x:c>
      <x:c r="R1371" s="220" t="n">
        <x:v>0.18505338078291814</x:v>
      </x:c>
      <x:c r="S1371" s="220" t="n">
        <x:v>20.258064516129032</x:v>
      </x:c>
      <x:c r="T1371" s="220" t="n">
        <x:v>17.677419354838708</x:v>
      </x:c>
      <x:c r="U1371" s="220" t="n">
        <x:v>2.5806451612903225</x:v>
      </x:c>
      <x:c r="V1371" s="218" t="n">
        <x:v>0.013824884792626729</x:v>
      </x:c>
      <x:c r="W1371" s="217" t="n">
        <x:v>4</x:v>
      </x:c>
      <x:c r="X1371" s="222" t="n">
        <x:v>570</x:v>
      </x:c>
      <x:c r="Y1371" s="217" t="n">
        <x:v>13</x:v>
      </x:c>
    </x:row>
    <x:row r="1372">
      <x:c r="A1372" s="216" t="n">
        <x:v>614</x:v>
      </x:c>
      <x:c r="B1372" s="216" t="str">
        <x:v>新樹路258巷口</x:v>
      </x:c>
      <x:c r="C1372" s="216" t="str">
        <x:v>新莊區</x:v>
      </x:c>
      <x:c r="D1372" s="216" t="n">
        <x:v>19</x:v>
      </x:c>
      <x:c r="E1372" s="216" t="n">
        <x:v>120</x:v>
      </x:c>
      <x:c r="F1372" s="219" t="n">
        <x:v>0.9994791666666667</x:v>
      </x:c>
      <x:c r="G1372" s="216" t="n">
        <x:v>1368</x:v>
      </x:c>
      <x:c r="H1372" s="216" t="str">
        <x:f>IF(G1372&lt;='排名定義'!$B$5,"是","")</x:f>
        <x:v>是</x:v>
      </x:c>
      <x:c r="I1372" s="216" t="n">
        <x:v>1362</x:v>
      </x:c>
      <x:c r="J1372" s="216" t="str">
        <x:f>IF(I1372&lt;='排名定義'!$B$5,"是","")</x:f>
        <x:v>是</x:v>
      </x:c>
      <x:c r="K1372" s="216" t="n">
        <x:v>1414</x:v>
      </x:c>
      <x:c r="L1372" s="216" t="str">
        <x:f>IF(K1372&lt;='排名定義'!$B$5,"是","")</x:f>
        <x:v>是</x:v>
      </x:c>
      <x:c r="M1372" s="216" t="n">
        <x:f>COUNTIF(H1372:L1372,"是")</x:f>
        <x:v>3</x:v>
      </x:c>
      <x:c r="N1372" s="216" t="str">
        <x:v>三份皆未入選</x:v>
      </x:c>
      <x:c r="O1372" s="221" t="n">
        <x:v>13.916666666666666</x:v>
      </x:c>
      <x:c r="P1372" s="221" t="n">
        <x:v>12.316666666666666</x:v>
      </x:c>
      <x:c r="Q1372" s="221" t="n">
        <x:v>1.6</x:v>
      </x:c>
      <x:c r="R1372" s="221" t="n">
        <x:v>0.11497005988023952</x:v>
      </x:c>
      <x:c r="S1372" s="221" t="n">
        <x:v>25.806451612903224</x:v>
      </x:c>
      <x:c r="T1372" s="221" t="n">
        <x:v>23.516129032258064</x:v>
      </x:c>
      <x:c r="U1372" s="221" t="n">
        <x:v>2.2903225806451615</x:v>
      </x:c>
      <x:c r="V1372" s="219" t="n">
        <x:v>0.016129032258064516</x:v>
      </x:c>
      <x:c r="W1372" s="216" t="n">
        <x:v>6</x:v>
      </x:c>
      <x:c r="X1372" s="223" t="n">
        <x:v>660</x:v>
      </x:c>
      <x:c r="Y1372" s="216" t="n">
        <x:v>19</x:v>
      </x:c>
    </x:row>
    <x:row r="1373">
      <x:c r="A1373" s="217" t="n">
        <x:v>690</x:v>
      </x:c>
      <x:c r="B1373" s="217" t="str">
        <x:v>青潭河濱公園</x:v>
      </x:c>
      <x:c r="C1373" s="217" t="str">
        <x:v>新店區</x:v>
      </x:c>
      <x:c r="D1373" s="217" t="n">
        <x:v>20</x:v>
      </x:c>
      <x:c r="E1373" s="217" t="n">
        <x:v>120</x:v>
      </x:c>
      <x:c r="F1373" s="218" t="n">
        <x:v>0.9994791666666667</x:v>
      </x:c>
      <x:c r="G1373" s="217" t="n">
        <x:v>1369</x:v>
      </x:c>
      <x:c r="H1373" s="217" t="str">
        <x:f>IF(G1373&lt;='排名定義'!$B$5,"是","")</x:f>
        <x:v>是</x:v>
      </x:c>
      <x:c r="I1373" s="217" t="n">
        <x:v>1361</x:v>
      </x:c>
      <x:c r="J1373" s="217" t="str">
        <x:f>IF(I1373&lt;='排名定義'!$B$5,"是","")</x:f>
        <x:v>是</x:v>
      </x:c>
      <x:c r="K1373" s="217" t="n">
        <x:v>1417</x:v>
      </x:c>
      <x:c r="L1373" s="217" t="str">
        <x:f>IF(K1373&lt;='排名定義'!$B$5,"是","")</x:f>
        <x:v>是</x:v>
      </x:c>
      <x:c r="M1373" s="217" t="n">
        <x:f>COUNTIF(H1373:L1373,"是")</x:f>
        <x:v>3</x:v>
      </x:c>
      <x:c r="N1373" s="217" t="str">
        <x:v>三份皆未入選</x:v>
      </x:c>
      <x:c r="O1373" s="220" t="n">
        <x:v>13.916666666666666</x:v>
      </x:c>
      <x:c r="P1373" s="220" t="n">
        <x:v>12.333333333333334</x:v>
      </x:c>
      <x:c r="Q1373" s="220" t="n">
        <x:v>1.5833333333333333</x:v>
      </x:c>
      <x:c r="R1373" s="220" t="n">
        <x:v>0.11377245508982035</x:v>
      </x:c>
      <x:c r="S1373" s="220" t="n">
        <x:v>21.096774193548388</x:v>
      </x:c>
      <x:c r="T1373" s="220" t="n">
        <x:v>19.322580645161292</x:v>
      </x:c>
      <x:c r="U1373" s="220" t="n">
        <x:v>1.7741935483870968</x:v>
      </x:c>
      <x:c r="V1373" s="218" t="n">
        <x:v>0.020737327188940093</x:v>
      </x:c>
      <x:c r="W1373" s="217" t="n">
        <x:v>9</x:v>
      </x:c>
      <x:c r="X1373" s="222" t="n">
        <x:v>960</x:v>
      </x:c>
      <x:c r="Y1373" s="217" t="n">
        <x:v>20</x:v>
      </x:c>
    </x:row>
    <x:row r="1374">
      <x:c r="A1374" s="216" t="n">
        <x:v>1137</x:v>
      </x:c>
      <x:c r="B1374" s="216" t="str">
        <x:v>瓊林南路101巷口</x:v>
      </x:c>
      <x:c r="C1374" s="216" t="str">
        <x:v>新莊區</x:v>
      </x:c>
      <x:c r="D1374" s="216" t="n">
        <x:v>33</x:v>
      </x:c>
      <x:c r="E1374" s="216" t="n">
        <x:v>120</x:v>
      </x:c>
      <x:c r="F1374" s="219" t="n">
        <x:v>0.9994791666666667</x:v>
      </x:c>
      <x:c r="G1374" s="216" t="n">
        <x:v>1370</x:v>
      </x:c>
      <x:c r="H1374" s="216" t="str">
        <x:f>IF(G1374&lt;='排名定義'!$B$5,"是","")</x:f>
        <x:v>是</x:v>
      </x:c>
      <x:c r="I1374" s="216" t="n">
        <x:v>1370</x:v>
      </x:c>
      <x:c r="J1374" s="216" t="str">
        <x:f>IF(I1374&lt;='排名定義'!$B$5,"是","")</x:f>
        <x:v>是</x:v>
      </x:c>
      <x:c r="K1374" s="216" t="n">
        <x:v>1351</x:v>
      </x:c>
      <x:c r="L1374" s="216" t="str">
        <x:f>IF(K1374&lt;='排名定義'!$B$5,"是","")</x:f>
        <x:v>是</x:v>
      </x:c>
      <x:c r="M1374" s="216" t="n">
        <x:f>COUNTIF(H1374:L1374,"是")</x:f>
        <x:v>3</x:v>
      </x:c>
      <x:c r="N1374" s="216" t="str">
        <x:v>三份皆未入選</x:v>
      </x:c>
      <x:c r="O1374" s="221" t="n">
        <x:v>13.866666666666667</x:v>
      </x:c>
      <x:c r="P1374" s="221" t="n">
        <x:v>11.708333333333334</x:v>
      </x:c>
      <x:c r="Q1374" s="221" t="n">
        <x:v>2.158333333333333</x:v>
      </x:c>
      <x:c r="R1374" s="221" t="n">
        <x:v>0.15564903846153846</x:v>
      </x:c>
      <x:c r="S1374" s="221" t="n">
        <x:v>21.580645161290324</x:v>
      </x:c>
      <x:c r="T1374" s="221" t="n">
        <x:v>19.322580645161292</x:v>
      </x:c>
      <x:c r="U1374" s="221" t="n">
        <x:v>2.2580645161290325</x:v>
      </x:c>
      <x:c r="V1374" s="219" t="n">
        <x:v>0</x:v>
      </x:c>
      <x:c r="W1374" s="216" t="n">
        <x:v>0</x:v>
      </x:c>
      <x:c r="X1374" s="223" t="n">
        <x:v>30</x:v>
      </x:c>
      <x:c r="Y1374" s="216" t="n">
        <x:v>33</x:v>
      </x:c>
    </x:row>
    <x:row r="1375">
      <x:c r="A1375" s="217" t="n">
        <x:v>305</x:v>
      </x:c>
      <x:c r="B1375" s="217" t="str">
        <x:v>臺北大學懷德居木師基地</x:v>
      </x:c>
      <x:c r="C1375" s="217" t="str">
        <x:v>三峽區</x:v>
      </x:c>
      <x:c r="D1375" s="217" t="n">
        <x:v>14</x:v>
      </x:c>
      <x:c r="E1375" s="217" t="n">
        <x:v>120</x:v>
      </x:c>
      <x:c r="F1375" s="218" t="n">
        <x:v>0.9994791666666667</x:v>
      </x:c>
      <x:c r="G1375" s="217" t="n">
        <x:v>1371</x:v>
      </x:c>
      <x:c r="H1375" s="217" t="str">
        <x:f>IF(G1375&lt;='排名定義'!$B$5,"是","")</x:f>
        <x:v>是</x:v>
      </x:c>
      <x:c r="I1375" s="217" t="n">
        <x:v>1381</x:v>
      </x:c>
      <x:c r="J1375" s="217" t="str">
        <x:f>IF(I1375&lt;='排名定義'!$B$5,"是","")</x:f>
        <x:v>是</x:v>
      </x:c>
      <x:c r="K1375" s="217" t="n">
        <x:v>1316</x:v>
      </x:c>
      <x:c r="L1375" s="217" t="str">
        <x:f>IF(K1375&lt;='排名定義'!$B$5,"是","")</x:f>
        <x:v>是</x:v>
      </x:c>
      <x:c r="M1375" s="217" t="n">
        <x:f>COUNTIF(H1375:L1375,"是")</x:f>
        <x:v>3</x:v>
      </x:c>
      <x:c r="N1375" s="217" t="str">
        <x:v>三份皆未入選</x:v>
      </x:c>
      <x:c r="O1375" s="220" t="n">
        <x:v>13.766666666666667</x:v>
      </x:c>
      <x:c r="P1375" s="220" t="n">
        <x:v>11.358333333333333</x:v>
      </x:c>
      <x:c r="Q1375" s="220" t="n">
        <x:v>2.408333333333333</x:v>
      </x:c>
      <x:c r="R1375" s="220" t="n">
        <x:v>0.17493946731234866</x:v>
      </x:c>
      <x:c r="S1375" s="220" t="n">
        <x:v>23.70967741935484</x:v>
      </x:c>
      <x:c r="T1375" s="220" t="n">
        <x:v>21.096774193548388</x:v>
      </x:c>
      <x:c r="U1375" s="220" t="n">
        <x:v>2.6129032258064515</x:v>
      </x:c>
      <x:c r="V1375" s="218" t="n">
        <x:v>0.0069124423963133645</x:v>
      </x:c>
      <x:c r="W1375" s="217" t="n">
        <x:v>1</x:v>
      </x:c>
      <x:c r="X1375" s="222" t="n">
        <x:v>90</x:v>
      </x:c>
      <x:c r="Y1375" s="217" t="n">
        <x:v>21</x:v>
      </x:c>
    </x:row>
    <x:row r="1376">
      <x:c r="A1376" s="216" t="n">
        <x:v>198</x:v>
      </x:c>
      <x:c r="B1376" s="216" t="str">
        <x:v>福德二路19巷口</x:v>
      </x:c>
      <x:c r="C1376" s="216" t="str">
        <x:v>汐止區</x:v>
      </x:c>
      <x:c r="D1376" s="216" t="n">
        <x:v>12</x:v>
      </x:c>
      <x:c r="E1376" s="216" t="n">
        <x:v>120</x:v>
      </x:c>
      <x:c r="F1376" s="219" t="n">
        <x:v>0.9994791666666667</x:v>
      </x:c>
      <x:c r="G1376" s="216" t="n">
        <x:v>1372</x:v>
      </x:c>
      <x:c r="H1376" s="216" t="str">
        <x:f>IF(G1376&lt;='排名定義'!$B$5,"是","")</x:f>
        <x:v>是</x:v>
      </x:c>
      <x:c r="I1376" s="216" t="n">
        <x:v>1366</x:v>
      </x:c>
      <x:c r="J1376" s="216" t="str">
        <x:f>IF(I1376&lt;='排名定義'!$B$5,"是","")</x:f>
        <x:v>是</x:v>
      </x:c>
      <x:c r="K1376" s="216" t="n">
        <x:v>1403</x:v>
      </x:c>
      <x:c r="L1376" s="216" t="str">
        <x:f>IF(K1376&lt;='排名定義'!$B$5,"是","")</x:f>
        <x:v>是</x:v>
      </x:c>
      <x:c r="M1376" s="216" t="n">
        <x:f>COUNTIF(H1376:L1376,"是")</x:f>
        <x:v>3</x:v>
      </x:c>
      <x:c r="N1376" s="216" t="str">
        <x:v>三份皆未入選</x:v>
      </x:c>
      <x:c r="O1376" s="221" t="n">
        <x:v>13.583333333333334</x:v>
      </x:c>
      <x:c r="P1376" s="221" t="n">
        <x:v>11.858333333333333</x:v>
      </x:c>
      <x:c r="Q1376" s="221" t="n">
        <x:v>1.725</x:v>
      </x:c>
      <x:c r="R1376" s="221" t="n">
        <x:v>0.12699386503067484</x:v>
      </x:c>
      <x:c r="S1376" s="221" t="n">
        <x:v>29.516129032258064</x:v>
      </x:c>
      <x:c r="T1376" s="221" t="n">
        <x:v>26.387096774193548</x:v>
      </x:c>
      <x:c r="U1376" s="221" t="n">
        <x:v>3.129032258064516</x:v>
      </x:c>
      <x:c r="V1376" s="219" t="n">
        <x:v>0.03686635944700461</x:v>
      </x:c>
      <x:c r="W1376" s="216" t="n">
        <x:v>6</x:v>
      </x:c>
      <x:c r="X1376" s="223" t="n">
        <x:v>1140</x:v>
      </x:c>
      <x:c r="Y1376" s="216" t="n">
        <x:v>12</x:v>
      </x:c>
    </x:row>
    <x:row r="1377">
      <x:c r="A1377" s="217" t="n">
        <x:v>211</x:v>
      </x:c>
      <x:c r="B1377" s="217" t="str">
        <x:v>柑園街二段363巷口</x:v>
      </x:c>
      <x:c r="C1377" s="217" t="str">
        <x:v>樹林區</x:v>
      </x:c>
      <x:c r="D1377" s="217" t="n">
        <x:v>12</x:v>
      </x:c>
      <x:c r="E1377" s="217" t="n">
        <x:v>120</x:v>
      </x:c>
      <x:c r="F1377" s="218" t="n">
        <x:v>0.9994791666666667</x:v>
      </x:c>
      <x:c r="G1377" s="217" t="n">
        <x:v>1373</x:v>
      </x:c>
      <x:c r="H1377" s="217" t="str">
        <x:f>IF(G1377&lt;='排名定義'!$B$5,"是","")</x:f>
        <x:v>是</x:v>
      </x:c>
      <x:c r="I1377" s="217" t="n">
        <x:v>1375</x:v>
      </x:c>
      <x:c r="J1377" s="217" t="str">
        <x:f>IF(I1377&lt;='排名定義'!$B$5,"是","")</x:f>
        <x:v>是</x:v>
      </x:c>
      <x:c r="K1377" s="217" t="n">
        <x:v>1379</x:v>
      </x:c>
      <x:c r="L1377" s="217" t="str">
        <x:f>IF(K1377&lt;='排名定義'!$B$5,"是","")</x:f>
        <x:v>是</x:v>
      </x:c>
      <x:c r="M1377" s="217" t="n">
        <x:f>COUNTIF(H1377:L1377,"是")</x:f>
        <x:v>3</x:v>
      </x:c>
      <x:c r="N1377" s="217" t="str">
        <x:v>三份皆未入選</x:v>
      </x:c>
      <x:c r="O1377" s="220" t="n">
        <x:v>13.55</x:v>
      </x:c>
      <x:c r="P1377" s="220" t="n">
        <x:v>11.558333333333334</x:v>
      </x:c>
      <x:c r="Q1377" s="220" t="n">
        <x:v>1.9916666666666667</x:v>
      </x:c>
      <x:c r="R1377" s="220" t="n">
        <x:v>0.14698646986469865</x:v>
      </x:c>
      <x:c r="S1377" s="220" t="n">
        <x:v>25.774193548387096</x:v>
      </x:c>
      <x:c r="T1377" s="220" t="n">
        <x:v>23.64516129032258</x:v>
      </x:c>
      <x:c r="U1377" s="220" t="n">
        <x:v>2.129032258064516</x:v>
      </x:c>
      <x:c r="V1377" s="218" t="n">
        <x:v>0.009216589861751152</x:v>
      </x:c>
      <x:c r="W1377" s="217" t="n">
        <x:v>1</x:v>
      </x:c>
      <x:c r="X1377" s="222" t="n">
        <x:v>150</x:v>
      </x:c>
      <x:c r="Y1377" s="217" t="n">
        <x:v>12</x:v>
      </x:c>
    </x:row>
    <x:row r="1378">
      <x:c r="A1378" s="216" t="n">
        <x:v>554</x:v>
      </x:c>
      <x:c r="B1378" s="216" t="str">
        <x:v>三芝兒三公園(三民街)</x:v>
      </x:c>
      <x:c r="C1378" s="216" t="str">
        <x:v>三芝區</x:v>
      </x:c>
      <x:c r="D1378" s="216" t="n">
        <x:v>17</x:v>
      </x:c>
      <x:c r="E1378" s="216" t="n">
        <x:v>120</x:v>
      </x:c>
      <x:c r="F1378" s="219" t="n">
        <x:v>0.9994791666666667</x:v>
      </x:c>
      <x:c r="G1378" s="216" t="n">
        <x:v>1374</x:v>
      </x:c>
      <x:c r="H1378" s="216" t="str">
        <x:f>IF(G1378&lt;='排名定義'!$B$5,"是","")</x:f>
        <x:v>是</x:v>
      </x:c>
      <x:c r="I1378" s="216" t="n">
        <x:v>1372</x:v>
      </x:c>
      <x:c r="J1378" s="216" t="str">
        <x:f>IF(I1378&lt;='排名定義'!$B$5,"是","")</x:f>
        <x:v>是</x:v>
      </x:c>
      <x:c r="K1378" s="216" t="n">
        <x:v>1394</x:v>
      </x:c>
      <x:c r="L1378" s="216" t="str">
        <x:f>IF(K1378&lt;='排名定義'!$B$5,"是","")</x:f>
        <x:v>是</x:v>
      </x:c>
      <x:c r="M1378" s="216" t="n">
        <x:f>COUNTIF(H1378:L1378,"是")</x:f>
        <x:v>3</x:v>
      </x:c>
      <x:c r="N1378" s="216" t="str">
        <x:v>三份皆未入選</x:v>
      </x:c>
      <x:c r="O1378" s="221" t="n">
        <x:v>13.475</x:v>
      </x:c>
      <x:c r="P1378" s="221" t="n">
        <x:v>11.683333333333334</x:v>
      </x:c>
      <x:c r="Q1378" s="221" t="n">
        <x:v>1.7916666666666667</x:v>
      </x:c>
      <x:c r="R1378" s="221" t="n">
        <x:v>0.13296227581941866</x:v>
      </x:c>
      <x:c r="S1378" s="221" t="n">
        <x:v>24.93548387096774</x:v>
      </x:c>
      <x:c r="T1378" s="221" t="n">
        <x:v>23.225806451612904</x:v>
      </x:c>
      <x:c r="U1378" s="221" t="n">
        <x:v>1.7096774193548387</x:v>
      </x:c>
      <x:c r="V1378" s="219" t="n">
        <x:v>0.016129032258064516</x:v>
      </x:c>
      <x:c r="W1378" s="216" t="n">
        <x:v>3</x:v>
      </x:c>
      <x:c r="X1378" s="223" t="n">
        <x:v>420</x:v>
      </x:c>
      <x:c r="Y1378" s="216" t="n">
        <x:v>17</x:v>
      </x:c>
    </x:row>
    <x:row r="1379">
      <x:c r="A1379" s="217" t="n">
        <x:v>661</x:v>
      </x:c>
      <x:c r="B1379" s="217" t="str">
        <x:v>文化北路一段412巷口</x:v>
      </x:c>
      <x:c r="C1379" s="217" t="str">
        <x:v>林口區</x:v>
      </x:c>
      <x:c r="D1379" s="217" t="n">
        <x:v>27</x:v>
      </x:c>
      <x:c r="E1379" s="217" t="n">
        <x:v>120</x:v>
      </x:c>
      <x:c r="F1379" s="218" t="n">
        <x:v>0.9994791666666667</x:v>
      </x:c>
      <x:c r="G1379" s="217" t="n">
        <x:v>1375</x:v>
      </x:c>
      <x:c r="H1379" s="217" t="str">
        <x:f>IF(G1379&lt;='排名定義'!$B$5,"是","")</x:f>
        <x:v>是</x:v>
      </x:c>
      <x:c r="I1379" s="217" t="n">
        <x:v>1371</x:v>
      </x:c>
      <x:c r="J1379" s="217" t="str">
        <x:f>IF(I1379&lt;='排名定義'!$B$5,"是","")</x:f>
        <x:v>是</x:v>
      </x:c>
      <x:c r="K1379" s="217" t="n">
        <x:v>1410</x:v>
      </x:c>
      <x:c r="L1379" s="217" t="str">
        <x:f>IF(K1379&lt;='排名定義'!$B$5,"是","")</x:f>
        <x:v>是</x:v>
      </x:c>
      <x:c r="M1379" s="217" t="n">
        <x:f>COUNTIF(H1379:L1379,"是")</x:f>
        <x:v>3</x:v>
      </x:c>
      <x:c r="N1379" s="217" t="str">
        <x:v>三份皆未入選</x:v>
      </x:c>
      <x:c r="O1379" s="220" t="n">
        <x:v>13.366666666666667</x:v>
      </x:c>
      <x:c r="P1379" s="220" t="n">
        <x:v>11.7</x:v>
      </x:c>
      <x:c r="Q1379" s="220" t="n">
        <x:v>1.6666666666666667</x:v>
      </x:c>
      <x:c r="R1379" s="220" t="n">
        <x:v>0.12468827930174564</x:v>
      </x:c>
      <x:c r="S1379" s="220" t="n">
        <x:v>25.483870967741936</x:v>
      </x:c>
      <x:c r="T1379" s="220" t="n">
        <x:v>23.419354838709676</x:v>
      </x:c>
      <x:c r="U1379" s="220" t="n">
        <x:v>2.064516129032258</x:v>
      </x:c>
      <x:c r="V1379" s="218" t="n">
        <x:v>0</x:v>
      </x:c>
      <x:c r="W1379" s="217" t="n">
        <x:v>1</x:v>
      </x:c>
      <x:c r="X1379" s="222" t="n">
        <x:v>120</x:v>
      </x:c>
      <x:c r="Y1379" s="217" t="n">
        <x:v>27</x:v>
      </x:c>
    </x:row>
    <x:row r="1380">
      <x:c r="A1380" s="216" t="n">
        <x:v>137</x:v>
      </x:c>
      <x:c r="B1380" s="216" t="str">
        <x:v>湖北市民活動中心</x:v>
      </x:c>
      <x:c r="C1380" s="216" t="str">
        <x:v>林口區</x:v>
      </x:c>
      <x:c r="D1380" s="216" t="n">
        <x:v>10</x:v>
      </x:c>
      <x:c r="E1380" s="216" t="n">
        <x:v>120</x:v>
      </x:c>
      <x:c r="F1380" s="219" t="n">
        <x:v>0.9994791666666667</x:v>
      </x:c>
      <x:c r="G1380" s="216" t="n">
        <x:v>1376</x:v>
      </x:c>
      <x:c r="H1380" s="216" t="str">
        <x:f>IF(G1380&lt;='排名定義'!$B$5,"是","")</x:f>
        <x:v>是</x:v>
      </x:c>
      <x:c r="I1380" s="216" t="n">
        <x:v>1377</x:v>
      </x:c>
      <x:c r="J1380" s="216" t="str">
        <x:f>IF(I1380&lt;='排名定義'!$B$5,"是","")</x:f>
        <x:v>是</x:v>
      </x:c>
      <x:c r="K1380" s="216" t="n">
        <x:v>1388</x:v>
      </x:c>
      <x:c r="L1380" s="216" t="str">
        <x:f>IF(K1380&lt;='排名定義'!$B$5,"是","")</x:f>
        <x:v>是</x:v>
      </x:c>
      <x:c r="M1380" s="216" t="n">
        <x:f>COUNTIF(H1380:L1380,"是")</x:f>
        <x:v>3</x:v>
      </x:c>
      <x:c r="N1380" s="216" t="str">
        <x:v>三份皆未入選</x:v>
      </x:c>
      <x:c r="O1380" s="221" t="n">
        <x:v>13.358333333333333</x:v>
      </x:c>
      <x:c r="P1380" s="221" t="n">
        <x:v>11.458333333333334</x:v>
      </x:c>
      <x:c r="Q1380" s="221" t="n">
        <x:v>1.9</x:v>
      </x:c>
      <x:c r="R1380" s="221" t="n">
        <x:v>0.14223331253898938</x:v>
      </x:c>
      <x:c r="S1380" s="221" t="n">
        <x:v>21.93548387096774</x:v>
      </x:c>
      <x:c r="T1380" s="221" t="n">
        <x:v>19.032258064516128</x:v>
      </x:c>
      <x:c r="U1380" s="221" t="n">
        <x:v>2.903225806451613</x:v>
      </x:c>
      <x:c r="V1380" s="219" t="n">
        <x:v>0.013824884792626729</x:v>
      </x:c>
      <x:c r="W1380" s="216" t="n">
        <x:v>2</x:v>
      </x:c>
      <x:c r="X1380" s="223" t="n">
        <x:v>330</x:v>
      </x:c>
      <x:c r="Y1380" s="216" t="n">
        <x:v>10</x:v>
      </x:c>
    </x:row>
    <x:row r="1381">
      <x:c r="A1381" s="217" t="n">
        <x:v>499</x:v>
      </x:c>
      <x:c r="B1381" s="217" t="str">
        <x:v>中央中華路口(金城)</x:v>
      </x:c>
      <x:c r="C1381" s="217" t="str">
        <x:v>土城區</x:v>
      </x:c>
      <x:c r="D1381" s="217" t="n">
        <x:v>16</x:v>
      </x:c>
      <x:c r="E1381" s="217" t="n">
        <x:v>120</x:v>
      </x:c>
      <x:c r="F1381" s="218" t="n">
        <x:v>0.9994791666666667</x:v>
      </x:c>
      <x:c r="G1381" s="217" t="n">
        <x:v>1377</x:v>
      </x:c>
      <x:c r="H1381" s="217" t="str">
        <x:f>IF(G1381&lt;='排名定義'!$B$5,"是","")</x:f>
        <x:v>是</x:v>
      </x:c>
      <x:c r="I1381" s="217" t="n">
        <x:v>1373</x:v>
      </x:c>
      <x:c r="J1381" s="217" t="str">
        <x:f>IF(I1381&lt;='排名定義'!$B$5,"是","")</x:f>
        <x:v>是</x:v>
      </x:c>
      <x:c r="K1381" s="217" t="n">
        <x:v>1407</x:v>
      </x:c>
      <x:c r="L1381" s="217" t="str">
        <x:f>IF(K1381&lt;='排名定義'!$B$5,"是","")</x:f>
        <x:v>是</x:v>
      </x:c>
      <x:c r="M1381" s="217" t="n">
        <x:f>COUNTIF(H1381:L1381,"是")</x:f>
        <x:v>3</x:v>
      </x:c>
      <x:c r="N1381" s="217" t="str">
        <x:v>三份皆未入選</x:v>
      </x:c>
      <x:c r="O1381" s="220" t="n">
        <x:v>13.358333333333333</x:v>
      </x:c>
      <x:c r="P1381" s="220" t="n">
        <x:v>11.666666666666666</x:v>
      </x:c>
      <x:c r="Q1381" s="220" t="n">
        <x:v>1.6916666666666667</x:v>
      </x:c>
      <x:c r="R1381" s="220" t="n">
        <x:v>0.12663755458515283</x:v>
      </x:c>
      <x:c r="S1381" s="220" t="n">
        <x:v>24.129032258064516</x:v>
      </x:c>
      <x:c r="T1381" s="220" t="n">
        <x:v>22.225806451612904</x:v>
      </x:c>
      <x:c r="U1381" s="220" t="n">
        <x:v>1.903225806451613</x:v>
      </x:c>
      <x:c r="V1381" s="218" t="n">
        <x:v>0.009216589861751152</x:v>
      </x:c>
      <x:c r="W1381" s="217" t="n">
        <x:v>4</x:v>
      </x:c>
      <x:c r="X1381" s="222" t="n">
        <x:v>510</x:v>
      </x:c>
      <x:c r="Y1381" s="217" t="n">
        <x:v>16</x:v>
      </x:c>
    </x:row>
    <x:row r="1382">
      <x:c r="A1382" s="216" t="n">
        <x:v>901</x:v>
      </x:c>
      <x:c r="B1382" s="216" t="str">
        <x:v>中印青潭廠</x:v>
      </x:c>
      <x:c r="C1382" s="216" t="str">
        <x:v>新店區</x:v>
      </x:c>
      <x:c r="D1382" s="216" t="n">
        <x:v>25</x:v>
      </x:c>
      <x:c r="E1382" s="216" t="n">
        <x:v>120</x:v>
      </x:c>
      <x:c r="F1382" s="219" t="n">
        <x:v>0.9994791666666667</x:v>
      </x:c>
      <x:c r="G1382" s="216" t="n">
        <x:v>1378</x:v>
      </x:c>
      <x:c r="H1382" s="216" t="str">
        <x:f>IF(G1382&lt;='排名定義'!$B$5,"是","")</x:f>
        <x:v>是</x:v>
      </x:c>
      <x:c r="I1382" s="216" t="n">
        <x:v>1369</x:v>
      </x:c>
      <x:c r="J1382" s="216" t="str">
        <x:f>IF(I1382&lt;='排名定義'!$B$5,"是","")</x:f>
        <x:v>是</x:v>
      </x:c>
      <x:c r="K1382" s="216" t="n">
        <x:v>1422</x:v>
      </x:c>
      <x:c r="L1382" s="216" t="str">
        <x:f>IF(K1382&lt;='排名定義'!$B$5,"是","")</x:f>
        <x:v>是</x:v>
      </x:c>
      <x:c r="M1382" s="216" t="n">
        <x:f>COUNTIF(H1382:L1382,"是")</x:f>
        <x:v>3</x:v>
      </x:c>
      <x:c r="N1382" s="216" t="str">
        <x:v>三份皆未入選</x:v>
      </x:c>
      <x:c r="O1382" s="221" t="n">
        <x:v>13.316666666666666</x:v>
      </x:c>
      <x:c r="P1382" s="221" t="n">
        <x:v>11.775</x:v>
      </x:c>
      <x:c r="Q1382" s="221" t="n">
        <x:v>1.5416666666666667</x:v>
      </x:c>
      <x:c r="R1382" s="221" t="n">
        <x:v>0.11576971214017522</x:v>
      </x:c>
      <x:c r="S1382" s="221" t="n">
        <x:v>25.483870967741936</x:v>
      </x:c>
      <x:c r="T1382" s="221" t="n">
        <x:v>22.64516129032258</x:v>
      </x:c>
      <x:c r="U1382" s="221" t="n">
        <x:v>2.838709677419355</x:v>
      </x:c>
      <x:c r="V1382" s="219" t="n">
        <x:v>0.0069124423963133645</x:v>
      </x:c>
      <x:c r="W1382" s="216" t="n">
        <x:v>2</x:v>
      </x:c>
      <x:c r="X1382" s="223" t="n">
        <x:v>180</x:v>
      </x:c>
      <x:c r="Y1382" s="216" t="n">
        <x:v>25</x:v>
      </x:c>
    </x:row>
    <x:row r="1383">
      <x:c r="A1383" s="217" t="n">
        <x:v>431</x:v>
      </x:c>
      <x:c r="B1383" s="217" t="str">
        <x:v>淡江教會文教中心</x:v>
      </x:c>
      <x:c r="C1383" s="217" t="str">
        <x:v>淡水區</x:v>
      </x:c>
      <x:c r="D1383" s="217" t="n">
        <x:v>15</x:v>
      </x:c>
      <x:c r="E1383" s="217" t="n">
        <x:v>120</x:v>
      </x:c>
      <x:c r="F1383" s="218" t="n">
        <x:v>0.9994791666666667</x:v>
      </x:c>
      <x:c r="G1383" s="217" t="n">
        <x:v>1379</x:v>
      </x:c>
      <x:c r="H1383" s="217" t="str">
        <x:f>IF(G1383&lt;='排名定義'!$B$5,"是","")</x:f>
        <x:v>是</x:v>
      </x:c>
      <x:c r="I1383" s="217" t="n">
        <x:v>1401</x:v>
      </x:c>
      <x:c r="J1383" s="217" t="str">
        <x:f>IF(I1383&lt;='排名定義'!$B$5,"是","")</x:f>
        <x:v>是</x:v>
      </x:c>
      <x:c r="K1383" s="217" t="n">
        <x:v>1183</x:v>
      </x:c>
      <x:c r="L1383" s="217" t="str">
        <x:f>IF(K1383&lt;='排名定義'!$B$5,"是","")</x:f>
        <x:v>是</x:v>
      </x:c>
      <x:c r="M1383" s="217" t="n">
        <x:f>COUNTIF(H1383:L1383,"是")</x:f>
        <x:v>3</x:v>
      </x:c>
      <x:c r="N1383" s="217" t="str">
        <x:v>三份皆未入選</x:v>
      </x:c>
      <x:c r="O1383" s="220" t="n">
        <x:v>13.275</x:v>
      </x:c>
      <x:c r="P1383" s="220" t="n">
        <x:v>10.325</x:v>
      </x:c>
      <x:c r="Q1383" s="220" t="n">
        <x:v>2.95</x:v>
      </x:c>
      <x:c r="R1383" s="220" t="n">
        <x:v>0.2222222222222222</x:v>
      </x:c>
      <x:c r="S1383" s="220" t="n">
        <x:v>23.322580645161292</x:v>
      </x:c>
      <x:c r="T1383" s="220" t="n">
        <x:v>20.64516129032258</x:v>
      </x:c>
      <x:c r="U1383" s="220" t="n">
        <x:v>2.6774193548387095</x:v>
      </x:c>
      <x:c r="V1383" s="218" t="n">
        <x:v>0.04377880184331797</x:v>
      </x:c>
      <x:c r="W1383" s="217" t="n">
        <x:v>12</x:v>
      </x:c>
      <x:c r="X1383" s="222" t="n">
        <x:v>1470</x:v>
      </x:c>
      <x:c r="Y1383" s="217" t="n">
        <x:v>15</x:v>
      </x:c>
    </x:row>
    <x:row r="1384">
      <x:c r="A1384" s="216" t="n">
        <x:v>428</x:v>
      </x:c>
      <x:c r="B1384" s="216" t="str">
        <x:v>東大街</x:v>
      </x:c>
      <x:c r="C1384" s="216" t="str">
        <x:v>樹林區</x:v>
      </x:c>
      <x:c r="D1384" s="216" t="n">
        <x:v>15</x:v>
      </x:c>
      <x:c r="E1384" s="216" t="n">
        <x:v>120</x:v>
      </x:c>
      <x:c r="F1384" s="219" t="n">
        <x:v>0.9994791666666667</x:v>
      </x:c>
      <x:c r="G1384" s="216" t="n">
        <x:v>1380</x:v>
      </x:c>
      <x:c r="H1384" s="216" t="str">
        <x:f>IF(G1384&lt;='排名定義'!$B$5,"是","")</x:f>
        <x:v>是</x:v>
      </x:c>
      <x:c r="I1384" s="216" t="n">
        <x:v>1374</x:v>
      </x:c>
      <x:c r="J1384" s="216" t="str">
        <x:f>IF(I1384&lt;='排名定義'!$B$5,"是","")</x:f>
        <x:v>是</x:v>
      </x:c>
      <x:c r="K1384" s="216" t="n">
        <x:v>1416</x:v>
      </x:c>
      <x:c r="L1384" s="216" t="str">
        <x:f>IF(K1384&lt;='排名定義'!$B$5,"是","")</x:f>
        <x:v>是</x:v>
      </x:c>
      <x:c r="M1384" s="216" t="n">
        <x:f>COUNTIF(H1384:L1384,"是")</x:f>
        <x:v>3</x:v>
      </x:c>
      <x:c r="N1384" s="216" t="str">
        <x:v>三份皆未入選</x:v>
      </x:c>
      <x:c r="O1384" s="221" t="n">
        <x:v>13.216666666666667</x:v>
      </x:c>
      <x:c r="P1384" s="221" t="n">
        <x:v>11.625</x:v>
      </x:c>
      <x:c r="Q1384" s="221" t="n">
        <x:v>1.5916666666666666</x:v>
      </x:c>
      <x:c r="R1384" s="221" t="n">
        <x:v>0.12042875157629256</x:v>
      </x:c>
      <x:c r="S1384" s="221" t="n">
        <x:v>25.612903225806452</x:v>
      </x:c>
      <x:c r="T1384" s="221" t="n">
        <x:v>23.516129032258064</x:v>
      </x:c>
      <x:c r="U1384" s="221" t="n">
        <x:v>2.096774193548387</x:v>
      </x:c>
      <x:c r="V1384" s="219" t="n">
        <x:v>0.041474654377880185</x:v>
      </x:c>
      <x:c r="W1384" s="216" t="n">
        <x:v>5</x:v>
      </x:c>
      <x:c r="X1384" s="223" t="n">
        <x:v>570</x:v>
      </x:c>
      <x:c r="Y1384" s="216" t="n">
        <x:v>15</x:v>
      </x:c>
    </x:row>
    <x:row r="1385">
      <x:c r="A1385" s="217" t="n">
        <x:v>503</x:v>
      </x:c>
      <x:c r="B1385" s="217" t="str">
        <x:v>新市二後洲路口</x:v>
      </x:c>
      <x:c r="C1385" s="217" t="str">
        <x:v>淡水區</x:v>
      </x:c>
      <x:c r="D1385" s="217" t="n">
        <x:v>16</x:v>
      </x:c>
      <x:c r="E1385" s="217" t="n">
        <x:v>120</x:v>
      </x:c>
      <x:c r="F1385" s="218" t="n">
        <x:v>0.9994791666666667</x:v>
      </x:c>
      <x:c r="G1385" s="217" t="n">
        <x:v>1381</x:v>
      </x:c>
      <x:c r="H1385" s="217" t="str">
        <x:f>IF(G1385&lt;='排名定義'!$B$5,"是","")</x:f>
        <x:v>是</x:v>
      </x:c>
      <x:c r="I1385" s="217" t="n">
        <x:v>1383</x:v>
      </x:c>
      <x:c r="J1385" s="217" t="str">
        <x:f>IF(I1385&lt;='排名定義'!$B$5,"是","")</x:f>
        <x:v>是</x:v>
      </x:c>
      <x:c r="K1385" s="217" t="n">
        <x:v>1345</x:v>
      </x:c>
      <x:c r="L1385" s="217" t="str">
        <x:f>IF(K1385&lt;='排名定義'!$B$5,"是","")</x:f>
        <x:v>是</x:v>
      </x:c>
      <x:c r="M1385" s="217" t="n">
        <x:f>COUNTIF(H1385:L1385,"是")</x:f>
        <x:v>3</x:v>
      </x:c>
      <x:c r="N1385" s="217" t="str">
        <x:v>三份皆未入選</x:v>
      </x:c>
      <x:c r="O1385" s="220" t="n">
        <x:v>13.166666666666666</x:v>
      </x:c>
      <x:c r="P1385" s="220" t="n">
        <x:v>10.975</x:v>
      </x:c>
      <x:c r="Q1385" s="220" t="n">
        <x:v>2.191666666666667</x:v>
      </x:c>
      <x:c r="R1385" s="220" t="n">
        <x:v>0.16645569620253164</x:v>
      </x:c>
      <x:c r="S1385" s="220" t="n">
        <x:v>25.677419354838708</x:v>
      </x:c>
      <x:c r="T1385" s="220" t="n">
        <x:v>22.806451612903224</x:v>
      </x:c>
      <x:c r="U1385" s="220" t="n">
        <x:v>2.870967741935484</x:v>
      </x:c>
      <x:c r="V1385" s="218" t="n">
        <x:v>0.0576036866359447</x:v>
      </x:c>
      <x:c r="W1385" s="217" t="n">
        <x:v>11</x:v>
      </x:c>
      <x:c r="X1385" s="222" t="n">
        <x:v>1080</x:v>
      </x:c>
      <x:c r="Y1385" s="217" t="n">
        <x:v>16</x:v>
      </x:c>
    </x:row>
    <x:row r="1386">
      <x:c r="A1386" s="216" t="n">
        <x:v>319</x:v>
      </x:c>
      <x:c r="B1386" s="216" t="str">
        <x:v>中原抽水站</x:v>
      </x:c>
      <x:c r="C1386" s="216" t="str">
        <x:v>中和區</x:v>
      </x:c>
      <x:c r="D1386" s="216" t="n">
        <x:v>15</x:v>
      </x:c>
      <x:c r="E1386" s="216" t="n">
        <x:v>120</x:v>
      </x:c>
      <x:c r="F1386" s="219" t="n">
        <x:v>0.9994791666666667</x:v>
      </x:c>
      <x:c r="G1386" s="216" t="n">
        <x:v>1382</x:v>
      </x:c>
      <x:c r="H1386" s="216" t="str">
        <x:f>IF(G1386&lt;='排名定義'!$B$5,"是","")</x:f>
        <x:v>是</x:v>
      </x:c>
      <x:c r="I1386" s="216" t="n">
        <x:v>1393</x:v>
      </x:c>
      <x:c r="J1386" s="216" t="str">
        <x:f>IF(I1386&lt;='排名定義'!$B$5,"是","")</x:f>
        <x:v>是</x:v>
      </x:c>
      <x:c r="K1386" s="216" t="n">
        <x:v>1285</x:v>
      </x:c>
      <x:c r="L1386" s="216" t="str">
        <x:f>IF(K1386&lt;='排名定義'!$B$5,"是","")</x:f>
        <x:v>是</x:v>
      </x:c>
      <x:c r="M1386" s="216" t="n">
        <x:f>COUNTIF(H1386:L1386,"是")</x:f>
        <x:v>3</x:v>
      </x:c>
      <x:c r="N1386" s="216" t="str">
        <x:v>三份皆未入選</x:v>
      </x:c>
      <x:c r="O1386" s="221" t="n">
        <x:v>13.158333333333333</x:v>
      </x:c>
      <x:c r="P1386" s="221" t="n">
        <x:v>10.608333333333333</x:v>
      </x:c>
      <x:c r="Q1386" s="221" t="n">
        <x:v>2.55</x:v>
      </x:c>
      <x:c r="R1386" s="221" t="n">
        <x:v>0.19379354021532616</x:v>
      </x:c>
      <x:c r="S1386" s="221" t="n">
        <x:v>25.548387096774192</x:v>
      </x:c>
      <x:c r="T1386" s="221" t="n">
        <x:v>23.387096774193548</x:v>
      </x:c>
      <x:c r="U1386" s="221" t="n">
        <x:v>2.161290322580645</x:v>
      </x:c>
      <x:c r="V1386" s="219" t="n">
        <x:v>0.013824884792626729</x:v>
      </x:c>
      <x:c r="W1386" s="216" t="n">
        <x:v>1</x:v>
      </x:c>
      <x:c r="X1386" s="223" t="n">
        <x:v>360</x:v>
      </x:c>
      <x:c r="Y1386" s="216" t="n">
        <x:v>15</x:v>
      </x:c>
    </x:row>
    <x:row r="1387">
      <x:c r="A1387" s="217" t="n">
        <x:v>895</x:v>
      </x:c>
      <x:c r="B1387" s="217" t="str">
        <x:v>瑞芳棒球場</x:v>
      </x:c>
      <x:c r="C1387" s="217" t="str">
        <x:v>瑞芳區</x:v>
      </x:c>
      <x:c r="D1387" s="217" t="n">
        <x:v>25</x:v>
      </x:c>
      <x:c r="E1387" s="217" t="n">
        <x:v>120</x:v>
      </x:c>
      <x:c r="F1387" s="218" t="n">
        <x:v>0.9994791666666667</x:v>
      </x:c>
      <x:c r="G1387" s="217" t="n">
        <x:v>1383</x:v>
      </x:c>
      <x:c r="H1387" s="217" t="str">
        <x:f>IF(G1387&lt;='排名定義'!$B$5,"是","")</x:f>
        <x:v>是</x:v>
      </x:c>
      <x:c r="I1387" s="217" t="n">
        <x:v>1403</x:v>
      </x:c>
      <x:c r="J1387" s="217" t="str">
        <x:f>IF(I1387&lt;='排名定義'!$B$5,"是","")</x:f>
        <x:v>是</x:v>
      </x:c>
      <x:c r="K1387" s="217" t="n">
        <x:v>1192</x:v>
      </x:c>
      <x:c r="L1387" s="217" t="str">
        <x:f>IF(K1387&lt;='排名定義'!$B$5,"是","")</x:f>
        <x:v>是</x:v>
      </x:c>
      <x:c r="M1387" s="217" t="n">
        <x:f>COUNTIF(H1387:L1387,"是")</x:f>
        <x:v>3</x:v>
      </x:c>
      <x:c r="N1387" s="217" t="str">
        <x:v>三份皆未入選</x:v>
      </x:c>
      <x:c r="O1387" s="220" t="n">
        <x:v>13.158333333333333</x:v>
      </x:c>
      <x:c r="P1387" s="220" t="n">
        <x:v>10.241666666666667</x:v>
      </x:c>
      <x:c r="Q1387" s="220" t="n">
        <x:v>2.9166666666666665</x:v>
      </x:c>
      <x:c r="R1387" s="220" t="n">
        <x:v>0.22165927802406588</x:v>
      </x:c>
      <x:c r="S1387" s="220" t="n">
        <x:v>24.548387096774192</x:v>
      </x:c>
      <x:c r="T1387" s="220" t="n">
        <x:v>22.096774193548388</x:v>
      </x:c>
      <x:c r="U1387" s="220" t="n">
        <x:v>2.4516129032258065</x:v>
      </x:c>
      <x:c r="V1387" s="218" t="n">
        <x:v>0.002304147465437788</x:v>
      </x:c>
      <x:c r="W1387" s="217" t="n">
        <x:v>2</x:v>
      </x:c>
      <x:c r="X1387" s="222" t="n">
        <x:v>120</x:v>
      </x:c>
      <x:c r="Y1387" s="217" t="n">
        <x:v>25</x:v>
      </x:c>
    </x:row>
    <x:row r="1388">
      <x:c r="A1388" s="216" t="n">
        <x:v>454</x:v>
      </x:c>
      <x:c r="B1388" s="216" t="str">
        <x:v>築禾樂社區</x:v>
      </x:c>
      <x:c r="C1388" s="216" t="str">
        <x:v>林口區</x:v>
      </x:c>
      <x:c r="D1388" s="216" t="n">
        <x:v>15</x:v>
      </x:c>
      <x:c r="E1388" s="216" t="n">
        <x:v>120</x:v>
      </x:c>
      <x:c r="F1388" s="219" t="n">
        <x:v>0.9994791666666667</x:v>
      </x:c>
      <x:c r="G1388" s="216" t="n">
        <x:v>1384</x:v>
      </x:c>
      <x:c r="H1388" s="216" t="str">
        <x:f>IF(G1388&lt;='排名定義'!$B$5,"是","")</x:f>
        <x:v>是</x:v>
      </x:c>
      <x:c r="I1388" s="216" t="n">
        <x:v>1376</x:v>
      </x:c>
      <x:c r="J1388" s="216" t="str">
        <x:f>IF(I1388&lt;='排名定義'!$B$5,"是","")</x:f>
        <x:v>是</x:v>
      </x:c>
      <x:c r="K1388" s="216" t="n">
        <x:v>1418</x:v>
      </x:c>
      <x:c r="L1388" s="216" t="str">
        <x:f>IF(K1388&lt;='排名定義'!$B$5,"是","")</x:f>
        <x:v>是</x:v>
      </x:c>
      <x:c r="M1388" s="216" t="n">
        <x:f>COUNTIF(H1388:L1388,"是")</x:f>
        <x:v>3</x:v>
      </x:c>
      <x:c r="N1388" s="216" t="str">
        <x:v>三份皆未入選</x:v>
      </x:c>
      <x:c r="O1388" s="221" t="n">
        <x:v>13.083333333333334</x:v>
      </x:c>
      <x:c r="P1388" s="221" t="n">
        <x:v>11.508333333333333</x:v>
      </x:c>
      <x:c r="Q1388" s="221" t="n">
        <x:v>1.575</x:v>
      </x:c>
      <x:c r="R1388" s="221" t="n">
        <x:v>0.12038216560509554</x:v>
      </x:c>
      <x:c r="S1388" s="221" t="n">
        <x:v>22.903225806451612</x:v>
      </x:c>
      <x:c r="T1388" s="221" t="n">
        <x:v>21</x:v>
      </x:c>
      <x:c r="U1388" s="221" t="n">
        <x:v>1.903225806451613</x:v>
      </x:c>
      <x:c r="V1388" s="219" t="n">
        <x:v>0</x:v>
      </x:c>
      <x:c r="W1388" s="216" t="n">
        <x:v>0</x:v>
      </x:c>
      <x:c r="X1388" s="223" t="n">
        <x:v>0</x:v>
      </x:c>
      <x:c r="Y1388" s="216" t="n">
        <x:v>15</x:v>
      </x:c>
    </x:row>
    <x:row r="1389">
      <x:c r="A1389" s="217" t="n">
        <x:v>453</x:v>
      </x:c>
      <x:c r="B1389" s="217" t="str">
        <x:v>湳仔二橋</x:v>
      </x:c>
      <x:c r="C1389" s="217" t="str">
        <x:v>板橋區</x:v>
      </x:c>
      <x:c r="D1389" s="217" t="n">
        <x:v>15</x:v>
      </x:c>
      <x:c r="E1389" s="217" t="n">
        <x:v>120</x:v>
      </x:c>
      <x:c r="F1389" s="218" t="n">
        <x:v>0.9994791666666667</x:v>
      </x:c>
      <x:c r="G1389" s="217" t="n">
        <x:v>1385</x:v>
      </x:c>
      <x:c r="H1389" s="217" t="str">
        <x:f>IF(G1389&lt;='排名定義'!$B$5,"是","")</x:f>
        <x:v>是</x:v>
      </x:c>
      <x:c r="I1389" s="217" t="n">
        <x:v>1384</x:v>
      </x:c>
      <x:c r="J1389" s="217" t="str">
        <x:f>IF(I1389&lt;='排名定義'!$B$5,"是","")</x:f>
        <x:v>是</x:v>
      </x:c>
      <x:c r="K1389" s="217" t="n">
        <x:v>1363</x:v>
      </x:c>
      <x:c r="L1389" s="217" t="str">
        <x:f>IF(K1389&lt;='排名定義'!$B$5,"是","")</x:f>
        <x:v>是</x:v>
      </x:c>
      <x:c r="M1389" s="217" t="n">
        <x:f>COUNTIF(H1389:L1389,"是")</x:f>
        <x:v>3</x:v>
      </x:c>
      <x:c r="N1389" s="217" t="str">
        <x:v>三份皆未入選</x:v>
      </x:c>
      <x:c r="O1389" s="220" t="n">
        <x:v>13.041666666666666</x:v>
      </x:c>
      <x:c r="P1389" s="220" t="n">
        <x:v>10.966666666666667</x:v>
      </x:c>
      <x:c r="Q1389" s="220" t="n">
        <x:v>2.075</x:v>
      </x:c>
      <x:c r="R1389" s="220" t="n">
        <x:v>0.15910543130990415</x:v>
      </x:c>
      <x:c r="S1389" s="220" t="n">
        <x:v>20.774193548387096</x:v>
      </x:c>
      <x:c r="T1389" s="220" t="n">
        <x:v>18.419354838709676</x:v>
      </x:c>
      <x:c r="U1389" s="220" t="n">
        <x:v>2.3548387096774195</x:v>
      </x:c>
      <x:c r="V1389" s="218" t="n">
        <x:v>0.020737327188940093</x:v>
      </x:c>
      <x:c r="W1389" s="217" t="n">
        <x:v>13</x:v>
      </x:c>
      <x:c r="X1389" s="222" t="n">
        <x:v>1710</x:v>
      </x:c>
      <x:c r="Y1389" s="217" t="n">
        <x:v>15</x:v>
      </x:c>
    </x:row>
    <x:row r="1390">
      <x:c r="A1390" s="216" t="n">
        <x:v>364</x:v>
      </x:c>
      <x:c r="B1390" s="216" t="str">
        <x:v>新北市立圖書館五股成功分館</x:v>
      </x:c>
      <x:c r="C1390" s="216" t="str">
        <x:v>五股區</x:v>
      </x:c>
      <x:c r="D1390" s="216" t="n">
        <x:v>15</x:v>
      </x:c>
      <x:c r="E1390" s="216" t="n">
        <x:v>120</x:v>
      </x:c>
      <x:c r="F1390" s="219" t="n">
        <x:v>0.9994791666666667</x:v>
      </x:c>
      <x:c r="G1390" s="216" t="n">
        <x:v>1386</x:v>
      </x:c>
      <x:c r="H1390" s="216" t="str">
        <x:f>IF(G1390&lt;='排名定義'!$B$5,"是","")</x:f>
        <x:v>是</x:v>
      </x:c>
      <x:c r="I1390" s="216" t="n">
        <x:v>1382</x:v>
      </x:c>
      <x:c r="J1390" s="216" t="str">
        <x:f>IF(I1390&lt;='排名定義'!$B$5,"是","")</x:f>
        <x:v>是</x:v>
      </x:c>
      <x:c r="K1390" s="216" t="n">
        <x:v>1398</x:v>
      </x:c>
      <x:c r="L1390" s="216" t="str">
        <x:f>IF(K1390&lt;='排名定義'!$B$5,"是","")</x:f>
        <x:v>是</x:v>
      </x:c>
      <x:c r="M1390" s="216" t="n">
        <x:f>COUNTIF(H1390:L1390,"是")</x:f>
        <x:v>3</x:v>
      </x:c>
      <x:c r="N1390" s="216" t="str">
        <x:v>三份皆未入選</x:v>
      </x:c>
      <x:c r="O1390" s="221" t="n">
        <x:v>13.025</x:v>
      </x:c>
      <x:c r="P1390" s="221" t="n">
        <x:v>11.283333333333333</x:v>
      </x:c>
      <x:c r="Q1390" s="221" t="n">
        <x:v>1.7416666666666667</x:v>
      </x:c>
      <x:c r="R1390" s="221" t="n">
        <x:v>0.13371721049264235</x:v>
      </x:c>
      <x:c r="S1390" s="221" t="n">
        <x:v>25.516129032258064</x:v>
      </x:c>
      <x:c r="T1390" s="221" t="n">
        <x:v>23.870967741935484</x:v>
      </x:c>
      <x:c r="U1390" s="221" t="n">
        <x:v>1.6451612903225807</x:v>
      </x:c>
      <x:c r="V1390" s="219" t="n">
        <x:v>0.07373271889400922</x:v>
      </x:c>
      <x:c r="W1390" s="216" t="n">
        <x:v>14</x:v>
      </x:c>
      <x:c r="X1390" s="223" t="n">
        <x:v>1560</x:v>
      </x:c>
      <x:c r="Y1390" s="216" t="n">
        <x:v>15</x:v>
      </x:c>
    </x:row>
    <x:row r="1391">
      <x:c r="A1391" s="217" t="n">
        <x:v>542</x:v>
      </x:c>
      <x:c r="B1391" s="217" t="str">
        <x:v>中興公園</x:v>
      </x:c>
      <x:c r="C1391" s="217" t="str">
        <x:v>中和區</x:v>
      </x:c>
      <x:c r="D1391" s="217" t="n">
        <x:v>17</x:v>
      </x:c>
      <x:c r="E1391" s="217" t="n">
        <x:v>120</x:v>
      </x:c>
      <x:c r="F1391" s="218" t="n">
        <x:v>0.9994791666666667</x:v>
      </x:c>
      <x:c r="G1391" s="217" t="n">
        <x:v>1387</x:v>
      </x:c>
      <x:c r="H1391" s="217" t="str">
        <x:f>IF(G1391&lt;='排名定義'!$B$5,"是","")</x:f>
        <x:v>是</x:v>
      </x:c>
      <x:c r="I1391" s="217" t="n">
        <x:v>1390</x:v>
      </x:c>
      <x:c r="J1391" s="217" t="str">
        <x:f>IF(I1391&lt;='排名定義'!$B$5,"是","")</x:f>
        <x:v>是</x:v>
      </x:c>
      <x:c r="K1391" s="217" t="n">
        <x:v>1337</x:v>
      </x:c>
      <x:c r="L1391" s="217" t="str">
        <x:f>IF(K1391&lt;='排名定義'!$B$5,"是","")</x:f>
        <x:v>是</x:v>
      </x:c>
      <x:c r="M1391" s="217" t="n">
        <x:f>COUNTIF(H1391:L1391,"是")</x:f>
        <x:v>3</x:v>
      </x:c>
      <x:c r="N1391" s="217" t="str">
        <x:v>三份皆未入選</x:v>
      </x:c>
      <x:c r="O1391" s="220" t="n">
        <x:v>12.991666666666667</x:v>
      </x:c>
      <x:c r="P1391" s="220" t="n">
        <x:v>10.733333333333333</x:v>
      </x:c>
      <x:c r="Q1391" s="220" t="n">
        <x:v>2.2583333333333333</x:v>
      </x:c>
      <x:c r="R1391" s="220" t="n">
        <x:v>0.17382937780628607</x:v>
      </x:c>
      <x:c r="S1391" s="220" t="n">
        <x:v>25.903225806451612</x:v>
      </x:c>
      <x:c r="T1391" s="220" t="n">
        <x:v>22.838709677419356</x:v>
      </x:c>
      <x:c r="U1391" s="220" t="n">
        <x:v>3.064516129032258</x:v>
      </x:c>
      <x:c r="V1391" s="218" t="n">
        <x:v>0.018433179723502304</x:v>
      </x:c>
      <x:c r="W1391" s="217" t="n">
        <x:v>9</x:v>
      </x:c>
      <x:c r="X1391" s="222" t="n">
        <x:v>780</x:v>
      </x:c>
      <x:c r="Y1391" s="217" t="n">
        <x:v>17</x:v>
      </x:c>
    </x:row>
    <x:row r="1392">
      <x:c r="A1392" s="216" t="n">
        <x:v>726</x:v>
      </x:c>
      <x:c r="B1392" s="216" t="str">
        <x:v>礫間停車場</x:v>
      </x:c>
      <x:c r="C1392" s="216" t="str">
        <x:v>鶯歌區</x:v>
      </x:c>
      <x:c r="D1392" s="216" t="n">
        <x:v>20</x:v>
      </x:c>
      <x:c r="E1392" s="216" t="n">
        <x:v>120</x:v>
      </x:c>
      <x:c r="F1392" s="219" t="n">
        <x:v>0.9994791666666667</x:v>
      </x:c>
      <x:c r="G1392" s="216" t="n">
        <x:v>1388</x:v>
      </x:c>
      <x:c r="H1392" s="216" t="str">
        <x:f>IF(G1392&lt;='排名定義'!$B$5,"是","")</x:f>
        <x:v>是</x:v>
      </x:c>
      <x:c r="I1392" s="216" t="n">
        <x:v>1402</x:v>
      </x:c>
      <x:c r="J1392" s="216" t="str">
        <x:f>IF(I1392&lt;='排名定義'!$B$5,"是","")</x:f>
        <x:v>是</x:v>
      </x:c>
      <x:c r="K1392" s="216" t="n">
        <x:v>1266</x:v>
      </x:c>
      <x:c r="L1392" s="216" t="str">
        <x:f>IF(K1392&lt;='排名定義'!$B$5,"是","")</x:f>
        <x:v>是</x:v>
      </x:c>
      <x:c r="M1392" s="216" t="n">
        <x:f>COUNTIF(H1392:L1392,"是")</x:f>
        <x:v>3</x:v>
      </x:c>
      <x:c r="N1392" s="216" t="str">
        <x:v>三份皆未入選</x:v>
      </x:c>
      <x:c r="O1392" s="221" t="n">
        <x:v>12.891666666666667</x:v>
      </x:c>
      <x:c r="P1392" s="221" t="n">
        <x:v>10.25</x:v>
      </x:c>
      <x:c r="Q1392" s="221" t="n">
        <x:v>2.6416666666666666</x:v>
      </x:c>
      <x:c r="R1392" s="221" t="n">
        <x:v>0.20491273432449902</x:v>
      </x:c>
      <x:c r="S1392" s="221" t="n">
        <x:v>22.903225806451612</x:v>
      </x:c>
      <x:c r="T1392" s="221" t="n">
        <x:v>20.06451612903226</x:v>
      </x:c>
      <x:c r="U1392" s="221" t="n">
        <x:v>2.838709677419355</x:v>
      </x:c>
      <x:c r="V1392" s="219" t="n">
        <x:v>0.02534562211981567</x:v>
      </x:c>
      <x:c r="W1392" s="216" t="n">
        <x:v>6</x:v>
      </x:c>
      <x:c r="X1392" s="223" t="n">
        <x:v>630</x:v>
      </x:c>
      <x:c r="Y1392" s="216" t="n">
        <x:v>20</x:v>
      </x:c>
    </x:row>
    <x:row r="1393">
      <x:c r="A1393" s="217" t="n">
        <x:v>111</x:v>
      </x:c>
      <x:c r="B1393" s="217" t="str">
        <x:v>二橋虹橋公園</x:v>
      </x:c>
      <x:c r="C1393" s="217" t="str">
        <x:v>鶯歌區</x:v>
      </x:c>
      <x:c r="D1393" s="217" t="n">
        <x:v>10</x:v>
      </x:c>
      <x:c r="E1393" s="217" t="n">
        <x:v>120</x:v>
      </x:c>
      <x:c r="F1393" s="218" t="n">
        <x:v>0.9994791666666667</x:v>
      </x:c>
      <x:c r="G1393" s="217" t="n">
        <x:v>1389</x:v>
      </x:c>
      <x:c r="H1393" s="217" t="str">
        <x:f>IF(G1393&lt;='排名定義'!$B$5,"是","")</x:f>
        <x:v>是</x:v>
      </x:c>
      <x:c r="I1393" s="217" t="n">
        <x:v>1395</x:v>
      </x:c>
      <x:c r="J1393" s="217" t="str">
        <x:f>IF(I1393&lt;='排名定義'!$B$5,"是","")</x:f>
        <x:v>是</x:v>
      </x:c>
      <x:c r="K1393" s="217" t="n">
        <x:v>1341</x:v>
      </x:c>
      <x:c r="L1393" s="217" t="str">
        <x:f>IF(K1393&lt;='排名定義'!$B$5,"是","")</x:f>
        <x:v>是</x:v>
      </x:c>
      <x:c r="M1393" s="217" t="n">
        <x:f>COUNTIF(H1393:L1393,"是")</x:f>
        <x:v>3</x:v>
      </x:c>
      <x:c r="N1393" s="217" t="str">
        <x:v>三份皆未入選</x:v>
      </x:c>
      <x:c r="O1393" s="220" t="n">
        <x:v>12.791666666666666</x:v>
      </x:c>
      <x:c r="P1393" s="220" t="n">
        <x:v>10.566666666666666</x:v>
      </x:c>
      <x:c r="Q1393" s="220" t="n">
        <x:v>2.225</x:v>
      </x:c>
      <x:c r="R1393" s="220" t="n">
        <x:v>0.1739413680781759</x:v>
      </x:c>
      <x:c r="S1393" s="220" t="n">
        <x:v>23.612903225806452</x:v>
      </x:c>
      <x:c r="T1393" s="220" t="n">
        <x:v>21.774193548387096</x:v>
      </x:c>
      <x:c r="U1393" s="220" t="n">
        <x:v>1.8387096774193548</x:v>
      </x:c>
      <x:c r="V1393" s="218" t="n">
        <x:v>0.055299539170506916</x:v>
      </x:c>
      <x:c r="W1393" s="217" t="n">
        <x:v>9</x:v>
      </x:c>
      <x:c r="X1393" s="222" t="n">
        <x:v>1320</x:v>
      </x:c>
      <x:c r="Y1393" s="217" t="n">
        <x:v>10</x:v>
      </x:c>
    </x:row>
    <x:row r="1394">
      <x:c r="A1394" s="216" t="n">
        <x:v>1265</x:v>
      </x:c>
      <x:c r="B1394" s="216" t="str">
        <x:v>承天路4巷(MRT社區)</x:v>
      </x:c>
      <x:c r="C1394" s="216" t="str">
        <x:v>土城區</x:v>
      </x:c>
      <x:c r="D1394" s="216" t="n">
        <x:v>40</x:v>
      </x:c>
      <x:c r="E1394" s="216" t="n">
        <x:v>120</x:v>
      </x:c>
      <x:c r="F1394" s="219" t="n">
        <x:v>0.9994791666666667</x:v>
      </x:c>
      <x:c r="G1394" s="216" t="n">
        <x:v>1390</x:v>
      </x:c>
      <x:c r="H1394" s="216" t="str">
        <x:f>IF(G1394&lt;='排名定義'!$B$5,"是","")</x:f>
        <x:v>是</x:v>
      </x:c>
      <x:c r="I1394" s="216" t="n">
        <x:v>1411</x:v>
      </x:c>
      <x:c r="J1394" s="216" t="str">
        <x:f>IF(I1394&lt;='排名定義'!$B$5,"是","")</x:f>
        <x:v>是</x:v>
      </x:c>
      <x:c r="K1394" s="216" t="n">
        <x:v>1185</x:v>
      </x:c>
      <x:c r="L1394" s="216" t="str">
        <x:f>IF(K1394&lt;='排名定義'!$B$5,"是","")</x:f>
        <x:v>是</x:v>
      </x:c>
      <x:c r="M1394" s="216" t="n">
        <x:f>COUNTIF(H1394:L1394,"是")</x:f>
        <x:v>3</x:v>
      </x:c>
      <x:c r="N1394" s="216" t="str">
        <x:v>三份皆未入選</x:v>
      </x:c>
      <x:c r="O1394" s="221" t="n">
        <x:v>12.725</x:v>
      </x:c>
      <x:c r="P1394" s="221" t="n">
        <x:v>9.775</x:v>
      </x:c>
      <x:c r="Q1394" s="221" t="n">
        <x:v>2.95</x:v>
      </x:c>
      <x:c r="R1394" s="221" t="n">
        <x:v>0.2318271119842829</x:v>
      </x:c>
      <x:c r="S1394" s="221" t="n">
        <x:v>23.70967741935484</x:v>
      </x:c>
      <x:c r="T1394" s="221" t="n">
        <x:v>20.548387096774192</x:v>
      </x:c>
      <x:c r="U1394" s="221" t="n">
        <x:v>3.161290322580645</x:v>
      </x:c>
      <x:c r="V1394" s="219" t="n">
        <x:v>0</x:v>
      </x:c>
      <x:c r="W1394" s="216" t="n">
        <x:v>0</x:v>
      </x:c>
      <x:c r="X1394" s="223" t="n">
        <x:v>0</x:v>
      </x:c>
      <x:c r="Y1394" s="216" t="n">
        <x:v>40</x:v>
      </x:c>
    </x:row>
    <x:row r="1395">
      <x:c r="A1395" s="217" t="n">
        <x:v>630</x:v>
      </x:c>
      <x:c r="B1395" s="217" t="str">
        <x:v>中興路二段37巷口</x:v>
      </x:c>
      <x:c r="C1395" s="217" t="str">
        <x:v>五股區</x:v>
      </x:c>
      <x:c r="D1395" s="217" t="n">
        <x:v>20</x:v>
      </x:c>
      <x:c r="E1395" s="217" t="n">
        <x:v>120</x:v>
      </x:c>
      <x:c r="F1395" s="218" t="n">
        <x:v>0.9994791666666667</x:v>
      </x:c>
      <x:c r="G1395" s="217" t="n">
        <x:v>1391</x:v>
      </x:c>
      <x:c r="H1395" s="217" t="str">
        <x:f>IF(G1395&lt;='排名定義'!$B$5,"是","")</x:f>
        <x:v>是</x:v>
      </x:c>
      <x:c r="I1395" s="217" t="n">
        <x:v>1394</x:v>
      </x:c>
      <x:c r="J1395" s="217" t="str">
        <x:f>IF(I1395&lt;='排名定義'!$B$5,"是","")</x:f>
        <x:v>是</x:v>
      </x:c>
      <x:c r="K1395" s="217" t="n">
        <x:v>1356</x:v>
      </x:c>
      <x:c r="L1395" s="217" t="str">
        <x:f>IF(K1395&lt;='排名定義'!$B$5,"是","")</x:f>
        <x:v>是</x:v>
      </x:c>
      <x:c r="M1395" s="217" t="n">
        <x:f>COUNTIF(H1395:L1395,"是")</x:f>
        <x:v>3</x:v>
      </x:c>
      <x:c r="N1395" s="217" t="str">
        <x:v>三份皆未入選</x:v>
      </x:c>
      <x:c r="O1395" s="220" t="n">
        <x:v>12.708333333333334</x:v>
      </x:c>
      <x:c r="P1395" s="220" t="n">
        <x:v>10.575</x:v>
      </x:c>
      <x:c r="Q1395" s="220" t="n">
        <x:v>2.1333333333333333</x:v>
      </x:c>
      <x:c r="R1395" s="220" t="n">
        <x:v>0.1678688524590164</x:v>
      </x:c>
      <x:c r="S1395" s="220" t="n">
        <x:v>22.161290322580644</x:v>
      </x:c>
      <x:c r="T1395" s="220" t="n">
        <x:v>20.06451612903226</x:v>
      </x:c>
      <x:c r="U1395" s="220" t="n">
        <x:v>2.096774193548387</x:v>
      </x:c>
      <x:c r="V1395" s="218" t="n">
        <x:v>0.002304147465437788</x:v>
      </x:c>
      <x:c r="W1395" s="217" t="n">
        <x:v>2</x:v>
      </x:c>
      <x:c r="X1395" s="222" t="n">
        <x:v>270</x:v>
      </x:c>
      <x:c r="Y1395" s="217" t="n">
        <x:v>20</x:v>
      </x:c>
    </x:row>
    <x:row r="1396">
      <x:c r="A1396" s="216" t="n">
        <x:v>243</x:v>
      </x:c>
      <x:c r="B1396" s="216" t="str">
        <x:v>深坑國中</x:v>
      </x:c>
      <x:c r="C1396" s="216" t="str">
        <x:v>深坑區</x:v>
      </x:c>
      <x:c r="D1396" s="216" t="n">
        <x:v>13</x:v>
      </x:c>
      <x:c r="E1396" s="216" t="n">
        <x:v>120</x:v>
      </x:c>
      <x:c r="F1396" s="219" t="n">
        <x:v>0.9994791666666667</x:v>
      </x:c>
      <x:c r="G1396" s="216" t="n">
        <x:v>1392</x:v>
      </x:c>
      <x:c r="H1396" s="216" t="str">
        <x:f>IF(G1396&lt;='排名定義'!$B$5,"是","")</x:f>
        <x:v>是</x:v>
      </x:c>
      <x:c r="I1396" s="216" t="n">
        <x:v>1378</x:v>
      </x:c>
      <x:c r="J1396" s="216" t="str">
        <x:f>IF(I1396&lt;='排名定義'!$B$5,"是","")</x:f>
        <x:v>是</x:v>
      </x:c>
      <x:c r="K1396" s="216" t="n">
        <x:v>1444</x:v>
      </x:c>
      <x:c r="L1396" s="216" t="str">
        <x:f>IF(K1396&lt;='排名定義'!$B$5,"是","")</x:f>
        <x:v>是</x:v>
      </x:c>
      <x:c r="M1396" s="216" t="n">
        <x:f>COUNTIF(H1396:L1396,"是")</x:f>
        <x:v>3</x:v>
      </x:c>
      <x:c r="N1396" s="216" t="str">
        <x:v>三份皆未入選</x:v>
      </x:c>
      <x:c r="O1396" s="221" t="n">
        <x:v>12.7</x:v>
      </x:c>
      <x:c r="P1396" s="221" t="n">
        <x:v>11.458333333333334</x:v>
      </x:c>
      <x:c r="Q1396" s="221" t="n">
        <x:v>1.2416666666666667</x:v>
      </x:c>
      <x:c r="R1396" s="221" t="n">
        <x:v>0.09776902887139108</x:v>
      </x:c>
      <x:c r="S1396" s="221" t="n">
        <x:v>22.967741935483872</x:v>
      </x:c>
      <x:c r="T1396" s="221" t="n">
        <x:v>21.225806451612904</x:v>
      </x:c>
      <x:c r="U1396" s="221" t="n">
        <x:v>1.7419354838709677</x:v>
      </x:c>
      <x:c r="V1396" s="219" t="n">
        <x:v>0.02534562211981567</x:v>
      </x:c>
      <x:c r="W1396" s="216" t="n">
        <x:v>6</x:v>
      </x:c>
      <x:c r="X1396" s="223" t="n">
        <x:v>1170</x:v>
      </x:c>
      <x:c r="Y1396" s="216" t="n">
        <x:v>13</x:v>
      </x:c>
    </x:row>
    <x:row r="1397">
      <x:c r="A1397" s="217" t="n">
        <x:v>402</x:v>
      </x:c>
      <x:c r="B1397" s="217" t="str">
        <x:v>三芝區公所</x:v>
      </x:c>
      <x:c r="C1397" s="217" t="str">
        <x:v>三芝區</x:v>
      </x:c>
      <x:c r="D1397" s="217" t="n">
        <x:v>15</x:v>
      </x:c>
      <x:c r="E1397" s="217" t="n">
        <x:v>120</x:v>
      </x:c>
      <x:c r="F1397" s="218" t="n">
        <x:v>0.9994791666666667</x:v>
      </x:c>
      <x:c r="G1397" s="217" t="n">
        <x:v>1393</x:v>
      </x:c>
      <x:c r="H1397" s="217" t="str">
        <x:f>IF(G1397&lt;='排名定義'!$B$5,"是","")</x:f>
        <x:v>是</x:v>
      </x:c>
      <x:c r="I1397" s="217" t="n">
        <x:v>1387</x:v>
      </x:c>
      <x:c r="J1397" s="217" t="str">
        <x:f>IF(I1397&lt;='排名定義'!$B$5,"是","")</x:f>
        <x:v>是</x:v>
      </x:c>
      <x:c r="K1397" s="217" t="n">
        <x:v>1395</x:v>
      </x:c>
      <x:c r="L1397" s="217" t="str">
        <x:f>IF(K1397&lt;='排名定義'!$B$5,"是","")</x:f>
        <x:v>是</x:v>
      </x:c>
      <x:c r="M1397" s="217" t="n">
        <x:f>COUNTIF(H1397:L1397,"是")</x:f>
        <x:v>3</x:v>
      </x:c>
      <x:c r="N1397" s="217" t="str">
        <x:v>三份皆未入選</x:v>
      </x:c>
      <x:c r="O1397" s="220" t="n">
        <x:v>12.6</x:v>
      </x:c>
      <x:c r="P1397" s="220" t="n">
        <x:v>10.825</x:v>
      </x:c>
      <x:c r="Q1397" s="220" t="n">
        <x:v>1.775</x:v>
      </x:c>
      <x:c r="R1397" s="220" t="n">
        <x:v>0.14087301587301587</x:v>
      </x:c>
      <x:c r="S1397" s="220" t="n">
        <x:v>25.838709677419356</x:v>
      </x:c>
      <x:c r="T1397" s="220" t="n">
        <x:v>23.419354838709676</x:v>
      </x:c>
      <x:c r="U1397" s="220" t="n">
        <x:v>2.4193548387096775</x:v>
      </x:c>
      <x:c r="V1397" s="218" t="n">
        <x:v>0.04838709677419355</x:v>
      </x:c>
      <x:c r="W1397" s="217" t="n">
        <x:v>10</x:v>
      </x:c>
      <x:c r="X1397" s="222" t="n">
        <x:v>1620</x:v>
      </x:c>
      <x:c r="Y1397" s="217" t="n">
        <x:v>15</x:v>
      </x:c>
    </x:row>
    <x:row r="1398">
      <x:c r="A1398" s="216" t="n">
        <x:v>509</x:v>
      </x:c>
      <x:c r="B1398" s="216" t="str">
        <x:v>湖光市民活動中心</x:v>
      </x:c>
      <x:c r="C1398" s="216" t="str">
        <x:v>汐止區</x:v>
      </x:c>
      <x:c r="D1398" s="216" t="n">
        <x:v>16</x:v>
      </x:c>
      <x:c r="E1398" s="216" t="n">
        <x:v>120</x:v>
      </x:c>
      <x:c r="F1398" s="219" t="n">
        <x:v>0.9994791666666667</x:v>
      </x:c>
      <x:c r="G1398" s="216" t="n">
        <x:v>1394</x:v>
      </x:c>
      <x:c r="H1398" s="216" t="str">
        <x:f>IF(G1398&lt;='排名定義'!$B$5,"是","")</x:f>
        <x:v>是</x:v>
      </x:c>
      <x:c r="I1398" s="216" t="n">
        <x:v>1392</x:v>
      </x:c>
      <x:c r="J1398" s="216" t="str">
        <x:f>IF(I1398&lt;='排名定義'!$B$5,"是","")</x:f>
        <x:v>是</x:v>
      </x:c>
      <x:c r="K1398" s="216" t="n">
        <x:v>1386</x:v>
      </x:c>
      <x:c r="L1398" s="216" t="str">
        <x:f>IF(K1398&lt;='排名定義'!$B$5,"是","")</x:f>
        <x:v>是</x:v>
      </x:c>
      <x:c r="M1398" s="216" t="n">
        <x:f>COUNTIF(H1398:L1398,"是")</x:f>
        <x:v>3</x:v>
      </x:c>
      <x:c r="N1398" s="216" t="str">
        <x:v>三份皆未入選</x:v>
      </x:c>
      <x:c r="O1398" s="221" t="n">
        <x:v>12.533333333333333</x:v>
      </x:c>
      <x:c r="P1398" s="221" t="n">
        <x:v>10.616666666666667</x:v>
      </x:c>
      <x:c r="Q1398" s="221" t="n">
        <x:v>1.9166666666666667</x:v>
      </x:c>
      <x:c r="R1398" s="221" t="n">
        <x:v>0.1529255319148936</x:v>
      </x:c>
      <x:c r="S1398" s="221" t="n">
        <x:v>19.774193548387096</x:v>
      </x:c>
      <x:c r="T1398" s="221" t="n">
        <x:v>18.06451612903226</x:v>
      </x:c>
      <x:c r="U1398" s="221" t="n">
        <x:v>1.7096774193548387</x:v>
      </x:c>
      <x:c r="V1398" s="219" t="n">
        <x:v>0.009216589861751152</x:v>
      </x:c>
      <x:c r="W1398" s="216" t="n">
        <x:v>2</x:v>
      </x:c>
      <x:c r="X1398" s="223" t="n">
        <x:v>210</x:v>
      </x:c>
      <x:c r="Y1398" s="216" t="n">
        <x:v>16</x:v>
      </x:c>
    </x:row>
    <x:row r="1399">
      <x:c r="A1399" s="217" t="n">
        <x:v>188</x:v>
      </x:c>
      <x:c r="B1399" s="217" t="str">
        <x:v>板橋435藝文特區(環河西路)</x:v>
      </x:c>
      <x:c r="C1399" s="217" t="str">
        <x:v>板橋區</x:v>
      </x:c>
      <x:c r="D1399" s="217" t="n">
        <x:v>12</x:v>
      </x:c>
      <x:c r="E1399" s="217" t="n">
        <x:v>120</x:v>
      </x:c>
      <x:c r="F1399" s="218" t="n">
        <x:v>0.9994791666666667</x:v>
      </x:c>
      <x:c r="G1399" s="217" t="n">
        <x:v>1395</x:v>
      </x:c>
      <x:c r="H1399" s="217" t="str">
        <x:f>IF(G1399&lt;='排名定義'!$B$5,"是","")</x:f>
        <x:v>是</x:v>
      </x:c>
      <x:c r="I1399" s="217" t="n">
        <x:v>1388</x:v>
      </x:c>
      <x:c r="J1399" s="217" t="str">
        <x:f>IF(I1399&lt;='排名定義'!$B$5,"是","")</x:f>
        <x:v>是</x:v>
      </x:c>
      <x:c r="K1399" s="217" t="n">
        <x:v>1406</x:v>
      </x:c>
      <x:c r="L1399" s="217" t="str">
        <x:f>IF(K1399&lt;='排名定義'!$B$5,"是","")</x:f>
        <x:v>是</x:v>
      </x:c>
      <x:c r="M1399" s="217" t="n">
        <x:f>COUNTIF(H1399:L1399,"是")</x:f>
        <x:v>3</x:v>
      </x:c>
      <x:c r="N1399" s="217" t="str">
        <x:v>三份皆未入選</x:v>
      </x:c>
      <x:c r="O1399" s="220" t="n">
        <x:v>12.483333333333333</x:v>
      </x:c>
      <x:c r="P1399" s="220" t="n">
        <x:v>10.783333333333333</x:v>
      </x:c>
      <x:c r="Q1399" s="220" t="n">
        <x:v>1.7</x:v>
      </x:c>
      <x:c r="R1399" s="220" t="n">
        <x:v>0.13618157543391188</x:v>
      </x:c>
      <x:c r="S1399" s="220" t="n">
        <x:v>24.967741935483872</x:v>
      </x:c>
      <x:c r="T1399" s="220" t="n">
        <x:v>23.129032258064516</x:v>
      </x:c>
      <x:c r="U1399" s="220" t="n">
        <x:v>1.8387096774193548</x:v>
      </x:c>
      <x:c r="V1399" s="218" t="n">
        <x:v>0.02534562211981567</x:v>
      </x:c>
      <x:c r="W1399" s="217" t="n">
        <x:v>6</x:v>
      </x:c>
      <x:c r="X1399" s="222" t="n">
        <x:v>600</x:v>
      </x:c>
      <x:c r="Y1399" s="217" t="n">
        <x:v>12</x:v>
      </x:c>
    </x:row>
    <x:row r="1400">
      <x:c r="A1400" s="216" t="n">
        <x:v>433</x:v>
      </x:c>
      <x:c r="B1400" s="216" t="str">
        <x:v>湖子和福宮</x:v>
      </x:c>
      <x:c r="C1400" s="216" t="str">
        <x:v>林口區</x:v>
      </x:c>
      <x:c r="D1400" s="216" t="n">
        <x:v>15</x:v>
      </x:c>
      <x:c r="E1400" s="216" t="n">
        <x:v>120</x:v>
      </x:c>
      <x:c r="F1400" s="219" t="n">
        <x:v>0.9994791666666667</x:v>
      </x:c>
      <x:c r="G1400" s="216" t="n">
        <x:v>1396</x:v>
      </x:c>
      <x:c r="H1400" s="216" t="str">
        <x:f>IF(G1400&lt;='排名定義'!$B$5,"是","")</x:f>
        <x:v>是</x:v>
      </x:c>
      <x:c r="I1400" s="216" t="n">
        <x:v>1399</x:v>
      </x:c>
      <x:c r="J1400" s="216" t="str">
        <x:f>IF(I1400&lt;='排名定義'!$B$5,"是","")</x:f>
        <x:v>是</x:v>
      </x:c>
      <x:c r="K1400" s="216" t="n">
        <x:v>1372</x:v>
      </x:c>
      <x:c r="L1400" s="216" t="str">
        <x:f>IF(K1400&lt;='排名定義'!$B$5,"是","")</x:f>
        <x:v>是</x:v>
      </x:c>
      <x:c r="M1400" s="216" t="n">
        <x:f>COUNTIF(H1400:L1400,"是")</x:f>
        <x:v>3</x:v>
      </x:c>
      <x:c r="N1400" s="216" t="str">
        <x:v>三份皆未入選</x:v>
      </x:c>
      <x:c r="O1400" s="221" t="n">
        <x:v>12.441666666666666</x:v>
      </x:c>
      <x:c r="P1400" s="221" t="n">
        <x:v>10.425</x:v>
      </x:c>
      <x:c r="Q1400" s="221" t="n">
        <x:v>2.0166666666666666</x:v>
      </x:c>
      <x:c r="R1400" s="221" t="n">
        <x:v>0.1620897521768252</x:v>
      </x:c>
      <x:c r="S1400" s="221" t="n">
        <x:v>22</x:v>
      </x:c>
      <x:c r="T1400" s="221" t="n">
        <x:v>19.93548387096774</x:v>
      </x:c>
      <x:c r="U1400" s="221" t="n">
        <x:v>2.064516129032258</x:v>
      </x:c>
      <x:c r="V1400" s="219" t="n">
        <x:v>0.020737327188940093</x:v>
      </x:c>
      <x:c r="W1400" s="216" t="n">
        <x:v>5</x:v>
      </x:c>
      <x:c r="X1400" s="223" t="n">
        <x:v>570</x:v>
      </x:c>
      <x:c r="Y1400" s="216" t="n">
        <x:v>15</x:v>
      </x:c>
    </x:row>
    <x:row r="1401">
      <x:c r="A1401" s="217" t="n">
        <x:v>624</x:v>
      </x:c>
      <x:c r="B1401" s="217" t="str">
        <x:v>薇多綠雅社區(警衛亭)</x:v>
      </x:c>
      <x:c r="C1401" s="217" t="str">
        <x:v>三峽區</x:v>
      </x:c>
      <x:c r="D1401" s="217" t="n">
        <x:v>19</x:v>
      </x:c>
      <x:c r="E1401" s="217" t="n">
        <x:v>120</x:v>
      </x:c>
      <x:c r="F1401" s="218" t="n">
        <x:v>0.9994791666666667</x:v>
      </x:c>
      <x:c r="G1401" s="217" t="n">
        <x:v>1397</x:v>
      </x:c>
      <x:c r="H1401" s="217" t="str">
        <x:f>IF(G1401&lt;='排名定義'!$B$5,"是","")</x:f>
        <x:v>是</x:v>
      </x:c>
      <x:c r="I1401" s="217" t="n">
        <x:v>1400</x:v>
      </x:c>
      <x:c r="J1401" s="217" t="str">
        <x:f>IF(I1401&lt;='排名定義'!$B$5,"是","")</x:f>
        <x:v>是</x:v>
      </x:c>
      <x:c r="K1401" s="217" t="n">
        <x:v>1373</x:v>
      </x:c>
      <x:c r="L1401" s="217" t="str">
        <x:f>IF(K1401&lt;='排名定義'!$B$5,"是","")</x:f>
        <x:v>是</x:v>
      </x:c>
      <x:c r="M1401" s="217" t="n">
        <x:f>COUNTIF(H1401:L1401,"是")</x:f>
        <x:v>3</x:v>
      </x:c>
      <x:c r="N1401" s="217" t="str">
        <x:v>三份皆未入選</x:v>
      </x:c>
      <x:c r="O1401" s="220" t="n">
        <x:v>12.433333333333334</x:v>
      </x:c>
      <x:c r="P1401" s="220" t="n">
        <x:v>10.416666666666666</x:v>
      </x:c>
      <x:c r="Q1401" s="220" t="n">
        <x:v>2.0166666666666666</x:v>
      </x:c>
      <x:c r="R1401" s="220" t="n">
        <x:v>0.16219839142091153</x:v>
      </x:c>
      <x:c r="S1401" s="220" t="n">
        <x:v>25</x:v>
      </x:c>
      <x:c r="T1401" s="220" t="n">
        <x:v>22.096774193548388</x:v>
      </x:c>
      <x:c r="U1401" s="220" t="n">
        <x:v>2.903225806451613</x:v>
      </x:c>
      <x:c r="V1401" s="218" t="n">
        <x:v>0.02534562211981567</x:v>
      </x:c>
      <x:c r="W1401" s="217" t="n">
        <x:v>6</x:v>
      </x:c>
      <x:c r="X1401" s="222" t="n">
        <x:v>480</x:v>
      </x:c>
      <x:c r="Y1401" s="217" t="n">
        <x:v>19</x:v>
      </x:c>
    </x:row>
    <x:row r="1402">
      <x:c r="A1402" s="216" t="n">
        <x:v>512</x:v>
      </x:c>
      <x:c r="B1402" s="216" t="str">
        <x:v>中華郵政玫瑰城郵局</x:v>
      </x:c>
      <x:c r="C1402" s="216" t="str">
        <x:v>新店區</x:v>
      </x:c>
      <x:c r="D1402" s="216" t="n">
        <x:v>16</x:v>
      </x:c>
      <x:c r="E1402" s="216" t="n">
        <x:v>120</x:v>
      </x:c>
      <x:c r="F1402" s="219" t="n">
        <x:v>0.9994791666666667</x:v>
      </x:c>
      <x:c r="G1402" s="216" t="n">
        <x:v>1398</x:v>
      </x:c>
      <x:c r="H1402" s="216" t="str">
        <x:f>IF(G1402&lt;='排名定義'!$B$5,"是","")</x:f>
        <x:v>是</x:v>
      </x:c>
      <x:c r="I1402" s="216" t="n">
        <x:v>1412</x:v>
      </x:c>
      <x:c r="J1402" s="216" t="str">
        <x:f>IF(I1402&lt;='排名定義'!$B$5,"是","")</x:f>
        <x:v>是</x:v>
      </x:c>
      <x:c r="K1402" s="216" t="n">
        <x:v>1258</x:v>
      </x:c>
      <x:c r="L1402" s="216" t="str">
        <x:f>IF(K1402&lt;='排名定義'!$B$5,"是","")</x:f>
        <x:v>是</x:v>
      </x:c>
      <x:c r="M1402" s="216" t="n">
        <x:f>COUNTIF(H1402:L1402,"是")</x:f>
        <x:v>3</x:v>
      </x:c>
      <x:c r="N1402" s="216" t="str">
        <x:v>三份皆未入選</x:v>
      </x:c>
      <x:c r="O1402" s="221" t="n">
        <x:v>12.366666666666667</x:v>
      </x:c>
      <x:c r="P1402" s="221" t="n">
        <x:v>9.7</x:v>
      </x:c>
      <x:c r="Q1402" s="221" t="n">
        <x:v>2.6666666666666665</x:v>
      </x:c>
      <x:c r="R1402" s="221" t="n">
        <x:v>0.215633423180593</x:v>
      </x:c>
      <x:c r="S1402" s="221" t="n">
        <x:v>21.741935483870968</x:v>
      </x:c>
      <x:c r="T1402" s="221" t="n">
        <x:v>18.06451612903226</x:v>
      </x:c>
      <x:c r="U1402" s="221" t="n">
        <x:v>3.6774193548387095</x:v>
      </x:c>
      <x:c r="V1402" s="219" t="n">
        <x:v>0.016129032258064516</x:v>
      </x:c>
      <x:c r="W1402" s="216" t="n">
        <x:v>5</x:v>
      </x:c>
      <x:c r="X1402" s="223" t="n">
        <x:v>630</x:v>
      </x:c>
      <x:c r="Y1402" s="216" t="n">
        <x:v>16</x:v>
      </x:c>
    </x:row>
    <x:row r="1403">
      <x:c r="A1403" s="217" t="n">
        <x:v>213</x:v>
      </x:c>
      <x:c r="B1403" s="217" t="str">
        <x:v>深坑雲鄉路</x:v>
      </x:c>
      <x:c r="C1403" s="217" t="str">
        <x:v>深坑區</x:v>
      </x:c>
      <x:c r="D1403" s="217" t="n">
        <x:v>12</x:v>
      </x:c>
      <x:c r="E1403" s="217" t="n">
        <x:v>120</x:v>
      </x:c>
      <x:c r="F1403" s="218" t="n">
        <x:v>0.9994791666666667</x:v>
      </x:c>
      <x:c r="G1403" s="217" t="n">
        <x:v>1399</x:v>
      </x:c>
      <x:c r="H1403" s="217" t="str">
        <x:f>IF(G1403&lt;='排名定義'!$B$5,"是","")</x:f>
        <x:v>是</x:v>
      </x:c>
      <x:c r="I1403" s="217" t="n">
        <x:v>1385</x:v>
      </x:c>
      <x:c r="J1403" s="217" t="str">
        <x:f>IF(I1403&lt;='排名定義'!$B$5,"是","")</x:f>
        <x:v>是</x:v>
      </x:c>
      <x:c r="K1403" s="217" t="n">
        <x:v>1437</x:v>
      </x:c>
      <x:c r="L1403" s="217" t="str">
        <x:f>IF(K1403&lt;='排名定義'!$B$5,"是","")</x:f>
        <x:v>是</x:v>
      </x:c>
      <x:c r="M1403" s="217" t="n">
        <x:f>COUNTIF(H1403:L1403,"是")</x:f>
        <x:v>3</x:v>
      </x:c>
      <x:c r="N1403" s="217" t="str">
        <x:v>三份皆未入選</x:v>
      </x:c>
      <x:c r="O1403" s="220" t="n">
        <x:v>12.258333333333333</x:v>
      </x:c>
      <x:c r="P1403" s="220" t="n">
        <x:v>10.933333333333334</x:v>
      </x:c>
      <x:c r="Q1403" s="220" t="n">
        <x:v>1.325</x:v>
      </x:c>
      <x:c r="R1403" s="220" t="n">
        <x:v>0.10808973487423522</x:v>
      </x:c>
      <x:c r="S1403" s="220" t="n">
        <x:v>20.483870967741936</x:v>
      </x:c>
      <x:c r="T1403" s="220" t="n">
        <x:v>19.387096774193548</x:v>
      </x:c>
      <x:c r="U1403" s="220" t="n">
        <x:v>1.096774193548387</x:v>
      </x:c>
      <x:c r="V1403" s="218" t="n">
        <x:v>0.02304147465437788</x:v>
      </x:c>
      <x:c r="W1403" s="217" t="n">
        <x:v>12</x:v>
      </x:c>
      <x:c r="X1403" s="222" t="n">
        <x:v>2520</x:v>
      </x:c>
      <x:c r="Y1403" s="217" t="n">
        <x:v>12</x:v>
      </x:c>
    </x:row>
    <x:row r="1404">
      <x:c r="A1404" s="216" t="n">
        <x:v>725</x:v>
      </x:c>
      <x:c r="B1404" s="216" t="str">
        <x:v>濱湖大第(康寧街)</x:v>
      </x:c>
      <x:c r="C1404" s="216" t="str">
        <x:v>汐止區</x:v>
      </x:c>
      <x:c r="D1404" s="216" t="n">
        <x:v>20</x:v>
      </x:c>
      <x:c r="E1404" s="216" t="n">
        <x:v>120</x:v>
      </x:c>
      <x:c r="F1404" s="219" t="n">
        <x:v>0.9994791666666667</x:v>
      </x:c>
      <x:c r="G1404" s="216" t="n">
        <x:v>1400</x:v>
      </x:c>
      <x:c r="H1404" s="216" t="str">
        <x:f>IF(G1404&lt;='排名定義'!$B$5,"是","")</x:f>
        <x:v>是</x:v>
      </x:c>
      <x:c r="I1404" s="216" t="n">
        <x:v>1405</x:v>
      </x:c>
      <x:c r="J1404" s="216" t="str">
        <x:f>IF(I1404&lt;='排名定義'!$B$5,"是","")</x:f>
        <x:v>是</x:v>
      </x:c>
      <x:c r="K1404" s="216" t="n">
        <x:v>1346</x:v>
      </x:c>
      <x:c r="L1404" s="216" t="str">
        <x:f>IF(K1404&lt;='排名定義'!$B$5,"是","")</x:f>
        <x:v>是</x:v>
      </x:c>
      <x:c r="M1404" s="216" t="n">
        <x:f>COUNTIF(H1404:L1404,"是")</x:f>
        <x:v>3</x:v>
      </x:c>
      <x:c r="N1404" s="216" t="str">
        <x:v>三份皆未入選</x:v>
      </x:c>
      <x:c r="O1404" s="221" t="n">
        <x:v>12.166666666666666</x:v>
      </x:c>
      <x:c r="P1404" s="221" t="n">
        <x:v>9.975</x:v>
      </x:c>
      <x:c r="Q1404" s="221" t="n">
        <x:v>2.191666666666667</x:v>
      </x:c>
      <x:c r="R1404" s="221" t="n">
        <x:v>0.18013698630136987</x:v>
      </x:c>
      <x:c r="S1404" s="221" t="n">
        <x:v>24.129032258064516</x:v>
      </x:c>
      <x:c r="T1404" s="221" t="n">
        <x:v>21.129032258064516</x:v>
      </x:c>
      <x:c r="U1404" s="221" t="n">
        <x:v>3</x:v>
      </x:c>
      <x:c r="V1404" s="219" t="n">
        <x:v>0.018433179723502304</x:v>
      </x:c>
      <x:c r="W1404" s="216" t="n">
        <x:v>4</x:v>
      </x:c>
      <x:c r="X1404" s="223" t="n">
        <x:v>360</x:v>
      </x:c>
      <x:c r="Y1404" s="216" t="n">
        <x:v>20</x:v>
      </x:c>
    </x:row>
    <x:row r="1405">
      <x:c r="A1405" s="217" t="n">
        <x:v>759</x:v>
      </x:c>
      <x:c r="B1405" s="217" t="str">
        <x:v>崁頂三後洲路一段路口</x:v>
      </x:c>
      <x:c r="C1405" s="217" t="str">
        <x:v>淡水區</x:v>
      </x:c>
      <x:c r="D1405" s="217" t="n">
        <x:v>20</x:v>
      </x:c>
      <x:c r="E1405" s="217" t="n">
        <x:v>120</x:v>
      </x:c>
      <x:c r="F1405" s="218" t="n">
        <x:v>0.9994791666666667</x:v>
      </x:c>
      <x:c r="G1405" s="217" t="n">
        <x:v>1401</x:v>
      </x:c>
      <x:c r="H1405" s="217" t="str">
        <x:f>IF(G1405&lt;='排名定義'!$B$5,"是","")</x:f>
        <x:v>是</x:v>
      </x:c>
      <x:c r="I1405" s="217" t="n">
        <x:v>1404</x:v>
      </x:c>
      <x:c r="J1405" s="217" t="str">
        <x:f>IF(I1405&lt;='排名定義'!$B$5,"是","")</x:f>
        <x:v>是</x:v>
      </x:c>
      <x:c r="K1405" s="217" t="n">
        <x:v>1364</x:v>
      </x:c>
      <x:c r="L1405" s="217" t="str">
        <x:f>IF(K1405&lt;='排名定義'!$B$5,"是","")</x:f>
        <x:v>是</x:v>
      </x:c>
      <x:c r="M1405" s="217" t="n">
        <x:f>COUNTIF(H1405:L1405,"是")</x:f>
        <x:v>3</x:v>
      </x:c>
      <x:c r="N1405" s="217" t="str">
        <x:v>三份皆未入選</x:v>
      </x:c>
      <x:c r="O1405" s="220" t="n">
        <x:v>12.075</x:v>
      </x:c>
      <x:c r="P1405" s="220" t="n">
        <x:v>10</x:v>
      </x:c>
      <x:c r="Q1405" s="220" t="n">
        <x:v>2.075</x:v>
      </x:c>
      <x:c r="R1405" s="220" t="n">
        <x:v>0.17184265010351968</x:v>
      </x:c>
      <x:c r="S1405" s="220" t="n">
        <x:v>20.870967741935484</x:v>
      </x:c>
      <x:c r="T1405" s="220" t="n">
        <x:v>18.322580645161292</x:v>
      </x:c>
      <x:c r="U1405" s="220" t="n">
        <x:v>2.5483870967741935</x:v>
      </x:c>
      <x:c r="V1405" s="218" t="n">
        <x:v>0.029953917050691243</x:v>
      </x:c>
      <x:c r="W1405" s="217" t="n">
        <x:v>6</x:v>
      </x:c>
      <x:c r="X1405" s="222" t="n">
        <x:v>1140</x:v>
      </x:c>
      <x:c r="Y1405" s="217" t="n">
        <x:v>20</x:v>
      </x:c>
    </x:row>
    <x:row r="1406">
      <x:c r="A1406" s="216" t="n">
        <x:v>113</x:v>
      </x:c>
      <x:c r="B1406" s="216" t="str">
        <x:v>嘉穗公園</x:v>
      </x:c>
      <x:c r="C1406" s="216" t="str">
        <x:v>中和區</x:v>
      </x:c>
      <x:c r="D1406" s="216" t="n">
        <x:v>10</x:v>
      </x:c>
      <x:c r="E1406" s="216" t="n">
        <x:v>120</x:v>
      </x:c>
      <x:c r="F1406" s="219" t="n">
        <x:v>0.9994791666666667</x:v>
      </x:c>
      <x:c r="G1406" s="216" t="n">
        <x:v>1402</x:v>
      </x:c>
      <x:c r="H1406" s="216" t="str">
        <x:f>IF(G1406&lt;='排名定義'!$B$5,"是","")</x:f>
        <x:v>是</x:v>
      </x:c>
      <x:c r="I1406" s="216" t="n">
        <x:v>1397</x:v>
      </x:c>
      <x:c r="J1406" s="216" t="str">
        <x:f>IF(I1406&lt;='排名定義'!$B$5,"是","")</x:f>
        <x:v>是</x:v>
      </x:c>
      <x:c r="K1406" s="216" t="n">
        <x:v>1420</x:v>
      </x:c>
      <x:c r="L1406" s="216" t="str">
        <x:f>IF(K1406&lt;='排名定義'!$B$5,"是","")</x:f>
        <x:v>是</x:v>
      </x:c>
      <x:c r="M1406" s="216" t="n">
        <x:f>COUNTIF(H1406:L1406,"是")</x:f>
        <x:v>3</x:v>
      </x:c>
      <x:c r="N1406" s="216" t="str">
        <x:v>三份皆未入選</x:v>
      </x:c>
      <x:c r="O1406" s="221" t="n">
        <x:v>12.016666666666667</x:v>
      </x:c>
      <x:c r="P1406" s="221" t="n">
        <x:v>10.475</x:v>
      </x:c>
      <x:c r="Q1406" s="221" t="n">
        <x:v>1.5416666666666667</x:v>
      </x:c>
      <x:c r="R1406" s="221" t="n">
        <x:v>0.12829403606102635</x:v>
      </x:c>
      <x:c r="S1406" s="221" t="n">
        <x:v>21.258064516129032</x:v>
      </x:c>
      <x:c r="T1406" s="221" t="n">
        <x:v>19.967741935483872</x:v>
      </x:c>
      <x:c r="U1406" s="221" t="n">
        <x:v>1.2903225806451613</x:v>
      </x:c>
      <x:c r="V1406" s="219" t="n">
        <x:v>0.06451612903225806</x:v>
      </x:c>
      <x:c r="W1406" s="216" t="n">
        <x:v>12</x:v>
      </x:c>
      <x:c r="X1406" s="223" t="n">
        <x:v>1320</x:v>
      </x:c>
      <x:c r="Y1406" s="216" t="n">
        <x:v>10</x:v>
      </x:c>
    </x:row>
    <x:row r="1407">
      <x:c r="A1407" s="217" t="n">
        <x:v>338</x:v>
      </x:c>
      <x:c r="B1407" s="217" t="str">
        <x:v>公八停車場</x:v>
      </x:c>
      <x:c r="C1407" s="217" t="str">
        <x:v>鶯歌區</x:v>
      </x:c>
      <x:c r="D1407" s="217" t="n">
        <x:v>15</x:v>
      </x:c>
      <x:c r="E1407" s="217" t="n">
        <x:v>120</x:v>
      </x:c>
      <x:c r="F1407" s="218" t="n">
        <x:v>0.9994791666666667</x:v>
      </x:c>
      <x:c r="G1407" s="217" t="n">
        <x:v>1403</x:v>
      </x:c>
      <x:c r="H1407" s="217" t="str">
        <x:f>IF(G1407&lt;='排名定義'!$B$5,"是","")</x:f>
        <x:v>是</x:v>
      </x:c>
      <x:c r="I1407" s="217" t="n">
        <x:v>1386</x:v>
      </x:c>
      <x:c r="J1407" s="217" t="str">
        <x:f>IF(I1407&lt;='排名定義'!$B$5,"是","")</x:f>
        <x:v>是</x:v>
      </x:c>
      <x:c r="K1407" s="217" t="n">
        <x:v>1451</x:v>
      </x:c>
      <x:c r="L1407" s="217" t="str">
        <x:f>IF(K1407&lt;='排名定義'!$B$5,"是","")</x:f>
        <x:v>是</x:v>
      </x:c>
      <x:c r="M1407" s="217" t="n">
        <x:f>COUNTIF(H1407:L1407,"是")</x:f>
        <x:v>3</x:v>
      </x:c>
      <x:c r="N1407" s="217" t="str">
        <x:v>三份皆未入選</x:v>
      </x:c>
      <x:c r="O1407" s="220" t="n">
        <x:v>11.991666666666667</x:v>
      </x:c>
      <x:c r="P1407" s="220" t="n">
        <x:v>10.883333333333333</x:v>
      </x:c>
      <x:c r="Q1407" s="220" t="n">
        <x:v>1.1083333333333334</x:v>
      </x:c>
      <x:c r="R1407" s="220" t="n">
        <x:v>0.09242529534398888</x:v>
      </x:c>
      <x:c r="S1407" s="220" t="n">
        <x:v>19.741935483870968</x:v>
      </x:c>
      <x:c r="T1407" s="220" t="n">
        <x:v>16.806451612903224</x:v>
      </x:c>
      <x:c r="U1407" s="220" t="n">
        <x:v>2.935483870967742</x:v>
      </x:c>
      <x:c r="V1407" s="218" t="n">
        <x:v>0.31797235023041476</x:v>
      </x:c>
      <x:c r="W1407" s="217" t="n">
        <x:v>2</x:v>
      </x:c>
      <x:c r="X1407" s="222" t="n">
        <x:v>13920</x:v>
      </x:c>
      <x:c r="Y1407" s="217" t="n">
        <x:v>15</x:v>
      </x:c>
    </x:row>
    <x:row r="1408">
      <x:c r="A1408" s="216" t="n">
        <x:v>1528</x:v>
      </x:c>
      <x:c r="B1408" s="216" t="str">
        <x:v>中湖市民活動中心</x:v>
      </x:c>
      <x:c r="C1408" s="216" t="str">
        <x:v>鶯歌區</x:v>
      </x:c>
      <x:c r="D1408" s="216" t="n">
        <x:v>20</x:v>
      </x:c>
      <x:c r="E1408" s="216" t="n">
        <x:v>61</x:v>
      </x:c>
      <x:c r="F1408" s="219" t="n">
        <x:v>0.9996584699453552</x:v>
      </x:c>
      <x:c r="G1408" s="216" t="n">
        <x:v>1404</x:v>
      </x:c>
      <x:c r="H1408" s="216" t="str">
        <x:f>IF(G1408&lt;='排名定義'!$B$5,"是","")</x:f>
        <x:v>是</x:v>
      </x:c>
      <x:c r="I1408" s="216" t="n">
        <x:v>1407</x:v>
      </x:c>
      <x:c r="J1408" s="216" t="str">
        <x:f>IF(I1408&lt;='排名定義'!$B$5,"是","")</x:f>
        <x:v>是</x:v>
      </x:c>
      <x:c r="K1408" s="216" t="n">
        <x:v>1357</x:v>
      </x:c>
      <x:c r="L1408" s="216" t="str">
        <x:f>IF(K1408&lt;='排名定義'!$B$5,"是","")</x:f>
        <x:v>是</x:v>
      </x:c>
      <x:c r="M1408" s="216" t="n">
        <x:f>COUNTIF(H1408:L1408,"是")</x:f>
        <x:v>3</x:v>
      </x:c>
      <x:c r="N1408" s="216" t="str">
        <x:v>三份皆未入選</x:v>
      </x:c>
      <x:c r="O1408" s="221" t="n">
        <x:v>11.950819672131148</x:v>
      </x:c>
      <x:c r="P1408" s="221" t="n">
        <x:v>9.836065573770492</x:v>
      </x:c>
      <x:c r="Q1408" s="221" t="n">
        <x:v>2.1147540983606556</x:v>
      </x:c>
      <x:c r="R1408" s="221" t="n">
        <x:v>0.17695473251028807</x:v>
      </x:c>
      <x:c r="S1408" s="221" t="n">
        <x:v>14.612903225806452</x:v>
      </x:c>
      <x:c r="T1408" s="221" t="n">
        <x:v>12.612903225806452</x:v>
      </x:c>
      <x:c r="U1408" s="221" t="n">
        <x:v>2</x:v>
      </x:c>
      <x:c r="V1408" s="219" t="n">
        <x:v>0</x:v>
      </x:c>
      <x:c r="W1408" s="216" t="n">
        <x:v>0</x:v>
      </x:c>
      <x:c r="X1408" s="223" t="n">
        <x:v>0</x:v>
      </x:c>
      <x:c r="Y1408" s="216" t="n">
        <x:v>20</x:v>
      </x:c>
    </x:row>
    <x:row r="1409">
      <x:c r="A1409" s="217" t="n">
        <x:v>267</x:v>
      </x:c>
      <x:c r="B1409" s="217" t="str">
        <x:v>八里區民活動中心</x:v>
      </x:c>
      <x:c r="C1409" s="217" t="str">
        <x:v>八里區</x:v>
      </x:c>
      <x:c r="D1409" s="217" t="n">
        <x:v>14</x:v>
      </x:c>
      <x:c r="E1409" s="217" t="n">
        <x:v>120</x:v>
      </x:c>
      <x:c r="F1409" s="218" t="n">
        <x:v>0.9994791666666667</x:v>
      </x:c>
      <x:c r="G1409" s="217" t="n">
        <x:v>1405</x:v>
      </x:c>
      <x:c r="H1409" s="217" t="str">
        <x:f>IF(G1409&lt;='排名定義'!$B$5,"是","")</x:f>
        <x:v>是</x:v>
      </x:c>
      <x:c r="I1409" s="217" t="n">
        <x:v>1396</x:v>
      </x:c>
      <x:c r="J1409" s="217" t="str">
        <x:f>IF(I1409&lt;='排名定義'!$B$5,"是","")</x:f>
        <x:v>是</x:v>
      </x:c>
      <x:c r="K1409" s="217" t="n">
        <x:v>1440</x:v>
      </x:c>
      <x:c r="L1409" s="217" t="str">
        <x:f>IF(K1409&lt;='排名定義'!$B$5,"是","")</x:f>
        <x:v>是</x:v>
      </x:c>
      <x:c r="M1409" s="217" t="n">
        <x:f>COUNTIF(H1409:L1409,"是")</x:f>
        <x:v>3</x:v>
      </x:c>
      <x:c r="N1409" s="217" t="str">
        <x:v>三份皆未入選</x:v>
      </x:c>
      <x:c r="O1409" s="220" t="n">
        <x:v>11.85</x:v>
      </x:c>
      <x:c r="P1409" s="220" t="n">
        <x:v>10.541666666666666</x:v>
      </x:c>
      <x:c r="Q1409" s="220" t="n">
        <x:v>1.3083333333333333</x:v>
      </x:c>
      <x:c r="R1409" s="220" t="n">
        <x:v>0.11040787623066103</x:v>
      </x:c>
      <x:c r="S1409" s="220" t="n">
        <x:v>28.161290322580644</x:v>
      </x:c>
      <x:c r="T1409" s="220" t="n">
        <x:v>26.225806451612904</x:v>
      </x:c>
      <x:c r="U1409" s="220" t="n">
        <x:v>1.935483870967742</x:v>
      </x:c>
      <x:c r="V1409" s="218" t="n">
        <x:v>0.1336405529953917</x:v>
      </x:c>
      <x:c r="W1409" s="217" t="n">
        <x:v>22</x:v>
      </x:c>
      <x:c r="X1409" s="222" t="n">
        <x:v>2550</x:v>
      </x:c>
      <x:c r="Y1409" s="217" t="n">
        <x:v>14</x:v>
      </x:c>
    </x:row>
    <x:row r="1410">
      <x:c r="A1410" s="216" t="n">
        <x:v>197</x:v>
      </x:c>
      <x:c r="B1410" s="216" t="str">
        <x:v>瑞芳運動公園</x:v>
      </x:c>
      <x:c r="C1410" s="216" t="str">
        <x:v>瑞芳區</x:v>
      </x:c>
      <x:c r="D1410" s="216" t="n">
        <x:v>12</x:v>
      </x:c>
      <x:c r="E1410" s="216" t="n">
        <x:v>120</x:v>
      </x:c>
      <x:c r="F1410" s="219" t="n">
        <x:v>0.9994791666666667</x:v>
      </x:c>
      <x:c r="G1410" s="216" t="n">
        <x:v>1406</x:v>
      </x:c>
      <x:c r="H1410" s="216" t="str">
        <x:f>IF(G1410&lt;='排名定義'!$B$5,"是","")</x:f>
        <x:v>是</x:v>
      </x:c>
      <x:c r="I1410" s="216" t="n">
        <x:v>1408</x:v>
      </x:c>
      <x:c r="J1410" s="216" t="str">
        <x:f>IF(I1410&lt;='排名定義'!$B$5,"是","")</x:f>
        <x:v>是</x:v>
      </x:c>
      <x:c r="K1410" s="216" t="n">
        <x:v>1370</x:v>
      </x:c>
      <x:c r="L1410" s="216" t="str">
        <x:f>IF(K1410&lt;='排名定義'!$B$5,"是","")</x:f>
        <x:v>是</x:v>
      </x:c>
      <x:c r="M1410" s="216" t="n">
        <x:f>COUNTIF(H1410:L1410,"是")</x:f>
        <x:v>3</x:v>
      </x:c>
      <x:c r="N1410" s="216" t="str">
        <x:v>三份皆未入選</x:v>
      </x:c>
      <x:c r="O1410" s="221" t="n">
        <x:v>11.841666666666667</x:v>
      </x:c>
      <x:c r="P1410" s="221" t="n">
        <x:v>9.825</x:v>
      </x:c>
      <x:c r="Q1410" s="221" t="n">
        <x:v>2.0166666666666666</x:v>
      </x:c>
      <x:c r="R1410" s="221" t="n">
        <x:v>0.17030260380014076</x:v>
      </x:c>
      <x:c r="S1410" s="221" t="n">
        <x:v>21.612903225806452</x:v>
      </x:c>
      <x:c r="T1410" s="221" t="n">
        <x:v>19.967741935483872</x:v>
      </x:c>
      <x:c r="U1410" s="221" t="n">
        <x:v>1.6451612903225807</x:v>
      </x:c>
      <x:c r="V1410" s="219" t="n">
        <x:v>0.03456221198156682</x:v>
      </x:c>
      <x:c r="W1410" s="216" t="n">
        <x:v>11</x:v>
      </x:c>
      <x:c r="X1410" s="223" t="n">
        <x:v>2370</x:v>
      </x:c>
      <x:c r="Y1410" s="216" t="n">
        <x:v>12</x:v>
      </x:c>
    </x:row>
    <x:row r="1411">
      <x:c r="A1411" s="217" t="n">
        <x:v>742</x:v>
      </x:c>
      <x:c r="B1411" s="217" t="str">
        <x:v>金美國小</x:v>
      </x:c>
      <x:c r="C1411" s="217" t="str">
        <x:v>金山區</x:v>
      </x:c>
      <x:c r="D1411" s="217" t="n">
        <x:v>20</x:v>
      </x:c>
      <x:c r="E1411" s="217" t="n">
        <x:v>120</x:v>
      </x:c>
      <x:c r="F1411" s="218" t="n">
        <x:v>0.9994791666666667</x:v>
      </x:c>
      <x:c r="G1411" s="217" t="n">
        <x:v>1407</x:v>
      </x:c>
      <x:c r="H1411" s="217" t="str">
        <x:f>IF(G1411&lt;='排名定義'!$B$5,"是","")</x:f>
        <x:v>是</x:v>
      </x:c>
      <x:c r="I1411" s="217" t="n">
        <x:v>1398</x:v>
      </x:c>
      <x:c r="J1411" s="217" t="str">
        <x:f>IF(I1411&lt;='排名定義'!$B$5,"是","")</x:f>
        <x:v>是</x:v>
      </x:c>
      <x:c r="K1411" s="217" t="n">
        <x:v>1435</x:v>
      </x:c>
      <x:c r="L1411" s="217" t="str">
        <x:f>IF(K1411&lt;='排名定義'!$B$5,"是","")</x:f>
        <x:v>是</x:v>
      </x:c>
      <x:c r="M1411" s="217" t="n">
        <x:f>COUNTIF(H1411:L1411,"是")</x:f>
        <x:v>3</x:v>
      </x:c>
      <x:c r="N1411" s="217" t="str">
        <x:v>三份皆未入選</x:v>
      </x:c>
      <x:c r="O1411" s="220" t="n">
        <x:v>11.833333333333334</x:v>
      </x:c>
      <x:c r="P1411" s="220" t="n">
        <x:v>10.466666666666667</x:v>
      </x:c>
      <x:c r="Q1411" s="220" t="n">
        <x:v>1.3666666666666667</x:v>
      </x:c>
      <x:c r="R1411" s="220" t="n">
        <x:v>0.11549295774647887</x:v>
      </x:c>
      <x:c r="S1411" s="220" t="n">
        <x:v>25.35483870967742</x:v>
      </x:c>
      <x:c r="T1411" s="220" t="n">
        <x:v>23.129032258064516</x:v>
      </x:c>
      <x:c r="U1411" s="220" t="n">
        <x:v>2.225806451612903</x:v>
      </x:c>
      <x:c r="V1411" s="218" t="n">
        <x:v>0.02534562211981567</x:v>
      </x:c>
      <x:c r="W1411" s="217" t="n">
        <x:v>8</x:v>
      </x:c>
      <x:c r="X1411" s="222" t="n">
        <x:v>780</x:v>
      </x:c>
      <x:c r="Y1411" s="217" t="n">
        <x:v>20</x:v>
      </x:c>
    </x:row>
    <x:row r="1412">
      <x:c r="A1412" s="216" t="n">
        <x:v>343</x:v>
      </x:c>
      <x:c r="B1412" s="216" t="str">
        <x:v>四維八德街口</x:v>
      </x:c>
      <x:c r="C1412" s="216" t="str">
        <x:v>樹林區</x:v>
      </x:c>
      <x:c r="D1412" s="216" t="n">
        <x:v>15</x:v>
      </x:c>
      <x:c r="E1412" s="216" t="n">
        <x:v>120</x:v>
      </x:c>
      <x:c r="F1412" s="219" t="n">
        <x:v>0.9994791666666667</x:v>
      </x:c>
      <x:c r="G1412" s="216" t="n">
        <x:v>1408</x:v>
      </x:c>
      <x:c r="H1412" s="216" t="str">
        <x:f>IF(G1412&lt;='排名定義'!$B$5,"是","")</x:f>
        <x:v>是</x:v>
      </x:c>
      <x:c r="I1412" s="216" t="n">
        <x:v>1391</x:v>
      </x:c>
      <x:c r="J1412" s="216" t="str">
        <x:f>IF(I1412&lt;='排名定義'!$B$5,"是","")</x:f>
        <x:v>是</x:v>
      </x:c>
      <x:c r="K1412" s="216" t="n">
        <x:v>1453</x:v>
      </x:c>
      <x:c r="L1412" s="216" t="str">
        <x:f>IF(K1412&lt;='排名定義'!$B$5,"是","")</x:f>
        <x:v>是</x:v>
      </x:c>
      <x:c r="M1412" s="216" t="n">
        <x:f>COUNTIF(H1412:L1412,"是")</x:f>
        <x:v>3</x:v>
      </x:c>
      <x:c r="N1412" s="216" t="str">
        <x:v>三份皆未入選</x:v>
      </x:c>
      <x:c r="O1412" s="221" t="n">
        <x:v>11.766666666666667</x:v>
      </x:c>
      <x:c r="P1412" s="221" t="n">
        <x:v>10.725</x:v>
      </x:c>
      <x:c r="Q1412" s="221" t="n">
        <x:v>1.0416666666666667</x:v>
      </x:c>
      <x:c r="R1412" s="221" t="n">
        <x:v>0.08852691218130311</x:v>
      </x:c>
      <x:c r="S1412" s="221" t="n">
        <x:v>24.741935483870968</x:v>
      </x:c>
      <x:c r="T1412" s="221" t="n">
        <x:v>22.806451612903224</x:v>
      </x:c>
      <x:c r="U1412" s="221" t="n">
        <x:v>1.935483870967742</x:v>
      </x:c>
      <x:c r="V1412" s="219" t="n">
        <x:v>0.02304147465437788</x:v>
      </x:c>
      <x:c r="W1412" s="216" t="n">
        <x:v>4</x:v>
      </x:c>
      <x:c r="X1412" s="223" t="n">
        <x:v>420</x:v>
      </x:c>
      <x:c r="Y1412" s="216" t="n">
        <x:v>15</x:v>
      </x:c>
    </x:row>
    <x:row r="1413">
      <x:c r="A1413" s="217" t="n">
        <x:v>866</x:v>
      </x:c>
      <x:c r="B1413" s="217" t="str">
        <x:v>金山八德街</x:v>
      </x:c>
      <x:c r="C1413" s="217" t="str">
        <x:v>金山區</x:v>
      </x:c>
      <x:c r="D1413" s="217" t="n">
        <x:v>24</x:v>
      </x:c>
      <x:c r="E1413" s="217" t="n">
        <x:v>120</x:v>
      </x:c>
      <x:c r="F1413" s="218" t="n">
        <x:v>0.9994791666666667</x:v>
      </x:c>
      <x:c r="G1413" s="217" t="n">
        <x:v>1409</x:v>
      </x:c>
      <x:c r="H1413" s="217" t="str">
        <x:f>IF(G1413&lt;='排名定義'!$B$5,"是","")</x:f>
        <x:v>是</x:v>
      </x:c>
      <x:c r="I1413" s="217" t="n">
        <x:v>1413</x:v>
      </x:c>
      <x:c r="J1413" s="217" t="str">
        <x:f>IF(I1413&lt;='排名定義'!$B$5,"是","")</x:f>
        <x:v>是</x:v>
      </x:c>
      <x:c r="K1413" s="217" t="n">
        <x:v>1358</x:v>
      </x:c>
      <x:c r="L1413" s="217" t="str">
        <x:f>IF(K1413&lt;='排名定義'!$B$5,"是","")</x:f>
        <x:v>是</x:v>
      </x:c>
      <x:c r="M1413" s="217" t="n">
        <x:f>COUNTIF(H1413:L1413,"是")</x:f>
        <x:v>3</x:v>
      </x:c>
      <x:c r="N1413" s="217" t="str">
        <x:v>三份皆未入選</x:v>
      </x:c>
      <x:c r="O1413" s="220" t="n">
        <x:v>11.7</x:v>
      </x:c>
      <x:c r="P1413" s="220" t="n">
        <x:v>9.6</x:v>
      </x:c>
      <x:c r="Q1413" s="220" t="n">
        <x:v>2.1</x:v>
      </x:c>
      <x:c r="R1413" s="220" t="n">
        <x:v>0.1794871794871795</x:v>
      </x:c>
      <x:c r="S1413" s="220" t="n">
        <x:v>17.93548387096774</x:v>
      </x:c>
      <x:c r="T1413" s="220" t="n">
        <x:v>15.03225806451613</x:v>
      </x:c>
      <x:c r="U1413" s="220" t="n">
        <x:v>2.903225806451613</x:v>
      </x:c>
      <x:c r="V1413" s="218" t="n">
        <x:v>0.2350230414746544</x:v>
      </x:c>
      <x:c r="W1413" s="217" t="n">
        <x:v>2</x:v>
      </x:c>
      <x:c r="X1413" s="222" t="n">
        <x:v>9990</x:v>
      </x:c>
      <x:c r="Y1413" s="217" t="n">
        <x:v>24</x:v>
      </x:c>
    </x:row>
    <x:row r="1414">
      <x:c r="A1414" s="216" t="n">
        <x:v>252</x:v>
      </x:c>
      <x:c r="B1414" s="216" t="str">
        <x:v>訊塘社區公園</x:v>
      </x:c>
      <x:c r="C1414" s="216" t="str">
        <x:v>八里區</x:v>
      </x:c>
      <x:c r="D1414" s="216" t="n">
        <x:v>13</x:v>
      </x:c>
      <x:c r="E1414" s="216" t="n">
        <x:v>120</x:v>
      </x:c>
      <x:c r="F1414" s="219" t="n">
        <x:v>0.9994791666666667</x:v>
      </x:c>
      <x:c r="G1414" s="216" t="n">
        <x:v>1410</x:v>
      </x:c>
      <x:c r="H1414" s="216" t="str">
        <x:f>IF(G1414&lt;='排名定義'!$B$5,"是","")</x:f>
        <x:v>是</x:v>
      </x:c>
      <x:c r="I1414" s="216" t="n">
        <x:v>1389</x:v>
      </x:c>
      <x:c r="J1414" s="216" t="str">
        <x:f>IF(I1414&lt;='排名定義'!$B$5,"是","")</x:f>
        <x:v>是</x:v>
      </x:c>
      <x:c r="K1414" s="216" t="n">
        <x:v>1463</x:v>
      </x:c>
      <x:c r="L1414" s="216" t="str">
        <x:f>IF(K1414&lt;='排名定義'!$B$5,"是","")</x:f>
        <x:v>是</x:v>
      </x:c>
      <x:c r="M1414" s="216" t="n">
        <x:f>COUNTIF(H1414:L1414,"是")</x:f>
        <x:v>3</x:v>
      </x:c>
      <x:c r="N1414" s="216" t="str">
        <x:v>三份皆未入選</x:v>
      </x:c>
      <x:c r="O1414" s="221" t="n">
        <x:v>11.516666666666667</x:v>
      </x:c>
      <x:c r="P1414" s="221" t="n">
        <x:v>10.741666666666667</x:v>
      </x:c>
      <x:c r="Q1414" s="221" t="n">
        <x:v>0.775</x:v>
      </x:c>
      <x:c r="R1414" s="221" t="n">
        <x:v>0.06729377713458755</x:v>
      </x:c>
      <x:c r="S1414" s="221" t="n">
        <x:v>27.64516129032258</x:v>
      </x:c>
      <x:c r="T1414" s="221" t="n">
        <x:v>25.322580645161292</x:v>
      </x:c>
      <x:c r="U1414" s="221" t="n">
        <x:v>2.3225806451612905</x:v>
      </x:c>
      <x:c r="V1414" s="219" t="n">
        <x:v>0.06451612903225806</x:v>
      </x:c>
      <x:c r="W1414" s="216" t="n">
        <x:v>12</x:v>
      </x:c>
      <x:c r="X1414" s="223" t="n">
        <x:v>1620</x:v>
      </x:c>
      <x:c r="Y1414" s="216" t="n">
        <x:v>13</x:v>
      </x:c>
    </x:row>
    <x:row r="1415">
      <x:c r="A1415" s="217" t="n">
        <x:v>599</x:v>
      </x:c>
      <x:c r="B1415" s="217" t="str">
        <x:v>東明公園(興林路221巷)</x:v>
      </x:c>
      <x:c r="C1415" s="217" t="str">
        <x:v>林口區</x:v>
      </x:c>
      <x:c r="D1415" s="217" t="n">
        <x:v>18</x:v>
      </x:c>
      <x:c r="E1415" s="217" t="n">
        <x:v>120</x:v>
      </x:c>
      <x:c r="F1415" s="218" t="n">
        <x:v>0.9994791666666667</x:v>
      </x:c>
      <x:c r="G1415" s="217" t="n">
        <x:v>1411</x:v>
      </x:c>
      <x:c r="H1415" s="217" t="str">
        <x:f>IF(G1415&lt;='排名定義'!$B$5,"是","")</x:f>
        <x:v>是</x:v>
      </x:c>
      <x:c r="I1415" s="217" t="n">
        <x:v>1418</x:v>
      </x:c>
      <x:c r="J1415" s="217" t="str">
        <x:f>IF(I1415&lt;='排名定義'!$B$5,"是","")</x:f>
        <x:v>是</x:v>
      </x:c>
      <x:c r="K1415" s="217" t="n">
        <x:v>1336</x:v>
      </x:c>
      <x:c r="L1415" s="217" t="str">
        <x:f>IF(K1415&lt;='排名定義'!$B$5,"是","")</x:f>
        <x:v>是</x:v>
      </x:c>
      <x:c r="M1415" s="217" t="n">
        <x:f>COUNTIF(H1415:L1415,"是")</x:f>
        <x:v>3</x:v>
      </x:c>
      <x:c r="N1415" s="217" t="str">
        <x:v>三份皆未入選</x:v>
      </x:c>
      <x:c r="O1415" s="220" t="n">
        <x:v>11.425</x:v>
      </x:c>
      <x:c r="P1415" s="220" t="n">
        <x:v>9.15</x:v>
      </x:c>
      <x:c r="Q1415" s="220" t="n">
        <x:v>2.275</x:v>
      </x:c>
      <x:c r="R1415" s="220" t="n">
        <x:v>0.19912472647702406</x:v>
      </x:c>
      <x:c r="S1415" s="220" t="n">
        <x:v>21.322580645161292</x:v>
      </x:c>
      <x:c r="T1415" s="220" t="n">
        <x:v>18.258064516129032</x:v>
      </x:c>
      <x:c r="U1415" s="220" t="n">
        <x:v>3.064516129032258</x:v>
      </x:c>
      <x:c r="V1415" s="218" t="n">
        <x:v>0.04377880184331797</x:v>
      </x:c>
      <x:c r="W1415" s="217" t="n">
        <x:v>8</x:v>
      </x:c>
      <x:c r="X1415" s="222" t="n">
        <x:v>930</x:v>
      </x:c>
      <x:c r="Y1415" s="217" t="n">
        <x:v>18</x:v>
      </x:c>
    </x:row>
    <x:row r="1416">
      <x:c r="A1416" s="216" t="n">
        <x:v>638</x:v>
      </x:c>
      <x:c r="B1416" s="216" t="str">
        <x:v>八里行政中心</x:v>
      </x:c>
      <x:c r="C1416" s="216" t="str">
        <x:v>八里區</x:v>
      </x:c>
      <x:c r="D1416" s="216" t="n">
        <x:v>20</x:v>
      </x:c>
      <x:c r="E1416" s="216" t="n">
        <x:v>120</x:v>
      </x:c>
      <x:c r="F1416" s="219" t="n">
        <x:v>0.9994791666666667</x:v>
      </x:c>
      <x:c r="G1416" s="216" t="n">
        <x:v>1412</x:v>
      </x:c>
      <x:c r="H1416" s="216" t="str">
        <x:f>IF(G1416&lt;='排名定義'!$B$5,"是","")</x:f>
        <x:v>是</x:v>
      </x:c>
      <x:c r="I1416" s="216" t="n">
        <x:v>1410</x:v>
      </x:c>
      <x:c r="J1416" s="216" t="str">
        <x:f>IF(I1416&lt;='排名定義'!$B$5,"是","")</x:f>
        <x:v>是</x:v>
      </x:c>
      <x:c r="K1416" s="216" t="n">
        <x:v>1415</x:v>
      </x:c>
      <x:c r="L1416" s="216" t="str">
        <x:f>IF(K1416&lt;='排名定義'!$B$5,"是","")</x:f>
        <x:v>是</x:v>
      </x:c>
      <x:c r="M1416" s="216" t="n">
        <x:f>COUNTIF(H1416:L1416,"是")</x:f>
        <x:v>3</x:v>
      </x:c>
      <x:c r="N1416" s="216" t="str">
        <x:v>三份皆未入選</x:v>
      </x:c>
      <x:c r="O1416" s="221" t="n">
        <x:v>11.375</x:v>
      </x:c>
      <x:c r="P1416" s="221" t="n">
        <x:v>9.775</x:v>
      </x:c>
      <x:c r="Q1416" s="221" t="n">
        <x:v>1.6</x:v>
      </x:c>
      <x:c r="R1416" s="221" t="n">
        <x:v>0.14065934065934066</x:v>
      </x:c>
      <x:c r="S1416" s="221" t="n">
        <x:v>28.483870967741936</x:v>
      </x:c>
      <x:c r="T1416" s="221" t="n">
        <x:v>26.35483870967742</x:v>
      </x:c>
      <x:c r="U1416" s="221" t="n">
        <x:v>2.129032258064516</x:v>
      </x:c>
      <x:c r="V1416" s="219" t="n">
        <x:v>0.052995391705069124</x:v>
      </x:c>
      <x:c r="W1416" s="216" t="n">
        <x:v>14</x:v>
      </x:c>
      <x:c r="X1416" s="223" t="n">
        <x:v>1620</x:v>
      </x:c>
      <x:c r="Y1416" s="216" t="n">
        <x:v>20</x:v>
      </x:c>
    </x:row>
    <x:row r="1417">
      <x:c r="A1417" s="217" t="n">
        <x:v>1227</x:v>
      </x:c>
      <x:c r="B1417" s="217" t="str">
        <x:v>翡翠灣</x:v>
      </x:c>
      <x:c r="C1417" s="217" t="str">
        <x:v>萬里區</x:v>
      </x:c>
      <x:c r="D1417" s="217" t="n">
        <x:v>38</x:v>
      </x:c>
      <x:c r="E1417" s="217" t="n">
        <x:v>120</x:v>
      </x:c>
      <x:c r="F1417" s="218" t="n">
        <x:v>0.9133680555555556</x:v>
      </x:c>
      <x:c r="G1417" s="217" t="n">
        <x:v>1413</x:v>
      </x:c>
      <x:c r="H1417" s="217" t="str">
        <x:f>IF(G1417&lt;='排名定義'!$B$5,"是","")</x:f>
        <x:v>是</x:v>
      </x:c>
      <x:c r="I1417" s="217" t="n">
        <x:v>1431</x:v>
      </x:c>
      <x:c r="J1417" s="217" t="str">
        <x:f>IF(I1417&lt;='排名定義'!$B$5,"是","")</x:f>
        <x:v>是</x:v>
      </x:c>
      <x:c r="K1417" s="217" t="n">
        <x:v>1157</x:v>
      </x:c>
      <x:c r="L1417" s="217" t="str">
        <x:f>IF(K1417&lt;='排名定義'!$B$5,"是","")</x:f>
        <x:v>是</x:v>
      </x:c>
      <x:c r="M1417" s="217" t="n">
        <x:f>COUNTIF(H1417:L1417,"是")</x:f>
        <x:v>3</x:v>
      </x:c>
      <x:c r="N1417" s="217" t="str">
        <x:v>三份皆未入選</x:v>
      </x:c>
      <x:c r="O1417" s="220" t="n">
        <x:v>11.283333333333333</x:v>
      </x:c>
      <x:c r="P1417" s="220" t="n">
        <x:v>8.241666666666667</x:v>
      </x:c>
      <x:c r="Q1417" s="220" t="n">
        <x:v>3.0416666666666665</x:v>
      </x:c>
      <x:c r="R1417" s="220" t="n">
        <x:v>0.2695716395864106</x:v>
      </x:c>
      <x:c r="S1417" s="220" t="n">
        <x:v>20.677419354838708</x:v>
      </x:c>
      <x:c r="T1417" s="220" t="n">
        <x:v>17</x:v>
      </x:c>
      <x:c r="U1417" s="220" t="n">
        <x:v>3.6774193548387095</x:v>
      </x:c>
      <x:c r="V1417" s="218" t="n">
        <x:v>0.03456221198156682</x:v>
      </x:c>
      <x:c r="W1417" s="217" t="n">
        <x:v>10</x:v>
      </x:c>
      <x:c r="X1417" s="222" t="n">
        <x:v>1890</x:v>
      </x:c>
      <x:c r="Y1417" s="217" t="n">
        <x:v>38</x:v>
      </x:c>
    </x:row>
    <x:row r="1418">
      <x:c r="A1418" s="216" t="n">
        <x:v>103</x:v>
      </x:c>
      <x:c r="B1418" s="216" t="str">
        <x:v>汐萬抽水站</x:v>
      </x:c>
      <x:c r="C1418" s="216" t="str">
        <x:v>汐止區</x:v>
      </x:c>
      <x:c r="D1418" s="216" t="n">
        <x:v>9</x:v>
      </x:c>
      <x:c r="E1418" s="216" t="n">
        <x:v>120</x:v>
      </x:c>
      <x:c r="F1418" s="219" t="n">
        <x:v>0.9994791666666667</x:v>
      </x:c>
      <x:c r="G1418" s="216" t="n">
        <x:v>1414</x:v>
      </x:c>
      <x:c r="H1418" s="216" t="str">
        <x:f>IF(G1418&lt;='排名定義'!$B$5,"是","")</x:f>
        <x:v>是</x:v>
      </x:c>
      <x:c r="I1418" s="216" t="n">
        <x:v>1406</x:v>
      </x:c>
      <x:c r="J1418" s="216" t="str">
        <x:f>IF(I1418&lt;='排名定義'!$B$5,"是","")</x:f>
        <x:v>是</x:v>
      </x:c>
      <x:c r="K1418" s="216" t="n">
        <x:v>1436</x:v>
      </x:c>
      <x:c r="L1418" s="216" t="str">
        <x:f>IF(K1418&lt;='排名定義'!$B$5,"是","")</x:f>
        <x:v>是</x:v>
      </x:c>
      <x:c r="M1418" s="216" t="n">
        <x:f>COUNTIF(H1418:L1418,"是")</x:f>
        <x:v>3</x:v>
      </x:c>
      <x:c r="N1418" s="216" t="str">
        <x:v>三份皆未入選</x:v>
      </x:c>
      <x:c r="O1418" s="221" t="n">
        <x:v>11.266666666666667</x:v>
      </x:c>
      <x:c r="P1418" s="221" t="n">
        <x:v>9.908333333333333</x:v>
      </x:c>
      <x:c r="Q1418" s="221" t="n">
        <x:v>1.3583333333333334</x:v>
      </x:c>
      <x:c r="R1418" s="221" t="n">
        <x:v>0.1205621301775148</x:v>
      </x:c>
      <x:c r="S1418" s="221" t="n">
        <x:v>21.741935483870968</x:v>
      </x:c>
      <x:c r="T1418" s="221" t="n">
        <x:v>20.387096774193548</x:v>
      </x:c>
      <x:c r="U1418" s="221" t="n">
        <x:v>1.3548387096774193</x:v>
      </x:c>
      <x:c r="V1418" s="219" t="n">
        <x:v>0.04608294930875576</x:v>
      </x:c>
      <x:c r="W1418" s="216" t="n">
        <x:v>10</x:v>
      </x:c>
      <x:c r="X1418" s="223" t="n">
        <x:v>1110</x:v>
      </x:c>
      <x:c r="Y1418" s="216" t="n">
        <x:v>9</x:v>
      </x:c>
    </x:row>
    <x:row r="1419">
      <x:c r="A1419" s="217" t="n">
        <x:v>738</x:v>
      </x:c>
      <x:c r="B1419" s="217" t="str">
        <x:v>國際二國際一路口</x:v>
      </x:c>
      <x:c r="C1419" s="217" t="str">
        <x:v>鶯歌區</x:v>
      </x:c>
      <x:c r="D1419" s="217" t="n">
        <x:v>20</x:v>
      </x:c>
      <x:c r="E1419" s="217" t="n">
        <x:v>120</x:v>
      </x:c>
      <x:c r="F1419" s="218" t="n">
        <x:v>0.9994791666666667</x:v>
      </x:c>
      <x:c r="G1419" s="217" t="n">
        <x:v>1415</x:v>
      </x:c>
      <x:c r="H1419" s="217" t="str">
        <x:f>IF(G1419&lt;='排名定義'!$B$5,"是","")</x:f>
        <x:v>是</x:v>
      </x:c>
      <x:c r="I1419" s="217" t="n">
        <x:v>1421</x:v>
      </x:c>
      <x:c r="J1419" s="217" t="str">
        <x:f>IF(I1419&lt;='排名定義'!$B$5,"是","")</x:f>
        <x:v>是</x:v>
      </x:c>
      <x:c r="K1419" s="217" t="n">
        <x:v>1349</x:v>
      </x:c>
      <x:c r="L1419" s="217" t="str">
        <x:f>IF(K1419&lt;='排名定義'!$B$5,"是","")</x:f>
        <x:v>是</x:v>
      </x:c>
      <x:c r="M1419" s="217" t="n">
        <x:f>COUNTIF(H1419:L1419,"是")</x:f>
        <x:v>3</x:v>
      </x:c>
      <x:c r="N1419" s="217" t="str">
        <x:v>三份皆未入選</x:v>
      </x:c>
      <x:c r="O1419" s="220" t="n">
        <x:v>11.166666666666666</x:v>
      </x:c>
      <x:c r="P1419" s="220" t="n">
        <x:v>9</x:v>
      </x:c>
      <x:c r="Q1419" s="220" t="n">
        <x:v>2.1666666666666665</x:v>
      </x:c>
      <x:c r="R1419" s="220" t="n">
        <x:v>0.19402985074626866</x:v>
      </x:c>
      <x:c r="S1419" s="220" t="n">
        <x:v>19.870967741935484</x:v>
      </x:c>
      <x:c r="T1419" s="220" t="n">
        <x:v>17.258064516129032</x:v>
      </x:c>
      <x:c r="U1419" s="220" t="n">
        <x:v>2.6129032258064515</x:v>
      </x:c>
      <x:c r="V1419" s="218" t="n">
        <x:v>0</x:v>
      </x:c>
      <x:c r="W1419" s="217" t="n">
        <x:v>0</x:v>
      </x:c>
      <x:c r="X1419" s="222" t="n">
        <x:v>0</x:v>
      </x:c>
      <x:c r="Y1419" s="217" t="n">
        <x:v>20</x:v>
      </x:c>
    </x:row>
    <x:row r="1420">
      <x:c r="A1420" s="216" t="n">
        <x:v>251</x:v>
      </x:c>
      <x:c r="B1420" s="216" t="str">
        <x:v>新海抽水站停車場</x:v>
      </x:c>
      <x:c r="C1420" s="216" t="str">
        <x:v>板橋區</x:v>
      </x:c>
      <x:c r="D1420" s="216" t="n">
        <x:v>13</x:v>
      </x:c>
      <x:c r="E1420" s="216" t="n">
        <x:v>120</x:v>
      </x:c>
      <x:c r="F1420" s="219" t="n">
        <x:v>0.9994791666666667</x:v>
      </x:c>
      <x:c r="G1420" s="216" t="n">
        <x:v>1416</x:v>
      </x:c>
      <x:c r="H1420" s="216" t="str">
        <x:f>IF(G1420&lt;='排名定義'!$B$5,"是","")</x:f>
        <x:v>是</x:v>
      </x:c>
      <x:c r="I1420" s="216" t="n">
        <x:v>1419</x:v>
      </x:c>
      <x:c r="J1420" s="216" t="str">
        <x:f>IF(I1420&lt;='排名定義'!$B$5,"是","")</x:f>
        <x:v>是</x:v>
      </x:c>
      <x:c r="K1420" s="216" t="n">
        <x:v>1371</x:v>
      </x:c>
      <x:c r="L1420" s="216" t="str">
        <x:f>IF(K1420&lt;='排名定義'!$B$5,"是","")</x:f>
        <x:v>是</x:v>
      </x:c>
      <x:c r="M1420" s="216" t="n">
        <x:f>COUNTIF(H1420:L1420,"是")</x:f>
        <x:v>3</x:v>
      </x:c>
      <x:c r="N1420" s="216" t="str">
        <x:v>三份皆未入選</x:v>
      </x:c>
      <x:c r="O1420" s="221" t="n">
        <x:v>11.15</x:v>
      </x:c>
      <x:c r="P1420" s="221" t="n">
        <x:v>9.133333333333333</x:v>
      </x:c>
      <x:c r="Q1420" s="221" t="n">
        <x:v>2.0166666666666666</x:v>
      </x:c>
      <x:c r="R1420" s="221" t="n">
        <x:v>0.18086696562032886</x:v>
      </x:c>
      <x:c r="S1420" s="221" t="n">
        <x:v>16.258064516129032</x:v>
      </x:c>
      <x:c r="T1420" s="221" t="n">
        <x:v>15.129032258064516</x:v>
      </x:c>
      <x:c r="U1420" s="221" t="n">
        <x:v>1.1290322580645162</x:v>
      </x:c>
      <x:c r="V1420" s="219" t="n">
        <x:v>0.029953917050691243</x:v>
      </x:c>
      <x:c r="W1420" s="216" t="n">
        <x:v>8</x:v>
      </x:c>
      <x:c r="X1420" s="223" t="n">
        <x:v>990</x:v>
      </x:c>
      <x:c r="Y1420" s="216" t="n">
        <x:v>13</x:v>
      </x:c>
    </x:row>
    <x:row r="1421">
      <x:c r="A1421" s="217" t="n">
        <x:v>401</x:v>
      </x:c>
      <x:c r="B1421" s="217" t="str">
        <x:v>三芝兒一公園</x:v>
      </x:c>
      <x:c r="C1421" s="217" t="str">
        <x:v>三芝區</x:v>
      </x:c>
      <x:c r="D1421" s="217" t="n">
        <x:v>15</x:v>
      </x:c>
      <x:c r="E1421" s="217" t="n">
        <x:v>120</x:v>
      </x:c>
      <x:c r="F1421" s="218" t="n">
        <x:v>0.9994791666666667</x:v>
      </x:c>
      <x:c r="G1421" s="217" t="n">
        <x:v>1417</x:v>
      </x:c>
      <x:c r="H1421" s="217" t="str">
        <x:f>IF(G1421&lt;='排名定義'!$B$5,"是","")</x:f>
        <x:v>是</x:v>
      </x:c>
      <x:c r="I1421" s="217" t="n">
        <x:v>1416</x:v>
      </x:c>
      <x:c r="J1421" s="217" t="str">
        <x:f>IF(I1421&lt;='排名定義'!$B$5,"是","")</x:f>
        <x:v>是</x:v>
      </x:c>
      <x:c r="K1421" s="217" t="n">
        <x:v>1423</x:v>
      </x:c>
      <x:c r="L1421" s="217" t="str">
        <x:f>IF(K1421&lt;='排名定義'!$B$5,"是","")</x:f>
        <x:v>是</x:v>
      </x:c>
      <x:c r="M1421" s="217" t="n">
        <x:f>COUNTIF(H1421:L1421,"是")</x:f>
        <x:v>3</x:v>
      </x:c>
      <x:c r="N1421" s="217" t="str">
        <x:v>三份皆未入選</x:v>
      </x:c>
      <x:c r="O1421" s="220" t="n">
        <x:v>10.85</x:v>
      </x:c>
      <x:c r="P1421" s="220" t="n">
        <x:v>9.316666666666666</x:v>
      </x:c>
      <x:c r="Q1421" s="220" t="n">
        <x:v>1.5333333333333334</x:v>
      </x:c>
      <x:c r="R1421" s="220" t="n">
        <x:v>0.141321044546851</x:v>
      </x:c>
      <x:c r="S1421" s="220" t="n">
        <x:v>20.387096774193548</x:v>
      </x:c>
      <x:c r="T1421" s="220" t="n">
        <x:v>17.741935483870968</x:v>
      </x:c>
      <x:c r="U1421" s="220" t="n">
        <x:v>2.6451612903225805</x:v>
      </x:c>
      <x:c r="V1421" s="218" t="n">
        <x:v>0.013824884792626729</x:v>
      </x:c>
      <x:c r="W1421" s="217" t="n">
        <x:v>9</x:v>
      </x:c>
      <x:c r="X1421" s="222" t="n">
        <x:v>1500</x:v>
      </x:c>
      <x:c r="Y1421" s="217" t="n">
        <x:v>15</x:v>
      </x:c>
    </x:row>
    <x:row r="1422">
      <x:c r="A1422" s="216" t="n">
        <x:v>932</x:v>
      </x:c>
      <x:c r="B1422" s="216" t="str">
        <x:v>新五路二段299號</x:v>
      </x:c>
      <x:c r="C1422" s="216" t="str">
        <x:v>五股區</x:v>
      </x:c>
      <x:c r="D1422" s="216" t="n">
        <x:v>26</x:v>
      </x:c>
      <x:c r="E1422" s="216" t="n">
        <x:v>120</x:v>
      </x:c>
      <x:c r="F1422" s="219" t="n">
        <x:v>0.9994791666666667</x:v>
      </x:c>
      <x:c r="G1422" s="216" t="n">
        <x:v>1418</x:v>
      </x:c>
      <x:c r="H1422" s="216" t="str">
        <x:f>IF(G1422&lt;='排名定義'!$B$5,"是","")</x:f>
        <x:v>是</x:v>
      </x:c>
      <x:c r="I1422" s="216" t="n">
        <x:v>1417</x:v>
      </x:c>
      <x:c r="J1422" s="216" t="str">
        <x:f>IF(I1422&lt;='排名定義'!$B$5,"是","")</x:f>
        <x:v>是</x:v>
      </x:c>
      <x:c r="K1422" s="216" t="n">
        <x:v>1425</x:v>
      </x:c>
      <x:c r="L1422" s="216" t="str">
        <x:f>IF(K1422&lt;='排名定義'!$B$5,"是","")</x:f>
        <x:v>是</x:v>
      </x:c>
      <x:c r="M1422" s="216" t="n">
        <x:f>COUNTIF(H1422:L1422,"是")</x:f>
        <x:v>3</x:v>
      </x:c>
      <x:c r="N1422" s="216" t="str">
        <x:v>三份皆未入選</x:v>
      </x:c>
      <x:c r="O1422" s="221" t="n">
        <x:v>10.691666666666666</x:v>
      </x:c>
      <x:c r="P1422" s="221" t="n">
        <x:v>9.158333333333333</x:v>
      </x:c>
      <x:c r="Q1422" s="221" t="n">
        <x:v>1.5333333333333334</x:v>
      </x:c>
      <x:c r="R1422" s="221" t="n">
        <x:v>0.14341387373343725</x:v>
      </x:c>
      <x:c r="S1422" s="221" t="n">
        <x:v>22.387096774193548</x:v>
      </x:c>
      <x:c r="T1422" s="221" t="n">
        <x:v>20.193548387096776</x:v>
      </x:c>
      <x:c r="U1422" s="221" t="n">
        <x:v>2.193548387096774</x:v>
      </x:c>
      <x:c r="V1422" s="219" t="n">
        <x:v>0.020737327188940093</x:v>
      </x:c>
      <x:c r="W1422" s="216" t="n">
        <x:v>3</x:v>
      </x:c>
      <x:c r="X1422" s="223" t="n">
        <x:v>480</x:v>
      </x:c>
      <x:c r="Y1422" s="216" t="n">
        <x:v>26</x:v>
      </x:c>
    </x:row>
    <x:row r="1423">
      <x:c r="A1423" s="217" t="n">
        <x:v>594</x:v>
      </x:c>
      <x:c r="B1423" s="217" t="str">
        <x:v>五股環保藝術公園(芳洲路)</x:v>
      </x:c>
      <x:c r="C1423" s="217" t="str">
        <x:v>五股區</x:v>
      </x:c>
      <x:c r="D1423" s="217" t="n">
        <x:v>18</x:v>
      </x:c>
      <x:c r="E1423" s="217" t="n">
        <x:v>120</x:v>
      </x:c>
      <x:c r="F1423" s="218" t="n">
        <x:v>0.9994791666666667</x:v>
      </x:c>
      <x:c r="G1423" s="217" t="n">
        <x:v>1419</x:v>
      </x:c>
      <x:c r="H1423" s="217" t="str">
        <x:f>IF(G1423&lt;='排名定義'!$B$5,"是","")</x:f>
        <x:v>是</x:v>
      </x:c>
      <x:c r="I1423" s="217" t="n">
        <x:v>1415</x:v>
      </x:c>
      <x:c r="J1423" s="217" t="str">
        <x:f>IF(I1423&lt;='排名定義'!$B$5,"是","")</x:f>
        <x:v>是</x:v>
      </x:c>
      <x:c r="K1423" s="217" t="n">
        <x:v>1441</x:v>
      </x:c>
      <x:c r="L1423" s="217" t="str">
        <x:f>IF(K1423&lt;='排名定義'!$B$5,"是","")</x:f>
        <x:v>是</x:v>
      </x:c>
      <x:c r="M1423" s="217" t="n">
        <x:f>COUNTIF(H1423:L1423,"是")</x:f>
        <x:v>3</x:v>
      </x:c>
      <x:c r="N1423" s="217" t="str">
        <x:v>三份皆未入選</x:v>
      </x:c>
      <x:c r="O1423" s="220" t="n">
        <x:v>10.641666666666667</x:v>
      </x:c>
      <x:c r="P1423" s="220" t="n">
        <x:v>9.333333333333334</x:v>
      </x:c>
      <x:c r="Q1423" s="220" t="n">
        <x:v>1.3083333333333333</x:v>
      </x:c>
      <x:c r="R1423" s="220" t="n">
        <x:v>0.12294440093970242</x:v>
      </x:c>
      <x:c r="S1423" s="220" t="n">
        <x:v>28.129032258064516</x:v>
      </x:c>
      <x:c r="T1423" s="220" t="n">
        <x:v>25.774193548387096</x:v>
      </x:c>
      <x:c r="U1423" s="220" t="n">
        <x:v>2.3548387096774195</x:v>
      </x:c>
      <x:c r="V1423" s="218" t="n">
        <x:v>0.03225806451612903</x:v>
      </x:c>
      <x:c r="W1423" s="217" t="n">
        <x:v>3</x:v>
      </x:c>
      <x:c r="X1423" s="222" t="n">
        <x:v>420</x:v>
      </x:c>
      <x:c r="Y1423" s="217" t="n">
        <x:v>18</x:v>
      </x:c>
    </x:row>
    <x:row r="1424">
      <x:c r="A1424" s="216" t="n">
        <x:v>398</x:v>
      </x:c>
      <x:c r="B1424" s="216" t="str">
        <x:v>頂罟公園</x:v>
      </x:c>
      <x:c r="C1424" s="216" t="str">
        <x:v>八里區</x:v>
      </x:c>
      <x:c r="D1424" s="216" t="n">
        <x:v>15</x:v>
      </x:c>
      <x:c r="E1424" s="216" t="n">
        <x:v>120</x:v>
      </x:c>
      <x:c r="F1424" s="219" t="n">
        <x:v>0.9994791666666667</x:v>
      </x:c>
      <x:c r="G1424" s="216" t="n">
        <x:v>1420</x:v>
      </x:c>
      <x:c r="H1424" s="216" t="str">
        <x:f>IF(G1424&lt;='排名定義'!$B$5,"是","")</x:f>
        <x:v>是</x:v>
      </x:c>
      <x:c r="I1424" s="216" t="n">
        <x:v>1409</x:v>
      </x:c>
      <x:c r="J1424" s="216" t="str">
        <x:f>IF(I1424&lt;='排名定義'!$B$5,"是","")</x:f>
        <x:v>是</x:v>
      </x:c>
      <x:c r="K1424" s="216" t="n">
        <x:v>1467</x:v>
      </x:c>
      <x:c r="L1424" s="216" t="str">
        <x:f>IF(K1424&lt;='排名定義'!$B$5,"是","")</x:f>
        <x:v>是</x:v>
      </x:c>
      <x:c r="M1424" s="216" t="n">
        <x:f>COUNTIF(H1424:L1424,"是")</x:f>
        <x:v>3</x:v>
      </x:c>
      <x:c r="N1424" s="216" t="str">
        <x:v>三份皆未入選</x:v>
      </x:c>
      <x:c r="O1424" s="221" t="n">
        <x:v>10.525</x:v>
      </x:c>
      <x:c r="P1424" s="221" t="n">
        <x:v>9.808333333333334</x:v>
      </x:c>
      <x:c r="Q1424" s="221" t="n">
        <x:v>0.7166666666666667</x:v>
      </x:c>
      <x:c r="R1424" s="221" t="n">
        <x:v>0.06809184481393507</x:v>
      </x:c>
      <x:c r="S1424" s="221" t="n">
        <x:v>25.483870967741936</x:v>
      </x:c>
      <x:c r="T1424" s="221" t="n">
        <x:v>22.870967741935484</x:v>
      </x:c>
      <x:c r="U1424" s="221" t="n">
        <x:v>2.6129032258064515</x:v>
      </x:c>
      <x:c r="V1424" s="219" t="n">
        <x:v>0.08064516129032258</x:v>
      </x:c>
      <x:c r="W1424" s="216" t="n">
        <x:v>13</x:v>
      </x:c>
      <x:c r="X1424" s="223" t="n">
        <x:v>1620</x:v>
      </x:c>
      <x:c r="Y1424" s="216" t="n">
        <x:v>15</x:v>
      </x:c>
    </x:row>
    <x:row r="1425">
      <x:c r="A1425" s="217" t="n">
        <x:v>625</x:v>
      </x:c>
      <x:c r="B1425" s="217" t="str">
        <x:v>文化北中華路口</x:v>
      </x:c>
      <x:c r="C1425" s="217" t="str">
        <x:v>林口區</x:v>
      </x:c>
      <x:c r="D1425" s="217" t="n">
        <x:v>19</x:v>
      </x:c>
      <x:c r="E1425" s="217" t="n">
        <x:v>120</x:v>
      </x:c>
      <x:c r="F1425" s="218" t="n">
        <x:v>0.9994791666666667</x:v>
      </x:c>
      <x:c r="G1425" s="217" t="n">
        <x:v>1421</x:v>
      </x:c>
      <x:c r="H1425" s="217" t="str">
        <x:f>IF(G1425&lt;='排名定義'!$B$5,"是","")</x:f>
        <x:v>是</x:v>
      </x:c>
      <x:c r="I1425" s="217" t="n">
        <x:v>1420</x:v>
      </x:c>
      <x:c r="J1425" s="217" t="str">
        <x:f>IF(I1425&lt;='排名定義'!$B$5,"是","")</x:f>
        <x:v>是</x:v>
      </x:c>
      <x:c r="K1425" s="217" t="n">
        <x:v>1427</x:v>
      </x:c>
      <x:c r="L1425" s="217" t="str">
        <x:f>IF(K1425&lt;='排名定義'!$B$5,"是","")</x:f>
        <x:v>是</x:v>
      </x:c>
      <x:c r="M1425" s="217" t="n">
        <x:f>COUNTIF(H1425:L1425,"是")</x:f>
        <x:v>3</x:v>
      </x:c>
      <x:c r="N1425" s="217" t="str">
        <x:v>三份皆未入選</x:v>
      </x:c>
      <x:c r="O1425" s="220" t="n">
        <x:v>10.508333333333333</x:v>
      </x:c>
      <x:c r="P1425" s="220" t="n">
        <x:v>9.025</x:v>
      </x:c>
      <x:c r="Q1425" s="220" t="n">
        <x:v>1.4833333333333334</x:v>
      </x:c>
      <x:c r="R1425" s="220" t="n">
        <x:v>0.14115781126090404</x:v>
      </x:c>
      <x:c r="S1425" s="220" t="n">
        <x:v>17.129032258064516</x:v>
      </x:c>
      <x:c r="T1425" s="220" t="n">
        <x:v>15.32258064516129</x:v>
      </x:c>
      <x:c r="U1425" s="220" t="n">
        <x:v>1.8064516129032258</x:v>
      </x:c>
      <x:c r="V1425" s="218" t="n">
        <x:v>0.002304147465437788</x:v>
      </x:c>
      <x:c r="W1425" s="217" t="n">
        <x:v>0</x:v>
      </x:c>
      <x:c r="X1425" s="222" t="n">
        <x:v>60</x:v>
      </x:c>
      <x:c r="Y1425" s="217" t="n">
        <x:v>19</x:v>
      </x:c>
    </x:row>
    <x:row r="1426">
      <x:c r="A1426" s="216" t="n">
        <x:v>1073</x:v>
      </x:c>
      <x:c r="B1426" s="216" t="str">
        <x:v>中山溫泉公園</x:v>
      </x:c>
      <x:c r="C1426" s="216" t="str">
        <x:v>金山區</x:v>
      </x:c>
      <x:c r="D1426" s="216" t="n">
        <x:v>30</x:v>
      </x:c>
      <x:c r="E1426" s="216" t="n">
        <x:v>120</x:v>
      </x:c>
      <x:c r="F1426" s="219" t="n">
        <x:v>0.9925347222222223</x:v>
      </x:c>
      <x:c r="G1426" s="216" t="n">
        <x:v>1422</x:v>
      </x:c>
      <x:c r="H1426" s="216" t="str">
        <x:f>IF(G1426&lt;='排名定義'!$B$5,"是","")</x:f>
        <x:v>是</x:v>
      </x:c>
      <x:c r="I1426" s="216" t="n">
        <x:v>1434</x:v>
      </x:c>
      <x:c r="J1426" s="216" t="str">
        <x:f>IF(I1426&lt;='排名定義'!$B$5,"是","")</x:f>
        <x:v>是</x:v>
      </x:c>
      <x:c r="K1426" s="216" t="n">
        <x:v>1306</x:v>
      </x:c>
      <x:c r="L1426" s="216" t="str">
        <x:f>IF(K1426&lt;='排名定義'!$B$5,"是","")</x:f>
        <x:v>是</x:v>
      </x:c>
      <x:c r="M1426" s="216" t="n">
        <x:f>COUNTIF(H1426:L1426,"是")</x:f>
        <x:v>3</x:v>
      </x:c>
      <x:c r="N1426" s="216" t="str">
        <x:v>三份皆未入選</x:v>
      </x:c>
      <x:c r="O1426" s="221" t="n">
        <x:v>10.466666666666667</x:v>
      </x:c>
      <x:c r="P1426" s="221" t="n">
        <x:v>8.016666666666667</x:v>
      </x:c>
      <x:c r="Q1426" s="221" t="n">
        <x:v>2.45</x:v>
      </x:c>
      <x:c r="R1426" s="221" t="n">
        <x:v>0.2340764331210191</x:v>
      </x:c>
      <x:c r="S1426" s="221" t="n">
        <x:v>20.096774193548388</x:v>
      </x:c>
      <x:c r="T1426" s="221" t="n">
        <x:v>17.161290322580644</x:v>
      </x:c>
      <x:c r="U1426" s="221" t="n">
        <x:v>2.935483870967742</x:v>
      </x:c>
      <x:c r="V1426" s="219" t="n">
        <x:v>0</x:v>
      </x:c>
      <x:c r="W1426" s="216" t="n">
        <x:v>1</x:v>
      </x:c>
      <x:c r="X1426" s="223" t="n">
        <x:v>90</x:v>
      </x:c>
      <x:c r="Y1426" s="216" t="n">
        <x:v>30</x:v>
      </x:c>
    </x:row>
    <x:row r="1427">
      <x:c r="A1427" s="217" t="n">
        <x:v>162</x:v>
      </x:c>
      <x:c r="B1427" s="217" t="str">
        <x:v>東順街36巷口</x:v>
      </x:c>
      <x:c r="C1427" s="217" t="str">
        <x:v>樹林區</x:v>
      </x:c>
      <x:c r="D1427" s="217" t="n">
        <x:v>11</x:v>
      </x:c>
      <x:c r="E1427" s="217" t="n">
        <x:v>120</x:v>
      </x:c>
      <x:c r="F1427" s="218" t="n">
        <x:v>0.9994791666666667</x:v>
      </x:c>
      <x:c r="G1427" s="217" t="n">
        <x:v>1423</x:v>
      </x:c>
      <x:c r="H1427" s="217" t="str">
        <x:f>IF(G1427&lt;='排名定義'!$B$5,"是","")</x:f>
        <x:v>是</x:v>
      </x:c>
      <x:c r="I1427" s="217" t="n">
        <x:v>1414</x:v>
      </x:c>
      <x:c r="J1427" s="217" t="str">
        <x:f>IF(I1427&lt;='排名定義'!$B$5,"是","")</x:f>
        <x:v>是</x:v>
      </x:c>
      <x:c r="K1427" s="217" t="n">
        <x:v>1457</x:v>
      </x:c>
      <x:c r="L1427" s="217" t="str">
        <x:f>IF(K1427&lt;='排名定義'!$B$5,"是","")</x:f>
        <x:v>是</x:v>
      </x:c>
      <x:c r="M1427" s="217" t="n">
        <x:f>COUNTIF(H1427:L1427,"是")</x:f>
        <x:v>3</x:v>
      </x:c>
      <x:c r="N1427" s="217" t="str">
        <x:v>三份皆未入選</x:v>
      </x:c>
      <x:c r="O1427" s="220" t="n">
        <x:v>10.358333333333333</x:v>
      </x:c>
      <x:c r="P1427" s="220" t="n">
        <x:v>9.391666666666667</x:v>
      </x:c>
      <x:c r="Q1427" s="220" t="n">
        <x:v>0.9666666666666667</x:v>
      </x:c>
      <x:c r="R1427" s="220" t="n">
        <x:v>0.09332260659694289</x:v>
      </x:c>
      <x:c r="S1427" s="220" t="n">
        <x:v>19</x:v>
      </x:c>
      <x:c r="T1427" s="220" t="n">
        <x:v>18.129032258064516</x:v>
      </x:c>
      <x:c r="U1427" s="220" t="n">
        <x:v>0.8709677419354839</x:v>
      </x:c>
      <x:c r="V1427" s="218" t="n">
        <x:v>0.013824884792626729</x:v>
      </x:c>
      <x:c r="W1427" s="217" t="n">
        <x:v>4</x:v>
      </x:c>
      <x:c r="X1427" s="222" t="n">
        <x:v>450</x:v>
      </x:c>
      <x:c r="Y1427" s="217" t="n">
        <x:v>11</x:v>
      </x:c>
    </x:row>
    <x:row r="1428">
      <x:c r="A1428" s="216" t="n">
        <x:v>956</x:v>
      </x:c>
      <x:c r="B1428" s="216" t="str">
        <x:v>輕軌景文科大站</x:v>
      </x:c>
      <x:c r="C1428" s="216" t="str">
        <x:v>新店區</x:v>
      </x:c>
      <x:c r="D1428" s="216" t="n">
        <x:v>27</x:v>
      </x:c>
      <x:c r="E1428" s="216" t="n">
        <x:v>120</x:v>
      </x:c>
      <x:c r="F1428" s="219" t="n">
        <x:v>0.9994791666666667</x:v>
      </x:c>
      <x:c r="G1428" s="216" t="n">
        <x:v>1424</x:v>
      </x:c>
      <x:c r="H1428" s="216" t="str">
        <x:f>IF(G1428&lt;='排名定義'!$B$5,"是","")</x:f>
        <x:v>是</x:v>
      </x:c>
      <x:c r="I1428" s="216" t="n">
        <x:v>1427</x:v>
      </x:c>
      <x:c r="J1428" s="216" t="str">
        <x:f>IF(I1428&lt;='排名定義'!$B$5,"是","")</x:f>
        <x:v>是</x:v>
      </x:c>
      <x:c r="K1428" s="216" t="n">
        <x:v>1399</x:v>
      </x:c>
      <x:c r="L1428" s="216" t="str">
        <x:f>IF(K1428&lt;='排名定義'!$B$5,"是","")</x:f>
        <x:v>是</x:v>
      </x:c>
      <x:c r="M1428" s="216" t="n">
        <x:f>COUNTIF(H1428:L1428,"是")</x:f>
        <x:v>3</x:v>
      </x:c>
      <x:c r="N1428" s="216" t="str">
        <x:v>三份皆未入選</x:v>
      </x:c>
      <x:c r="O1428" s="221" t="n">
        <x:v>10.333333333333334</x:v>
      </x:c>
      <x:c r="P1428" s="221" t="n">
        <x:v>8.591666666666667</x:v>
      </x:c>
      <x:c r="Q1428" s="221" t="n">
        <x:v>1.7416666666666667</x:v>
      </x:c>
      <x:c r="R1428" s="221" t="n">
        <x:v>0.1685483870967742</x:v>
      </x:c>
      <x:c r="S1428" s="221" t="n">
        <x:v>14.548387096774194</x:v>
      </x:c>
      <x:c r="T1428" s="221" t="n">
        <x:v>13.516129032258064</x:v>
      </x:c>
      <x:c r="U1428" s="221" t="n">
        <x:v>1.032258064516129</x:v>
      </x:c>
      <x:c r="V1428" s="219" t="n">
        <x:v>0.009216589861751152</x:v>
      </x:c>
      <x:c r="W1428" s="216" t="n">
        <x:v>1</x:v>
      </x:c>
      <x:c r="X1428" s="223" t="n">
        <x:v>150</x:v>
      </x:c>
      <x:c r="Y1428" s="216" t="n">
        <x:v>27</x:v>
      </x:c>
    </x:row>
    <x:row r="1429">
      <x:c r="A1429" s="217" t="n">
        <x:v>256</x:v>
      </x:c>
      <x:c r="B1429" s="217" t="str">
        <x:v>汐萬康寧街口</x:v>
      </x:c>
      <x:c r="C1429" s="217" t="str">
        <x:v>汐止區</x:v>
      </x:c>
      <x:c r="D1429" s="217" t="n">
        <x:v>13</x:v>
      </x:c>
      <x:c r="E1429" s="217" t="n">
        <x:v>120</x:v>
      </x:c>
      <x:c r="F1429" s="218" t="n">
        <x:v>0.9994791666666667</x:v>
      </x:c>
      <x:c r="G1429" s="217" t="n">
        <x:v>1425</x:v>
      </x:c>
      <x:c r="H1429" s="217" t="str">
        <x:f>IF(G1429&lt;='排名定義'!$B$5,"是","")</x:f>
        <x:v>是</x:v>
      </x:c>
      <x:c r="I1429" s="217" t="n">
        <x:v>1422</x:v>
      </x:c>
      <x:c r="J1429" s="217" t="str">
        <x:f>IF(I1429&lt;='排名定義'!$B$5,"是","")</x:f>
        <x:v>是</x:v>
      </x:c>
      <x:c r="K1429" s="217" t="n">
        <x:v>1438</x:v>
      </x:c>
      <x:c r="L1429" s="217" t="str">
        <x:f>IF(K1429&lt;='排名定義'!$B$5,"是","")</x:f>
        <x:v>是</x:v>
      </x:c>
      <x:c r="M1429" s="217" t="n">
        <x:f>COUNTIF(H1429:L1429,"是")</x:f>
        <x:v>3</x:v>
      </x:c>
      <x:c r="N1429" s="217" t="str">
        <x:v>三份皆未入選</x:v>
      </x:c>
      <x:c r="O1429" s="220" t="n">
        <x:v>10.258333333333333</x:v>
      </x:c>
      <x:c r="P1429" s="220" t="n">
        <x:v>8.933333333333334</x:v>
      </x:c>
      <x:c r="Q1429" s="220" t="n">
        <x:v>1.325</x:v>
      </x:c>
      <x:c r="R1429" s="220" t="n">
        <x:v>0.12916328188464662</x:v>
      </x:c>
      <x:c r="S1429" s="220" t="n">
        <x:v>20.516129032258064</x:v>
      </x:c>
      <x:c r="T1429" s="220" t="n">
        <x:v>18.677419354838708</x:v>
      </x:c>
      <x:c r="U1429" s="220" t="n">
        <x:v>1.8387096774193548</x:v>
      </x:c>
      <x:c r="V1429" s="218" t="n">
        <x:v>0.07142857142857142</x:v>
      </x:c>
      <x:c r="W1429" s="217" t="n">
        <x:v>14</x:v>
      </x:c>
      <x:c r="X1429" s="222" t="n">
        <x:v>1620</x:v>
      </x:c>
      <x:c r="Y1429" s="217" t="n">
        <x:v>13</x:v>
      </x:c>
    </x:row>
    <x:row r="1430">
      <x:c r="A1430" s="216" t="n">
        <x:v>505</x:v>
      </x:c>
      <x:c r="B1430" s="216" t="str">
        <x:v>臺大醫院金山分院</x:v>
      </x:c>
      <x:c r="C1430" s="216" t="str">
        <x:v>金山區</x:v>
      </x:c>
      <x:c r="D1430" s="216" t="n">
        <x:v>16</x:v>
      </x:c>
      <x:c r="E1430" s="216" t="n">
        <x:v>120</x:v>
      </x:c>
      <x:c r="F1430" s="219" t="n">
        <x:v>0.9994791666666667</x:v>
      </x:c>
      <x:c r="G1430" s="216" t="n">
        <x:v>1426</x:v>
      </x:c>
      <x:c r="H1430" s="216" t="str">
        <x:f>IF(G1430&lt;='排名定義'!$B$5,"是","")</x:f>
        <x:v>是</x:v>
      </x:c>
      <x:c r="I1430" s="216" t="n">
        <x:v>1425</x:v>
      </x:c>
      <x:c r="J1430" s="216" t="str">
        <x:f>IF(I1430&lt;='排名定義'!$B$5,"是","")</x:f>
        <x:v>是</x:v>
      </x:c>
      <x:c r="K1430" s="216" t="n">
        <x:v>1426</x:v>
      </x:c>
      <x:c r="L1430" s="216" t="str">
        <x:f>IF(K1430&lt;='排名定義'!$B$5,"是","")</x:f>
        <x:v>是</x:v>
      </x:c>
      <x:c r="M1430" s="216" t="n">
        <x:f>COUNTIF(H1430:L1430,"是")</x:f>
        <x:v>3</x:v>
      </x:c>
      <x:c r="N1430" s="216" t="str">
        <x:v>三份皆未入選</x:v>
      </x:c>
      <x:c r="O1430" s="221" t="n">
        <x:v>10.258333333333333</x:v>
      </x:c>
      <x:c r="P1430" s="221" t="n">
        <x:v>8.741666666666667</x:v>
      </x:c>
      <x:c r="Q1430" s="221" t="n">
        <x:v>1.5166666666666666</x:v>
      </x:c>
      <x:c r="R1430" s="221" t="n">
        <x:v>0.1478472786352559</x:v>
      </x:c>
      <x:c r="S1430" s="221" t="n">
        <x:v>18.580645161290324</x:v>
      </x:c>
      <x:c r="T1430" s="221" t="n">
        <x:v>16.258064516129032</x:v>
      </x:c>
      <x:c r="U1430" s="221" t="n">
        <x:v>2.3225806451612905</x:v>
      </x:c>
      <x:c r="V1430" s="219" t="n">
        <x:v>0.013824884792626729</x:v>
      </x:c>
      <x:c r="W1430" s="216" t="n">
        <x:v>2</x:v>
      </x:c>
      <x:c r="X1430" s="223" t="n">
        <x:v>750</x:v>
      </x:c>
      <x:c r="Y1430" s="216" t="n">
        <x:v>16</x:v>
      </x:c>
    </x:row>
    <x:row r="1431">
      <x:c r="A1431" s="217" t="n">
        <x:v>607</x:v>
      </x:c>
      <x:c r="B1431" s="217" t="str">
        <x:v>成州停車場</x:v>
      </x:c>
      <x:c r="C1431" s="217" t="str">
        <x:v>五股區</x:v>
      </x:c>
      <x:c r="D1431" s="217" t="n">
        <x:v>18</x:v>
      </x:c>
      <x:c r="E1431" s="217" t="n">
        <x:v>120</x:v>
      </x:c>
      <x:c r="F1431" s="218" t="n">
        <x:v>0.9994791666666667</x:v>
      </x:c>
      <x:c r="G1431" s="217" t="n">
        <x:v>1427</x:v>
      </x:c>
      <x:c r="H1431" s="217" t="str">
        <x:f>IF(G1431&lt;='排名定義'!$B$5,"是","")</x:f>
        <x:v>是</x:v>
      </x:c>
      <x:c r="I1431" s="217" t="n">
        <x:v>1426</x:v>
      </x:c>
      <x:c r="J1431" s="217" t="str">
        <x:f>IF(I1431&lt;='排名定義'!$B$5,"是","")</x:f>
        <x:v>是</x:v>
      </x:c>
      <x:c r="K1431" s="217" t="n">
        <x:v>1424</x:v>
      </x:c>
      <x:c r="L1431" s="217" t="str">
        <x:f>IF(K1431&lt;='排名定義'!$B$5,"是","")</x:f>
        <x:v>是</x:v>
      </x:c>
      <x:c r="M1431" s="217" t="n">
        <x:f>COUNTIF(H1431:L1431,"是")</x:f>
        <x:v>3</x:v>
      </x:c>
      <x:c r="N1431" s="217" t="str">
        <x:v>三份皆未入選</x:v>
      </x:c>
      <x:c r="O1431" s="220" t="n">
        <x:v>10.258333333333333</x:v>
      </x:c>
      <x:c r="P1431" s="220" t="n">
        <x:v>8.725</x:v>
      </x:c>
      <x:c r="Q1431" s="220" t="n">
        <x:v>1.5333333333333334</x:v>
      </x:c>
      <x:c r="R1431" s="220" t="n">
        <x:v>0.14947197400487408</x:v>
      </x:c>
      <x:c r="S1431" s="220" t="n">
        <x:v>15.838709677419354</x:v>
      </x:c>
      <x:c r="T1431" s="220" t="n">
        <x:v>14.935483870967742</x:v>
      </x:c>
      <x:c r="U1431" s="220" t="n">
        <x:v>0.9032258064516129</x:v>
      </x:c>
      <x:c r="V1431" s="218" t="n">
        <x:v>0.06221198156682028</x:v>
      </x:c>
      <x:c r="W1431" s="217" t="n">
        <x:v>11</x:v>
      </x:c>
      <x:c r="X1431" s="222" t="n">
        <x:v>1350</x:v>
      </x:c>
      <x:c r="Y1431" s="217" t="n">
        <x:v>18</x:v>
      </x:c>
    </x:row>
    <x:row r="1432">
      <x:c r="A1432" s="216" t="n">
        <x:v>411</x:v>
      </x:c>
      <x:c r="B1432" s="216" t="str">
        <x:v>商港六商港三路口</x:v>
      </x:c>
      <x:c r="C1432" s="216" t="str">
        <x:v>八里區</x:v>
      </x:c>
      <x:c r="D1432" s="216" t="n">
        <x:v>15</x:v>
      </x:c>
      <x:c r="E1432" s="216" t="n">
        <x:v>120</x:v>
      </x:c>
      <x:c r="F1432" s="219" t="n">
        <x:v>0.9994791666666667</x:v>
      </x:c>
      <x:c r="G1432" s="216" t="n">
        <x:v>1428</x:v>
      </x:c>
      <x:c r="H1432" s="216" t="str">
        <x:f>IF(G1432&lt;='排名定義'!$B$5,"是","")</x:f>
        <x:v>是</x:v>
      </x:c>
      <x:c r="I1432" s="216" t="n">
        <x:v>1423</x:v>
      </x:c>
      <x:c r="J1432" s="216" t="str">
        <x:f>IF(I1432&lt;='排名定義'!$B$5,"是","")</x:f>
        <x:v>是</x:v>
      </x:c>
      <x:c r="K1432" s="216" t="n">
        <x:v>1443</x:v>
      </x:c>
      <x:c r="L1432" s="216" t="str">
        <x:f>IF(K1432&lt;='排名定義'!$B$5,"是","")</x:f>
        <x:v>是</x:v>
      </x:c>
      <x:c r="M1432" s="216" t="n">
        <x:f>COUNTIF(H1432:L1432,"是")</x:f>
        <x:v>3</x:v>
      </x:c>
      <x:c r="N1432" s="216" t="str">
        <x:v>三份皆未入選</x:v>
      </x:c>
      <x:c r="O1432" s="221" t="n">
        <x:v>10.225</x:v>
      </x:c>
      <x:c r="P1432" s="221" t="n">
        <x:v>8.933333333333334</x:v>
      </x:c>
      <x:c r="Q1432" s="221" t="n">
        <x:v>1.2916666666666667</x:v>
      </x:c>
      <x:c r="R1432" s="221" t="n">
        <x:v>0.1263243683781581</x:v>
      </x:c>
      <x:c r="S1432" s="221" t="n">
        <x:v>22.806451612903224</x:v>
      </x:c>
      <x:c r="T1432" s="221" t="n">
        <x:v>20.483870967741936</x:v>
      </x:c>
      <x:c r="U1432" s="221" t="n">
        <x:v>2.3225806451612905</x:v>
      </x:c>
      <x:c r="V1432" s="219" t="n">
        <x:v>0.06682027649769585</x:v>
      </x:c>
      <x:c r="W1432" s="216" t="n">
        <x:v>12</x:v>
      </x:c>
      <x:c r="X1432" s="223" t="n">
        <x:v>1500</x:v>
      </x:c>
      <x:c r="Y1432" s="216" t="n">
        <x:v>15</x:v>
      </x:c>
    </x:row>
    <x:row r="1433">
      <x:c r="A1433" s="217" t="n">
        <x:v>750</x:v>
      </x:c>
      <x:c r="B1433" s="217" t="str">
        <x:v>馬偕醫學大學(圓環)</x:v>
      </x:c>
      <x:c r="C1433" s="217" t="str">
        <x:v>三芝區</x:v>
      </x:c>
      <x:c r="D1433" s="217" t="n">
        <x:v>20</x:v>
      </x:c>
      <x:c r="E1433" s="217" t="n">
        <x:v>120</x:v>
      </x:c>
      <x:c r="F1433" s="218" t="n">
        <x:v>0.9994791666666667</x:v>
      </x:c>
      <x:c r="G1433" s="217" t="n">
        <x:v>1429</x:v>
      </x:c>
      <x:c r="H1433" s="217" t="str">
        <x:f>IF(G1433&lt;='排名定義'!$B$5,"是","")</x:f>
        <x:v>是</x:v>
      </x:c>
      <x:c r="I1433" s="217" t="n">
        <x:v>1433</x:v>
      </x:c>
      <x:c r="J1433" s="217" t="str">
        <x:f>IF(I1433&lt;='排名定義'!$B$5,"是","")</x:f>
        <x:v>是</x:v>
      </x:c>
      <x:c r="K1433" s="217" t="n">
        <x:v>1354</x:v>
      </x:c>
      <x:c r="L1433" s="217" t="str">
        <x:f>IF(K1433&lt;='排名定義'!$B$5,"是","")</x:f>
        <x:v>是</x:v>
      </x:c>
      <x:c r="M1433" s="217" t="n">
        <x:f>COUNTIF(H1433:L1433,"是")</x:f>
        <x:v>3</x:v>
      </x:c>
      <x:c r="N1433" s="217" t="str">
        <x:v>三份皆未入選</x:v>
      </x:c>
      <x:c r="O1433" s="220" t="n">
        <x:v>10.166666666666666</x:v>
      </x:c>
      <x:c r="P1433" s="220" t="n">
        <x:v>8.025</x:v>
      </x:c>
      <x:c r="Q1433" s="220" t="n">
        <x:v>2.1416666666666666</x:v>
      </x:c>
      <x:c r="R1433" s="220" t="n">
        <x:v>0.21065573770491802</x:v>
      </x:c>
      <x:c r="S1433" s="220" t="n">
        <x:v>23.387096774193548</x:v>
      </x:c>
      <x:c r="T1433" s="220" t="n">
        <x:v>20.516129032258064</x:v>
      </x:c>
      <x:c r="U1433" s="220" t="n">
        <x:v>2.870967741935484</x:v>
      </x:c>
      <x:c r="V1433" s="218" t="n">
        <x:v>0.08525345622119816</x:v>
      </x:c>
      <x:c r="W1433" s="217" t="n">
        <x:v>9</x:v>
      </x:c>
      <x:c r="X1433" s="222" t="n">
        <x:v>2070</x:v>
      </x:c>
      <x:c r="Y1433" s="217" t="n">
        <x:v>20</x:v>
      </x:c>
    </x:row>
    <x:row r="1434">
      <x:c r="A1434" s="216" t="n">
        <x:v>1054</x:v>
      </x:c>
      <x:c r="B1434" s="216" t="str">
        <x:v>商港一十三行路口</x:v>
      </x:c>
      <x:c r="C1434" s="216" t="str">
        <x:v>八里區</x:v>
      </x:c>
      <x:c r="D1434" s="216" t="n">
        <x:v>30</x:v>
      </x:c>
      <x:c r="E1434" s="216" t="n">
        <x:v>120</x:v>
      </x:c>
      <x:c r="F1434" s="219" t="n">
        <x:v>0.9994791666666667</x:v>
      </x:c>
      <x:c r="G1434" s="216" t="n">
        <x:v>1430</x:v>
      </x:c>
      <x:c r="H1434" s="216" t="str">
        <x:f>IF(G1434&lt;='排名定義'!$B$5,"是","")</x:f>
        <x:v>是</x:v>
      </x:c>
      <x:c r="I1434" s="216" t="n">
        <x:v>1429</x:v>
      </x:c>
      <x:c r="J1434" s="216" t="str">
        <x:f>IF(I1434&lt;='排名定義'!$B$5,"是","")</x:f>
        <x:v>是</x:v>
      </x:c>
      <x:c r="K1434" s="216" t="n">
        <x:v>1400</x:v>
      </x:c>
      <x:c r="L1434" s="216" t="str">
        <x:f>IF(K1434&lt;='排名定義'!$B$5,"是","")</x:f>
        <x:v>是</x:v>
      </x:c>
      <x:c r="M1434" s="216" t="n">
        <x:f>COUNTIF(H1434:L1434,"是")</x:f>
        <x:v>3</x:v>
      </x:c>
      <x:c r="N1434" s="216" t="str">
        <x:v>三份皆未入選</x:v>
      </x:c>
      <x:c r="O1434" s="221" t="n">
        <x:v>10.158333333333333</x:v>
      </x:c>
      <x:c r="P1434" s="221" t="n">
        <x:v>8.416666666666666</x:v>
      </x:c>
      <x:c r="Q1434" s="221" t="n">
        <x:v>1.7416666666666667</x:v>
      </x:c>
      <x:c r="R1434" s="221" t="n">
        <x:v>0.17145200984413453</x:v>
      </x:c>
      <x:c r="S1434" s="221" t="n">
        <x:v>33.54838709677419</x:v>
      </x:c>
      <x:c r="T1434" s="221" t="n">
        <x:v>30.483870967741936</x:v>
      </x:c>
      <x:c r="U1434" s="221" t="n">
        <x:v>3.064516129032258</x:v>
      </x:c>
      <x:c r="V1434" s="219" t="n">
        <x:v>0.08064516129032258</x:v>
      </x:c>
      <x:c r="W1434" s="216" t="n">
        <x:v>12</x:v>
      </x:c>
      <x:c r="X1434" s="223" t="n">
        <x:v>1800</x:v>
      </x:c>
      <x:c r="Y1434" s="216" t="n">
        <x:v>30</x:v>
      </x:c>
    </x:row>
    <x:row r="1435">
      <x:c r="A1435" s="217" t="n">
        <x:v>819</x:v>
      </x:c>
      <x:c r="B1435" s="217" t="str">
        <x:v>龍埔三樹路98巷口</x:v>
      </x:c>
      <x:c r="C1435" s="217" t="str">
        <x:v>三峽區</x:v>
      </x:c>
      <x:c r="D1435" s="217" t="n">
        <x:v>22</x:v>
      </x:c>
      <x:c r="E1435" s="217" t="n">
        <x:v>120</x:v>
      </x:c>
      <x:c r="F1435" s="218" t="n">
        <x:v>0.9994791666666667</x:v>
      </x:c>
      <x:c r="G1435" s="217" t="n">
        <x:v>1431</x:v>
      </x:c>
      <x:c r="H1435" s="217" t="str">
        <x:f>IF(G1435&lt;='排名定義'!$B$5,"是","")</x:f>
        <x:v>是</x:v>
      </x:c>
      <x:c r="I1435" s="217" t="n">
        <x:v>1430</x:v>
      </x:c>
      <x:c r="J1435" s="217" t="str">
        <x:f>IF(I1435&lt;='排名定義'!$B$5,"是","")</x:f>
        <x:v>是</x:v>
      </x:c>
      <x:c r="K1435" s="217" t="n">
        <x:v>1405</x:v>
      </x:c>
      <x:c r="L1435" s="217" t="str">
        <x:f>IF(K1435&lt;='排名定義'!$B$5,"是","")</x:f>
        <x:v>是</x:v>
      </x:c>
      <x:c r="M1435" s="217" t="n">
        <x:f>COUNTIF(H1435:L1435,"是")</x:f>
        <x:v>3</x:v>
      </x:c>
      <x:c r="N1435" s="217" t="str">
        <x:v>三份皆未入選</x:v>
      </x:c>
      <x:c r="O1435" s="220" t="n">
        <x:v>10.05</x:v>
      </x:c>
      <x:c r="P1435" s="220" t="n">
        <x:v>8.341666666666667</x:v>
      </x:c>
      <x:c r="Q1435" s="220" t="n">
        <x:v>1.7083333333333333</x:v>
      </x:c>
      <x:c r="R1435" s="220" t="n">
        <x:v>0.16998341625207297</x:v>
      </x:c>
      <x:c r="S1435" s="220" t="n">
        <x:v>13.709677419354838</x:v>
      </x:c>
      <x:c r="T1435" s="220" t="n">
        <x:v>12.580645161290322</x:v>
      </x:c>
      <x:c r="U1435" s="220" t="n">
        <x:v>1.1290322580645162</x:v>
      </x:c>
      <x:c r="V1435" s="218" t="n">
        <x:v>0</x:v>
      </x:c>
      <x:c r="W1435" s="217" t="n">
        <x:v>0</x:v>
      </x:c>
      <x:c r="X1435" s="222" t="n">
        <x:v>0</x:v>
      </x:c>
      <x:c r="Y1435" s="217" t="n">
        <x:v>42</x:v>
      </x:c>
    </x:row>
    <x:row r="1436">
      <x:c r="A1436" s="216" t="n">
        <x:v>745</x:v>
      </x:c>
      <x:c r="B1436" s="216" t="str">
        <x:v>建國中正一路口(北鶯社區)</x:v>
      </x:c>
      <x:c r="C1436" s="216" t="str">
        <x:v>鶯歌區</x:v>
      </x:c>
      <x:c r="D1436" s="216" t="n">
        <x:v>20</x:v>
      </x:c>
      <x:c r="E1436" s="216" t="n">
        <x:v>120</x:v>
      </x:c>
      <x:c r="F1436" s="219" t="n">
        <x:v>0.9994791666666667</x:v>
      </x:c>
      <x:c r="G1436" s="216" t="n">
        <x:v>1432</x:v>
      </x:c>
      <x:c r="H1436" s="216" t="str">
        <x:f>IF(G1436&lt;='排名定義'!$B$5,"是","")</x:f>
        <x:v>是</x:v>
      </x:c>
      <x:c r="I1436" s="216" t="n">
        <x:v>1435</x:v>
      </x:c>
      <x:c r="J1436" s="216" t="str">
        <x:f>IF(I1436&lt;='排名定義'!$B$5,"是","")</x:f>
        <x:v>是</x:v>
      </x:c>
      <x:c r="K1436" s="216" t="n">
        <x:v>1378</x:v>
      </x:c>
      <x:c r="L1436" s="216" t="str">
        <x:f>IF(K1436&lt;='排名定義'!$B$5,"是","")</x:f>
        <x:v>是</x:v>
      </x:c>
      <x:c r="M1436" s="216" t="n">
        <x:f>COUNTIF(H1436:L1436,"是")</x:f>
        <x:v>3</x:v>
      </x:c>
      <x:c r="N1436" s="216" t="str">
        <x:v>三份皆未入選</x:v>
      </x:c>
      <x:c r="O1436" s="221" t="n">
        <x:v>9.991666666666667</x:v>
      </x:c>
      <x:c r="P1436" s="221" t="n">
        <x:v>7.991666666666666</x:v>
      </x:c>
      <x:c r="Q1436" s="221" t="n">
        <x:v>2</x:v>
      </x:c>
      <x:c r="R1436" s="221" t="n">
        <x:v>0.20016680567139283</x:v>
      </x:c>
      <x:c r="S1436" s="221" t="n">
        <x:v>21.741935483870968</x:v>
      </x:c>
      <x:c r="T1436" s="221" t="n">
        <x:v>19.225806451612904</x:v>
      </x:c>
      <x:c r="U1436" s="221" t="n">
        <x:v>2.5161290322580645</x:v>
      </x:c>
      <x:c r="V1436" s="219" t="n">
        <x:v>0.013824884792626729</x:v>
      </x:c>
      <x:c r="W1436" s="216" t="n">
        <x:v>6</x:v>
      </x:c>
      <x:c r="X1436" s="223" t="n">
        <x:v>720</x:v>
      </x:c>
      <x:c r="Y1436" s="216" t="n">
        <x:v>20</x:v>
      </x:c>
    </x:row>
    <x:row r="1437">
      <x:c r="A1437" s="217" t="n">
        <x:v>291</x:v>
      </x:c>
      <x:c r="B1437" s="217" t="str">
        <x:v>中華路379巷口</x:v>
      </x:c>
      <x:c r="C1437" s="217" t="str">
        <x:v>樹林區</x:v>
      </x:c>
      <x:c r="D1437" s="217" t="n">
        <x:v>14</x:v>
      </x:c>
      <x:c r="E1437" s="217" t="n">
        <x:v>120</x:v>
      </x:c>
      <x:c r="F1437" s="218" t="n">
        <x:v>0.9994791666666667</x:v>
      </x:c>
      <x:c r="G1437" s="217" t="n">
        <x:v>1433</x:v>
      </x:c>
      <x:c r="H1437" s="217" t="str">
        <x:f>IF(G1437&lt;='排名定義'!$B$5,"是","")</x:f>
        <x:v>是</x:v>
      </x:c>
      <x:c r="I1437" s="217" t="n">
        <x:v>1428</x:v>
      </x:c>
      <x:c r="J1437" s="217" t="str">
        <x:f>IF(I1437&lt;='排名定義'!$B$5,"是","")</x:f>
        <x:v>是</x:v>
      </x:c>
      <x:c r="K1437" s="217" t="n">
        <x:v>1434</x:v>
      </x:c>
      <x:c r="L1437" s="217" t="str">
        <x:f>IF(K1437&lt;='排名定義'!$B$5,"是","")</x:f>
        <x:v>是</x:v>
      </x:c>
      <x:c r="M1437" s="217" t="n">
        <x:f>COUNTIF(H1437:L1437,"是")</x:f>
        <x:v>3</x:v>
      </x:c>
      <x:c r="N1437" s="217" t="str">
        <x:v>三份皆未入選</x:v>
      </x:c>
      <x:c r="O1437" s="220" t="n">
        <x:v>9.816666666666666</x:v>
      </x:c>
      <x:c r="P1437" s="220" t="n">
        <x:v>8.425</x:v>
      </x:c>
      <x:c r="Q1437" s="220" t="n">
        <x:v>1.3916666666666666</x:v>
      </x:c>
      <x:c r="R1437" s="220" t="n">
        <x:v>0.14176570458404075</x:v>
      </x:c>
      <x:c r="S1437" s="220" t="n">
        <x:v>18</x:v>
      </x:c>
      <x:c r="T1437" s="220" t="n">
        <x:v>16.096774193548388</x:v>
      </x:c>
      <x:c r="U1437" s="220" t="n">
        <x:v>1.903225806451613</x:v>
      </x:c>
      <x:c r="V1437" s="218" t="n">
        <x:v>0.02304147465437788</x:v>
      </x:c>
      <x:c r="W1437" s="217" t="n">
        <x:v>5</x:v>
      </x:c>
      <x:c r="X1437" s="222" t="n">
        <x:v>840</x:v>
      </x:c>
      <x:c r="Y1437" s="217" t="n">
        <x:v>14</x:v>
      </x:c>
    </x:row>
    <x:row r="1438">
      <x:c r="A1438" s="216" t="n">
        <x:v>867</x:v>
      </x:c>
      <x:c r="B1438" s="216" t="str">
        <x:v>輕軌淡金鄧公站</x:v>
      </x:c>
      <x:c r="C1438" s="216" t="str">
        <x:v>淡水區</x:v>
      </x:c>
      <x:c r="D1438" s="216" t="n">
        <x:v>24</x:v>
      </x:c>
      <x:c r="E1438" s="216" t="n">
        <x:v>120</x:v>
      </x:c>
      <x:c r="F1438" s="219" t="n">
        <x:v>0.9994791666666667</x:v>
      </x:c>
      <x:c r="G1438" s="216" t="n">
        <x:v>1434</x:v>
      </x:c>
      <x:c r="H1438" s="216" t="str">
        <x:f>IF(G1438&lt;='排名定義'!$B$5,"是","")</x:f>
        <x:v>是</x:v>
      </x:c>
      <x:c r="I1438" s="216" t="n">
        <x:v>1451</x:v>
      </x:c>
      <x:c r="J1438" s="216" t="str">
        <x:f>IF(I1438&lt;='排名定義'!$B$5,"是","")</x:f>
        <x:v>是</x:v>
      </x:c>
      <x:c r="K1438" s="216" t="n">
        <x:v>928</x:v>
      </x:c>
      <x:c r="L1438" s="216" t="str">
        <x:f>IF(K1438&lt;='排名定義'!$B$5,"是","")</x:f>
        <x:v>是</x:v>
      </x:c>
      <x:c r="M1438" s="216" t="n">
        <x:f>COUNTIF(H1438:L1438,"是")</x:f>
        <x:v>3</x:v>
      </x:c>
      <x:c r="N1438" s="216" t="str">
        <x:v>三份皆未入選</x:v>
      </x:c>
      <x:c r="O1438" s="221" t="n">
        <x:v>9.675</x:v>
      </x:c>
      <x:c r="P1438" s="221" t="n">
        <x:v>6.05</x:v>
      </x:c>
      <x:c r="Q1438" s="221" t="n">
        <x:v>3.625</x:v>
      </x:c>
      <x:c r="R1438" s="221" t="n">
        <x:v>0.37467700258397935</x:v>
      </x:c>
      <x:c r="S1438" s="221" t="n">
        <x:v>15.290322580645162</x:v>
      </x:c>
      <x:c r="T1438" s="221" t="n">
        <x:v>11.451612903225806</x:v>
      </x:c>
      <x:c r="U1438" s="221" t="n">
        <x:v>3.838709677419355</x:v>
      </x:c>
      <x:c r="V1438" s="219" t="n">
        <x:v>0.020737327188940093</x:v>
      </x:c>
      <x:c r="W1438" s="216" t="n">
        <x:v>7</x:v>
      </x:c>
      <x:c r="X1438" s="223" t="n">
        <x:v>810</x:v>
      </x:c>
      <x:c r="Y1438" s="216" t="n">
        <x:v>24</x:v>
      </x:c>
    </x:row>
    <x:row r="1439">
      <x:c r="A1439" s="217" t="n">
        <x:v>132</x:v>
      </x:c>
      <x:c r="B1439" s="217" t="str">
        <x:v>胡璉故居紀念館</x:v>
      </x:c>
      <x:c r="C1439" s="217" t="str">
        <x:v>新店區</x:v>
      </x:c>
      <x:c r="D1439" s="217" t="n">
        <x:v>10</x:v>
      </x:c>
      <x:c r="E1439" s="217" t="n">
        <x:v>120</x:v>
      </x:c>
      <x:c r="F1439" s="218" t="n">
        <x:v>0.9994791666666667</x:v>
      </x:c>
      <x:c r="G1439" s="217" t="n">
        <x:v>1435</x:v>
      </x:c>
      <x:c r="H1439" s="217" t="str">
        <x:f>IF(G1439&lt;='排名定義'!$B$5,"是","")</x:f>
        <x:v>是</x:v>
      </x:c>
      <x:c r="I1439" s="217" t="n">
        <x:v>1424</x:v>
      </x:c>
      <x:c r="J1439" s="217" t="str">
        <x:f>IF(I1439&lt;='排名定義'!$B$5,"是","")</x:f>
        <x:v>是</x:v>
      </x:c>
      <x:c r="K1439" s="217" t="n">
        <x:v>1471</x:v>
      </x:c>
      <x:c r="L1439" s="217" t="str">
        <x:f>IF(K1439&lt;='排名定義'!$B$5,"是","")</x:f>
        <x:v>是</x:v>
      </x:c>
      <x:c r="M1439" s="217" t="n">
        <x:f>COUNTIF(H1439:L1439,"是")</x:f>
        <x:v>3</x:v>
      </x:c>
      <x:c r="N1439" s="217" t="str">
        <x:v>三份皆未入選</x:v>
      </x:c>
      <x:c r="O1439" s="220" t="n">
        <x:v>9.4</x:v>
      </x:c>
      <x:c r="P1439" s="220" t="n">
        <x:v>8.8</x:v>
      </x:c>
      <x:c r="Q1439" s="220" t="n">
        <x:v>0.6</x:v>
      </x:c>
      <x:c r="R1439" s="220" t="n">
        <x:v>0.06382978723404255</x:v>
      </x:c>
      <x:c r="S1439" s="220" t="n">
        <x:v>16.29032258064516</x:v>
      </x:c>
      <x:c r="T1439" s="220" t="n">
        <x:v>16.129032258064516</x:v>
      </x:c>
      <x:c r="U1439" s="220" t="n">
        <x:v>0.16129032258064516</x:v>
      </x:c>
      <x:c r="V1439" s="218" t="n">
        <x:v>0.02304147465437788</x:v>
      </x:c>
      <x:c r="W1439" s="217" t="n">
        <x:v>8</x:v>
      </x:c>
      <x:c r="X1439" s="222" t="n">
        <x:v>780</x:v>
      </x:c>
      <x:c r="Y1439" s="217" t="n">
        <x:v>10</x:v>
      </x:c>
    </x:row>
    <x:row r="1440">
      <x:c r="A1440" s="216" t="n">
        <x:v>677</x:v>
      </x:c>
      <x:c r="B1440" s="216" t="str">
        <x:v>片仔溝公園</x:v>
      </x:c>
      <x:c r="C1440" s="216" t="str">
        <x:v>八里區</x:v>
      </x:c>
      <x:c r="D1440" s="216" t="n">
        <x:v>20</x:v>
      </x:c>
      <x:c r="E1440" s="216" t="n">
        <x:v>120</x:v>
      </x:c>
      <x:c r="F1440" s="219" t="n">
        <x:v>0.9994791666666667</x:v>
      </x:c>
      <x:c r="G1440" s="216" t="n">
        <x:v>1436</x:v>
      </x:c>
      <x:c r="H1440" s="216" t="str">
        <x:f>IF(G1440&lt;='排名定義'!$B$5,"是","")</x:f>
        <x:v>是</x:v>
      </x:c>
      <x:c r="I1440" s="216" t="n">
        <x:v>1432</x:v>
      </x:c>
      <x:c r="J1440" s="216" t="str">
        <x:f>IF(I1440&lt;='排名定義'!$B$5,"是","")</x:f>
        <x:v>是</x:v>
      </x:c>
      <x:c r="K1440" s="216" t="n">
        <x:v>1452</x:v>
      </x:c>
      <x:c r="L1440" s="216" t="str">
        <x:f>IF(K1440&lt;='排名定義'!$B$5,"是","")</x:f>
        <x:v>是</x:v>
      </x:c>
      <x:c r="M1440" s="216" t="n">
        <x:f>COUNTIF(H1440:L1440,"是")</x:f>
        <x:v>3</x:v>
      </x:c>
      <x:c r="N1440" s="216" t="str">
        <x:v>三份皆未入選</x:v>
      </x:c>
      <x:c r="O1440" s="221" t="n">
        <x:v>9.266666666666667</x:v>
      </x:c>
      <x:c r="P1440" s="221" t="n">
        <x:v>8.208333333333334</x:v>
      </x:c>
      <x:c r="Q1440" s="221" t="n">
        <x:v>1.0583333333333333</x:v>
      </x:c>
      <x:c r="R1440" s="221" t="n">
        <x:v>0.11420863309352518</x:v>
      </x:c>
      <x:c r="S1440" s="221" t="n">
        <x:v>15.612903225806452</x:v>
      </x:c>
      <x:c r="T1440" s="221" t="n">
        <x:v>14.96774193548387</x:v>
      </x:c>
      <x:c r="U1440" s="221" t="n">
        <x:v>0.6451612903225806</x:v>
      </x:c>
      <x:c r="V1440" s="219" t="n">
        <x:v>0.03917050691244239</x:v>
      </x:c>
      <x:c r="W1440" s="216" t="n">
        <x:v>6</x:v>
      </x:c>
      <x:c r="X1440" s="223" t="n">
        <x:v>690</x:v>
      </x:c>
      <x:c r="Y1440" s="216" t="n">
        <x:v>20</x:v>
      </x:c>
    </x:row>
    <x:row r="1441">
      <x:c r="A1441" s="217" t="n">
        <x:v>814</x:v>
      </x:c>
      <x:c r="B1441" s="217" t="str">
        <x:v>水蓮山莊</x:v>
      </x:c>
      <x:c r="C1441" s="217" t="str">
        <x:v>汐止區</x:v>
      </x:c>
      <x:c r="D1441" s="217" t="n">
        <x:v>22</x:v>
      </x:c>
      <x:c r="E1441" s="217" t="n">
        <x:v>120</x:v>
      </x:c>
      <x:c r="F1441" s="218" t="n">
        <x:v>0.9994791666666667</x:v>
      </x:c>
      <x:c r="G1441" s="217" t="n">
        <x:v>1437</x:v>
      </x:c>
      <x:c r="H1441" s="217" t="str">
        <x:f>IF(G1441&lt;='排名定義'!$B$5,"是","")</x:f>
        <x:v>是</x:v>
      </x:c>
      <x:c r="I1441" s="217" t="n">
        <x:v>1436</x:v>
      </x:c>
      <x:c r="J1441" s="217" t="str">
        <x:f>IF(I1441&lt;='排名定義'!$B$5,"是","")</x:f>
        <x:v>是</x:v>
      </x:c>
      <x:c r="K1441" s="217" t="n">
        <x:v>1391</x:v>
      </x:c>
      <x:c r="L1441" s="217" t="str">
        <x:f>IF(K1441&lt;='排名定義'!$B$5,"是","")</x:f>
        <x:v>是</x:v>
      </x:c>
      <x:c r="M1441" s="217" t="n">
        <x:f>COUNTIF(H1441:L1441,"是")</x:f>
        <x:v>3</x:v>
      </x:c>
      <x:c r="N1441" s="217" t="str">
        <x:v>三份皆未入選</x:v>
      </x:c>
      <x:c r="O1441" s="220" t="n">
        <x:v>9.1</x:v>
      </x:c>
      <x:c r="P1441" s="220" t="n">
        <x:v>7.258333333333334</x:v>
      </x:c>
      <x:c r="Q1441" s="220" t="n">
        <x:v>1.8416666666666666</x:v>
      </x:c>
      <x:c r="R1441" s="220" t="n">
        <x:v>0.20238095238095238</x:v>
      </x:c>
      <x:c r="S1441" s="220" t="n">
        <x:v>15.903225806451612</x:v>
      </x:c>
      <x:c r="T1441" s="220" t="n">
        <x:v>13.806451612903226</x:v>
      </x:c>
      <x:c r="U1441" s="220" t="n">
        <x:v>2.096774193548387</x:v>
      </x:c>
      <x:c r="V1441" s="218" t="n">
        <x:v>0.03456221198156682</x:v>
      </x:c>
      <x:c r="W1441" s="217" t="n">
        <x:v>11</x:v>
      </x:c>
      <x:c r="X1441" s="222" t="n">
        <x:v>1410</x:v>
      </x:c>
      <x:c r="Y1441" s="217" t="n">
        <x:v>22</x:v>
      </x:c>
    </x:row>
    <x:row r="1442">
      <x:c r="A1442" s="216" t="n">
        <x:v>287</x:v>
      </x:c>
      <x:c r="B1442" s="216" t="str">
        <x:v>鴨母港停車場</x:v>
      </x:c>
      <x:c r="C1442" s="216" t="str">
        <x:v>蘆洲區</x:v>
      </x:c>
      <x:c r="D1442" s="216" t="n">
        <x:v>14</x:v>
      </x:c>
      <x:c r="E1442" s="216" t="n">
        <x:v>120</x:v>
      </x:c>
      <x:c r="F1442" s="219" t="n">
        <x:v>0.9994791666666667</x:v>
      </x:c>
      <x:c r="G1442" s="216" t="n">
        <x:v>1438</x:v>
      </x:c>
      <x:c r="H1442" s="216" t="str">
        <x:f>IF(G1442&lt;='排名定義'!$B$5,"是","")</x:f>
        <x:v>是</x:v>
      </x:c>
      <x:c r="I1442" s="216" t="n">
        <x:v>1442</x:v>
      </x:c>
      <x:c r="J1442" s="216" t="str">
        <x:f>IF(I1442&lt;='排名定義'!$B$5,"是","")</x:f>
        <x:v>是</x:v>
      </x:c>
      <x:c r="K1442" s="216" t="n">
        <x:v>1380</x:v>
      </x:c>
      <x:c r="L1442" s="216" t="str">
        <x:f>IF(K1442&lt;='排名定義'!$B$5,"是","")</x:f>
        <x:v>是</x:v>
      </x:c>
      <x:c r="M1442" s="216" t="n">
        <x:f>COUNTIF(H1442:L1442,"是")</x:f>
        <x:v>3</x:v>
      </x:c>
      <x:c r="N1442" s="216" t="str">
        <x:v>三份皆未入選</x:v>
      </x:c>
      <x:c r="O1442" s="221" t="n">
        <x:v>8.966666666666667</x:v>
      </x:c>
      <x:c r="P1442" s="221" t="n">
        <x:v>6.975</x:v>
      </x:c>
      <x:c r="Q1442" s="221" t="n">
        <x:v>1.9916666666666667</x:v>
      </x:c>
      <x:c r="R1442" s="221" t="n">
        <x:v>0.22211895910780668</x:v>
      </x:c>
      <x:c r="S1442" s="221" t="n">
        <x:v>14.225806451612904</x:v>
      </x:c>
      <x:c r="T1442" s="221" t="n">
        <x:v>13.096774193548388</x:v>
      </x:c>
      <x:c r="U1442" s="221" t="n">
        <x:v>1.1290322580645162</x:v>
      </x:c>
      <x:c r="V1442" s="219" t="n">
        <x:v>0.03917050691244239</x:v>
      </x:c>
      <x:c r="W1442" s="216" t="n">
        <x:v>11</x:v>
      </x:c>
      <x:c r="X1442" s="223" t="n">
        <x:v>960</x:v>
      </x:c>
      <x:c r="Y1442" s="216" t="n">
        <x:v>14</x:v>
      </x:c>
    </x:row>
    <x:row r="1443">
      <x:c r="A1443" s="217" t="n">
        <x:v>417</x:v>
      </x:c>
      <x:c r="B1443" s="217" t="str">
        <x:v>大鵬停車場</x:v>
      </x:c>
      <x:c r="C1443" s="217" t="str">
        <x:v>萬里區</x:v>
      </x:c>
      <x:c r="D1443" s="217" t="n">
        <x:v>15</x:v>
      </x:c>
      <x:c r="E1443" s="217" t="n">
        <x:v>120</x:v>
      </x:c>
      <x:c r="F1443" s="218" t="n">
        <x:v>0.9925347222222223</x:v>
      </x:c>
      <x:c r="G1443" s="217" t="n">
        <x:v>1439</x:v>
      </x:c>
      <x:c r="H1443" s="217" t="str">
        <x:f>IF(G1443&lt;='排名定義'!$B$5,"是","")</x:f>
        <x:v>是</x:v>
      </x:c>
      <x:c r="I1443" s="217" t="n">
        <x:v>1441</x:v>
      </x:c>
      <x:c r="J1443" s="217" t="str">
        <x:f>IF(I1443&lt;='排名定義'!$B$5,"是","")</x:f>
        <x:v>是</x:v>
      </x:c>
      <x:c r="K1443" s="217" t="n">
        <x:v>1409</x:v>
      </x:c>
      <x:c r="L1443" s="217" t="str">
        <x:f>IF(K1443&lt;='排名定義'!$B$5,"是","")</x:f>
        <x:v>是</x:v>
      </x:c>
      <x:c r="M1443" s="217" t="n">
        <x:f>COUNTIF(H1443:L1443,"是")</x:f>
        <x:v>3</x:v>
      </x:c>
      <x:c r="N1443" s="217" t="str">
        <x:v>三份皆未入選</x:v>
      </x:c>
      <x:c r="O1443" s="220" t="n">
        <x:v>8.675</x:v>
      </x:c>
      <x:c r="P1443" s="220" t="n">
        <x:v>7</x:v>
      </x:c>
      <x:c r="Q1443" s="220" t="n">
        <x:v>1.675</x:v>
      </x:c>
      <x:c r="R1443" s="220" t="n">
        <x:v>0.1930835734870317</x:v>
      </x:c>
      <x:c r="S1443" s="220" t="n">
        <x:v>17.967741935483872</x:v>
      </x:c>
      <x:c r="T1443" s="220" t="n">
        <x:v>16.29032258064516</x:v>
      </x:c>
      <x:c r="U1443" s="220" t="n">
        <x:v>1.6774193548387097</x:v>
      </x:c>
      <x:c r="V1443" s="218" t="n">
        <x:v>0.016129032258064516</x:v>
      </x:c>
      <x:c r="W1443" s="217" t="n">
        <x:v>6</x:v>
      </x:c>
      <x:c r="X1443" s="222" t="n">
        <x:v>1200</x:v>
      </x:c>
      <x:c r="Y1443" s="217" t="n">
        <x:v>15</x:v>
      </x:c>
    </x:row>
    <x:row r="1444">
      <x:c r="A1444" s="216" t="n">
        <x:v>1008</x:v>
      </x:c>
      <x:c r="B1444" s="216" t="str">
        <x:v>輕軌耕莘安康院區站</x:v>
      </x:c>
      <x:c r="C1444" s="216" t="str">
        <x:v>新店區</x:v>
      </x:c>
      <x:c r="D1444" s="216" t="n">
        <x:v>29</x:v>
      </x:c>
      <x:c r="E1444" s="216" t="n">
        <x:v>120</x:v>
      </x:c>
      <x:c r="F1444" s="219" t="n">
        <x:v>0.9994791666666667</x:v>
      </x:c>
      <x:c r="G1444" s="216" t="n">
        <x:v>1440</x:v>
      </x:c>
      <x:c r="H1444" s="216" t="str">
        <x:f>IF(G1444&lt;='排名定義'!$B$5,"是","")</x:f>
        <x:v>是</x:v>
      </x:c>
      <x:c r="I1444" s="216" t="n">
        <x:v>1445</x:v>
      </x:c>
      <x:c r="J1444" s="216" t="str">
        <x:f>IF(I1444&lt;='排名定義'!$B$5,"是","")</x:f>
        <x:v>是</x:v>
      </x:c>
      <x:c r="K1444" s="216" t="n">
        <x:v>1390</x:v>
      </x:c>
      <x:c r="L1444" s="216" t="str">
        <x:f>IF(K1444&lt;='排名定義'!$B$5,"是","")</x:f>
        <x:v>是</x:v>
      </x:c>
      <x:c r="M1444" s="216" t="n">
        <x:f>COUNTIF(H1444:L1444,"是")</x:f>
        <x:v>3</x:v>
      </x:c>
      <x:c r="N1444" s="216" t="str">
        <x:v>三份皆未入選</x:v>
      </x:c>
      <x:c r="O1444" s="221" t="n">
        <x:v>8.625</x:v>
      </x:c>
      <x:c r="P1444" s="221" t="n">
        <x:v>6.75</x:v>
      </x:c>
      <x:c r="Q1444" s="221" t="n">
        <x:v>1.875</x:v>
      </x:c>
      <x:c r="R1444" s="221" t="n">
        <x:v>0.21739130434782608</x:v>
      </x:c>
      <x:c r="S1444" s="221" t="n">
        <x:v>19.612903225806452</x:v>
      </x:c>
      <x:c r="T1444" s="221" t="n">
        <x:v>16.193548387096776</x:v>
      </x:c>
      <x:c r="U1444" s="221" t="n">
        <x:v>3.4193548387096775</x:v>
      </x:c>
      <x:c r="V1444" s="219" t="n">
        <x:v>0.009216589861751152</x:v>
      </x:c>
      <x:c r="W1444" s="216" t="n">
        <x:v>1</x:v>
      </x:c>
      <x:c r="X1444" s="223" t="n">
        <x:v>120</x:v>
      </x:c>
      <x:c r="Y1444" s="216" t="n">
        <x:v>29</x:v>
      </x:c>
    </x:row>
    <x:row r="1445">
      <x:c r="A1445" s="217" t="n">
        <x:v>703</x:v>
      </x:c>
      <x:c r="B1445" s="217" t="str">
        <x:v>國慶三樹路口</x:v>
      </x:c>
      <x:c r="C1445" s="217" t="str">
        <x:v>三峽區</x:v>
      </x:c>
      <x:c r="D1445" s="217" t="n">
        <x:v>20</x:v>
      </x:c>
      <x:c r="E1445" s="217" t="n">
        <x:v>120</x:v>
      </x:c>
      <x:c r="F1445" s="218" t="n">
        <x:v>0.9994791666666667</x:v>
      </x:c>
      <x:c r="G1445" s="217" t="n">
        <x:v>1441</x:v>
      </x:c>
      <x:c r="H1445" s="217" t="str">
        <x:f>IF(G1445&lt;='排名定義'!$B$5,"是","")</x:f>
        <x:v>是</x:v>
      </x:c>
      <x:c r="I1445" s="217" t="n">
        <x:v>1440</x:v>
      </x:c>
      <x:c r="J1445" s="217" t="str">
        <x:f>IF(I1445&lt;='排名定義'!$B$5,"是","")</x:f>
        <x:v>是</x:v>
      </x:c>
      <x:c r="K1445" s="217" t="n">
        <x:v>1430</x:v>
      </x:c>
      <x:c r="L1445" s="217" t="str">
        <x:f>IF(K1445&lt;='排名定義'!$B$5,"是","")</x:f>
        <x:v>是</x:v>
      </x:c>
      <x:c r="M1445" s="217" t="n">
        <x:f>COUNTIF(H1445:L1445,"是")</x:f>
        <x:v>3</x:v>
      </x:c>
      <x:c r="N1445" s="217" t="str">
        <x:v>三份皆未入選</x:v>
      </x:c>
      <x:c r="O1445" s="220" t="n">
        <x:v>8.558333333333334</x:v>
      </x:c>
      <x:c r="P1445" s="220" t="n">
        <x:v>7.091666666666667</x:v>
      </x:c>
      <x:c r="Q1445" s="220" t="n">
        <x:v>1.4666666666666666</x:v>
      </x:c>
      <x:c r="R1445" s="220" t="n">
        <x:v>0.17137293086660174</x:v>
      </x:c>
      <x:c r="S1445" s="220" t="n">
        <x:v>0</x:v>
      </x:c>
      <x:c r="T1445" s="220" t="n">
        <x:v>0</x:v>
      </x:c>
      <x:c r="U1445" s="220" t="n">
        <x:v>0</x:v>
      </x:c>
      <x:c r="V1445" s="218" t="n">
        <x:v>1</x:v>
      </x:c>
      <x:c r="W1445" s="217" t="n">
        <x:v>1</x:v>
      </x:c>
      <x:c r="X1445" s="222" t="n">
        <x:v>44640</x:v>
      </x:c>
      <x:c r="Y1445" s="217" t="n">
        <x:v>20</x:v>
      </x:c>
    </x:row>
    <x:row r="1446">
      <x:c r="A1446" s="216" t="n">
        <x:v>552</x:v>
      </x:c>
      <x:c r="B1446" s="216" t="str">
        <x:v>中山賢一街口</x:v>
      </x:c>
      <x:c r="C1446" s="216" t="str">
        <x:v>八里區</x:v>
      </x:c>
      <x:c r="D1446" s="216" t="n">
        <x:v>17</x:v>
      </x:c>
      <x:c r="E1446" s="216" t="n">
        <x:v>120</x:v>
      </x:c>
      <x:c r="F1446" s="219" t="n">
        <x:v>0.9994791666666667</x:v>
      </x:c>
      <x:c r="G1446" s="216" t="n">
        <x:v>1442</x:v>
      </x:c>
      <x:c r="H1446" s="216" t="str">
        <x:f>IF(G1446&lt;='排名定義'!$B$5,"是","")</x:f>
        <x:v>是</x:v>
      </x:c>
      <x:c r="I1446" s="216" t="n">
        <x:v>1443</x:v>
      </x:c>
      <x:c r="J1446" s="216" t="str">
        <x:f>IF(I1446&lt;='排名定義'!$B$5,"是","")</x:f>
        <x:v>是</x:v>
      </x:c>
      <x:c r="K1446" s="216" t="n">
        <x:v>1419</x:v>
      </x:c>
      <x:c r="L1446" s="216" t="str">
        <x:f>IF(K1446&lt;='排名定義'!$B$5,"是","")</x:f>
        <x:v>是</x:v>
      </x:c>
      <x:c r="M1446" s="216" t="n">
        <x:f>COUNTIF(H1446:L1446,"是")</x:f>
        <x:v>3</x:v>
      </x:c>
      <x:c r="N1446" s="216" t="str">
        <x:v>三份皆未入選</x:v>
      </x:c>
      <x:c r="O1446" s="221" t="n">
        <x:v>8.5</x:v>
      </x:c>
      <x:c r="P1446" s="221" t="n">
        <x:v>6.925</x:v>
      </x:c>
      <x:c r="Q1446" s="221" t="n">
        <x:v>1.575</x:v>
      </x:c>
      <x:c r="R1446" s="221" t="n">
        <x:v>0.18529411764705883</x:v>
      </x:c>
      <x:c r="S1446" s="221" t="n">
        <x:v>24.258064516129032</x:v>
      </x:c>
      <x:c r="T1446" s="221" t="n">
        <x:v>20.612903225806452</x:v>
      </x:c>
      <x:c r="U1446" s="221" t="n">
        <x:v>3.6451612903225805</x:v>
      </x:c>
      <x:c r="V1446" s="219" t="n">
        <x:v>0.07603686635944701</x:v>
      </x:c>
      <x:c r="W1446" s="216" t="n">
        <x:v>21</x:v>
      </x:c>
      <x:c r="X1446" s="223" t="n">
        <x:v>2490</x:v>
      </x:c>
      <x:c r="Y1446" s="216" t="n">
        <x:v>17</x:v>
      </x:c>
    </x:row>
    <x:row r="1447">
      <x:c r="A1447" s="217" t="n">
        <x:v>1051</x:v>
      </x:c>
      <x:c r="B1447" s="217" t="str">
        <x:v>八里停五平面停車場</x:v>
      </x:c>
      <x:c r="C1447" s="217" t="str">
        <x:v>八里區</x:v>
      </x:c>
      <x:c r="D1447" s="217" t="n">
        <x:v>30</x:v>
      </x:c>
      <x:c r="E1447" s="217" t="n">
        <x:v>120</x:v>
      </x:c>
      <x:c r="F1447" s="218" t="n">
        <x:v>0.9994791666666667</x:v>
      </x:c>
      <x:c r="G1447" s="217" t="n">
        <x:v>1443</x:v>
      </x:c>
      <x:c r="H1447" s="217" t="str">
        <x:f>IF(G1447&lt;='排名定義'!$B$5,"是","")</x:f>
        <x:v>是</x:v>
      </x:c>
      <x:c r="I1447" s="217" t="n">
        <x:v>1439</x:v>
      </x:c>
      <x:c r="J1447" s="217" t="str">
        <x:f>IF(I1447&lt;='排名定義'!$B$5,"是","")</x:f>
        <x:v>是</x:v>
      </x:c>
      <x:c r="K1447" s="217" t="n">
        <x:v>1449</x:v>
      </x:c>
      <x:c r="L1447" s="217" t="str">
        <x:f>IF(K1447&lt;='排名定義'!$B$5,"是","")</x:f>
        <x:v>是</x:v>
      </x:c>
      <x:c r="M1447" s="217" t="n">
        <x:f>COUNTIF(H1447:L1447,"是")</x:f>
        <x:v>3</x:v>
      </x:c>
      <x:c r="N1447" s="217" t="str">
        <x:v>三份皆未入選</x:v>
      </x:c>
      <x:c r="O1447" s="220" t="n">
        <x:v>8.275</x:v>
      </x:c>
      <x:c r="P1447" s="220" t="n">
        <x:v>7.116666666666666</x:v>
      </x:c>
      <x:c r="Q1447" s="220" t="n">
        <x:v>1.1583333333333334</x:v>
      </x:c>
      <x:c r="R1447" s="220" t="n">
        <x:v>0.13997985901309165</x:v>
      </x:c>
      <x:c r="S1447" s="220" t="n">
        <x:v>22.870967741935484</x:v>
      </x:c>
      <x:c r="T1447" s="220" t="n">
        <x:v>19.93548387096774</x:v>
      </x:c>
      <x:c r="U1447" s="220" t="n">
        <x:v>2.935483870967742</x:v>
      </x:c>
      <x:c r="V1447" s="218" t="n">
        <x:v>0.041474654377880185</x:v>
      </x:c>
      <x:c r="W1447" s="217" t="n">
        <x:v>6</x:v>
      </x:c>
      <x:c r="X1447" s="222" t="n">
        <x:v>750</x:v>
      </x:c>
      <x:c r="Y1447" s="217" t="n">
        <x:v>30</x:v>
      </x:c>
    </x:row>
    <x:row r="1448">
      <x:c r="A1448" s="216" t="n">
        <x:v>510</x:v>
      </x:c>
      <x:c r="B1448" s="216" t="str">
        <x:v>蘆洲環河公園</x:v>
      </x:c>
      <x:c r="C1448" s="216" t="str">
        <x:v>蘆洲區</x:v>
      </x:c>
      <x:c r="D1448" s="216" t="n">
        <x:v>16</x:v>
      </x:c>
      <x:c r="E1448" s="216" t="n">
        <x:v>120</x:v>
      </x:c>
      <x:c r="F1448" s="219" t="n">
        <x:v>0.9994791666666667</x:v>
      </x:c>
      <x:c r="G1448" s="216" t="n">
        <x:v>1444</x:v>
      </x:c>
      <x:c r="H1448" s="216" t="str">
        <x:f>IF(G1448&lt;='排名定義'!$B$5,"是","")</x:f>
        <x:v>是</x:v>
      </x:c>
      <x:c r="I1448" s="216" t="n">
        <x:v>1437</x:v>
      </x:c>
      <x:c r="J1448" s="216" t="str">
        <x:f>IF(I1448&lt;='排名定義'!$B$5,"是","")</x:f>
        <x:v>是</x:v>
      </x:c>
      <x:c r="K1448" s="216" t="n">
        <x:v>1455</x:v>
      </x:c>
      <x:c r="L1448" s="216" t="str">
        <x:f>IF(K1448&lt;='排名定義'!$B$5,"是","")</x:f>
        <x:v>是</x:v>
      </x:c>
      <x:c r="M1448" s="216" t="n">
        <x:f>COUNTIF(H1448:L1448,"是")</x:f>
        <x:v>3</x:v>
      </x:c>
      <x:c r="N1448" s="216" t="str">
        <x:v>三份皆未入選</x:v>
      </x:c>
      <x:c r="O1448" s="221" t="n">
        <x:v>8.216666666666667</x:v>
      </x:c>
      <x:c r="P1448" s="221" t="n">
        <x:v>7.216666666666667</x:v>
      </x:c>
      <x:c r="Q1448" s="221" t="n">
        <x:v>1</x:v>
      </x:c>
      <x:c r="R1448" s="221" t="n">
        <x:v>0.12170385395537525</x:v>
      </x:c>
      <x:c r="S1448" s="221" t="n">
        <x:v>15.612903225806452</x:v>
      </x:c>
      <x:c r="T1448" s="221" t="n">
        <x:v>14.03225806451613</x:v>
      </x:c>
      <x:c r="U1448" s="221" t="n">
        <x:v>1.5806451612903225</x:v>
      </x:c>
      <x:c r="V1448" s="219" t="n">
        <x:v>0.03917050691244239</x:v>
      </x:c>
      <x:c r="W1448" s="216" t="n">
        <x:v>3</x:v>
      </x:c>
      <x:c r="X1448" s="223" t="n">
        <x:v>810</x:v>
      </x:c>
      <x:c r="Y1448" s="216" t="n">
        <x:v>16</x:v>
      </x:c>
    </x:row>
    <x:row r="1449">
      <x:c r="A1449" s="217" t="n">
        <x:v>1070</x:v>
      </x:c>
      <x:c r="B1449" s="217" t="str">
        <x:v>中山環金路口</x:v>
      </x:c>
      <x:c r="C1449" s="217" t="str">
        <x:v>金山區</x:v>
      </x:c>
      <x:c r="D1449" s="217" t="n">
        <x:v>30</x:v>
      </x:c>
      <x:c r="E1449" s="217" t="n">
        <x:v>120</x:v>
      </x:c>
      <x:c r="F1449" s="218" t="n">
        <x:v>0.9994791666666667</x:v>
      </x:c>
      <x:c r="G1449" s="217" t="n">
        <x:v>1445</x:v>
      </x:c>
      <x:c r="H1449" s="217" t="str">
        <x:f>IF(G1449&lt;='排名定義'!$B$5,"是","")</x:f>
        <x:v>是</x:v>
      </x:c>
      <x:c r="I1449" s="217" t="n">
        <x:v>1449</x:v>
      </x:c>
      <x:c r="J1449" s="217" t="str">
        <x:f>IF(I1449&lt;='排名定義'!$B$5,"是","")</x:f>
        <x:v>是</x:v>
      </x:c>
      <x:c r="K1449" s="217" t="n">
        <x:v>1397</x:v>
      </x:c>
      <x:c r="L1449" s="217" t="str">
        <x:f>IF(K1449&lt;='排名定義'!$B$5,"是","")</x:f>
        <x:v>是</x:v>
      </x:c>
      <x:c r="M1449" s="217" t="n">
        <x:f>COUNTIF(H1449:L1449,"是")</x:f>
        <x:v>3</x:v>
      </x:c>
      <x:c r="N1449" s="217" t="str">
        <x:v>三份皆未入選</x:v>
      </x:c>
      <x:c r="O1449" s="220" t="n">
        <x:v>8.1</x:v>
      </x:c>
      <x:c r="P1449" s="220" t="n">
        <x:v>6.333333333333333</x:v>
      </x:c>
      <x:c r="Q1449" s="220" t="n">
        <x:v>1.7666666666666666</x:v>
      </x:c>
      <x:c r="R1449" s="220" t="n">
        <x:v>0.21810699588477367</x:v>
      </x:c>
      <x:c r="S1449" s="220" t="n">
        <x:v>13.064516129032258</x:v>
      </x:c>
      <x:c r="T1449" s="220" t="n">
        <x:v>11.516129032258064</x:v>
      </x:c>
      <x:c r="U1449" s="220" t="n">
        <x:v>1.5483870967741935</x:v>
      </x:c>
      <x:c r="V1449" s="218" t="n">
        <x:v>0</x:v>
      </x:c>
      <x:c r="W1449" s="217" t="n">
        <x:v>0</x:v>
      </x:c>
      <x:c r="X1449" s="222" t="n">
        <x:v>0</x:v>
      </x:c>
      <x:c r="Y1449" s="217" t="n">
        <x:v>30</x:v>
      </x:c>
    </x:row>
    <x:row r="1450">
      <x:c r="A1450" s="216" t="n">
        <x:v>1523</x:v>
      </x:c>
      <x:c r="B1450" s="216" t="str">
        <x:v>華中公園</x:v>
      </x:c>
      <x:c r="C1450" s="216" t="str">
        <x:v>板橋區</x:v>
      </x:c>
      <x:c r="D1450" s="216" t="n">
        <x:v>15</x:v>
      </x:c>
      <x:c r="E1450" s="216" t="n">
        <x:v>84</x:v>
      </x:c>
      <x:c r="F1450" s="219" t="n">
        <x:v>0.9995039682539683</x:v>
      </x:c>
      <x:c r="G1450" s="216" t="n">
        <x:v>1446</x:v>
      </x:c>
      <x:c r="H1450" s="216" t="str">
        <x:f>IF(G1450&lt;='排名定義'!$B$5,"是","")</x:f>
        <x:v>是</x:v>
      </x:c>
      <x:c r="I1450" s="216" t="n">
        <x:v>1438</x:v>
      </x:c>
      <x:c r="J1450" s="216" t="str">
        <x:f>IF(I1450&lt;='排名定義'!$B$5,"是","")</x:f>
        <x:v>是</x:v>
      </x:c>
      <x:c r="K1450" s="216" t="n">
        <x:v>1464</x:v>
      </x:c>
      <x:c r="L1450" s="216" t="str">
        <x:f>IF(K1450&lt;='排名定義'!$B$5,"是","")</x:f>
        <x:v>是</x:v>
      </x:c>
      <x:c r="M1450" s="216" t="n">
        <x:f>COUNTIF(H1450:L1450,"是")</x:f>
        <x:v>3</x:v>
      </x:c>
      <x:c r="N1450" s="216" t="str">
        <x:v>三份皆未入選</x:v>
      </x:c>
      <x:c r="O1450" s="221" t="n">
        <x:v>7.964285714285714</x:v>
      </x:c>
      <x:c r="P1450" s="221" t="n">
        <x:v>7.190476190476191</x:v>
      </x:c>
      <x:c r="Q1450" s="221" t="n">
        <x:v>0.7738095238095238</x:v>
      </x:c>
      <x:c r="R1450" s="221" t="n">
        <x:v>0.09715994020926756</x:v>
      </x:c>
      <x:c r="S1450" s="221" t="n">
        <x:v>12.35483870967742</x:v>
      </x:c>
      <x:c r="T1450" s="221" t="n">
        <x:v>11.96774193548387</x:v>
      </x:c>
      <x:c r="U1450" s="221" t="n">
        <x:v>0.3870967741935484</x:v>
      </x:c>
      <x:c r="V1450" s="219" t="n">
        <x:v>0</x:v>
      </x:c>
      <x:c r="W1450" s="216" t="n">
        <x:v>0</x:v>
      </x:c>
      <x:c r="X1450" s="223" t="n">
        <x:v>30</x:v>
      </x:c>
      <x:c r="Y1450" s="216" t="n">
        <x:v>15</x:v>
      </x:c>
    </x:row>
    <x:row r="1451">
      <x:c r="A1451" s="217" t="n">
        <x:v>749</x:v>
      </x:c>
      <x:c r="B1451" s="217" t="str">
        <x:v>溪東市民活動中心</x:v>
      </x:c>
      <x:c r="C1451" s="217" t="str">
        <x:v>三峽區</x:v>
      </x:c>
      <x:c r="D1451" s="217" t="n">
        <x:v>20</x:v>
      </x:c>
      <x:c r="E1451" s="217" t="n">
        <x:v>120</x:v>
      </x:c>
      <x:c r="F1451" s="218" t="n">
        <x:v>0.9994791666666667</x:v>
      </x:c>
      <x:c r="G1451" s="217" t="n">
        <x:v>1447</x:v>
      </x:c>
      <x:c r="H1451" s="217" t="str">
        <x:f>IF(G1451&lt;='排名定義'!$B$5,"是","")</x:f>
        <x:v>是</x:v>
      </x:c>
      <x:c r="I1451" s="217" t="n">
        <x:v>1452</x:v>
      </x:c>
      <x:c r="J1451" s="217" t="str">
        <x:f>IF(I1451&lt;='排名定義'!$B$5,"是","")</x:f>
        <x:v>是</x:v>
      </x:c>
      <x:c r="K1451" s="217" t="n">
        <x:v>1385</x:v>
      </x:c>
      <x:c r="L1451" s="217" t="str">
        <x:f>IF(K1451&lt;='排名定義'!$B$5,"是","")</x:f>
        <x:v>是</x:v>
      </x:c>
      <x:c r="M1451" s="217" t="n">
        <x:f>COUNTIF(H1451:L1451,"是")</x:f>
        <x:v>3</x:v>
      </x:c>
      <x:c r="N1451" s="217" t="str">
        <x:v>三份皆未入選</x:v>
      </x:c>
      <x:c r="O1451" s="220" t="n">
        <x:v>7.941666666666666</x:v>
      </x:c>
      <x:c r="P1451" s="220" t="n">
        <x:v>6.016666666666667</x:v>
      </x:c>
      <x:c r="Q1451" s="220" t="n">
        <x:v>1.925</x:v>
      </x:c>
      <x:c r="R1451" s="220" t="n">
        <x:v>0.24239244491080797</x:v>
      </x:c>
      <x:c r="S1451" s="220" t="n">
        <x:v>14.774193548387096</x:v>
      </x:c>
      <x:c r="T1451" s="220" t="n">
        <x:v>12.451612903225806</x:v>
      </x:c>
      <x:c r="U1451" s="220" t="n">
        <x:v>2.3225806451612905</x:v>
      </x:c>
      <x:c r="V1451" s="218" t="n">
        <x:v>0</x:v>
      </x:c>
      <x:c r="W1451" s="217" t="n">
        <x:v>0</x:v>
      </x:c>
      <x:c r="X1451" s="222" t="n">
        <x:v>0</x:v>
      </x:c>
      <x:c r="Y1451" s="217" t="n">
        <x:v>20</x:v>
      </x:c>
    </x:row>
    <x:row r="1452">
      <x:c r="A1452" s="216" t="n">
        <x:v>450</x:v>
      </x:c>
      <x:c r="B1452" s="216" t="str">
        <x:v>文丘公園</x:v>
      </x:c>
      <x:c r="C1452" s="216" t="str">
        <x:v>板橋區</x:v>
      </x:c>
      <x:c r="D1452" s="216" t="n">
        <x:v>15</x:v>
      </x:c>
      <x:c r="E1452" s="216" t="n">
        <x:v>120</x:v>
      </x:c>
      <x:c r="F1452" s="219" t="n">
        <x:v>0.9994791666666667</x:v>
      </x:c>
      <x:c r="G1452" s="216" t="n">
        <x:v>1448</x:v>
      </x:c>
      <x:c r="H1452" s="216" t="str">
        <x:f>IF(G1452&lt;='排名定義'!$B$5,"是","")</x:f>
        <x:v>是</x:v>
      </x:c>
      <x:c r="I1452" s="216" t="n">
        <x:v>1447</x:v>
      </x:c>
      <x:c r="J1452" s="216" t="str">
        <x:f>IF(I1452&lt;='排名定義'!$B$5,"是","")</x:f>
        <x:v>是</x:v>
      </x:c>
      <x:c r="K1452" s="216" t="n">
        <x:v>1442</x:v>
      </x:c>
      <x:c r="L1452" s="216" t="str">
        <x:f>IF(K1452&lt;='排名定義'!$B$5,"是","")</x:f>
        <x:v>是</x:v>
      </x:c>
      <x:c r="M1452" s="216" t="n">
        <x:f>COUNTIF(H1452:L1452,"是")</x:f>
        <x:v>3</x:v>
      </x:c>
      <x:c r="N1452" s="216" t="str">
        <x:v>三份皆未入選</x:v>
      </x:c>
      <x:c r="O1452" s="221" t="n">
        <x:v>7.916666666666667</x:v>
      </x:c>
      <x:c r="P1452" s="221" t="n">
        <x:v>6.616666666666666</x:v>
      </x:c>
      <x:c r="Q1452" s="221" t="n">
        <x:v>1.3</x:v>
      </x:c>
      <x:c r="R1452" s="221" t="n">
        <x:v>0.16421052631578947</x:v>
      </x:c>
      <x:c r="S1452" s="221" t="n">
        <x:v>14.64516129032258</x:v>
      </x:c>
      <x:c r="T1452" s="221" t="n">
        <x:v>12.516129032258064</x:v>
      </x:c>
      <x:c r="U1452" s="221" t="n">
        <x:v>2.129032258064516</x:v>
      </x:c>
      <x:c r="V1452" s="219" t="n">
        <x:v>0.016129032258064516</x:v>
      </x:c>
      <x:c r="W1452" s="216" t="n">
        <x:v>6</x:v>
      </x:c>
      <x:c r="X1452" s="223" t="n">
        <x:v>480</x:v>
      </x:c>
      <x:c r="Y1452" s="216" t="n">
        <x:v>15</x:v>
      </x:c>
    </x:row>
    <x:row r="1453">
      <x:c r="A1453" s="217" t="n">
        <x:v>777</x:v>
      </x:c>
      <x:c r="B1453" s="217" t="str">
        <x:v>輕軌雙城站</x:v>
      </x:c>
      <x:c r="C1453" s="217" t="str">
        <x:v>新店區</x:v>
      </x:c>
      <x:c r="D1453" s="217" t="n">
        <x:v>21</x:v>
      </x:c>
      <x:c r="E1453" s="217" t="n">
        <x:v>120</x:v>
      </x:c>
      <x:c r="F1453" s="218" t="n">
        <x:v>0.9994791666666667</x:v>
      </x:c>
      <x:c r="G1453" s="217" t="n">
        <x:v>1449</x:v>
      </x:c>
      <x:c r="H1453" s="217" t="str">
        <x:f>IF(G1453&lt;='排名定義'!$B$5,"是","")</x:f>
        <x:v>是</x:v>
      </x:c>
      <x:c r="I1453" s="217" t="n">
        <x:v>1463</x:v>
      </x:c>
      <x:c r="J1453" s="217" t="str">
        <x:f>IF(I1453&lt;='排名定義'!$B$5,"是","")</x:f>
        <x:v>是</x:v>
      </x:c>
      <x:c r="K1453" s="217" t="n">
        <x:v>1217</x:v>
      </x:c>
      <x:c r="L1453" s="217" t="str">
        <x:f>IF(K1453&lt;='排名定義'!$B$5,"是","")</x:f>
        <x:v>是</x:v>
      </x:c>
      <x:c r="M1453" s="217" t="n">
        <x:f>COUNTIF(H1453:L1453,"是")</x:f>
        <x:v>3</x:v>
      </x:c>
      <x:c r="N1453" s="217" t="str">
        <x:v>三份皆未入選</x:v>
      </x:c>
      <x:c r="O1453" s="220" t="n">
        <x:v>7.85</x:v>
      </x:c>
      <x:c r="P1453" s="220" t="n">
        <x:v>5</x:v>
      </x:c>
      <x:c r="Q1453" s="220" t="n">
        <x:v>2.85</x:v>
      </x:c>
      <x:c r="R1453" s="220" t="n">
        <x:v>0.3630573248407643</x:v>
      </x:c>
      <x:c r="S1453" s="220" t="n">
        <x:v>11.161290322580646</x:v>
      </x:c>
      <x:c r="T1453" s="220" t="n">
        <x:v>8.32258064516129</x:v>
      </x:c>
      <x:c r="U1453" s="220" t="n">
        <x:v>2.838709677419355</x:v>
      </x:c>
      <x:c r="V1453" s="218" t="n">
        <x:v>0.009216589861751152</x:v>
      </x:c>
      <x:c r="W1453" s="217" t="n">
        <x:v>1</x:v>
      </x:c>
      <x:c r="X1453" s="222" t="n">
        <x:v>120</x:v>
      </x:c>
      <x:c r="Y1453" s="217" t="n">
        <x:v>21</x:v>
      </x:c>
    </x:row>
    <x:row r="1454">
      <x:c r="A1454" s="216" t="n">
        <x:v>1154</x:v>
      </x:c>
      <x:c r="B1454" s="216" t="str">
        <x:v>深坑松柏街</x:v>
      </x:c>
      <x:c r="C1454" s="216" t="str">
        <x:v>深坑區</x:v>
      </x:c>
      <x:c r="D1454" s="216" t="n">
        <x:v>34</x:v>
      </x:c>
      <x:c r="E1454" s="216" t="n">
        <x:v>120</x:v>
      </x:c>
      <x:c r="F1454" s="219" t="n">
        <x:v>0.9994791666666667</x:v>
      </x:c>
      <x:c r="G1454" s="216" t="n">
        <x:v>1450</x:v>
      </x:c>
      <x:c r="H1454" s="216" t="str">
        <x:f>IF(G1454&lt;='排名定義'!$B$5,"是","")</x:f>
        <x:v>是</x:v>
      </x:c>
      <x:c r="I1454" s="216" t="n">
        <x:v>1446</x:v>
      </x:c>
      <x:c r="J1454" s="216" t="str">
        <x:f>IF(I1454&lt;='排名定義'!$B$5,"是","")</x:f>
        <x:v>是</x:v>
      </x:c>
      <x:c r="K1454" s="216" t="n">
        <x:v>1448</x:v>
      </x:c>
      <x:c r="L1454" s="216" t="str">
        <x:f>IF(K1454&lt;='排名定義'!$B$5,"是","")</x:f>
        <x:v>是</x:v>
      </x:c>
      <x:c r="M1454" s="216" t="n">
        <x:f>COUNTIF(H1454:L1454,"是")</x:f>
        <x:v>3</x:v>
      </x:c>
      <x:c r="N1454" s="216" t="str">
        <x:v>三份皆未入選</x:v>
      </x:c>
      <x:c r="O1454" s="221" t="n">
        <x:v>7.825</x:v>
      </x:c>
      <x:c r="P1454" s="221" t="n">
        <x:v>6.658333333333333</x:v>
      </x:c>
      <x:c r="Q1454" s="221" t="n">
        <x:v>1.1666666666666667</x:v>
      </x:c>
      <x:c r="R1454" s="221" t="n">
        <x:v>0.14909478168264112</x:v>
      </x:c>
      <x:c r="S1454" s="221" t="n">
        <x:v>16.032258064516128</x:v>
      </x:c>
      <x:c r="T1454" s="221" t="n">
        <x:v>15.387096774193548</x:v>
      </x:c>
      <x:c r="U1454" s="221" t="n">
        <x:v>0.6451612903225806</x:v>
      </x:c>
      <x:c r="V1454" s="219" t="n">
        <x:v>0</x:v>
      </x:c>
      <x:c r="W1454" s="216" t="n">
        <x:v>0</x:v>
      </x:c>
      <x:c r="X1454" s="223" t="n">
        <x:v>0</x:v>
      </x:c>
      <x:c r="Y1454" s="216" t="n">
        <x:v>34</x:v>
      </x:c>
    </x:row>
    <x:row r="1455">
      <x:c r="A1455" s="217" t="n">
        <x:v>1034</x:v>
      </x:c>
      <x:c r="B1455" s="217" t="str">
        <x:v>深澳漁港</x:v>
      </x:c>
      <x:c r="C1455" s="217" t="str">
        <x:v>瑞芳區</x:v>
      </x:c>
      <x:c r="D1455" s="217" t="n">
        <x:v>30</x:v>
      </x:c>
      <x:c r="E1455" s="217" t="n">
        <x:v>120</x:v>
      </x:c>
      <x:c r="F1455" s="218" t="n">
        <x:v>0.9994791666666667</x:v>
      </x:c>
      <x:c r="G1455" s="217" t="n">
        <x:v>1451</x:v>
      </x:c>
      <x:c r="H1455" s="217" t="str">
        <x:f>IF(G1455&lt;='排名定義'!$B$5,"是","")</x:f>
        <x:v>是</x:v>
      </x:c>
      <x:c r="I1455" s="217" t="n">
        <x:v>1450</x:v>
      </x:c>
      <x:c r="J1455" s="217" t="str">
        <x:f>IF(I1455&lt;='排名定義'!$B$5,"是","")</x:f>
        <x:v>是</x:v>
      </x:c>
      <x:c r="K1455" s="217" t="n">
        <x:v>1429</x:v>
      </x:c>
      <x:c r="L1455" s="217" t="str">
        <x:f>IF(K1455&lt;='排名定義'!$B$5,"是","")</x:f>
        <x:v>是</x:v>
      </x:c>
      <x:c r="M1455" s="217" t="n">
        <x:f>COUNTIF(H1455:L1455,"是")</x:f>
        <x:v>3</x:v>
      </x:c>
      <x:c r="N1455" s="217" t="str">
        <x:v>三份皆未入選</x:v>
      </x:c>
      <x:c r="O1455" s="220" t="n">
        <x:v>7.8</x:v>
      </x:c>
      <x:c r="P1455" s="220" t="n">
        <x:v>6.325</x:v>
      </x:c>
      <x:c r="Q1455" s="220" t="n">
        <x:v>1.475</x:v>
      </x:c>
      <x:c r="R1455" s="220" t="n">
        <x:v>0.1891025641025641</x:v>
      </x:c>
      <x:c r="S1455" s="220" t="n">
        <x:v>21.35483870967742</x:v>
      </x:c>
      <x:c r="T1455" s="220" t="n">
        <x:v>18.870967741935484</x:v>
      </x:c>
      <x:c r="U1455" s="220" t="n">
        <x:v>2.4838709677419355</x:v>
      </x:c>
      <x:c r="V1455" s="218" t="n">
        <x:v>0.002304147465437788</x:v>
      </x:c>
      <x:c r="W1455" s="217" t="n">
        <x:v>3</x:v>
      </x:c>
      <x:c r="X1455" s="222" t="n">
        <x:v>210</x:v>
      </x:c>
      <x:c r="Y1455" s="217" t="n">
        <x:v>30</x:v>
      </x:c>
    </x:row>
    <x:row r="1456">
      <x:c r="A1456" s="216" t="n">
        <x:v>257</x:v>
      </x:c>
      <x:c r="B1456" s="216" t="str">
        <x:v>萬里區行政中心</x:v>
      </x:c>
      <x:c r="C1456" s="216" t="str">
        <x:v>萬里區</x:v>
      </x:c>
      <x:c r="D1456" s="216" t="n">
        <x:v>13</x:v>
      </x:c>
      <x:c r="E1456" s="216" t="n">
        <x:v>120</x:v>
      </x:c>
      <x:c r="F1456" s="219" t="n">
        <x:v>0.9994791666666667</x:v>
      </x:c>
      <x:c r="G1456" s="216" t="n">
        <x:v>1452</x:v>
      </x:c>
      <x:c r="H1456" s="216" t="str">
        <x:f>IF(G1456&lt;='排名定義'!$B$5,"是","")</x:f>
        <x:v>是</x:v>
      </x:c>
      <x:c r="I1456" s="216" t="n">
        <x:v>1448</x:v>
      </x:c>
      <x:c r="J1456" s="216" t="str">
        <x:f>IF(I1456&lt;='排名定義'!$B$5,"是","")</x:f>
        <x:v>是</x:v>
      </x:c>
      <x:c r="K1456" s="216" t="n">
        <x:v>1446</x:v>
      </x:c>
      <x:c r="L1456" s="216" t="str">
        <x:f>IF(K1456&lt;='排名定義'!$B$5,"是","")</x:f>
        <x:v>是</x:v>
      </x:c>
      <x:c r="M1456" s="216" t="n">
        <x:f>COUNTIF(H1456:L1456,"是")</x:f>
        <x:v>3</x:v>
      </x:c>
      <x:c r="N1456" s="216" t="str">
        <x:v>三份皆未入選</x:v>
      </x:c>
      <x:c r="O1456" s="221" t="n">
        <x:v>7.766666666666667</x:v>
      </x:c>
      <x:c r="P1456" s="221" t="n">
        <x:v>6.566666666666666</x:v>
      </x:c>
      <x:c r="Q1456" s="221" t="n">
        <x:v>1.2</x:v>
      </x:c>
      <x:c r="R1456" s="221" t="n">
        <x:v>0.15450643776824036</x:v>
      </x:c>
      <x:c r="S1456" s="221" t="n">
        <x:v>17.032258064516128</x:v>
      </x:c>
      <x:c r="T1456" s="221" t="n">
        <x:v>16.06451612903226</x:v>
      </x:c>
      <x:c r="U1456" s="221" t="n">
        <x:v>0.967741935483871</x:v>
      </x:c>
      <x:c r="V1456" s="219" t="n">
        <x:v>0.01152073732718894</x:v>
      </x:c>
      <x:c r="W1456" s="216" t="n">
        <x:v>5</x:v>
      </x:c>
      <x:c r="X1456" s="223" t="n">
        <x:v>570</x:v>
      </x:c>
      <x:c r="Y1456" s="216" t="n">
        <x:v>13</x:v>
      </x:c>
    </x:row>
    <x:row r="1457">
      <x:c r="A1457" s="217" t="n">
        <x:v>444</x:v>
      </x:c>
      <x:c r="B1457" s="217" t="str">
        <x:v>輕軌台北小城站(南側)</x:v>
      </x:c>
      <x:c r="C1457" s="217" t="str">
        <x:v>新店區</x:v>
      </x:c>
      <x:c r="D1457" s="217" t="n">
        <x:v>15</x:v>
      </x:c>
      <x:c r="E1457" s="217" t="n">
        <x:v>120</x:v>
      </x:c>
      <x:c r="F1457" s="218" t="n">
        <x:v>0.9994791666666667</x:v>
      </x:c>
      <x:c r="G1457" s="217" t="n">
        <x:v>1453</x:v>
      </x:c>
      <x:c r="H1457" s="217" t="str">
        <x:f>IF(G1457&lt;='排名定義'!$B$5,"是","")</x:f>
        <x:v>是</x:v>
      </x:c>
      <x:c r="I1457" s="217" t="n">
        <x:v>1453</x:v>
      </x:c>
      <x:c r="J1457" s="217" t="str">
        <x:f>IF(I1457&lt;='排名定義'!$B$5,"是","")</x:f>
        <x:v>是</x:v>
      </x:c>
      <x:c r="K1457" s="217" t="n">
        <x:v>1421</x:v>
      </x:c>
      <x:c r="L1457" s="217" t="str">
        <x:f>IF(K1457&lt;='排名定義'!$B$5,"是","")</x:f>
        <x:v>是</x:v>
      </x:c>
      <x:c r="M1457" s="217" t="n">
        <x:f>COUNTIF(H1457:L1457,"是")</x:f>
        <x:v>3</x:v>
      </x:c>
      <x:c r="N1457" s="217" t="str">
        <x:v>三份皆未入選</x:v>
      </x:c>
      <x:c r="O1457" s="220" t="n">
        <x:v>7.475</x:v>
      </x:c>
      <x:c r="P1457" s="220" t="n">
        <x:v>5.933333333333334</x:v>
      </x:c>
      <x:c r="Q1457" s="220" t="n">
        <x:v>1.5416666666666667</x:v>
      </x:c>
      <x:c r="R1457" s="220" t="n">
        <x:v>0.20624303232998886</x:v>
      </x:c>
      <x:c r="S1457" s="220" t="n">
        <x:v>14.612903225806452</x:v>
      </x:c>
      <x:c r="T1457" s="220" t="n">
        <x:v>12.838709677419354</x:v>
      </x:c>
      <x:c r="U1457" s="220" t="n">
        <x:v>1.7741935483870968</x:v>
      </x:c>
      <x:c r="V1457" s="218" t="n">
        <x:v>0.020737327188940093</x:v>
      </x:c>
      <x:c r="W1457" s="217" t="n">
        <x:v>3</x:v>
      </x:c>
      <x:c r="X1457" s="222" t="n">
        <x:v>720</x:v>
      </x:c>
      <x:c r="Y1457" s="217" t="n">
        <x:v>15</x:v>
      </x:c>
    </x:row>
    <x:row r="1458">
      <x:c r="A1458" s="216" t="n">
        <x:v>621</x:v>
      </x:c>
      <x:c r="B1458" s="216" t="str">
        <x:v>員山路36巷口</x:v>
      </x:c>
      <x:c r="C1458" s="216" t="str">
        <x:v>中和區</x:v>
      </x:c>
      <x:c r="D1458" s="216" t="n">
        <x:v>19</x:v>
      </x:c>
      <x:c r="E1458" s="216" t="n">
        <x:v>120</x:v>
      </x:c>
      <x:c r="F1458" s="219" t="n">
        <x:v>0.9994791666666667</x:v>
      </x:c>
      <x:c r="G1458" s="216" t="n">
        <x:v>1454</x:v>
      </x:c>
      <x:c r="H1458" s="216" t="str">
        <x:f>IF(G1458&lt;='排名定義'!$B$5,"是","")</x:f>
        <x:v>是</x:v>
      </x:c>
      <x:c r="I1458" s="216" t="n">
        <x:v>1444</x:v>
      </x:c>
      <x:c r="J1458" s="216" t="str">
        <x:f>IF(I1458&lt;='排名定義'!$B$5,"是","")</x:f>
        <x:v>是</x:v>
      </x:c>
      <x:c r="K1458" s="216" t="n">
        <x:v>1469</x:v>
      </x:c>
      <x:c r="L1458" s="216" t="str">
        <x:f>IF(K1458&lt;='排名定義'!$B$5,"是","")</x:f>
        <x:v>是</x:v>
      </x:c>
      <x:c r="M1458" s="216" t="n">
        <x:f>COUNTIF(H1458:L1458,"是")</x:f>
        <x:v>3</x:v>
      </x:c>
      <x:c r="N1458" s="216" t="str">
        <x:v>三份皆未入選</x:v>
      </x:c>
      <x:c r="O1458" s="221" t="n">
        <x:v>7.475</x:v>
      </x:c>
      <x:c r="P1458" s="221" t="n">
        <x:v>6.808333333333334</x:v>
      </x:c>
      <x:c r="Q1458" s="221" t="n">
        <x:v>0.6666666666666666</x:v>
      </x:c>
      <x:c r="R1458" s="221" t="n">
        <x:v>0.08918617614269789</x:v>
      </x:c>
      <x:c r="S1458" s="221" t="n">
        <x:v>11.451612903225806</x:v>
      </x:c>
      <x:c r="T1458" s="221" t="n">
        <x:v>10.741935483870968</x:v>
      </x:c>
      <x:c r="U1458" s="221" t="n">
        <x:v>0.7096774193548387</x:v>
      </x:c>
      <x:c r="V1458" s="219" t="n">
        <x:v>0</x:v>
      </x:c>
      <x:c r="W1458" s="216" t="n">
        <x:v>0</x:v>
      </x:c>
      <x:c r="X1458" s="223" t="n">
        <x:v>0</x:v>
      </x:c>
      <x:c r="Y1458" s="216" t="n">
        <x:v>19</x:v>
      </x:c>
    </x:row>
    <x:row r="1459">
      <x:c r="A1459" s="217" t="n">
        <x:v>468</x:v>
      </x:c>
      <x:c r="B1459" s="217" t="str">
        <x:v>薇多綠雅社區(活動中心)</x:v>
      </x:c>
      <x:c r="C1459" s="217" t="str">
        <x:v>三峽區</x:v>
      </x:c>
      <x:c r="D1459" s="217" t="n">
        <x:v>15</x:v>
      </x:c>
      <x:c r="E1459" s="217" t="n">
        <x:v>120</x:v>
      </x:c>
      <x:c r="F1459" s="218" t="n">
        <x:v>0.9994791666666667</x:v>
      </x:c>
      <x:c r="G1459" s="217" t="n">
        <x:v>1455</x:v>
      </x:c>
      <x:c r="H1459" s="217" t="str">
        <x:f>IF(G1459&lt;='排名定義'!$B$5,"是","")</x:f>
        <x:v>是</x:v>
      </x:c>
      <x:c r="I1459" s="217" t="n">
        <x:v>1459</x:v>
      </x:c>
      <x:c r="J1459" s="217" t="str">
        <x:f>IF(I1459&lt;='排名定義'!$B$5,"是","")</x:f>
        <x:v>是</x:v>
      </x:c>
      <x:c r="K1459" s="217" t="n">
        <x:v>1393</x:v>
      </x:c>
      <x:c r="L1459" s="217" t="str">
        <x:f>IF(K1459&lt;='排名定義'!$B$5,"是","")</x:f>
        <x:v>是</x:v>
      </x:c>
      <x:c r="M1459" s="217" t="n">
        <x:f>COUNTIF(H1459:L1459,"是")</x:f>
        <x:v>3</x:v>
      </x:c>
      <x:c r="N1459" s="217" t="str">
        <x:v>三份皆未入選</x:v>
      </x:c>
      <x:c r="O1459" s="220" t="n">
        <x:v>7.266666666666667</x:v>
      </x:c>
      <x:c r="P1459" s="220" t="n">
        <x:v>5.466666666666667</x:v>
      </x:c>
      <x:c r="Q1459" s="220" t="n">
        <x:v>1.8</x:v>
      </x:c>
      <x:c r="R1459" s="220" t="n">
        <x:v>0.24770642201834864</x:v>
      </x:c>
      <x:c r="S1459" s="220" t="n">
        <x:v>16.806451612903224</x:v>
      </x:c>
      <x:c r="T1459" s="220" t="n">
        <x:v>13.64516129032258</x:v>
      </x:c>
      <x:c r="U1459" s="220" t="n">
        <x:v>3.161290322580645</x:v>
      </x:c>
      <x:c r="V1459" s="218" t="n">
        <x:v>0.004608294930875576</x:v>
      </x:c>
      <x:c r="W1459" s="217" t="n">
        <x:v>1</x:v>
      </x:c>
      <x:c r="X1459" s="222" t="n">
        <x:v>90</x:v>
      </x:c>
      <x:c r="Y1459" s="217" t="n">
        <x:v>15</x:v>
      </x:c>
    </x:row>
    <x:row r="1460">
      <x:c r="A1460" s="216" t="n">
        <x:v>1090</x:v>
      </x:c>
      <x:c r="B1460" s="216" t="str">
        <x:v>三峽原住民族生活文化園區</x:v>
      </x:c>
      <x:c r="C1460" s="216" t="str">
        <x:v>三峽區</x:v>
      </x:c>
      <x:c r="D1460" s="216" t="n">
        <x:v>31</x:v>
      </x:c>
      <x:c r="E1460" s="216" t="n">
        <x:v>120</x:v>
      </x:c>
      <x:c r="F1460" s="219" t="n">
        <x:v>0.9994791666666667</x:v>
      </x:c>
      <x:c r="G1460" s="216" t="n">
        <x:v>1456</x:v>
      </x:c>
      <x:c r="H1460" s="216" t="str">
        <x:f>IF(G1460&lt;='排名定義'!$B$5,"是","")</x:f>
        <x:v>是</x:v>
      </x:c>
      <x:c r="I1460" s="216" t="n">
        <x:v>1460</x:v>
      </x:c>
      <x:c r="J1460" s="216" t="str">
        <x:f>IF(I1460&lt;='排名定義'!$B$5,"是","")</x:f>
        <x:v>是</x:v>
      </x:c>
      <x:c r="K1460" s="216" t="n">
        <x:v>1402</x:v>
      </x:c>
      <x:c r="L1460" s="216" t="str">
        <x:f>IF(K1460&lt;='排名定義'!$B$5,"是","")</x:f>
        <x:v>是</x:v>
      </x:c>
      <x:c r="M1460" s="216" t="n">
        <x:f>COUNTIF(H1460:L1460,"是")</x:f>
        <x:v>3</x:v>
      </x:c>
      <x:c r="N1460" s="216" t="str">
        <x:v>三份皆未入選</x:v>
      </x:c>
      <x:c r="O1460" s="221" t="n">
        <x:v>7.2</x:v>
      </x:c>
      <x:c r="P1460" s="221" t="n">
        <x:v>5.466666666666667</x:v>
      </x:c>
      <x:c r="Q1460" s="221" t="n">
        <x:v>1.7333333333333334</x:v>
      </x:c>
      <x:c r="R1460" s="221" t="n">
        <x:v>0.24074074074074073</x:v>
      </x:c>
      <x:c r="S1460" s="221" t="n">
        <x:v>12.96774193548387</x:v>
      </x:c>
      <x:c r="T1460" s="221" t="n">
        <x:v>11.03225806451613</x:v>
      </x:c>
      <x:c r="U1460" s="221" t="n">
        <x:v>1.935483870967742</x:v>
      </x:c>
      <x:c r="V1460" s="219" t="n">
        <x:v>0</x:v>
      </x:c>
      <x:c r="W1460" s="216" t="n">
        <x:v>0</x:v>
      </x:c>
      <x:c r="X1460" s="223" t="n">
        <x:v>0</x:v>
      </x:c>
      <x:c r="Y1460" s="216" t="n">
        <x:v>31</x:v>
      </x:c>
    </x:row>
    <x:row r="1461">
      <x:c r="A1461" s="217" t="n">
        <x:v>467</x:v>
      </x:c>
      <x:c r="B1461" s="217" t="str">
        <x:v>佳園路三段101巷80弄口</x:v>
      </x:c>
      <x:c r="C1461" s="217" t="str">
        <x:v>樹林區</x:v>
      </x:c>
      <x:c r="D1461" s="217" t="n">
        <x:v>15</x:v>
      </x:c>
      <x:c r="E1461" s="217" t="n">
        <x:v>120</x:v>
      </x:c>
      <x:c r="F1461" s="218" t="n">
        <x:v>0.9994791666666667</x:v>
      </x:c>
      <x:c r="G1461" s="217" t="n">
        <x:v>1457</x:v>
      </x:c>
      <x:c r="H1461" s="217" t="str">
        <x:f>IF(G1461&lt;='排名定義'!$B$5,"是","")</x:f>
        <x:v>是</x:v>
      </x:c>
      <x:c r="I1461" s="217" t="n">
        <x:v>1461</x:v>
      </x:c>
      <x:c r="J1461" s="217" t="str">
        <x:f>IF(I1461&lt;='排名定義'!$B$5,"是","")</x:f>
        <x:v>是</x:v>
      </x:c>
      <x:c r="K1461" s="217" t="n">
        <x:v>1431</x:v>
      </x:c>
      <x:c r="L1461" s="217" t="str">
        <x:f>IF(K1461&lt;='排名定義'!$B$5,"是","")</x:f>
        <x:v>是</x:v>
      </x:c>
      <x:c r="M1461" s="217" t="n">
        <x:f>COUNTIF(H1461:L1461,"是")</x:f>
        <x:v>3</x:v>
      </x:c>
      <x:c r="N1461" s="217" t="str">
        <x:v>三份皆未入選</x:v>
      </x:c>
      <x:c r="O1461" s="220" t="n">
        <x:v>6.85</x:v>
      </x:c>
      <x:c r="P1461" s="220" t="n">
        <x:v>5.391666666666667</x:v>
      </x:c>
      <x:c r="Q1461" s="220" t="n">
        <x:v>1.4583333333333333</x:v>
      </x:c>
      <x:c r="R1461" s="220" t="n">
        <x:v>0.21289537712895376</x:v>
      </x:c>
      <x:c r="S1461" s="220" t="n">
        <x:v>14.806451612903226</x:v>
      </x:c>
      <x:c r="T1461" s="220" t="n">
        <x:v>12.709677419354838</x:v>
      </x:c>
      <x:c r="U1461" s="220" t="n">
        <x:v>2.096774193548387</x:v>
      </x:c>
      <x:c r="V1461" s="218" t="n">
        <x:v>0.004608294930875576</x:v>
      </x:c>
      <x:c r="W1461" s="217" t="n">
        <x:v>1</x:v>
      </x:c>
      <x:c r="X1461" s="222" t="n">
        <x:v>120</x:v>
      </x:c>
      <x:c r="Y1461" s="217" t="n">
        <x:v>15</x:v>
      </x:c>
    </x:row>
    <x:row r="1462">
      <x:c r="A1462" s="216" t="n">
        <x:v>258</x:v>
      </x:c>
      <x:c r="B1462" s="216" t="str">
        <x:v>雙城公園(安康路)</x:v>
      </x:c>
      <x:c r="C1462" s="216" t="str">
        <x:v>新店區</x:v>
      </x:c>
      <x:c r="D1462" s="216" t="n">
        <x:v>13</x:v>
      </x:c>
      <x:c r="E1462" s="216" t="n">
        <x:v>120</x:v>
      </x:c>
      <x:c r="F1462" s="219" t="n">
        <x:v>0.9994791666666667</x:v>
      </x:c>
      <x:c r="G1462" s="216" t="n">
        <x:v>1458</x:v>
      </x:c>
      <x:c r="H1462" s="216" t="str">
        <x:f>IF(G1462&lt;='排名定義'!$B$5,"是","")</x:f>
        <x:v>是</x:v>
      </x:c>
      <x:c r="I1462" s="216" t="n">
        <x:v>1462</x:v>
      </x:c>
      <x:c r="J1462" s="216" t="str">
        <x:f>IF(I1462&lt;='排名定義'!$B$5,"是","")</x:f>
        <x:v>是</x:v>
      </x:c>
      <x:c r="K1462" s="216" t="n">
        <x:v>1439</x:v>
      </x:c>
      <x:c r="L1462" s="216" t="str">
        <x:f>IF(K1462&lt;='排名定義'!$B$5,"是","")</x:f>
        <x:v>是</x:v>
      </x:c>
      <x:c r="M1462" s="216" t="n">
        <x:f>COUNTIF(H1462:L1462,"是")</x:f>
        <x:v>3</x:v>
      </x:c>
      <x:c r="N1462" s="216" t="str">
        <x:v>三份皆未入選</x:v>
      </x:c>
      <x:c r="O1462" s="221" t="n">
        <x:v>6.633333333333334</x:v>
      </x:c>
      <x:c r="P1462" s="221" t="n">
        <x:v>5.308333333333334</x:v>
      </x:c>
      <x:c r="Q1462" s="221" t="n">
        <x:v>1.325</x:v>
      </x:c>
      <x:c r="R1462" s="221" t="n">
        <x:v>0.19974874371859297</x:v>
      </x:c>
      <x:c r="S1462" s="221" t="n">
        <x:v>13.193548387096774</x:v>
      </x:c>
      <x:c r="T1462" s="221" t="n">
        <x:v>11.32258064516129</x:v>
      </x:c>
      <x:c r="U1462" s="221" t="n">
        <x:v>1.8709677419354838</x:v>
      </x:c>
      <x:c r="V1462" s="219" t="n">
        <x:v>0.02534562211981567</x:v>
      </x:c>
      <x:c r="W1462" s="216" t="n">
        <x:v>6</x:v>
      </x:c>
      <x:c r="X1462" s="223" t="n">
        <x:v>570</x:v>
      </x:c>
      <x:c r="Y1462" s="216" t="n">
        <x:v>13</x:v>
      </x:c>
    </x:row>
    <x:row r="1463">
      <x:c r="A1463" s="217" t="n">
        <x:v>1075</x:v>
      </x:c>
      <x:c r="B1463" s="217" t="str">
        <x:v>聖約翰科技大學</x:v>
      </x:c>
      <x:c r="C1463" s="217" t="str">
        <x:v>淡水區</x:v>
      </x:c>
      <x:c r="D1463" s="217" t="n">
        <x:v>30</x:v>
      </x:c>
      <x:c r="E1463" s="217" t="n">
        <x:v>120</x:v>
      </x:c>
      <x:c r="F1463" s="218" t="n">
        <x:v>0.9994791666666667</x:v>
      </x:c>
      <x:c r="G1463" s="217" t="n">
        <x:v>1459</x:v>
      </x:c>
      <x:c r="H1463" s="217" t="str">
        <x:f>IF(G1463&lt;='排名定義'!$B$5,"是","")</x:f>
        <x:v>是</x:v>
      </x:c>
      <x:c r="I1463" s="217" t="n">
        <x:v>1455</x:v>
      </x:c>
      <x:c r="J1463" s="217" t="str">
        <x:f>IF(I1463&lt;='排名定義'!$B$5,"是","")</x:f>
        <x:v>是</x:v>
      </x:c>
      <x:c r="K1463" s="217" t="n">
        <x:v>1459</x:v>
      </x:c>
      <x:c r="L1463" s="217" t="str">
        <x:f>IF(K1463&lt;='排名定義'!$B$5,"是","")</x:f>
        <x:v>是</x:v>
      </x:c>
      <x:c r="M1463" s="217" t="n">
        <x:f>COUNTIF(H1463:L1463,"是")</x:f>
        <x:v>3</x:v>
      </x:c>
      <x:c r="N1463" s="217" t="str">
        <x:v>三份皆未入選</x:v>
      </x:c>
      <x:c r="O1463" s="220" t="n">
        <x:v>6.6</x:v>
      </x:c>
      <x:c r="P1463" s="220" t="n">
        <x:v>5.725</x:v>
      </x:c>
      <x:c r="Q1463" s="220" t="n">
        <x:v>0.875</x:v>
      </x:c>
      <x:c r="R1463" s="220" t="n">
        <x:v>0.13257575757575757</x:v>
      </x:c>
      <x:c r="S1463" s="220" t="n">
        <x:v>14.612903225806452</x:v>
      </x:c>
      <x:c r="T1463" s="220" t="n">
        <x:v>12.32258064516129</x:v>
      </x:c>
      <x:c r="U1463" s="220" t="n">
        <x:v>2.2903225806451615</x:v>
      </x:c>
      <x:c r="V1463" s="218" t="n">
        <x:v>0.0069124423963133645</x:v>
      </x:c>
      <x:c r="W1463" s="217" t="n">
        <x:v>1</x:v>
      </x:c>
      <x:c r="X1463" s="222" t="n">
        <x:v>120</x:v>
      </x:c>
      <x:c r="Y1463" s="217" t="n">
        <x:v>30</x:v>
      </x:c>
    </x:row>
    <x:row r="1464">
      <x:c r="A1464" s="216" t="n">
        <x:v>457</x:v>
      </x:c>
      <x:c r="B1464" s="216" t="str">
        <x:v>雙城國小</x:v>
      </x:c>
      <x:c r="C1464" s="216" t="str">
        <x:v>新店區</x:v>
      </x:c>
      <x:c r="D1464" s="216" t="n">
        <x:v>15</x:v>
      </x:c>
      <x:c r="E1464" s="216" t="n">
        <x:v>120</x:v>
      </x:c>
      <x:c r="F1464" s="219" t="n">
        <x:v>0.9994791666666667</x:v>
      </x:c>
      <x:c r="G1464" s="216" t="n">
        <x:v>1460</x:v>
      </x:c>
      <x:c r="H1464" s="216" t="str">
        <x:f>IF(G1464&lt;='排名定義'!$B$5,"是","")</x:f>
        <x:v>是</x:v>
      </x:c>
      <x:c r="I1464" s="216" t="n">
        <x:v>1454</x:v>
      </x:c>
      <x:c r="J1464" s="216" t="str">
        <x:f>IF(I1464&lt;='排名定義'!$B$5,"是","")</x:f>
        <x:v>是</x:v>
      </x:c>
      <x:c r="K1464" s="216" t="n">
        <x:v>1466</x:v>
      </x:c>
      <x:c r="L1464" s="216" t="str">
        <x:f>IF(K1464&lt;='排名定義'!$B$5,"是","")</x:f>
        <x:v>是</x:v>
      </x:c>
      <x:c r="M1464" s="216" t="n">
        <x:f>COUNTIF(H1464:L1464,"是")</x:f>
        <x:v>3</x:v>
      </x:c>
      <x:c r="N1464" s="216" t="str">
        <x:v>三份皆未入選</x:v>
      </x:c>
      <x:c r="O1464" s="221" t="n">
        <x:v>6.458333333333333</x:v>
      </x:c>
      <x:c r="P1464" s="221" t="n">
        <x:v>5.725</x:v>
      </x:c>
      <x:c r="Q1464" s="221" t="n">
        <x:v>0.7333333333333333</x:v>
      </x:c>
      <x:c r="R1464" s="221" t="n">
        <x:v>0.1135483870967742</x:v>
      </x:c>
      <x:c r="S1464" s="221" t="n">
        <x:v>13.96774193548387</x:v>
      </x:c>
      <x:c r="T1464" s="221" t="n">
        <x:v>11.709677419354838</x:v>
      </x:c>
      <x:c r="U1464" s="221" t="n">
        <x:v>2.2580645161290325</x:v>
      </x:c>
      <x:c r="V1464" s="219" t="n">
        <x:v>0.020737327188940093</x:v>
      </x:c>
      <x:c r="W1464" s="216" t="n">
        <x:v>3</x:v>
      </x:c>
      <x:c r="X1464" s="223" t="n">
        <x:v>390</x:v>
      </x:c>
      <x:c r="Y1464" s="216" t="n">
        <x:v>15</x:v>
      </x:c>
    </x:row>
    <x:row r="1465">
      <x:c r="A1465" s="217" t="n">
        <x:v>754</x:v>
      </x:c>
      <x:c r="B1465" s="217" t="str">
        <x:v>狀元公園</x:v>
      </x:c>
      <x:c r="C1465" s="217" t="str">
        <x:v>八里區</x:v>
      </x:c>
      <x:c r="D1465" s="217" t="n">
        <x:v>20</x:v>
      </x:c>
      <x:c r="E1465" s="217" t="n">
        <x:v>120</x:v>
      </x:c>
      <x:c r="F1465" s="218" t="n">
        <x:v>0.9994791666666667</x:v>
      </x:c>
      <x:c r="G1465" s="217" t="n">
        <x:v>1461</x:v>
      </x:c>
      <x:c r="H1465" s="217" t="str">
        <x:f>IF(G1465&lt;='排名定義'!$B$5,"是","")</x:f>
        <x:v>是</x:v>
      </x:c>
      <x:c r="I1465" s="217" t="n">
        <x:v>1458</x:v>
      </x:c>
      <x:c r="J1465" s="217" t="str">
        <x:f>IF(I1465&lt;='排名定義'!$B$5,"是","")</x:f>
        <x:v>是</x:v>
      </x:c>
      <x:c r="K1465" s="217" t="n">
        <x:v>1462</x:v>
      </x:c>
      <x:c r="L1465" s="217" t="str">
        <x:f>IF(K1465&lt;='排名定義'!$B$5,"是","")</x:f>
        <x:v>是</x:v>
      </x:c>
      <x:c r="M1465" s="217" t="n">
        <x:f>COUNTIF(H1465:L1465,"是")</x:f>
        <x:v>3</x:v>
      </x:c>
      <x:c r="N1465" s="217" t="str">
        <x:v>三份皆未入選</x:v>
      </x:c>
      <x:c r="O1465" s="220" t="n">
        <x:v>6.275</x:v>
      </x:c>
      <x:c r="P1465" s="220" t="n">
        <x:v>5.491666666666666</x:v>
      </x:c>
      <x:c r="Q1465" s="220" t="n">
        <x:v>0.7833333333333333</x:v>
      </x:c>
      <x:c r="R1465" s="220" t="n">
        <x:v>0.1248339973439575</x:v>
      </x:c>
      <x:c r="S1465" s="220" t="n">
        <x:v>13.03225806451613</x:v>
      </x:c>
      <x:c r="T1465" s="220" t="n">
        <x:v>12.35483870967742</x:v>
      </x:c>
      <x:c r="U1465" s="220" t="n">
        <x:v>0.6774193548387096</x:v>
      </x:c>
      <x:c r="V1465" s="218" t="n">
        <x:v>0.06221198156682028</x:v>
      </x:c>
      <x:c r="W1465" s="217" t="n">
        <x:v>12</x:v>
      </x:c>
      <x:c r="X1465" s="222" t="n">
        <x:v>1320</x:v>
      </x:c>
      <x:c r="Y1465" s="217" t="n">
        <x:v>20</x:v>
      </x:c>
    </x:row>
    <x:row r="1466">
      <x:c r="A1466" s="216" t="n">
        <x:v>934</x:v>
      </x:c>
      <x:c r="B1466" s="216" t="str">
        <x:v>馬偕醫學大學(第二教研大樓)</x:v>
      </x:c>
      <x:c r="C1466" s="216" t="str">
        <x:v>三芝區</x:v>
      </x:c>
      <x:c r="D1466" s="216" t="n">
        <x:v>26</x:v>
      </x:c>
      <x:c r="E1466" s="216" t="n">
        <x:v>120</x:v>
      </x:c>
      <x:c r="F1466" s="219" t="n">
        <x:v>0.9994791666666667</x:v>
      </x:c>
      <x:c r="G1466" s="216" t="n">
        <x:v>1462</x:v>
      </x:c>
      <x:c r="H1466" s="216" t="str">
        <x:f>IF(G1466&lt;='排名定義'!$B$5,"是","")</x:f>
        <x:v>是</x:v>
      </x:c>
      <x:c r="I1466" s="216" t="n">
        <x:v>1473</x:v>
      </x:c>
      <x:c r="J1466" s="216" t="str">
        <x:f>IF(I1466&lt;='排名定義'!$B$5,"是","")</x:f>
        <x:v>是</x:v>
      </x:c>
      <x:c r="K1466" s="216" t="n">
        <x:v>1347</x:v>
      </x:c>
      <x:c r="L1466" s="216" t="str">
        <x:f>IF(K1466&lt;='排名定義'!$B$5,"是","")</x:f>
        <x:v>是</x:v>
      </x:c>
      <x:c r="M1466" s="216" t="n">
        <x:f>COUNTIF(H1466:L1466,"是")</x:f>
        <x:v>3</x:v>
      </x:c>
      <x:c r="N1466" s="216" t="str">
        <x:v>三份皆未入選</x:v>
      </x:c>
      <x:c r="O1466" s="221" t="n">
        <x:v>6.233333333333333</x:v>
      </x:c>
      <x:c r="P1466" s="221" t="n">
        <x:v>4.058333333333334</x:v>
      </x:c>
      <x:c r="Q1466" s="221" t="n">
        <x:v>2.175</x:v>
      </x:c>
      <x:c r="R1466" s="221" t="n">
        <x:v>0.34893048128342247</x:v>
      </x:c>
      <x:c r="S1466" s="221" t="n">
        <x:v>12.161290322580646</x:v>
      </x:c>
      <x:c r="T1466" s="221" t="n">
        <x:v>9.161290322580646</x:v>
      </x:c>
      <x:c r="U1466" s="221" t="n">
        <x:v>3</x:v>
      </x:c>
      <x:c r="V1466" s="219" t="n">
        <x:v>0.03686635944700461</x:v>
      </x:c>
      <x:c r="W1466" s="216" t="n">
        <x:v>5</x:v>
      </x:c>
      <x:c r="X1466" s="223" t="n">
        <x:v>1230</x:v>
      </x:c>
      <x:c r="Y1466" s="216" t="n">
        <x:v>26</x:v>
      </x:c>
    </x:row>
    <x:row r="1467">
      <x:c r="A1467" s="217" t="n">
        <x:v>138</x:v>
      </x:c>
      <x:c r="B1467" s="217" t="str">
        <x:v>和平路105號</x:v>
      </x:c>
      <x:c r="C1467" s="217" t="str">
        <x:v>土城區</x:v>
      </x:c>
      <x:c r="D1467" s="217" t="n">
        <x:v>10</x:v>
      </x:c>
      <x:c r="E1467" s="217" t="n">
        <x:v>120</x:v>
      </x:c>
      <x:c r="F1467" s="218" t="n">
        <x:v>0.9994791666666667</x:v>
      </x:c>
      <x:c r="G1467" s="217" t="n">
        <x:v>1463</x:v>
      </x:c>
      <x:c r="H1467" s="217" t="str">
        <x:f>IF(G1467&lt;='排名定義'!$B$5,"是","")</x:f>
        <x:v>是</x:v>
      </x:c>
      <x:c r="I1467" s="217" t="n">
        <x:v>1457</x:v>
      </x:c>
      <x:c r="J1467" s="217" t="str">
        <x:f>IF(I1467&lt;='排名定義'!$B$5,"是","")</x:f>
        <x:v>是</x:v>
      </x:c>
      <x:c r="K1467" s="217" t="n">
        <x:v>1474</x:v>
      </x:c>
      <x:c r="L1467" s="217" t="str">
        <x:f>IF(K1467&lt;='排名定義'!$B$5,"是","")</x:f>
        <x:v>是</x:v>
      </x:c>
      <x:c r="M1467" s="217" t="n">
        <x:f>COUNTIF(H1467:L1467,"是")</x:f>
        <x:v>3</x:v>
      </x:c>
      <x:c r="N1467" s="217" t="str">
        <x:v>三份皆未入選</x:v>
      </x:c>
      <x:c r="O1467" s="220" t="n">
        <x:v>6.108333333333333</x:v>
      </x:c>
      <x:c r="P1467" s="220" t="n">
        <x:v>5.558333333333334</x:v>
      </x:c>
      <x:c r="Q1467" s="220" t="n">
        <x:v>0.55</x:v>
      </x:c>
      <x:c r="R1467" s="220" t="n">
        <x:v>0.09004092769440655</x:v>
      </x:c>
      <x:c r="S1467" s="220" t="n">
        <x:v>7.483870967741935</x:v>
      </x:c>
      <x:c r="T1467" s="220" t="n">
        <x:v>6.612903225806452</x:v>
      </x:c>
      <x:c r="U1467" s="220" t="n">
        <x:v>0.8709677419354839</x:v>
      </x:c>
      <x:c r="V1467" s="218" t="n">
        <x:v>0.004608294930875576</x:v>
      </x:c>
      <x:c r="W1467" s="217" t="n">
        <x:v>2</x:v>
      </x:c>
      <x:c r="X1467" s="222" t="n">
        <x:v>120</x:v>
      </x:c>
      <x:c r="Y1467" s="217" t="n">
        <x:v>10</x:v>
      </x:c>
    </x:row>
    <x:row r="1468">
      <x:c r="A1468" s="216" t="n">
        <x:v>455</x:v>
      </x:c>
      <x:c r="B1468" s="216" t="str">
        <x:v>訊庄埔公園</x:v>
      </x:c>
      <x:c r="C1468" s="216" t="str">
        <x:v>八里區</x:v>
      </x:c>
      <x:c r="D1468" s="216" t="n">
        <x:v>15</x:v>
      </x:c>
      <x:c r="E1468" s="216" t="n">
        <x:v>120</x:v>
      </x:c>
      <x:c r="F1468" s="219" t="n">
        <x:v>0.9994791666666667</x:v>
      </x:c>
      <x:c r="G1468" s="216" t="n">
        <x:v>1464</x:v>
      </x:c>
      <x:c r="H1468" s="216" t="str">
        <x:f>IF(G1468&lt;='排名定義'!$B$5,"是","")</x:f>
        <x:v>是</x:v>
      </x:c>
      <x:c r="I1468" s="216" t="n">
        <x:v>1456</x:v>
      </x:c>
      <x:c r="J1468" s="216" t="str">
        <x:f>IF(I1468&lt;='排名定義'!$B$5,"是","")</x:f>
        <x:v>是</x:v>
      </x:c>
      <x:c r="K1468" s="216" t="n">
        <x:v>1476</x:v>
      </x:c>
      <x:c r="L1468" s="216" t="str">
        <x:f>IF(K1468&lt;='排名定義'!$B$5,"是","")</x:f>
        <x:v>是</x:v>
      </x:c>
      <x:c r="M1468" s="216" t="n">
        <x:f>COUNTIF(H1468:L1468,"是")</x:f>
        <x:v>3</x:v>
      </x:c>
      <x:c r="N1468" s="216" t="str">
        <x:v>三份皆未入選</x:v>
      </x:c>
      <x:c r="O1468" s="221" t="n">
        <x:v>6.016666666666667</x:v>
      </x:c>
      <x:c r="P1468" s="221" t="n">
        <x:v>5.625</x:v>
      </x:c>
      <x:c r="Q1468" s="221" t="n">
        <x:v>0.39166666666666666</x:v>
      </x:c>
      <x:c r="R1468" s="221" t="n">
        <x:v>0.06509695290858726</x:v>
      </x:c>
      <x:c r="S1468" s="221" t="n">
        <x:v>14.451612903225806</x:v>
      </x:c>
      <x:c r="T1468" s="221" t="n">
        <x:v>13.67741935483871</x:v>
      </x:c>
      <x:c r="U1468" s="221" t="n">
        <x:v>0.7741935483870968</x:v>
      </x:c>
      <x:c r="V1468" s="219" t="n">
        <x:v>0.02304147465437788</x:v>
      </x:c>
      <x:c r="W1468" s="216" t="n">
        <x:v>4</x:v>
      </x:c>
      <x:c r="X1468" s="223" t="n">
        <x:v>360</x:v>
      </x:c>
      <x:c r="Y1468" s="216" t="n">
        <x:v>15</x:v>
      </x:c>
    </x:row>
    <x:row r="1469">
      <x:c r="A1469" s="217" t="n">
        <x:v>462</x:v>
      </x:c>
      <x:c r="B1469" s="217" t="str">
        <x:v>金山立體停車場(中興路)</x:v>
      </x:c>
      <x:c r="C1469" s="217" t="str">
        <x:v>金山區</x:v>
      </x:c>
      <x:c r="D1469" s="217" t="n">
        <x:v>15</x:v>
      </x:c>
      <x:c r="E1469" s="217" t="n">
        <x:v>120</x:v>
      </x:c>
      <x:c r="F1469" s="218" t="n">
        <x:v>0.9925347222222223</x:v>
      </x:c>
      <x:c r="G1469" s="217" t="n">
        <x:v>1465</x:v>
      </x:c>
      <x:c r="H1469" s="217" t="str">
        <x:f>IF(G1469&lt;='排名定義'!$B$5,"是","")</x:f>
        <x:v>是</x:v>
      </x:c>
      <x:c r="I1469" s="217" t="n">
        <x:v>1470</x:v>
      </x:c>
      <x:c r="J1469" s="217" t="str">
        <x:f>IF(I1469&lt;='排名定義'!$B$5,"是","")</x:f>
        <x:v>是</x:v>
      </x:c>
      <x:c r="K1469" s="217" t="n">
        <x:v>1445</x:v>
      </x:c>
      <x:c r="L1469" s="217" t="str">
        <x:f>IF(K1469&lt;='排名定義'!$B$5,"是","")</x:f>
        <x:v>是</x:v>
      </x:c>
      <x:c r="M1469" s="217" t="n">
        <x:f>COUNTIF(H1469:L1469,"是")</x:f>
        <x:v>3</x:v>
      </x:c>
      <x:c r="N1469" s="217" t="str">
        <x:v>三份皆未入選</x:v>
      </x:c>
      <x:c r="O1469" s="220" t="n">
        <x:v>5.591666666666667</x:v>
      </x:c>
      <x:c r="P1469" s="220" t="n">
        <x:v>4.366666666666666</x:v>
      </x:c>
      <x:c r="Q1469" s="220" t="n">
        <x:v>1.225</x:v>
      </x:c>
      <x:c r="R1469" s="220" t="n">
        <x:v>0.21907600596125187</x:v>
      </x:c>
      <x:c r="S1469" s="220" t="n">
        <x:v>12.709677419354838</x:v>
      </x:c>
      <x:c r="T1469" s="220" t="n">
        <x:v>10.838709677419354</x:v>
      </x:c>
      <x:c r="U1469" s="220" t="n">
        <x:v>1.8709677419354838</x:v>
      </x:c>
      <x:c r="V1469" s="218" t="n">
        <x:v>0.020737327188940093</x:v>
      </x:c>
      <x:c r="W1469" s="217" t="n">
        <x:v>3</x:v>
      </x:c>
      <x:c r="X1469" s="222" t="n">
        <x:v>360</x:v>
      </x:c>
      <x:c r="Y1469" s="217" t="n">
        <x:v>15</x:v>
      </x:c>
    </x:row>
    <x:row r="1470">
      <x:c r="A1470" s="216" t="n">
        <x:v>511</x:v>
      </x:c>
      <x:c r="B1470" s="216" t="str">
        <x:v>添福里(添福15號之33)</x:v>
      </x:c>
      <x:c r="C1470" s="216" t="str">
        <x:v>三峽區</x:v>
      </x:c>
      <x:c r="D1470" s="216" t="n">
        <x:v>16</x:v>
      </x:c>
      <x:c r="E1470" s="216" t="n">
        <x:v>120</x:v>
      </x:c>
      <x:c r="F1470" s="219" t="n">
        <x:v>0.9994791666666667</x:v>
      </x:c>
      <x:c r="G1470" s="216" t="n">
        <x:v>1466</x:v>
      </x:c>
      <x:c r="H1470" s="216" t="str">
        <x:f>IF(G1470&lt;='排名定義'!$B$5,"是","")</x:f>
        <x:v>是</x:v>
      </x:c>
      <x:c r="I1470" s="216" t="n">
        <x:v>1464</x:v>
      </x:c>
      <x:c r="J1470" s="216" t="str">
        <x:f>IF(I1470&lt;='排名定義'!$B$5,"是","")</x:f>
        <x:v>是</x:v>
      </x:c>
      <x:c r="K1470" s="216" t="n">
        <x:v>1465</x:v>
      </x:c>
      <x:c r="L1470" s="216" t="str">
        <x:f>IF(K1470&lt;='排名定義'!$B$5,"是","")</x:f>
        <x:v>是</x:v>
      </x:c>
      <x:c r="M1470" s="216" t="n">
        <x:f>COUNTIF(H1470:L1470,"是")</x:f>
        <x:v>3</x:v>
      </x:c>
      <x:c r="N1470" s="216" t="str">
        <x:v>三份皆未入選</x:v>
      </x:c>
      <x:c r="O1470" s="221" t="n">
        <x:v>5.533333333333333</x:v>
      </x:c>
      <x:c r="P1470" s="221" t="n">
        <x:v>4.775</x:v>
      </x:c>
      <x:c r="Q1470" s="221" t="n">
        <x:v>0.7583333333333333</x:v>
      </x:c>
      <x:c r="R1470" s="221" t="n">
        <x:v>0.13704819277108435</x:v>
      </x:c>
      <x:c r="S1470" s="221" t="n">
        <x:v>9.193548387096774</x:v>
      </x:c>
      <x:c r="T1470" s="221" t="n">
        <x:v>8.193548387096774</x:v>
      </x:c>
      <x:c r="U1470" s="221" t="n">
        <x:v>1</x:v>
      </x:c>
      <x:c r="V1470" s="219" t="n">
        <x:v>0</x:v>
      </x:c>
      <x:c r="W1470" s="216" t="n">
        <x:v>0</x:v>
      </x:c>
      <x:c r="X1470" s="223" t="n">
        <x:v>0</x:v>
      </x:c>
      <x:c r="Y1470" s="216" t="n">
        <x:v>16</x:v>
      </x:c>
    </x:row>
    <x:row r="1471">
      <x:c r="A1471" s="217" t="n">
        <x:v>144</x:v>
      </x:c>
      <x:c r="B1471" s="217" t="str">
        <x:v>北城生活廣場(富貴街)</x:v>
      </x:c>
      <x:c r="C1471" s="217" t="str">
        <x:v>新店區</x:v>
      </x:c>
      <x:c r="D1471" s="217" t="n">
        <x:v>11</x:v>
      </x:c>
      <x:c r="E1471" s="217" t="n">
        <x:v>120</x:v>
      </x:c>
      <x:c r="F1471" s="218" t="n">
        <x:v>0.9994791666666667</x:v>
      </x:c>
      <x:c r="G1471" s="217" t="n">
        <x:v>1467</x:v>
      </x:c>
      <x:c r="H1471" s="217" t="str">
        <x:f>IF(G1471&lt;='排名定義'!$B$5,"是","")</x:f>
        <x:v>是</x:v>
      </x:c>
      <x:c r="I1471" s="217" t="n">
        <x:v>1467</x:v>
      </x:c>
      <x:c r="J1471" s="217" t="str">
        <x:f>IF(I1471&lt;='排名定義'!$B$5,"是","")</x:f>
        <x:v>是</x:v>
      </x:c>
      <x:c r="K1471" s="217" t="n">
        <x:v>1460</x:v>
      </x:c>
      <x:c r="L1471" s="217" t="str">
        <x:f>IF(K1471&lt;='排名定義'!$B$5,"是","")</x:f>
        <x:v>是</x:v>
      </x:c>
      <x:c r="M1471" s="217" t="n">
        <x:f>COUNTIF(H1471:L1471,"是")</x:f>
        <x:v>3</x:v>
      </x:c>
      <x:c r="N1471" s="217" t="str">
        <x:v>三份皆未入選</x:v>
      </x:c>
      <x:c r="O1471" s="220" t="n">
        <x:v>5.416666666666667</x:v>
      </x:c>
      <x:c r="P1471" s="220" t="n">
        <x:v>4.6</x:v>
      </x:c>
      <x:c r="Q1471" s="220" t="n">
        <x:v>0.8166666666666667</x:v>
      </x:c>
      <x:c r="R1471" s="220" t="n">
        <x:v>0.15076923076923077</x:v>
      </x:c>
      <x:c r="S1471" s="220" t="n">
        <x:v>9.67741935483871</x:v>
      </x:c>
      <x:c r="T1471" s="220" t="n">
        <x:v>9.67741935483871</x:v>
      </x:c>
      <x:c r="U1471" s="220" t="n">
        <x:v>0</x:v>
      </x:c>
      <x:c r="V1471" s="218" t="n">
        <x:v>0.013824884792626729</x:v>
      </x:c>
      <x:c r="W1471" s="217" t="n">
        <x:v>3</x:v>
      </x:c>
      <x:c r="X1471" s="222" t="n">
        <x:v>570</x:v>
      </x:c>
      <x:c r="Y1471" s="217" t="n">
        <x:v>11</x:v>
      </x:c>
    </x:row>
    <x:row r="1472">
      <x:c r="A1472" s="216" t="n">
        <x:v>463</x:v>
      </x:c>
      <x:c r="B1472" s="216" t="str">
        <x:v>櫻花水車公園</x:v>
      </x:c>
      <x:c r="C1472" s="216" t="str">
        <x:v>三芝區</x:v>
      </x:c>
      <x:c r="D1472" s="216" t="n">
        <x:v>15</x:v>
      </x:c>
      <x:c r="E1472" s="216" t="n">
        <x:v>120</x:v>
      </x:c>
      <x:c r="F1472" s="219" t="n">
        <x:v>0.9994791666666667</x:v>
      </x:c>
      <x:c r="G1472" s="216" t="n">
        <x:v>1468</x:v>
      </x:c>
      <x:c r="H1472" s="216" t="str">
        <x:f>IF(G1472&lt;='排名定義'!$B$5,"是","")</x:f>
        <x:v>是</x:v>
      </x:c>
      <x:c r="I1472" s="216" t="n">
        <x:v>1469</x:v>
      </x:c>
      <x:c r="J1472" s="216" t="str">
        <x:f>IF(I1472&lt;='排名定義'!$B$5,"是","")</x:f>
        <x:v>是</x:v>
      </x:c>
      <x:c r="K1472" s="216" t="n">
        <x:v>1456</x:v>
      </x:c>
      <x:c r="L1472" s="216" t="str">
        <x:f>IF(K1472&lt;='排名定義'!$B$5,"是","")</x:f>
        <x:v>是</x:v>
      </x:c>
      <x:c r="M1472" s="216" t="n">
        <x:f>COUNTIF(H1472:L1472,"是")</x:f>
        <x:v>3</x:v>
      </x:c>
      <x:c r="N1472" s="216" t="str">
        <x:v>三份皆未入選</x:v>
      </x:c>
      <x:c r="O1472" s="221" t="n">
        <x:v>5.391666666666667</x:v>
      </x:c>
      <x:c r="P1472" s="221" t="n">
        <x:v>4.4</x:v>
      </x:c>
      <x:c r="Q1472" s="221" t="n">
        <x:v>0.9916666666666667</x:v>
      </x:c>
      <x:c r="R1472" s="221" t="n">
        <x:v>0.1839258114374034</x:v>
      </x:c>
      <x:c r="S1472" s="221" t="n">
        <x:v>10.35483870967742</x:v>
      </x:c>
      <x:c r="T1472" s="221" t="n">
        <x:v>8.516129032258064</x:v>
      </x:c>
      <x:c r="U1472" s="221" t="n">
        <x:v>1.8387096774193548</x:v>
      </x:c>
      <x:c r="V1472" s="219" t="n">
        <x:v>0.07834101382488479</x:v>
      </x:c>
      <x:c r="W1472" s="216" t="n">
        <x:v>7</x:v>
      </x:c>
      <x:c r="X1472" s="223" t="n">
        <x:v>1320</x:v>
      </x:c>
      <x:c r="Y1472" s="216" t="n">
        <x:v>15</x:v>
      </x:c>
    </x:row>
    <x:row r="1473">
      <x:c r="A1473" s="217" t="n">
        <x:v>741</x:v>
      </x:c>
      <x:c r="B1473" s="217" t="str">
        <x:v>澳底公園</x:v>
      </x:c>
      <x:c r="C1473" s="217" t="str">
        <x:v>貢寮區</x:v>
      </x:c>
      <x:c r="D1473" s="217" t="n">
        <x:v>20</x:v>
      </x:c>
      <x:c r="E1473" s="217" t="n">
        <x:v>120</x:v>
      </x:c>
      <x:c r="F1473" s="218" t="n">
        <x:v>0.9994791666666667</x:v>
      </x:c>
      <x:c r="G1473" s="217" t="n">
        <x:v>1469</x:v>
      </x:c>
      <x:c r="H1473" s="217" t="str">
        <x:f>IF(G1473&lt;='排名定義'!$B$5,"是","")</x:f>
        <x:v>是</x:v>
      </x:c>
      <x:c r="I1473" s="217" t="n">
        <x:v>1466</x:v>
      </x:c>
      <x:c r="J1473" s="217" t="str">
        <x:f>IF(I1473&lt;='排名定義'!$B$5,"是","")</x:f>
        <x:v>是</x:v>
      </x:c>
      <x:c r="K1473" s="217" t="n">
        <x:v>1468</x:v>
      </x:c>
      <x:c r="L1473" s="217" t="str">
        <x:f>IF(K1473&lt;='排名定義'!$B$5,"是","")</x:f>
        <x:v>是</x:v>
      </x:c>
      <x:c r="M1473" s="217" t="n">
        <x:f>COUNTIF(H1473:L1473,"是")</x:f>
        <x:v>3</x:v>
      </x:c>
      <x:c r="N1473" s="217" t="str">
        <x:v>三份皆未入選</x:v>
      </x:c>
      <x:c r="O1473" s="220" t="n">
        <x:v>5.316666666666666</x:v>
      </x:c>
      <x:c r="P1473" s="220" t="n">
        <x:v>4.633333333333334</x:v>
      </x:c>
      <x:c r="Q1473" s="220" t="n">
        <x:v>0.6833333333333333</x:v>
      </x:c>
      <x:c r="R1473" s="220" t="n">
        <x:v>0.12852664576802508</x:v>
      </x:c>
      <x:c r="S1473" s="220" t="n">
        <x:v>17.612903225806452</x:v>
      </x:c>
      <x:c r="T1473" s="220" t="n">
        <x:v>15.258064516129032</x:v>
      </x:c>
      <x:c r="U1473" s="220" t="n">
        <x:v>2.3548387096774195</x:v>
      </x:c>
      <x:c r="V1473" s="218" t="n">
        <x:v>0.0069124423963133645</x:v>
      </x:c>
      <x:c r="W1473" s="217" t="n">
        <x:v>2</x:v>
      </x:c>
      <x:c r="X1473" s="222" t="n">
        <x:v>180</x:v>
      </x:c>
      <x:c r="Y1473" s="217" t="n">
        <x:v>20</x:v>
      </x:c>
    </x:row>
    <x:row r="1474">
      <x:c r="A1474" s="216" t="n">
        <x:v>421</x:v>
      </x:c>
      <x:c r="B1474" s="216" t="str">
        <x:v>建成段平面停車場</x:v>
      </x:c>
      <x:c r="C1474" s="216" t="str">
        <x:v>汐止區</x:v>
      </x:c>
      <x:c r="D1474" s="216" t="n">
        <x:v>15</x:v>
      </x:c>
      <x:c r="E1474" s="216" t="n">
        <x:v>120</x:v>
      </x:c>
      <x:c r="F1474" s="219" t="n">
        <x:v>0.9994791666666667</x:v>
      </x:c>
      <x:c r="G1474" s="216" t="n">
        <x:v>1470</x:v>
      </x:c>
      <x:c r="H1474" s="216" t="str">
        <x:f>IF(G1474&lt;='排名定義'!$B$5,"是","")</x:f>
        <x:v>是</x:v>
      </x:c>
      <x:c r="I1474" s="216" t="n">
        <x:v>1465</x:v>
      </x:c>
      <x:c r="J1474" s="216" t="str">
        <x:f>IF(I1474&lt;='排名定義'!$B$5,"是","")</x:f>
        <x:v>是</x:v>
      </x:c>
      <x:c r="K1474" s="216" t="n">
        <x:v>1480</x:v>
      </x:c>
      <x:c r="L1474" s="216" t="str">
        <x:f>IF(K1474&lt;='排名定義'!$B$5,"是","")</x:f>
        <x:v>是</x:v>
      </x:c>
      <x:c r="M1474" s="216" t="n">
        <x:f>COUNTIF(H1474:L1474,"是")</x:f>
        <x:v>3</x:v>
      </x:c>
      <x:c r="N1474" s="216" t="str">
        <x:v>三份皆未入選</x:v>
      </x:c>
      <x:c r="O1474" s="221" t="n">
        <x:v>4.891666666666667</x:v>
      </x:c>
      <x:c r="P1474" s="221" t="n">
        <x:v>4.65</x:v>
      </x:c>
      <x:c r="Q1474" s="221" t="n">
        <x:v>0.24166666666666667</x:v>
      </x:c>
      <x:c r="R1474" s="221" t="n">
        <x:v>0.049403747870528106</x:v>
      </x:c>
      <x:c r="S1474" s="221" t="n">
        <x:v>8.96774193548387</x:v>
      </x:c>
      <x:c r="T1474" s="221" t="n">
        <x:v>8.96774193548387</x:v>
      </x:c>
      <x:c r="U1474" s="221" t="n">
        <x:v>0</x:v>
      </x:c>
      <x:c r="V1474" s="219" t="n">
        <x:v>0.03686635944700461</x:v>
      </x:c>
      <x:c r="W1474" s="216" t="n">
        <x:v>9</x:v>
      </x:c>
      <x:c r="X1474" s="223" t="n">
        <x:v>930</x:v>
      </x:c>
      <x:c r="Y1474" s="216" t="n">
        <x:v>15</x:v>
      </x:c>
    </x:row>
    <x:row r="1475">
      <x:c r="A1475" s="217" t="n">
        <x:v>161</x:v>
      </x:c>
      <x:c r="B1475" s="217" t="str">
        <x:v>春之霖社區</x:v>
      </x:c>
      <x:c r="C1475" s="217" t="str">
        <x:v>汐止區</x:v>
      </x:c>
      <x:c r="D1475" s="217" t="n">
        <x:v>11</x:v>
      </x:c>
      <x:c r="E1475" s="217" t="n">
        <x:v>120</x:v>
      </x:c>
      <x:c r="F1475" s="218" t="n">
        <x:v>0.9994791666666667</x:v>
      </x:c>
      <x:c r="G1475" s="217" t="n">
        <x:v>1471</x:v>
      </x:c>
      <x:c r="H1475" s="217" t="str">
        <x:f>IF(G1475&lt;='排名定義'!$B$5,"是","")</x:f>
        <x:v>是</x:v>
      </x:c>
      <x:c r="I1475" s="217" t="n">
        <x:v>1468</x:v>
      </x:c>
      <x:c r="J1475" s="217" t="str">
        <x:f>IF(I1475&lt;='排名定義'!$B$5,"是","")</x:f>
        <x:v>是</x:v>
      </x:c>
      <x:c r="K1475" s="217" t="n">
        <x:v>1478</x:v>
      </x:c>
      <x:c r="L1475" s="217" t="str">
        <x:f>IF(K1475&lt;='排名定義'!$B$5,"是","")</x:f>
        <x:v>是</x:v>
      </x:c>
      <x:c r="M1475" s="217" t="n">
        <x:f>COUNTIF(H1475:L1475,"是")</x:f>
        <x:v>3</x:v>
      </x:c>
      <x:c r="N1475" s="217" t="str">
        <x:v>三份皆未入選</x:v>
      </x:c>
      <x:c r="O1475" s="220" t="n">
        <x:v>4.866666666666666</x:v>
      </x:c>
      <x:c r="P1475" s="220" t="n">
        <x:v>4.558333333333334</x:v>
      </x:c>
      <x:c r="Q1475" s="220" t="n">
        <x:v>0.30833333333333335</x:v>
      </x:c>
      <x:c r="R1475" s="220" t="n">
        <x:v>0.06335616438356165</x:v>
      </x:c>
      <x:c r="S1475" s="220" t="n">
        <x:v>9.612903225806452</x:v>
      </x:c>
      <x:c r="T1475" s="220" t="n">
        <x:v>9.096774193548388</x:v>
      </x:c>
      <x:c r="U1475" s="220" t="n">
        <x:v>0.5161290322580645</x:v>
      </x:c>
      <x:c r="V1475" s="218" t="n">
        <x:v>0.004608294930875576</x:v>
      </x:c>
      <x:c r="W1475" s="217" t="n">
        <x:v>4</x:v>
      </x:c>
      <x:c r="X1475" s="222" t="n">
        <x:v>420</x:v>
      </x:c>
      <x:c r="Y1475" s="217" t="n">
        <x:v>11</x:v>
      </x:c>
    </x:row>
    <x:row r="1476">
      <x:c r="A1476" s="216" t="n">
        <x:v>758</x:v>
      </x:c>
      <x:c r="B1476" s="216" t="str">
        <x:v>北鶯停車場</x:v>
      </x:c>
      <x:c r="C1476" s="216" t="str">
        <x:v>鶯歌區</x:v>
      </x:c>
      <x:c r="D1476" s="216" t="n">
        <x:v>20</x:v>
      </x:c>
      <x:c r="E1476" s="216" t="n">
        <x:v>120</x:v>
      </x:c>
      <x:c r="F1476" s="219" t="n">
        <x:v>0.9994791666666667</x:v>
      </x:c>
      <x:c r="G1476" s="216" t="n">
        <x:v>1472</x:v>
      </x:c>
      <x:c r="H1476" s="216" t="str">
        <x:f>IF(G1476&lt;='排名定義'!$B$5,"是","")</x:f>
        <x:v>是</x:v>
      </x:c>
      <x:c r="I1476" s="216" t="n">
        <x:v>1477</x:v>
      </x:c>
      <x:c r="J1476" s="216" t="str">
        <x:f>IF(I1476&lt;='排名定義'!$B$5,"是","")</x:f>
        <x:v>是</x:v>
      </x:c>
      <x:c r="K1476" s="216" t="n">
        <x:v>1396</x:v>
      </x:c>
      <x:c r="L1476" s="216" t="str">
        <x:f>IF(K1476&lt;='排名定義'!$B$5,"是","")</x:f>
        <x:v>是</x:v>
      </x:c>
      <x:c r="M1476" s="216" t="n">
        <x:f>COUNTIF(H1476:L1476,"是")</x:f>
        <x:v>3</x:v>
      </x:c>
      <x:c r="N1476" s="216" t="str">
        <x:v>三份皆未入選</x:v>
      </x:c>
      <x:c r="O1476" s="221" t="n">
        <x:v>4.85</x:v>
      </x:c>
      <x:c r="P1476" s="221" t="n">
        <x:v>3.0833333333333335</x:v>
      </x:c>
      <x:c r="Q1476" s="221" t="n">
        <x:v>1.7666666666666666</x:v>
      </x:c>
      <x:c r="R1476" s="221" t="n">
        <x:v>0.3642611683848797</x:v>
      </x:c>
      <x:c r="S1476" s="221" t="n">
        <x:v>10.387096774193548</x:v>
      </x:c>
      <x:c r="T1476" s="221" t="n">
        <x:v>7.774193548387097</x:v>
      </x:c>
      <x:c r="U1476" s="221" t="n">
        <x:v>2.6129032258064515</x:v>
      </x:c>
      <x:c r="V1476" s="219" t="n">
        <x:v>0.004608294930875576</x:v>
      </x:c>
      <x:c r="W1476" s="216" t="n">
        <x:v>2</x:v>
      </x:c>
      <x:c r="X1476" s="223" t="n">
        <x:v>150</x:v>
      </x:c>
      <x:c r="Y1476" s="216" t="n">
        <x:v>20</x:v>
      </x:c>
    </x:row>
    <x:row r="1477">
      <x:c r="A1477" s="217" t="n">
        <x:v>731</x:v>
      </x:c>
      <x:c r="B1477" s="217" t="str">
        <x:v>貢寮區公所</x:v>
      </x:c>
      <x:c r="C1477" s="217" t="str">
        <x:v>貢寮區</x:v>
      </x:c>
      <x:c r="D1477" s="217" t="n">
        <x:v>20</x:v>
      </x:c>
      <x:c r="E1477" s="217" t="n">
        <x:v>120</x:v>
      </x:c>
      <x:c r="F1477" s="218" t="n">
        <x:v>0.9994791666666667</x:v>
      </x:c>
      <x:c r="G1477" s="217" t="n">
        <x:v>1473</x:v>
      </x:c>
      <x:c r="H1477" s="217" t="str">
        <x:f>IF(G1477&lt;='排名定義'!$B$5,"是","")</x:f>
        <x:v>是</x:v>
      </x:c>
      <x:c r="I1477" s="217" t="n">
        <x:v>1474</x:v>
      </x:c>
      <x:c r="J1477" s="217" t="str">
        <x:f>IF(I1477&lt;='排名定義'!$B$5,"是","")</x:f>
        <x:v>是</x:v>
      </x:c>
      <x:c r="K1477" s="217" t="n">
        <x:v>1461</x:v>
      </x:c>
      <x:c r="L1477" s="217" t="str">
        <x:f>IF(K1477&lt;='排名定義'!$B$5,"是","")</x:f>
        <x:v>是</x:v>
      </x:c>
      <x:c r="M1477" s="217" t="n">
        <x:f>COUNTIF(H1477:L1477,"是")</x:f>
        <x:v>3</x:v>
      </x:c>
      <x:c r="N1477" s="217" t="str">
        <x:v>三份皆未入選</x:v>
      </x:c>
      <x:c r="O1477" s="220" t="n">
        <x:v>4.766666666666667</x:v>
      </x:c>
      <x:c r="P1477" s="220" t="n">
        <x:v>3.95</x:v>
      </x:c>
      <x:c r="Q1477" s="220" t="n">
        <x:v>0.8166666666666667</x:v>
      </x:c>
      <x:c r="R1477" s="220" t="n">
        <x:v>0.17132867132867133</x:v>
      </x:c>
      <x:c r="S1477" s="220" t="n">
        <x:v>13.129032258064516</x:v>
      </x:c>
      <x:c r="T1477" s="220" t="n">
        <x:v>12.096774193548388</x:v>
      </x:c>
      <x:c r="U1477" s="220" t="n">
        <x:v>1.032258064516129</x:v>
      </x:c>
      <x:c r="V1477" s="218" t="n">
        <x:v>0</x:v>
      </x:c>
      <x:c r="W1477" s="217" t="n">
        <x:v>1</x:v>
      </x:c>
      <x:c r="X1477" s="222" t="n">
        <x:v>150</x:v>
      </x:c>
      <x:c r="Y1477" s="217" t="n">
        <x:v>20</x:v>
      </x:c>
    </x:row>
    <x:row r="1478">
      <x:c r="A1478" s="216" t="n">
        <x:v>306</x:v>
      </x:c>
      <x:c r="B1478" s="216" t="str">
        <x:v>輕軌台北小城站(北側)</x:v>
      </x:c>
      <x:c r="C1478" s="216" t="str">
        <x:v>新店區</x:v>
      </x:c>
      <x:c r="D1478" s="216" t="n">
        <x:v>14</x:v>
      </x:c>
      <x:c r="E1478" s="216" t="n">
        <x:v>120</x:v>
      </x:c>
      <x:c r="F1478" s="219" t="n">
        <x:v>0.9994791666666667</x:v>
      </x:c>
      <x:c r="G1478" s="216" t="n">
        <x:v>1474</x:v>
      </x:c>
      <x:c r="H1478" s="216" t="str">
        <x:f>IF(G1478&lt;='排名定義'!$B$5,"是","")</x:f>
        <x:v>是</x:v>
      </x:c>
      <x:c r="I1478" s="216" t="n">
        <x:v>1472</x:v>
      </x:c>
      <x:c r="J1478" s="216" t="str">
        <x:f>IF(I1478&lt;='排名定義'!$B$5,"是","")</x:f>
        <x:v>是</x:v>
      </x:c>
      <x:c r="K1478" s="216" t="n">
        <x:v>1473</x:v>
      </x:c>
      <x:c r="L1478" s="216" t="str">
        <x:f>IF(K1478&lt;='排名定義'!$B$5,"是","")</x:f>
        <x:v>是</x:v>
      </x:c>
      <x:c r="M1478" s="216" t="n">
        <x:f>COUNTIF(H1478:L1478,"是")</x:f>
        <x:v>3</x:v>
      </x:c>
      <x:c r="N1478" s="216" t="str">
        <x:v>三份皆未入選</x:v>
      </x:c>
      <x:c r="O1478" s="221" t="n">
        <x:v>4.725</x:v>
      </x:c>
      <x:c r="P1478" s="221" t="n">
        <x:v>4.15</x:v>
      </x:c>
      <x:c r="Q1478" s="221" t="n">
        <x:v>0.575</x:v>
      </x:c>
      <x:c r="R1478" s="221" t="n">
        <x:v>0.12169312169312169</x:v>
      </x:c>
      <x:c r="S1478" s="221" t="n">
        <x:v>9.290322580645162</x:v>
      </x:c>
      <x:c r="T1478" s="221" t="n">
        <x:v>8.193548387096774</x:v>
      </x:c>
      <x:c r="U1478" s="221" t="n">
        <x:v>1.096774193548387</x:v>
      </x:c>
      <x:c r="V1478" s="219" t="n">
        <x:v>0.004608294930875576</x:v>
      </x:c>
      <x:c r="W1478" s="216" t="n">
        <x:v>1</x:v>
      </x:c>
      <x:c r="X1478" s="223" t="n">
        <x:v>120</x:v>
      </x:c>
      <x:c r="Y1478" s="216" t="n">
        <x:v>14</x:v>
      </x:c>
    </x:row>
    <x:row r="1479">
      <x:c r="A1479" s="217" t="n">
        <x:v>788</x:v>
      </x:c>
      <x:c r="B1479" s="217" t="str">
        <x:v>訊塘廣場(義民中華路口)</x:v>
      </x:c>
      <x:c r="C1479" s="217" t="str">
        <x:v>八里區</x:v>
      </x:c>
      <x:c r="D1479" s="217" t="n">
        <x:v>21</x:v>
      </x:c>
      <x:c r="E1479" s="217" t="n">
        <x:v>120</x:v>
      </x:c>
      <x:c r="F1479" s="218" t="n">
        <x:v>0.9994791666666667</x:v>
      </x:c>
      <x:c r="G1479" s="217" t="n">
        <x:v>1475</x:v>
      </x:c>
      <x:c r="H1479" s="217" t="str">
        <x:f>IF(G1479&lt;='排名定義'!$B$5,"是","")</x:f>
        <x:v>是</x:v>
      </x:c>
      <x:c r="I1479" s="217" t="n">
        <x:v>1471</x:v>
      </x:c>
      <x:c r="J1479" s="217" t="str">
        <x:f>IF(I1479&lt;='排名定義'!$B$5,"是","")</x:f>
        <x:v>是</x:v>
      </x:c>
      <x:c r="K1479" s="217" t="n">
        <x:v>1475</x:v>
      </x:c>
      <x:c r="L1479" s="217" t="str">
        <x:f>IF(K1479&lt;='排名定義'!$B$5,"是","")</x:f>
        <x:v>是</x:v>
      </x:c>
      <x:c r="M1479" s="217" t="n">
        <x:f>COUNTIF(H1479:L1479,"是")</x:f>
        <x:v>3</x:v>
      </x:c>
      <x:c r="N1479" s="217" t="str">
        <x:v>三份皆未入選</x:v>
      </x:c>
      <x:c r="O1479" s="220" t="n">
        <x:v>4.691666666666666</x:v>
      </x:c>
      <x:c r="P1479" s="220" t="n">
        <x:v>4.25</x:v>
      </x:c>
      <x:c r="Q1479" s="220" t="n">
        <x:v>0.44166666666666665</x:v>
      </x:c>
      <x:c r="R1479" s="220" t="n">
        <x:v>0.0941385435168739</x:v>
      </x:c>
      <x:c r="S1479" s="220" t="n">
        <x:v>14.64516129032258</x:v>
      </x:c>
      <x:c r="T1479" s="220" t="n">
        <x:v>12.290322580645162</x:v>
      </x:c>
      <x:c r="U1479" s="220" t="n">
        <x:v>2.3548387096774195</x:v>
      </x:c>
      <x:c r="V1479" s="218" t="n">
        <x:v>0.013824884792626729</x:v>
      </x:c>
      <x:c r="W1479" s="217" t="n">
        <x:v>2</x:v>
      </x:c>
      <x:c r="X1479" s="222" t="n">
        <x:v>240</x:v>
      </x:c>
      <x:c r="Y1479" s="217" t="n">
        <x:v>21</x:v>
      </x:c>
    </x:row>
    <x:row r="1480">
      <x:c r="A1480" s="216" t="n">
        <x:v>757</x:v>
      </x:c>
      <x:c r="B1480" s="216" t="str">
        <x:v>龍門運動公園</x:v>
      </x:c>
      <x:c r="C1480" s="216" t="str">
        <x:v>貢寮區</x:v>
      </x:c>
      <x:c r="D1480" s="216" t="n">
        <x:v>20</x:v>
      </x:c>
      <x:c r="E1480" s="216" t="n">
        <x:v>120</x:v>
      </x:c>
      <x:c r="F1480" s="219" t="n">
        <x:v>0.9994791666666667</x:v>
      </x:c>
      <x:c r="G1480" s="216" t="n">
        <x:v>1476</x:v>
      </x:c>
      <x:c r="H1480" s="216" t="str">
        <x:f>IF(G1480&lt;='排名定義'!$B$5,"是","")</x:f>
        <x:v>是</x:v>
      </x:c>
      <x:c r="I1480" s="216" t="n">
        <x:v>1476</x:v>
      </x:c>
      <x:c r="J1480" s="216" t="str">
        <x:f>IF(I1480&lt;='排名定義'!$B$5,"是","")</x:f>
        <x:v>是</x:v>
      </x:c>
      <x:c r="K1480" s="216" t="n">
        <x:v>1458</x:v>
      </x:c>
      <x:c r="L1480" s="216" t="str">
        <x:f>IF(K1480&lt;='排名定義'!$B$5,"是","")</x:f>
        <x:v>是</x:v>
      </x:c>
      <x:c r="M1480" s="216" t="n">
        <x:f>COUNTIF(H1480:L1480,"是")</x:f>
        <x:v>3</x:v>
      </x:c>
      <x:c r="N1480" s="216" t="str">
        <x:v>三份皆未入選</x:v>
      </x:c>
      <x:c r="O1480" s="221" t="n">
        <x:v>4.333333333333333</x:v>
      </x:c>
      <x:c r="P1480" s="221" t="n">
        <x:v>3.3666666666666667</x:v>
      </x:c>
      <x:c r="Q1480" s="221" t="n">
        <x:v>0.9666666666666667</x:v>
      </x:c>
      <x:c r="R1480" s="221" t="n">
        <x:v>0.2230769230769231</x:v>
      </x:c>
      <x:c r="S1480" s="221" t="n">
        <x:v>14.193548387096774</x:v>
      </x:c>
      <x:c r="T1480" s="221" t="n">
        <x:v>11.709677419354838</x:v>
      </x:c>
      <x:c r="U1480" s="221" t="n">
        <x:v>2.4838709677419355</x:v>
      </x:c>
      <x:c r="V1480" s="219" t="n">
        <x:v>0.020737327188940093</x:v>
      </x:c>
      <x:c r="W1480" s="216" t="n">
        <x:v>2</x:v>
      </x:c>
      <x:c r="X1480" s="223" t="n">
        <x:v>960</x:v>
      </x:c>
      <x:c r="Y1480" s="216" t="n">
        <x:v>20</x:v>
      </x:c>
    </x:row>
    <x:row r="1481">
      <x:c r="A1481" s="217" t="n">
        <x:v>406</x:v>
      </x:c>
      <x:c r="B1481" s="217" t="str">
        <x:v>中華郵政五城郵局</x:v>
      </x:c>
      <x:c r="C1481" s="217" t="str">
        <x:v>新店區</x:v>
      </x:c>
      <x:c r="D1481" s="217" t="n">
        <x:v>15</x:v>
      </x:c>
      <x:c r="E1481" s="217" t="n">
        <x:v>120</x:v>
      </x:c>
      <x:c r="F1481" s="218" t="n">
        <x:v>0.9994791666666667</x:v>
      </x:c>
      <x:c r="G1481" s="217" t="n">
        <x:v>1477</x:v>
      </x:c>
      <x:c r="H1481" s="217" t="str">
        <x:f>IF(G1481&lt;='排名定義'!$B$5,"是","")</x:f>
        <x:v>是</x:v>
      </x:c>
      <x:c r="I1481" s="217" t="n">
        <x:v>1475</x:v>
      </x:c>
      <x:c r="J1481" s="217" t="str">
        <x:f>IF(I1481&lt;='排名定義'!$B$5,"是","")</x:f>
        <x:v>是</x:v>
      </x:c>
      <x:c r="K1481" s="217" t="n">
        <x:v>1477</x:v>
      </x:c>
      <x:c r="L1481" s="217" t="str">
        <x:f>IF(K1481&lt;='排名定義'!$B$5,"是","")</x:f>
        <x:v>是</x:v>
      </x:c>
      <x:c r="M1481" s="217" t="n">
        <x:f>COUNTIF(H1481:L1481,"是")</x:f>
        <x:v>3</x:v>
      </x:c>
      <x:c r="N1481" s="217" t="str">
        <x:v>三份皆未入選</x:v>
      </x:c>
      <x:c r="O1481" s="220" t="n">
        <x:v>3.9916666666666667</x:v>
      </x:c>
      <x:c r="P1481" s="220" t="n">
        <x:v>3.65</x:v>
      </x:c>
      <x:c r="Q1481" s="220" t="n">
        <x:v>0.3416666666666667</x:v>
      </x:c>
      <x:c r="R1481" s="220" t="n">
        <x:v>0.08559498956158663</x:v>
      </x:c>
      <x:c r="S1481" s="220" t="n">
        <x:v>6.870967741935484</x:v>
      </x:c>
      <x:c r="T1481" s="220" t="n">
        <x:v>6.419354838709677</x:v>
      </x:c>
      <x:c r="U1481" s="220" t="n">
        <x:v>0.45161290322580644</x:v>
      </x:c>
      <x:c r="V1481" s="218" t="n">
        <x:v>0</x:v>
      </x:c>
      <x:c r="W1481" s="217" t="n">
        <x:v>1</x:v>
      </x:c>
      <x:c r="X1481" s="222" t="n">
        <x:v>60</x:v>
      </x:c>
      <x:c r="Y1481" s="217" t="n">
        <x:v>15</x:v>
      </x:c>
    </x:row>
    <x:row r="1482">
      <x:c r="A1482" s="216" t="n">
        <x:v>310</x:v>
      </x:c>
      <x:c r="B1482" s="216" t="str">
        <x:v>中山科學研究院</x:v>
      </x:c>
      <x:c r="C1482" s="216" t="str">
        <x:v>三峽區</x:v>
      </x:c>
      <x:c r="D1482" s="216" t="n">
        <x:v>14</x:v>
      </x:c>
      <x:c r="E1482" s="216" t="n">
        <x:v>120</x:v>
      </x:c>
      <x:c r="F1482" s="219" t="n">
        <x:v>0.9994791666666667</x:v>
      </x:c>
      <x:c r="G1482" s="216" t="n">
        <x:v>1478</x:v>
      </x:c>
      <x:c r="H1482" s="216" t="str">
        <x:f>IF(G1482&lt;='排名定義'!$B$5,"是","")</x:f>
        <x:v>是</x:v>
      </x:c>
      <x:c r="I1482" s="216" t="n">
        <x:v>1478</x:v>
      </x:c>
      <x:c r="J1482" s="216" t="str">
        <x:f>IF(I1482&lt;='排名定義'!$B$5,"是","")</x:f>
        <x:v>是</x:v>
      </x:c>
      <x:c r="K1482" s="216" t="n">
        <x:v>1472</x:v>
      </x:c>
      <x:c r="L1482" s="216" t="str">
        <x:f>IF(K1482&lt;='排名定義'!$B$5,"是","")</x:f>
        <x:v>是</x:v>
      </x:c>
      <x:c r="M1482" s="216" t="n">
        <x:f>COUNTIF(H1482:L1482,"是")</x:f>
        <x:v>3</x:v>
      </x:c>
      <x:c r="N1482" s="216" t="str">
        <x:v>三份皆未入選</x:v>
      </x:c>
      <x:c r="O1482" s="221" t="n">
        <x:v>3.6</x:v>
      </x:c>
      <x:c r="P1482" s="221" t="n">
        <x:v>3</x:v>
      </x:c>
      <x:c r="Q1482" s="221" t="n">
        <x:v>0.6</x:v>
      </x:c>
      <x:c r="R1482" s="221" t="n">
        <x:v>0.16666666666666666</x:v>
      </x:c>
      <x:c r="S1482" s="221" t="n">
        <x:v>5.387096774193548</x:v>
      </x:c>
      <x:c r="T1482" s="221" t="n">
        <x:v>5.064516129032258</x:v>
      </x:c>
      <x:c r="U1482" s="221" t="n">
        <x:v>0.3225806451612903</x:v>
      </x:c>
      <x:c r="V1482" s="219" t="n">
        <x:v>0</x:v>
      </x:c>
      <x:c r="W1482" s="216" t="n">
        <x:v>0</x:v>
      </x:c>
      <x:c r="X1482" s="223" t="n">
        <x:v>0</x:v>
      </x:c>
      <x:c r="Y1482" s="216" t="n">
        <x:v>14</x:v>
      </x:c>
    </x:row>
    <x:row r="1483">
      <x:c r="A1483" s="217" t="n">
        <x:v>436</x:v>
      </x:c>
      <x:c r="B1483" s="217" t="str">
        <x:v>直潭活動中心</x:v>
      </x:c>
      <x:c r="C1483" s="217" t="str">
        <x:v>新店區</x:v>
      </x:c>
      <x:c r="D1483" s="217" t="n">
        <x:v>15</x:v>
      </x:c>
      <x:c r="E1483" s="217" t="n">
        <x:v>120</x:v>
      </x:c>
      <x:c r="F1483" s="218" t="n">
        <x:v>0.9994791666666667</x:v>
      </x:c>
      <x:c r="G1483" s="217" t="n">
        <x:v>1479</x:v>
      </x:c>
      <x:c r="H1483" s="217" t="str">
        <x:f>IF(G1483&lt;='排名定義'!$B$5,"是","")</x:f>
        <x:v>是</x:v>
      </x:c>
      <x:c r="I1483" s="217" t="n">
        <x:v>1482</x:v>
      </x:c>
      <x:c r="J1483" s="217" t="str">
        <x:f>IF(I1483&lt;='排名定義'!$B$5,"是","")</x:f>
        <x:v>是</x:v>
      </x:c>
      <x:c r="K1483" s="217" t="n">
        <x:v>1470</x:v>
      </x:c>
      <x:c r="L1483" s="217" t="str">
        <x:f>IF(K1483&lt;='排名定義'!$B$5,"是","")</x:f>
        <x:v>是</x:v>
      </x:c>
      <x:c r="M1483" s="217" t="n">
        <x:f>COUNTIF(H1483:L1483,"是")</x:f>
        <x:v>3</x:v>
      </x:c>
      <x:c r="N1483" s="217" t="str">
        <x:v>三份皆未入選</x:v>
      </x:c>
      <x:c r="O1483" s="220" t="n">
        <x:v>2.2333333333333334</x:v>
      </x:c>
      <x:c r="P1483" s="220" t="n">
        <x:v>1.6083333333333334</x:v>
      </x:c>
      <x:c r="Q1483" s="220" t="n">
        <x:v>0.625</x:v>
      </x:c>
      <x:c r="R1483" s="220" t="n">
        <x:v>0.2798507462686567</x:v>
      </x:c>
      <x:c r="S1483" s="220" t="n">
        <x:v>6.032258064516129</x:v>
      </x:c>
      <x:c r="T1483" s="220" t="n">
        <x:v>5.67741935483871</x:v>
      </x:c>
      <x:c r="U1483" s="220" t="n">
        <x:v>0.3548387096774194</x:v>
      </x:c>
      <x:c r="V1483" s="218" t="n">
        <x:v>0</x:v>
      </x:c>
      <x:c r="W1483" s="217" t="n">
        <x:v>1</x:v>
      </x:c>
      <x:c r="X1483" s="222" t="n">
        <x:v>330</x:v>
      </x:c>
      <x:c r="Y1483" s="217" t="n">
        <x:v>15</x:v>
      </x:c>
    </x:row>
    <x:row r="1484">
      <x:c r="A1484" s="216" t="n">
        <x:v>311</x:v>
      </x:c>
      <x:c r="B1484" s="216" t="str">
        <x:v>永安橋下停車場</x:v>
      </x:c>
      <x:c r="C1484" s="216" t="str">
        <x:v>五股區</x:v>
      </x:c>
      <x:c r="D1484" s="216" t="n">
        <x:v>14</x:v>
      </x:c>
      <x:c r="E1484" s="216" t="n">
        <x:v>120</x:v>
      </x:c>
      <x:c r="F1484" s="219" t="n">
        <x:v>0.9994791666666667</x:v>
      </x:c>
      <x:c r="G1484" s="216" t="n">
        <x:v>1480</x:v>
      </x:c>
      <x:c r="H1484" s="216" t="str">
        <x:f>IF(G1484&lt;='排名定義'!$B$5,"是","")</x:f>
        <x:v>是</x:v>
      </x:c>
      <x:c r="I1484" s="216" t="n">
        <x:v>1481</x:v>
      </x:c>
      <x:c r="J1484" s="216" t="str">
        <x:f>IF(I1484&lt;='排名定義'!$B$5,"是","")</x:f>
        <x:v>是</x:v>
      </x:c>
      <x:c r="K1484" s="216" t="n">
        <x:v>1479</x:v>
      </x:c>
      <x:c r="L1484" s="216" t="str">
        <x:f>IF(K1484&lt;='排名定義'!$B$5,"是","")</x:f>
        <x:v>是</x:v>
      </x:c>
      <x:c r="M1484" s="216" t="n">
        <x:f>COUNTIF(H1484:L1484,"是")</x:f>
        <x:v>3</x:v>
      </x:c>
      <x:c r="N1484" s="216" t="str">
        <x:v>三份皆未入選</x:v>
      </x:c>
      <x:c r="O1484" s="221" t="n">
        <x:v>2.125</x:v>
      </x:c>
      <x:c r="P1484" s="221" t="n">
        <x:v>1.8833333333333333</x:v>
      </x:c>
      <x:c r="Q1484" s="221" t="n">
        <x:v>0.24166666666666667</x:v>
      </x:c>
      <x:c r="R1484" s="221" t="n">
        <x:v>0.11372549019607843</x:v>
      </x:c>
      <x:c r="S1484" s="221" t="n">
        <x:v>3.5483870967741935</x:v>
      </x:c>
      <x:c r="T1484" s="221" t="n">
        <x:v>3.225806451612903</x:v>
      </x:c>
      <x:c r="U1484" s="221" t="n">
        <x:v>0.3225806451612903</x:v>
      </x:c>
      <x:c r="V1484" s="219" t="n">
        <x:v>0.004608294930875576</x:v>
      </x:c>
      <x:c r="W1484" s="216" t="n">
        <x:v>1</x:v>
      </x:c>
      <x:c r="X1484" s="223" t="n">
        <x:v>90</x:v>
      </x:c>
      <x:c r="Y1484" s="216" t="n">
        <x:v>14</x:v>
      </x:c>
    </x:row>
    <x:row r="1485">
      <x:c r="A1485" s="217" t="n">
        <x:v>501</x:v>
      </x:c>
      <x:c r="B1485" s="217" t="str">
        <x:v>屈尺景觀公園</x:v>
      </x:c>
      <x:c r="C1485" s="217" t="str">
        <x:v>新店區</x:v>
      </x:c>
      <x:c r="D1485" s="217" t="n">
        <x:v>16</x:v>
      </x:c>
      <x:c r="E1485" s="217" t="n">
        <x:v>120</x:v>
      </x:c>
      <x:c r="F1485" s="218" t="n">
        <x:v>0.9994791666666667</x:v>
      </x:c>
      <x:c r="G1485" s="217" t="n">
        <x:v>1481</x:v>
      </x:c>
      <x:c r="H1485" s="217" t="str">
        <x:f>IF(G1485&lt;='排名定義'!$B$5,"是","")</x:f>
        <x:v>是</x:v>
      </x:c>
      <x:c r="I1485" s="217" t="n">
        <x:v>1479</x:v>
      </x:c>
      <x:c r="J1485" s="217" t="str">
        <x:f>IF(I1485&lt;='排名定義'!$B$5,"是","")</x:f>
        <x:v>是</x:v>
      </x:c>
      <x:c r="K1485" s="217" t="n">
        <x:v>1482</x:v>
      </x:c>
      <x:c r="L1485" s="217" t="str">
        <x:f>IF(K1485&lt;='排名定義'!$B$5,"是","")</x:f>
        <x:v>是</x:v>
      </x:c>
      <x:c r="M1485" s="217" t="n">
        <x:f>COUNTIF(H1485:L1485,"是")</x:f>
        <x:v>3</x:v>
      </x:c>
      <x:c r="N1485" s="217" t="str">
        <x:v>三份皆未入選</x:v>
      </x:c>
      <x:c r="O1485" s="220" t="n">
        <x:v>2.0083333333333333</x:v>
      </x:c>
      <x:c r="P1485" s="220" t="n">
        <x:v>1.9666666666666666</x:v>
      </x:c>
      <x:c r="Q1485" s="220" t="n">
        <x:v>0.041666666666666664</x:v>
      </x:c>
      <x:c r="R1485" s="220" t="n">
        <x:v>0.02074688796680498</x:v>
      </x:c>
      <x:c r="S1485" s="220" t="n">
        <x:v>6</x:v>
      </x:c>
      <x:c r="T1485" s="220" t="n">
        <x:v>5.516129032258065</x:v>
      </x:c>
      <x:c r="U1485" s="220" t="n">
        <x:v>0.4838709677419355</x:v>
      </x:c>
      <x:c r="V1485" s="218" t="n">
        <x:v>0</x:v>
      </x:c>
      <x:c r="W1485" s="217" t="n">
        <x:v>0</x:v>
      </x:c>
      <x:c r="X1485" s="222" t="n">
        <x:v>0</x:v>
      </x:c>
      <x:c r="Y1485" s="217" t="n">
        <x:v>16</x:v>
      </x:c>
    </x:row>
    <x:row r="1486">
      <x:c r="A1486" s="216" t="n">
        <x:v>106</x:v>
      </x:c>
      <x:c r="B1486" s="216" t="str">
        <x:v>龜山活動中心</x:v>
      </x:c>
      <x:c r="C1486" s="216" t="str">
        <x:v>新店區</x:v>
      </x:c>
      <x:c r="D1486" s="216" t="n">
        <x:v>8</x:v>
      </x:c>
      <x:c r="E1486" s="216" t="n">
        <x:v>120</x:v>
      </x:c>
      <x:c r="F1486" s="219" t="n">
        <x:v>0.9994791666666667</x:v>
      </x:c>
      <x:c r="G1486" s="216" t="n">
        <x:v>1482</x:v>
      </x:c>
      <x:c r="H1486" s="216" t="str">
        <x:f>IF(G1486&lt;='排名定義'!$B$5,"是","")</x:f>
        <x:v>是</x:v>
      </x:c>
      <x:c r="I1486" s="216" t="n">
        <x:v>1480</x:v>
      </x:c>
      <x:c r="J1486" s="216" t="str">
        <x:f>IF(I1486&lt;='排名定義'!$B$5,"是","")</x:f>
        <x:v>是</x:v>
      </x:c>
      <x:c r="K1486" s="216" t="n">
        <x:v>1483</x:v>
      </x:c>
      <x:c r="L1486" s="216" t="str">
        <x:f>IF(K1486&lt;='排名定義'!$B$5,"是","")</x:f>
        <x:v>是</x:v>
      </x:c>
      <x:c r="M1486" s="216" t="n">
        <x:f>COUNTIF(H1486:L1486,"是")</x:f>
        <x:v>3</x:v>
      </x:c>
      <x:c r="N1486" s="216" t="str">
        <x:v>三份皆未入選</x:v>
      </x:c>
      <x:c r="O1486" s="221" t="n">
        <x:v>1.8916666666666666</x:v>
      </x:c>
      <x:c r="P1486" s="221" t="n">
        <x:v>1.8916666666666666</x:v>
      </x:c>
      <x:c r="Q1486" s="221" t="n">
        <x:v>0</x:v>
      </x:c>
      <x:c r="R1486" s="221" t="n">
        <x:v>0</x:v>
      </x:c>
      <x:c r="S1486" s="221" t="n">
        <x:v>4.774193548387097</x:v>
      </x:c>
      <x:c r="T1486" s="221" t="n">
        <x:v>4.612903225806452</x:v>
      </x:c>
      <x:c r="U1486" s="221" t="n">
        <x:v>0.16129032258064516</x:v>
      </x:c>
      <x:c r="V1486" s="219" t="n">
        <x:v>0</x:v>
      </x:c>
      <x:c r="W1486" s="216" t="n">
        <x:v>2</x:v>
      </x:c>
      <x:c r="X1486" s="223" t="n">
        <x:v>480</x:v>
      </x:c>
      <x:c r="Y1486" s="216" t="n">
        <x:v>8</x:v>
      </x:c>
    </x:row>
    <x:row r="1487">
      <x:c r="A1487" s="217" t="n">
        <x:v>437</x:v>
      </x:c>
      <x:c r="B1487" s="217" t="str">
        <x:v>直潭淨水廠(直潭二街)</x:v>
      </x:c>
      <x:c r="C1487" s="217" t="str">
        <x:v>新店區</x:v>
      </x:c>
      <x:c r="D1487" s="217" t="n">
        <x:v>15</x:v>
      </x:c>
      <x:c r="E1487" s="217" t="n">
        <x:v>120</x:v>
      </x:c>
      <x:c r="F1487" s="218" t="n">
        <x:v>0.9994791666666667</x:v>
      </x:c>
      <x:c r="G1487" s="217" t="n">
        <x:v>1483</x:v>
      </x:c>
      <x:c r="H1487" s="217" t="str">
        <x:f>IF(G1487&lt;='排名定義'!$B$5,"是","")</x:f>
        <x:v>是</x:v>
      </x:c>
      <x:c r="I1487" s="217" t="n">
        <x:v>1483</x:v>
      </x:c>
      <x:c r="J1487" s="217" t="str">
        <x:f>IF(I1487&lt;='排名定義'!$B$5,"是","")</x:f>
        <x:v>是</x:v>
      </x:c>
      <x:c r="K1487" s="217" t="n">
        <x:v>1481</x:v>
      </x:c>
      <x:c r="L1487" s="217" t="str">
        <x:f>IF(K1487&lt;='排名定義'!$B$5,"是","")</x:f>
        <x:v>是</x:v>
      </x:c>
      <x:c r="M1487" s="217" t="n">
        <x:f>COUNTIF(H1487:L1487,"是")</x:f>
        <x:v>3</x:v>
      </x:c>
      <x:c r="N1487" s="217" t="str">
        <x:v>三份皆未入選</x:v>
      </x:c>
      <x:c r="O1487" s="220" t="n">
        <x:v>1.575</x:v>
      </x:c>
      <x:c r="P1487" s="220" t="n">
        <x:v>1.4166666666666667</x:v>
      </x:c>
      <x:c r="Q1487" s="220" t="n">
        <x:v>0.15833333333333333</x:v>
      </x:c>
      <x:c r="R1487" s="220" t="n">
        <x:v>0.10052910052910052</x:v>
      </x:c>
      <x:c r="S1487" s="220" t="n">
        <x:v>2.096774193548387</x:v>
      </x:c>
      <x:c r="T1487" s="220" t="n">
        <x:v>1.6774193548387097</x:v>
      </x:c>
      <x:c r="U1487" s="220" t="n">
        <x:v>0.41935483870967744</x:v>
      </x:c>
      <x:c r="V1487" s="218" t="n">
        <x:v>0</x:v>
      </x:c>
      <x:c r="W1487" s="217" t="n">
        <x:v>0</x:v>
      </x:c>
      <x:c r="X1487" s="222" t="n">
        <x:v>30</x:v>
      </x:c>
      <x:c r="Y1487" s="217" t="n">
        <x:v>15</x:v>
      </x:c>
    </x:row>
    <x:row r="1488">
      <x:c r="A1488" s="216" t="n">
        <x:v>126</x:v>
      </x:c>
      <x:c r="B1488" s="216" t="str">
        <x:v>汐止公園</x:v>
      </x:c>
      <x:c r="C1488" s="216" t="str">
        <x:v>汐止區</x:v>
      </x:c>
      <x:c r="D1488" s="216" t="n">
        <x:v>10</x:v>
      </x:c>
      <x:c r="E1488" s="216" t="n">
        <x:v>61</x:v>
      </x:c>
      <x:c r="F1488" s="219" t="n">
        <x:v>0.9996584699453552</x:v>
      </x:c>
      <x:c r="G1488" s="216" t="n">
        <x:v>1484</x:v>
      </x:c>
      <x:c r="H1488" s="216" t="str">
        <x:f>IF(G1488&lt;='排名定義'!$B$5,"是","")</x:f>
        <x:v>是</x:v>
      </x:c>
      <x:c r="I1488" s="216" t="n">
        <x:v>1484</x:v>
      </x:c>
      <x:c r="J1488" s="216" t="str">
        <x:f>IF(I1488&lt;='排名定義'!$B$5,"是","")</x:f>
        <x:v>是</x:v>
      </x:c>
      <x:c r="K1488" s="216" t="n">
        <x:v>1484</x:v>
      </x:c>
      <x:c r="L1488" s="216" t="str">
        <x:f>IF(K1488&lt;='排名定義'!$B$5,"是","")</x:f>
        <x:v>是</x:v>
      </x:c>
      <x:c r="M1488" s="216" t="n">
        <x:f>COUNTIF(H1488:L1488,"是")</x:f>
        <x:v>3</x:v>
      </x:c>
      <x:c r="N1488" s="216" t="str">
        <x:v>三份皆未入選</x:v>
      </x:c>
      <x:c r="O1488" s="221" t="n">
        <x:v>0</x:v>
      </x:c>
      <x:c r="P1488" s="221" t="n">
        <x:v>0</x:v>
      </x:c>
      <x:c r="Q1488" s="221" t="n">
        <x:v>0</x:v>
      </x:c>
      <x:c r="R1488" s="221" t="str"/>
      <x:c r="S1488" s="221" t="n">
        <x:v>0</x:v>
      </x:c>
      <x:c r="T1488" s="221" t="n">
        <x:v>0</x:v>
      </x:c>
      <x:c r="U1488" s="221" t="n">
        <x:v>0</x:v>
      </x:c>
      <x:c r="V1488" s="219" t="n">
        <x:v>1</x:v>
      </x:c>
      <x:c r="W1488" s="216" t="n">
        <x:v>1</x:v>
      </x:c>
      <x:c r="X1488" s="223" t="n">
        <x:v>44640</x:v>
      </x:c>
      <x:c r="Y1488" s="216" t="n">
        <x:v>10</x:v>
      </x:c>
    </x:row>
    <x:row r="1489">
      <x:c r="A1489" s="217" t="n">
        <x:v>182</x:v>
      </x:c>
      <x:c r="B1489" s="217" t="str">
        <x:v>捷運三民高中站(1號出口)</x:v>
      </x:c>
      <x:c r="C1489" s="217" t="str">
        <x:v>蘆洲區</x:v>
      </x:c>
      <x:c r="D1489" s="217" t="n">
        <x:v>12</x:v>
      </x:c>
      <x:c r="E1489" s="217" t="n">
        <x:v>61</x:v>
      </x:c>
      <x:c r="F1489" s="218" t="n">
        <x:v>0.9996584699453552</x:v>
      </x:c>
      <x:c r="G1489" s="217" t="n">
        <x:v>1485</x:v>
      </x:c>
      <x:c r="H1489" s="217" t="str">
        <x:f>IF(G1489&lt;='排名定義'!$B$5,"是","")</x:f>
        <x:v>是</x:v>
      </x:c>
      <x:c r="I1489" s="217" t="n">
        <x:v>1485</x:v>
      </x:c>
      <x:c r="J1489" s="217" t="str">
        <x:f>IF(I1489&lt;='排名定義'!$B$5,"是","")</x:f>
        <x:v>是</x:v>
      </x:c>
      <x:c r="K1489" s="217" t="n">
        <x:v>1485</x:v>
      </x:c>
      <x:c r="L1489" s="217" t="str">
        <x:f>IF(K1489&lt;='排名定義'!$B$5,"是","")</x:f>
        <x:v>是</x:v>
      </x:c>
      <x:c r="M1489" s="217" t="n">
        <x:f>COUNTIF(H1489:L1489,"是")</x:f>
        <x:v>3</x:v>
      </x:c>
      <x:c r="N1489" s="217" t="str">
        <x:v>三份皆未入選</x:v>
      </x:c>
      <x:c r="O1489" s="220" t="n">
        <x:v>0</x:v>
      </x:c>
      <x:c r="P1489" s="220" t="n">
        <x:v>0</x:v>
      </x:c>
      <x:c r="Q1489" s="220" t="n">
        <x:v>0</x:v>
      </x:c>
      <x:c r="R1489" s="220" t="str"/>
      <x:c r="S1489" s="220" t="n">
        <x:v>0</x:v>
      </x:c>
      <x:c r="T1489" s="220" t="n">
        <x:v>0</x:v>
      </x:c>
      <x:c r="U1489" s="220" t="n">
        <x:v>0</x:v>
      </x:c>
      <x:c r="V1489" s="218" t="n">
        <x:v>1</x:v>
      </x:c>
      <x:c r="W1489" s="217" t="n">
        <x:v>1</x:v>
      </x:c>
      <x:c r="X1489" s="222" t="n">
        <x:v>44640</x:v>
      </x:c>
      <x:c r="Y1489" s="217" t="n">
        <x:v>12</x:v>
      </x:c>
    </x:row>
    <x:row r="1490">
      <x:c r="A1490" s="216" t="n">
        <x:v>191</x:v>
      </x:c>
      <x:c r="B1490" s="216" t="str">
        <x:v>永和區公所公有新生市場</x:v>
      </x:c>
      <x:c r="C1490" s="216" t="str">
        <x:v>永和區</x:v>
      </x:c>
      <x:c r="D1490" s="216" t="n">
        <x:v>12</x:v>
      </x:c>
      <x:c r="E1490" s="216" t="n">
        <x:v>61</x:v>
      </x:c>
      <x:c r="F1490" s="219" t="n">
        <x:v>0.9996584699453552</x:v>
      </x:c>
      <x:c r="G1490" s="216" t="n">
        <x:v>1486</x:v>
      </x:c>
      <x:c r="H1490" s="216" t="str">
        <x:f>IF(G1490&lt;='排名定義'!$B$5,"是","")</x:f>
        <x:v>是</x:v>
      </x:c>
      <x:c r="I1490" s="216" t="n">
        <x:v>1486</x:v>
      </x:c>
      <x:c r="J1490" s="216" t="str">
        <x:f>IF(I1490&lt;='排名定義'!$B$5,"是","")</x:f>
        <x:v>是</x:v>
      </x:c>
      <x:c r="K1490" s="216" t="n">
        <x:v>1486</x:v>
      </x:c>
      <x:c r="L1490" s="216" t="str">
        <x:f>IF(K1490&lt;='排名定義'!$B$5,"是","")</x:f>
        <x:v>是</x:v>
      </x:c>
      <x:c r="M1490" s="216" t="n">
        <x:f>COUNTIF(H1490:L1490,"是")</x:f>
        <x:v>3</x:v>
      </x:c>
      <x:c r="N1490" s="216" t="str">
        <x:v>三份皆未入選</x:v>
      </x:c>
      <x:c r="O1490" s="221" t="n">
        <x:v>0</x:v>
      </x:c>
      <x:c r="P1490" s="221" t="n">
        <x:v>0</x:v>
      </x:c>
      <x:c r="Q1490" s="221" t="n">
        <x:v>0</x:v>
      </x:c>
      <x:c r="R1490" s="221" t="str"/>
      <x:c r="S1490" s="221" t="n">
        <x:v>0</x:v>
      </x:c>
      <x:c r="T1490" s="221" t="n">
        <x:v>0</x:v>
      </x:c>
      <x:c r="U1490" s="221" t="n">
        <x:v>0</x:v>
      </x:c>
      <x:c r="V1490" s="219" t="n">
        <x:v>1</x:v>
      </x:c>
      <x:c r="W1490" s="216" t="n">
        <x:v>1</x:v>
      </x:c>
      <x:c r="X1490" s="223" t="n">
        <x:v>44640</x:v>
      </x:c>
      <x:c r="Y1490" s="216" t="n">
        <x:v>12</x:v>
      </x:c>
    </x:row>
    <x:row r="1491">
      <x:c r="A1491" s="217" t="n">
        <x:v>235</x:v>
      </x:c>
      <x:c r="B1491" s="217" t="str">
        <x:v>德泰公園</x:v>
      </x:c>
      <x:c r="C1491" s="217" t="str">
        <x:v>五股區</x:v>
      </x:c>
      <x:c r="D1491" s="217" t="n">
        <x:v>13</x:v>
      </x:c>
      <x:c r="E1491" s="217" t="n">
        <x:v>61</x:v>
      </x:c>
      <x:c r="F1491" s="218" t="n">
        <x:v>0.9996584699453552</x:v>
      </x:c>
      <x:c r="G1491" s="217" t="n">
        <x:v>1487</x:v>
      </x:c>
      <x:c r="H1491" s="217" t="str">
        <x:f>IF(G1491&lt;='排名定義'!$B$5,"是","")</x:f>
        <x:v>是</x:v>
      </x:c>
      <x:c r="I1491" s="217" t="n">
        <x:v>1487</x:v>
      </x:c>
      <x:c r="J1491" s="217" t="str">
        <x:f>IF(I1491&lt;='排名定義'!$B$5,"是","")</x:f>
        <x:v>是</x:v>
      </x:c>
      <x:c r="K1491" s="217" t="n">
        <x:v>1487</x:v>
      </x:c>
      <x:c r="L1491" s="217" t="str">
        <x:f>IF(K1491&lt;='排名定義'!$B$5,"是","")</x:f>
        <x:v>是</x:v>
      </x:c>
      <x:c r="M1491" s="217" t="n">
        <x:f>COUNTIF(H1491:L1491,"是")</x:f>
        <x:v>3</x:v>
      </x:c>
      <x:c r="N1491" s="217" t="str">
        <x:v>三份皆未入選</x:v>
      </x:c>
      <x:c r="O1491" s="220" t="n">
        <x:v>0</x:v>
      </x:c>
      <x:c r="P1491" s="220" t="n">
        <x:v>0</x:v>
      </x:c>
      <x:c r="Q1491" s="220" t="n">
        <x:v>0</x:v>
      </x:c>
      <x:c r="R1491" s="220" t="str"/>
      <x:c r="S1491" s="220" t="n">
        <x:v>0</x:v>
      </x:c>
      <x:c r="T1491" s="220" t="n">
        <x:v>0</x:v>
      </x:c>
      <x:c r="U1491" s="220" t="n">
        <x:v>0</x:v>
      </x:c>
      <x:c r="V1491" s="218" t="n">
        <x:v>1</x:v>
      </x:c>
      <x:c r="W1491" s="217" t="n">
        <x:v>1</x:v>
      </x:c>
      <x:c r="X1491" s="222" t="n">
        <x:v>44640</x:v>
      </x:c>
      <x:c r="Y1491" s="217" t="n">
        <x:v>13</x:v>
      </x:c>
    </x:row>
    <x:row r="1492">
      <x:c r="A1492" s="216" t="n">
        <x:v>367</x:v>
      </x:c>
      <x:c r="B1492" s="216" t="str">
        <x:v>景平橋和路口</x:v>
      </x:c>
      <x:c r="C1492" s="216" t="str">
        <x:v>中和區</x:v>
      </x:c>
      <x:c r="D1492" s="216" t="n">
        <x:v>15</x:v>
      </x:c>
      <x:c r="E1492" s="216" t="n">
        <x:v>120</x:v>
      </x:c>
      <x:c r="F1492" s="219" t="n">
        <x:v>0.9994791666666667</x:v>
      </x:c>
      <x:c r="G1492" s="216" t="n">
        <x:v>1488</x:v>
      </x:c>
      <x:c r="H1492" s="216" t="str">
        <x:f>IF(G1492&lt;='排名定義'!$B$5,"是","")</x:f>
        <x:v>是</x:v>
      </x:c>
      <x:c r="I1492" s="216" t="n">
        <x:v>1488</x:v>
      </x:c>
      <x:c r="J1492" s="216" t="str">
        <x:f>IF(I1492&lt;='排名定義'!$B$5,"是","")</x:f>
        <x:v>是</x:v>
      </x:c>
      <x:c r="K1492" s="216" t="n">
        <x:v>1488</x:v>
      </x:c>
      <x:c r="L1492" s="216" t="str">
        <x:f>IF(K1492&lt;='排名定義'!$B$5,"是","")</x:f>
        <x:v>是</x:v>
      </x:c>
      <x:c r="M1492" s="216" t="n">
        <x:f>COUNTIF(H1492:L1492,"是")</x:f>
        <x:v>3</x:v>
      </x:c>
      <x:c r="N1492" s="216" t="str">
        <x:v>三份皆未入選</x:v>
      </x:c>
      <x:c r="O1492" s="221" t="n">
        <x:v>0</x:v>
      </x:c>
      <x:c r="P1492" s="221" t="n">
        <x:v>0</x:v>
      </x:c>
      <x:c r="Q1492" s="221" t="n">
        <x:v>0</x:v>
      </x:c>
      <x:c r="R1492" s="221" t="str"/>
      <x:c r="S1492" s="221" t="n">
        <x:v>0</x:v>
      </x:c>
      <x:c r="T1492" s="221" t="n">
        <x:v>0</x:v>
      </x:c>
      <x:c r="U1492" s="221" t="n">
        <x:v>0</x:v>
      </x:c>
      <x:c r="V1492" s="219" t="n">
        <x:v>1</x:v>
      </x:c>
      <x:c r="W1492" s="216" t="n">
        <x:v>1</x:v>
      </x:c>
      <x:c r="X1492" s="223" t="n">
        <x:v>44640</x:v>
      </x:c>
      <x:c r="Y1492" s="216" t="n">
        <x:v>15</x:v>
      </x:c>
    </x:row>
    <x:row r="1493">
      <x:c r="A1493" s="217" t="n">
        <x:v>1022</x:v>
      </x:c>
      <x:c r="B1493" s="217" t="str">
        <x:v>同興大同路口</x:v>
      </x:c>
      <x:c r="C1493" s="217" t="str">
        <x:v>汐止區</x:v>
      </x:c>
      <x:c r="D1493" s="217" t="n">
        <x:v>30</x:v>
      </x:c>
      <x:c r="E1493" s="217" t="n">
        <x:v>120</x:v>
      </x:c>
      <x:c r="F1493" s="218" t="n">
        <x:v>0.9994791666666667</x:v>
      </x:c>
      <x:c r="G1493" s="217" t="n">
        <x:v>1489</x:v>
      </x:c>
      <x:c r="H1493" s="217" t="str">
        <x:f>IF(G1493&lt;='排名定義'!$B$5,"是","")</x:f>
        <x:v>是</x:v>
      </x:c>
      <x:c r="I1493" s="217" t="n">
        <x:v>1489</x:v>
      </x:c>
      <x:c r="J1493" s="217" t="str">
        <x:f>IF(I1493&lt;='排名定義'!$B$5,"是","")</x:f>
        <x:v>是</x:v>
      </x:c>
      <x:c r="K1493" s="217" t="n">
        <x:v>1489</x:v>
      </x:c>
      <x:c r="L1493" s="217" t="str">
        <x:f>IF(K1493&lt;='排名定義'!$B$5,"是","")</x:f>
        <x:v>是</x:v>
      </x:c>
      <x:c r="M1493" s="217" t="n">
        <x:f>COUNTIF(H1493:L1493,"是")</x:f>
        <x:v>3</x:v>
      </x:c>
      <x:c r="N1493" s="217" t="str">
        <x:v>三份皆未入選</x:v>
      </x:c>
      <x:c r="O1493" s="220" t="n">
        <x:v>0</x:v>
      </x:c>
      <x:c r="P1493" s="220" t="n">
        <x:v>0</x:v>
      </x:c>
      <x:c r="Q1493" s="220" t="n">
        <x:v>0</x:v>
      </x:c>
      <x:c r="R1493" s="220" t="str"/>
      <x:c r="S1493" s="220" t="n">
        <x:v>0</x:v>
      </x:c>
      <x:c r="T1493" s="220" t="n">
        <x:v>0</x:v>
      </x:c>
      <x:c r="U1493" s="220" t="n">
        <x:v>0</x:v>
      </x:c>
      <x:c r="V1493" s="218" t="n">
        <x:v>1</x:v>
      </x:c>
      <x:c r="W1493" s="217" t="n">
        <x:v>1</x:v>
      </x:c>
      <x:c r="X1493" s="222" t="n">
        <x:v>44640</x:v>
      </x:c>
      <x:c r="Y1493" s="217" t="n">
        <x:v>30</x:v>
      </x:c>
    </x:row>
    <x:row r="1494">
      <x:c r="A1494" s="216" t="n">
        <x:v>1148</x:v>
      </x:c>
      <x:c r="B1494" s="216" t="str">
        <x:v>汐止區綜合運動場</x:v>
      </x:c>
      <x:c r="C1494" s="216" t="str">
        <x:v>汐止區</x:v>
      </x:c>
      <x:c r="D1494" s="216" t="n">
        <x:v>34</x:v>
      </x:c>
      <x:c r="E1494" s="216" t="n">
        <x:v>120</x:v>
      </x:c>
      <x:c r="F1494" s="219" t="n">
        <x:v>0.9994791666666667</x:v>
      </x:c>
      <x:c r="G1494" s="216" t="n">
        <x:v>1490</x:v>
      </x:c>
      <x:c r="H1494" s="216" t="str">
        <x:f>IF(G1494&lt;='排名定義'!$B$5,"是","")</x:f>
        <x:v>是</x:v>
      </x:c>
      <x:c r="I1494" s="216" t="n">
        <x:v>1490</x:v>
      </x:c>
      <x:c r="J1494" s="216" t="str">
        <x:f>IF(I1494&lt;='排名定義'!$B$5,"是","")</x:f>
        <x:v>是</x:v>
      </x:c>
      <x:c r="K1494" s="216" t="n">
        <x:v>1490</x:v>
      </x:c>
      <x:c r="L1494" s="216" t="str">
        <x:f>IF(K1494&lt;='排名定義'!$B$5,"是","")</x:f>
        <x:v>是</x:v>
      </x:c>
      <x:c r="M1494" s="216" t="n">
        <x:f>COUNTIF(H1494:L1494,"是")</x:f>
        <x:v>3</x:v>
      </x:c>
      <x:c r="N1494" s="216" t="str">
        <x:v>三份皆未入選</x:v>
      </x:c>
      <x:c r="O1494" s="221" t="n">
        <x:v>0</x:v>
      </x:c>
      <x:c r="P1494" s="221" t="n">
        <x:v>0</x:v>
      </x:c>
      <x:c r="Q1494" s="221" t="n">
        <x:v>0</x:v>
      </x:c>
      <x:c r="R1494" s="221" t="str"/>
      <x:c r="S1494" s="221" t="n">
        <x:v>0</x:v>
      </x:c>
      <x:c r="T1494" s="221" t="n">
        <x:v>0</x:v>
      </x:c>
      <x:c r="U1494" s="221" t="n">
        <x:v>0</x:v>
      </x:c>
      <x:c r="V1494" s="219" t="n">
        <x:v>1</x:v>
      </x:c>
      <x:c r="W1494" s="216" t="n">
        <x:v>1</x:v>
      </x:c>
      <x:c r="X1494" s="223" t="n">
        <x:v>44640</x:v>
      </x:c>
      <x:c r="Y1494" s="216" t="n">
        <x:v>34</x:v>
      </x:c>
    </x:row>
  </x:sheetData>
  <x:mergeCells>
    <x:mergeCell ref="A1:Y1"/>
    <x:mergeCell ref="A2:Y2"/>
  </x:mergeCells>
  <x:conditionalFormatting sqref="H5:H1494">
    <x:cfRule type="expression" dxfId="0" priority="1">
      <x:formula>H5="是"</x:formula>
    </x:cfRule>
  </x:conditionalFormatting>
  <x:conditionalFormatting sqref="J5:J1494">
    <x:cfRule type="expression" dxfId="1" priority="2">
      <x:formula>J5="是"</x:formula>
    </x:cfRule>
  </x:conditionalFormatting>
  <x:conditionalFormatting sqref="L5:L1494">
    <x:cfRule type="expression" dxfId="2" priority="3">
      <x:formula>L5="是"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五月驗證：名單是否延續到下一個月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排名只用1–4月建立；這裡用五月重新排名，比較前25%留存、整體順位相關與活動捕捉率。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  <x:c r="R3" s="232"/>
    </x:row>
    <x:row r="4" ht="28" customHeight="1">
      <x:c r="A4" s="112" t="str">
        <x:v>排名版本</x:v>
      </x:c>
      <x:c r="B4" s="112" t="str">
        <x:v>開發期前25%</x:v>
      </x:c>
      <x:c r="C4" s="112" t="str">
        <x:v>五月前25%</x:v>
      </x:c>
      <x:c r="D4" s="112" t="str">
        <x:v>共同站數</x:v>
      </x:c>
      <x:c r="E4" s="112" t="str">
        <x:v>留存率</x:v>
      </x:c>
      <x:c r="F4" s="112" t="str">
        <x:v>Jaccard</x:v>
      </x:c>
      <x:c r="G4" s="112" t="str">
        <x:v>全站順位Spearman</x:v>
      </x:c>
      <x:c r="H4" s="112" t="str">
        <x:v>五月活動捕捉率</x:v>
      </x:c>
      <x:c r="I4" s="232"/>
      <x:c r="J4" s="232"/>
      <x:c r="K4" s="232"/>
      <x:c r="L4" s="232"/>
      <x:c r="M4" s="232"/>
      <x:c r="N4" s="232"/>
      <x:c r="O4" s="232"/>
      <x:c r="P4" s="232"/>
      <x:c r="Q4" s="232"/>
      <x:c r="R4" s="232"/>
    </x:row>
    <x:row r="5">
      <x:c r="A5" s="120" t="str">
        <x:v>總變動前25%</x:v>
      </x:c>
      <x:c r="B5" s="120" t="n">
        <x:v>373</x:v>
      </x:c>
      <x:c r="C5" s="120" t="n">
        <x:v>373</x:v>
      </x:c>
      <x:c r="D5" s="120" t="n">
        <x:v>332</x:v>
      </x:c>
      <x:c r="E5" s="121" t="n">
        <x:v>0.8900804289544236</x:v>
      </x:c>
      <x:c r="F5" s="121" t="n">
        <x:v>0.8019323671497585</x:v>
      </x:c>
      <x:c r="G5" s="121" t="n">
        <x:v>0.9699181557298054</x:v>
      </x:c>
      <x:c r="H5" s="121" t="n">
        <x:v>0.45126743547235043</x:v>
      </x:c>
      <x:c r="I5" s="232"/>
      <x:c r="J5" s="232"/>
      <x:c r="K5" s="232"/>
      <x:c r="L5" s="232"/>
      <x:c r="M5" s="232"/>
      <x:c r="N5" s="232"/>
      <x:c r="O5" s="232"/>
      <x:c r="P5" s="232"/>
      <x:c r="Q5" s="232"/>
      <x:c r="R5" s="232"/>
    </x:row>
    <x:row r="6">
      <x:c r="A6" s="119" t="str">
        <x:v>一般變動前25%</x:v>
      </x:c>
      <x:c r="B6" s="119" t="n">
        <x:v>373</x:v>
      </x:c>
      <x:c r="C6" s="119" t="n">
        <x:v>373</x:v>
      </x:c>
      <x:c r="D6" s="119" t="n">
        <x:v>334</x:v>
      </x:c>
      <x:c r="E6" s="122" t="n">
        <x:v>0.8954423592493298</x:v>
      </x:c>
      <x:c r="F6" s="122" t="n">
        <x:v>0.8106796116504854</x:v>
      </x:c>
      <x:c r="G6" s="122" t="n">
        <x:v>0.9694478249215057</x:v>
      </x:c>
      <x:c r="H6" s="122" t="n">
        <x:v>0.4544786570820046</x:v>
      </x:c>
      <x:c r="I6" s="232"/>
      <x:c r="J6" s="232"/>
      <x:c r="K6" s="232"/>
      <x:c r="L6" s="232"/>
      <x:c r="M6" s="232"/>
      <x:c r="N6" s="232"/>
      <x:c r="O6" s="232"/>
      <x:c r="P6" s="232"/>
      <x:c r="Q6" s="232"/>
      <x:c r="R6" s="232"/>
    </x:row>
    <x:row r="7">
      <x:c r="A7" s="120" t="str">
        <x:v>大幅變動前25%</x:v>
      </x:c>
      <x:c r="B7" s="120" t="n">
        <x:v>373</x:v>
      </x:c>
      <x:c r="C7" s="120" t="n">
        <x:v>373</x:v>
      </x:c>
      <x:c r="D7" s="120" t="n">
        <x:v>280</x:v>
      </x:c>
      <x:c r="E7" s="121" t="n">
        <x:v>0.7506702412868632</x:v>
      </x:c>
      <x:c r="F7" s="121" t="n">
        <x:v>0.6008583690987125</x:v>
      </x:c>
      <x:c r="G7" s="121" t="n">
        <x:v>0.8539625236159526</x:v>
      </x:c>
      <x:c r="H7" s="121" t="n">
        <x:v>0.40334230347419836</x:v>
      </x:c>
      <x:c r="I7" s="232"/>
      <x:c r="J7" s="232"/>
      <x:c r="K7" s="232"/>
      <x:c r="L7" s="232"/>
      <x:c r="M7" s="232"/>
      <x:c r="N7" s="232"/>
      <x:c r="O7" s="232"/>
      <x:c r="P7" s="232"/>
      <x:c r="Q7" s="232"/>
      <x:c r="R7" s="232"/>
    </x:row>
    <x:row r="8">
      <x:c r="A8" s="232"/>
      <x:c r="B8" s="232"/>
      <x:c r="C8" s="232"/>
      <x:c r="D8" s="232"/>
      <x:c r="E8" s="232"/>
      <x:c r="F8" s="232"/>
      <x:c r="G8" s="232"/>
      <x:c r="H8" s="232"/>
      <x:c r="I8" s="232"/>
      <x:c r="J8" s="232"/>
      <x:c r="K8" s="232"/>
      <x:c r="L8" s="232"/>
      <x:c r="M8" s="232"/>
      <x:c r="N8" s="232"/>
      <x:c r="O8" s="232"/>
      <x:c r="P8" s="232"/>
      <x:c r="Q8" s="232"/>
      <x:c r="R8" s="232"/>
    </x:row>
    <x:row r="9">
      <x:c r="A9" s="232"/>
      <x:c r="B9" s="232"/>
      <x:c r="C9" s="232"/>
      <x:c r="D9" s="232"/>
      <x:c r="E9" s="232"/>
      <x:c r="F9" s="232"/>
      <x:c r="G9" s="232"/>
      <x:c r="H9" s="232"/>
      <x:c r="I9" s="232"/>
      <x:c r="J9" s="232"/>
      <x:c r="K9" s="232"/>
      <x:c r="L9" s="232"/>
      <x:c r="M9" s="232"/>
      <x:c r="N9" s="232"/>
      <x:c r="O9" s="232"/>
      <x:c r="P9" s="232"/>
      <x:c r="Q9" s="232"/>
      <x:c r="R9" s="232"/>
    </x:row>
    <x:row r="10">
      <x:c r="A10" s="232"/>
      <x:c r="B10" s="232"/>
      <x:c r="C10" s="232"/>
      <x:c r="D10" s="232"/>
      <x:c r="E10" s="232"/>
      <x:c r="F10" s="232"/>
      <x:c r="G10" s="232"/>
      <x:c r="H10" s="232"/>
      <x:c r="I10" s="232"/>
      <x:c r="J10" s="232"/>
      <x:c r="K10" s="232"/>
      <x:c r="L10" s="232"/>
      <x:c r="M10" s="232"/>
      <x:c r="N10" s="232"/>
      <x:c r="O10" s="232"/>
      <x:c r="P10" s="232"/>
      <x:c r="Q10" s="232"/>
      <x:c r="R10" s="232"/>
    </x:row>
    <x:row r="11" ht="28" customHeight="1">
      <x:c r="A11" s="183" t="str">
        <x:v>版本</x:v>
      </x:c>
      <x:c r="B11" s="183" t="str">
        <x:v>留存率</x:v>
      </x:c>
      <x:c r="C11" s="183" t="str">
        <x:v>活動捕捉率</x:v>
      </x:c>
      <x:c r="D11" s="232"/>
      <x:c r="E11" s="232"/>
      <x:c r="F11" s="232"/>
      <x:c r="G11" s="232"/>
      <x:c r="H11" s="232"/>
      <x:c r="I11" s="232"/>
      <x:c r="J11" s="232"/>
      <x:c r="K11" s="232"/>
      <x:c r="L11" s="232"/>
      <x:c r="M11" s="232"/>
      <x:c r="N11" s="112" t="str">
        <x:v>版本</x:v>
      </x:c>
      <x:c r="O11" s="112" t="str">
        <x:v>順位相關</x:v>
      </x:c>
      <x:c r="P11" s="112" t="str">
        <x:v>Jaccard</x:v>
      </x:c>
      <x:c r="Q11" s="232"/>
      <x:c r="R11" s="232"/>
    </x:row>
    <x:row r="12">
      <x:c r="A12" s="120" t="str">
        <x:v>總變動</x:v>
      </x:c>
      <x:c r="B12" s="121" t="n">
        <x:v>0.8900804289544236</x:v>
      </x:c>
      <x:c r="C12" s="121" t="n">
        <x:v>0.45126743547235043</x:v>
      </x:c>
      <x:c r="D12" s="232"/>
      <x:c r="E12" s="232"/>
      <x:c r="F12" s="232"/>
      <x:c r="G12" s="232"/>
      <x:c r="H12" s="232"/>
      <x:c r="I12" s="232"/>
      <x:c r="J12" s="232"/>
      <x:c r="K12" s="232"/>
      <x:c r="L12" s="232"/>
      <x:c r="M12" s="232"/>
      <x:c r="N12" s="120" t="str">
        <x:v>總變動</x:v>
      </x:c>
      <x:c r="O12" s="121" t="n">
        <x:v>0.9699181557298054</x:v>
      </x:c>
      <x:c r="P12" s="121" t="n">
        <x:v>0.8019323671497585</x:v>
      </x:c>
      <x:c r="Q12" s="232"/>
      <x:c r="R12" s="232"/>
    </x:row>
    <x:row r="13">
      <x:c r="A13" s="119" t="str">
        <x:v>一般變動</x:v>
      </x:c>
      <x:c r="B13" s="122" t="n">
        <x:v>0.8954423592493298</x:v>
      </x:c>
      <x:c r="C13" s="122" t="n">
        <x:v>0.4544786570820046</x:v>
      </x:c>
      <x:c r="D13" s="232"/>
      <x:c r="E13" s="232"/>
      <x:c r="F13" s="232"/>
      <x:c r="G13" s="232"/>
      <x:c r="H13" s="232"/>
      <x:c r="I13" s="232"/>
      <x:c r="J13" s="232"/>
      <x:c r="K13" s="232"/>
      <x:c r="L13" s="232"/>
      <x:c r="M13" s="232"/>
      <x:c r="N13" s="119" t="str">
        <x:v>一般變動</x:v>
      </x:c>
      <x:c r="O13" s="122" t="n">
        <x:v>0.9694478249215057</x:v>
      </x:c>
      <x:c r="P13" s="122" t="n">
        <x:v>0.8106796116504854</x:v>
      </x:c>
      <x:c r="Q13" s="232"/>
      <x:c r="R13" s="232"/>
    </x:row>
    <x:row r="14">
      <x:c r="A14" s="120" t="str">
        <x:v>大幅變動</x:v>
      </x:c>
      <x:c r="B14" s="121" t="n">
        <x:v>0.7506702412868632</x:v>
      </x:c>
      <x:c r="C14" s="121" t="n">
        <x:v>0.40334230347419836</x:v>
      </x:c>
      <x:c r="D14" s="232"/>
      <x:c r="E14" s="232"/>
      <x:c r="F14" s="232"/>
      <x:c r="G14" s="232"/>
      <x:c r="H14" s="232"/>
      <x:c r="I14" s="232"/>
      <x:c r="J14" s="232"/>
      <x:c r="K14" s="232"/>
      <x:c r="L14" s="232"/>
      <x:c r="M14" s="232"/>
      <x:c r="N14" s="120" t="str">
        <x:v>大幅變動</x:v>
      </x:c>
      <x:c r="O14" s="121" t="n">
        <x:v>0.8539625236159526</x:v>
      </x:c>
      <x:c r="P14" s="121" t="n">
        <x:v>0.6008583690987125</x:v>
      </x:c>
      <x:c r="Q14" s="232"/>
      <x:c r="R14" s="232"/>
    </x:row>
    <x:row r="15">
      <x:c r="A15" s="232"/>
      <x:c r="B15" s="232"/>
      <x:c r="C15" s="232"/>
      <x:c r="D15" s="232"/>
      <x:c r="E15" s="232"/>
      <x:c r="F15" s="232"/>
      <x:c r="G15" s="232"/>
      <x:c r="H15" s="232"/>
      <x:c r="I15" s="232"/>
      <x:c r="J15" s="232"/>
      <x:c r="K15" s="232"/>
      <x:c r="L15" s="232"/>
      <x:c r="M15" s="232"/>
      <x:c r="N15" s="232"/>
      <x:c r="O15" s="232"/>
      <x:c r="P15" s="232"/>
      <x:c r="Q15" s="232"/>
      <x:c r="R15" s="232"/>
    </x:row>
    <x:row r="16">
      <x:c r="A16" s="232"/>
      <x:c r="B16" s="232"/>
      <x:c r="C16" s="232"/>
      <x:c r="D16" s="232"/>
      <x:c r="E16" s="232"/>
      <x:c r="F16" s="232"/>
      <x:c r="G16" s="232"/>
      <x:c r="H16" s="232"/>
      <x:c r="I16" s="232"/>
      <x:c r="J16" s="232"/>
      <x:c r="K16" s="232"/>
      <x:c r="L16" s="232"/>
      <x:c r="M16" s="232"/>
      <x:c r="N16" s="232"/>
      <x:c r="O16" s="232"/>
      <x:c r="P16" s="232"/>
      <x:c r="Q16" s="232"/>
      <x:c r="R16" s="232"/>
    </x:row>
    <x:row r="17">
      <x:c r="A17" s="232"/>
      <x:c r="B17" s="232"/>
      <x:c r="C17" s="232"/>
      <x:c r="D17" s="232"/>
      <x:c r="E17" s="232"/>
      <x:c r="F17" s="232"/>
      <x:c r="G17" s="232"/>
      <x:c r="H17" s="232"/>
      <x:c r="I17" s="232"/>
      <x:c r="J17" s="232"/>
      <x:c r="K17" s="232"/>
      <x:c r="L17" s="232"/>
      <x:c r="M17" s="232"/>
      <x:c r="N17" s="232"/>
      <x:c r="O17" s="232"/>
      <x:c r="P17" s="232"/>
      <x:c r="Q17" s="232"/>
      <x:c r="R17" s="232"/>
    </x:row>
    <x:row r="18">
      <x:c r="A18" s="232"/>
      <x:c r="B18" s="232"/>
      <x:c r="C18" s="232"/>
      <x:c r="D18" s="232"/>
      <x:c r="E18" s="232"/>
      <x:c r="F18" s="232"/>
      <x:c r="G18" s="232"/>
      <x:c r="H18" s="232"/>
      <x:c r="I18" s="232"/>
      <x:c r="J18" s="232"/>
      <x:c r="K18" s="232"/>
      <x:c r="L18" s="232"/>
      <x:c r="M18" s="232"/>
      <x:c r="N18" s="232"/>
      <x:c r="O18" s="232"/>
      <x:c r="P18" s="232"/>
      <x:c r="Q18" s="232"/>
      <x:c r="R18" s="232"/>
    </x:row>
    <x:row r="19">
      <x:c r="A19" s="232"/>
      <x:c r="B19" s="232"/>
      <x:c r="C19" s="232"/>
      <x:c r="D19" s="232"/>
      <x:c r="E19" s="232"/>
      <x:c r="F19" s="232"/>
      <x:c r="G19" s="232"/>
      <x:c r="H19" s="232"/>
      <x:c r="I19" s="232"/>
      <x:c r="J19" s="232"/>
      <x:c r="K19" s="232"/>
      <x:c r="L19" s="232"/>
      <x:c r="M19" s="232"/>
      <x:c r="N19" s="232"/>
      <x:c r="O19" s="232"/>
      <x:c r="P19" s="232"/>
      <x:c r="Q19" s="232"/>
      <x:c r="R19" s="232"/>
    </x:row>
    <x:row r="20">
      <x:c r="A20" s="232"/>
      <x:c r="B20" s="232"/>
      <x:c r="C20" s="232"/>
      <x:c r="D20" s="232"/>
      <x:c r="E20" s="232"/>
      <x:c r="F20" s="232"/>
      <x:c r="G20" s="232"/>
      <x:c r="H20" s="232"/>
      <x:c r="I20" s="232"/>
      <x:c r="J20" s="232"/>
      <x:c r="K20" s="232"/>
      <x:c r="L20" s="232"/>
      <x:c r="M20" s="232"/>
      <x:c r="N20" s="232"/>
      <x:c r="O20" s="232"/>
      <x:c r="P20" s="232"/>
      <x:c r="Q20" s="232"/>
      <x:c r="R20" s="232"/>
    </x:row>
    <x:row r="21">
      <x:c r="A21" s="232"/>
      <x:c r="B21" s="232"/>
      <x:c r="C21" s="232"/>
      <x:c r="D21" s="232"/>
      <x:c r="E21" s="232"/>
      <x:c r="F21" s="232"/>
      <x:c r="G21" s="232"/>
      <x:c r="H21" s="232"/>
      <x:c r="I21" s="232"/>
      <x:c r="J21" s="232"/>
      <x:c r="K21" s="232"/>
      <x:c r="L21" s="232"/>
      <x:c r="M21" s="232"/>
      <x:c r="N21" s="232"/>
      <x:c r="O21" s="232"/>
      <x:c r="P21" s="232"/>
      <x:c r="Q21" s="232"/>
      <x:c r="R21" s="232"/>
    </x:row>
    <x:row r="22">
      <x:c r="A22" s="232"/>
      <x:c r="B22" s="232"/>
      <x:c r="C22" s="232"/>
      <x:c r="D22" s="232"/>
      <x:c r="E22" s="232"/>
      <x:c r="F22" s="232"/>
      <x:c r="G22" s="232"/>
      <x:c r="H22" s="232"/>
      <x:c r="I22" s="232"/>
      <x:c r="J22" s="232"/>
      <x:c r="K22" s="232"/>
      <x:c r="L22" s="232"/>
      <x:c r="M22" s="232"/>
      <x:c r="N22" s="232"/>
      <x:c r="O22" s="232"/>
      <x:c r="P22" s="232"/>
      <x:c r="Q22" s="232"/>
      <x:c r="R22" s="232"/>
    </x:row>
    <x:row r="23">
      <x:c r="A23" s="232"/>
      <x:c r="B23" s="232"/>
      <x:c r="C23" s="232"/>
      <x:c r="D23" s="232"/>
      <x:c r="E23" s="232"/>
      <x:c r="F23" s="232"/>
      <x:c r="G23" s="232"/>
      <x:c r="H23" s="232"/>
      <x:c r="I23" s="232"/>
      <x:c r="J23" s="232"/>
      <x:c r="K23" s="232"/>
      <x:c r="L23" s="232"/>
      <x:c r="M23" s="232"/>
      <x:c r="N23" s="232"/>
      <x:c r="O23" s="232"/>
      <x:c r="P23" s="232"/>
      <x:c r="Q23" s="232"/>
      <x:c r="R23" s="232"/>
    </x:row>
    <x:row r="24">
      <x:c r="A24" s="232"/>
      <x:c r="B24" s="232"/>
      <x:c r="C24" s="232"/>
      <x:c r="D24" s="232"/>
      <x:c r="E24" s="232"/>
      <x:c r="F24" s="232"/>
      <x:c r="G24" s="232"/>
      <x:c r="H24" s="232"/>
      <x:c r="I24" s="232"/>
      <x:c r="J24" s="232"/>
      <x:c r="K24" s="232"/>
      <x:c r="L24" s="232"/>
      <x:c r="M24" s="232"/>
      <x:c r="N24" s="232"/>
      <x:c r="O24" s="232"/>
      <x:c r="P24" s="232"/>
      <x:c r="Q24" s="232"/>
      <x:c r="R24" s="232"/>
    </x:row>
    <x:row r="25">
      <x:c r="A25" s="232"/>
      <x:c r="B25" s="232"/>
      <x:c r="C25" s="232"/>
      <x:c r="D25" s="232"/>
      <x:c r="E25" s="232"/>
      <x:c r="F25" s="232"/>
      <x:c r="G25" s="232"/>
      <x:c r="H25" s="232"/>
      <x:c r="I25" s="232"/>
      <x:c r="J25" s="232"/>
      <x:c r="K25" s="232"/>
      <x:c r="L25" s="232"/>
      <x:c r="M25" s="232"/>
      <x:c r="N25" s="232"/>
      <x:c r="O25" s="232"/>
      <x:c r="P25" s="232"/>
      <x:c r="Q25" s="232"/>
      <x:c r="R25" s="232"/>
    </x:row>
    <x:row r="26">
      <x:c r="A26" s="204" t="str">
        <x:v>判讀：總變動與一般變動的五月留存接近90%，全站順位相關約0.97，代表『活動重要性』跨月很穩。大幅變動留存75%、順位相關0.85，仍有規律但較容易受單月事件或營運措施影響。這支持把大幅變動當輔助標籤，而不是主要需求名單。</x:v>
      </x:c>
      <x:c r="B26" s="205"/>
      <x:c r="C26" s="205"/>
      <x:c r="D26" s="205"/>
      <x:c r="E26" s="205"/>
      <x:c r="F26" s="205"/>
      <x:c r="G26" s="205"/>
      <x:c r="H26" s="205"/>
      <x:c r="I26" s="205"/>
      <x:c r="J26" s="205"/>
      <x:c r="K26" s="205"/>
      <x:c r="L26" s="206"/>
      <x:c r="M26" s="232"/>
      <x:c r="N26" s="232"/>
      <x:c r="O26" s="232"/>
      <x:c r="P26" s="232"/>
      <x:c r="Q26" s="232"/>
      <x:c r="R26" s="232"/>
    </x:row>
    <x:row r="27">
      <x:c r="A27" s="207"/>
      <x:c r="B27" s="208"/>
      <x:c r="C27" s="208"/>
      <x:c r="D27" s="208"/>
      <x:c r="E27" s="208"/>
      <x:c r="F27" s="208"/>
      <x:c r="G27" s="208"/>
      <x:c r="H27" s="208"/>
      <x:c r="I27" s="208"/>
      <x:c r="J27" s="208"/>
      <x:c r="K27" s="208"/>
      <x:c r="L27" s="209"/>
      <x:c r="M27" s="232"/>
      <x:c r="N27" s="232"/>
      <x:c r="O27" s="232"/>
      <x:c r="P27" s="232"/>
      <x:c r="Q27" s="232"/>
      <x:c r="R27" s="232"/>
    </x:row>
    <x:row r="28">
      <x:c r="A28" s="207"/>
      <x:c r="B28" s="208"/>
      <x:c r="C28" s="208"/>
      <x:c r="D28" s="208"/>
      <x:c r="E28" s="208"/>
      <x:c r="F28" s="208"/>
      <x:c r="G28" s="208"/>
      <x:c r="H28" s="208"/>
      <x:c r="I28" s="208"/>
      <x:c r="J28" s="208"/>
      <x:c r="K28" s="208"/>
      <x:c r="L28" s="209"/>
      <x:c r="M28" s="232"/>
      <x:c r="N28" s="232"/>
      <x:c r="O28" s="232"/>
      <x:c r="P28" s="232"/>
      <x:c r="Q28" s="232"/>
      <x:c r="R28" s="232"/>
    </x:row>
    <x:row r="29">
      <x:c r="A29" s="207"/>
      <x:c r="B29" s="208"/>
      <x:c r="C29" s="208"/>
      <x:c r="D29" s="208"/>
      <x:c r="E29" s="208"/>
      <x:c r="F29" s="208"/>
      <x:c r="G29" s="208"/>
      <x:c r="H29" s="208"/>
      <x:c r="I29" s="208"/>
      <x:c r="J29" s="208"/>
      <x:c r="K29" s="208"/>
      <x:c r="L29" s="209"/>
      <x:c r="M29" s="232"/>
      <x:c r="N29" s="232"/>
      <x:c r="O29" s="232"/>
      <x:c r="P29" s="232"/>
      <x:c r="Q29" s="232"/>
      <x:c r="R29" s="232"/>
    </x:row>
    <x:row r="30">
      <x:c r="A30" s="207"/>
      <x:c r="B30" s="208"/>
      <x:c r="C30" s="208"/>
      <x:c r="D30" s="208"/>
      <x:c r="E30" s="208"/>
      <x:c r="F30" s="208"/>
      <x:c r="G30" s="208"/>
      <x:c r="H30" s="208"/>
      <x:c r="I30" s="208"/>
      <x:c r="J30" s="208"/>
      <x:c r="K30" s="208"/>
      <x:c r="L30" s="209"/>
      <x:c r="M30" s="232"/>
      <x:c r="N30" s="232"/>
      <x:c r="O30" s="232"/>
      <x:c r="P30" s="232"/>
      <x:c r="Q30" s="232"/>
      <x:c r="R30" s="232"/>
    </x:row>
    <x:row r="31">
      <x:c r="A31" s="210"/>
      <x:c r="B31" s="211"/>
      <x:c r="C31" s="211"/>
      <x:c r="D31" s="211"/>
      <x:c r="E31" s="211"/>
      <x:c r="F31" s="211"/>
      <x:c r="G31" s="211"/>
      <x:c r="H31" s="211"/>
      <x:c r="I31" s="211"/>
      <x:c r="J31" s="211"/>
      <x:c r="K31" s="211"/>
      <x:c r="L31" s="212"/>
      <x:c r="M31" s="232"/>
      <x:c r="N31" s="232"/>
      <x:c r="O31" s="232"/>
      <x:c r="P31" s="232"/>
      <x:c r="Q31" s="232"/>
      <x:c r="R31" s="232"/>
    </x:row>
  </x:sheetData>
  <x:mergeCells>
    <x:mergeCell ref="A1:R1"/>
    <x:mergeCell ref="A2:R2"/>
    <x:mergeCell ref="A26:L31"/>
  </x:mergeCells>
  <x:pageMargins left="0.7" right="0.7" top="0.75" bottom="0.75" header="0.3" footer="0.3"/>
  <x:drawing xmlns:r="http://schemas.openxmlformats.org/officeDocument/2006/relationships" r:id="R8187fb0ddbd9459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4" customHeight="1">
      <x:c r="A1" s="3" t="str">
        <x:v>五月：前25%站與其餘站有何不同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活動量、尖峰失衡率、持續事件與容量分開比較。比值大於1代表前25%較高，小於1代表較低。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  <x:c r="R3" s="232"/>
      <x:c r="S3" s="232"/>
      <x:c r="T3" s="232"/>
    </x:row>
    <x:row r="4" ht="44" customHeight="1">
      <x:c r="A4" s="112" t="str">
        <x:v>排名版本</x:v>
      </x:c>
      <x:c r="B4" s="112" t="str">
        <x:v>前25%站數</x:v>
      </x:c>
      <x:c r="C4" s="112" t="str">
        <x:v>其餘站數</x:v>
      </x:c>
      <x:c r="D4" s="112" t="str">
        <x:v>前25%活動/日</x:v>
      </x:c>
      <x:c r="E4" s="112" t="str">
        <x:v>其餘活動/日</x:v>
      </x:c>
      <x:c r="F4" s="112" t="str">
        <x:v>活動比</x:v>
      </x:c>
      <x:c r="G4" s="112" t="str">
        <x:v>前25%尖峰失衡率</x:v>
      </x:c>
      <x:c r="H4" s="112" t="str">
        <x:v>其餘尖峰失衡率</x:v>
      </x:c>
      <x:c r="I4" s="112" t="str">
        <x:v>失衡率比</x:v>
      </x:c>
      <x:c r="J4" s="112" t="str">
        <x:v>前25%持續事件/站</x:v>
      </x:c>
      <x:c r="K4" s="112" t="str">
        <x:v>其餘持續事件/站</x:v>
      </x:c>
      <x:c r="L4" s="112" t="str">
        <x:v>事件比</x:v>
      </x:c>
      <x:c r="M4" s="112" t="str">
        <x:v>前25%容量中位</x:v>
      </x:c>
      <x:c r="N4" s="112" t="str">
        <x:v>其餘容量中位</x:v>
      </x:c>
      <x:c r="O4" s="112" t="str">
        <x:v>容量比</x:v>
      </x:c>
      <x:c r="P4" s="232"/>
      <x:c r="Q4" s="232"/>
      <x:c r="R4" s="232"/>
      <x:c r="S4" s="232"/>
      <x:c r="T4" s="232"/>
    </x:row>
    <x:row r="5">
      <x:c r="A5" s="120" t="str">
        <x:v>總變動前25%</x:v>
      </x:c>
      <x:c r="B5" s="120" t="n">
        <x:v>373</x:v>
      </x:c>
      <x:c r="C5" s="120" t="n">
        <x:v>1115</x:v>
      </x:c>
      <x:c r="D5" s="224" t="n">
        <x:v>144.9037081140774</x:v>
      </x:c>
      <x:c r="E5" s="224" t="n">
        <x:v>58.92101837118473</x:v>
      </x:c>
      <x:c r="F5" s="224" t="n">
        <x:f>IFERROR(D5/E5,0)</x:f>
        <x:v>2.459287230937312</x:v>
      </x:c>
      <x:c r="G5" s="121" t="n">
        <x:v>0.06723608338535132</x:v>
      </x:c>
      <x:c r="H5" s="121" t="n">
        <x:v>0.07350740716246155</x:v>
      </x:c>
      <x:c r="I5" s="121" t="n">
        <x:f>IFERROR(G5/H5,0)</x:f>
        <x:v>0.91468446488325</x:v>
      </x:c>
      <x:c r="J5" s="224" t="n">
        <x:v>19.47721179624665</x:v>
      </x:c>
      <x:c r="K5" s="224" t="n">
        <x:v>14.878923766816143</x:v>
      </x:c>
      <x:c r="L5" s="224" t="n">
        <x:f>IFERROR(J5/K5,0)</x:f>
        <x:v>1.3090470857634127</x:v>
      </x:c>
      <x:c r="M5" s="224" t="n">
        <x:v>45</x:v>
      </x:c>
      <x:c r="N5" s="224" t="n">
        <x:v>20</x:v>
      </x:c>
      <x:c r="O5" s="224" t="n">
        <x:f>IFERROR(M5/N5,0)</x:f>
        <x:v>2.25</x:v>
      </x:c>
      <x:c r="P5" s="232"/>
      <x:c r="Q5" s="232"/>
      <x:c r="R5" s="232"/>
      <x:c r="S5" s="232"/>
      <x:c r="T5" s="232"/>
    </x:row>
    <x:row r="6">
      <x:c r="A6" s="119" t="str">
        <x:v>一般變動前25%</x:v>
      </x:c>
      <x:c r="B6" s="119" t="n">
        <x:v>373</x:v>
      </x:c>
      <x:c r="C6" s="119" t="n">
        <x:v>1115</x:v>
      </x:c>
      <x:c r="D6" s="225" t="n">
        <x:v>144.90543776901123</x:v>
      </x:c>
      <x:c r="E6" s="225" t="n">
        <x:v>58.9204397511934</x:v>
      </x:c>
      <x:c r="F6" s="225" t="n">
        <x:f>IFERROR(D6/E6,0)</x:f>
        <x:v>2.459340737796789</x:v>
      </x:c>
      <x:c r="G6" s="122" t="n">
        <x:v>0.06825584198068022</x:v>
      </x:c>
      <x:c r="H6" s="122" t="n">
        <x:v>0.07316639661386859</x:v>
      </x:c>
      <x:c r="I6" s="122" t="n">
        <x:f>IFERROR(G6/H6,0)</x:f>
        <x:v>0.9328851103724085</x:v>
      </x:c>
      <x:c r="J6" s="225" t="n">
        <x:v>19.702412868632706</x:v>
      </x:c>
      <x:c r="K6" s="225" t="n">
        <x:v>14.803587443946189</x:v>
      </x:c>
      <x:c r="L6" s="225" t="n">
        <x:f>IFERROR(J6/K6,0)</x:f>
        <x:v>1.330921504212133</x:v>
      </x:c>
      <x:c r="M6" s="225" t="n">
        <x:v>45</x:v>
      </x:c>
      <x:c r="N6" s="225" t="n">
        <x:v>20</x:v>
      </x:c>
      <x:c r="O6" s="225" t="n">
        <x:f>IFERROR(M6/N6,0)</x:f>
        <x:v>2.25</x:v>
      </x:c>
      <x:c r="P6" s="232"/>
      <x:c r="Q6" s="232"/>
      <x:c r="R6" s="232"/>
      <x:c r="S6" s="232"/>
      <x:c r="T6" s="232"/>
    </x:row>
    <x:row r="7">
      <x:c r="A7" s="120" t="str">
        <x:v>大幅變動前25%</x:v>
      </x:c>
      <x:c r="B7" s="120" t="n">
        <x:v>372</x:v>
      </x:c>
      <x:c r="C7" s="120" t="n">
        <x:v>1116</x:v>
      </x:c>
      <x:c r="D7" s="224" t="n">
        <x:v>141.7242956055391</x:v>
      </x:c>
      <x:c r="E7" s="224" t="n">
        <x:v>60.05786796161407</x:v>
      </x:c>
      <x:c r="F7" s="224" t="n">
        <x:f>IFERROR(D7/E7,0)</x:f>
        <x:v>2.359795650690132</x:v>
      </x:c>
      <x:c r="G7" s="121" t="n">
        <x:v>0.06326313049299005</x:v>
      </x:c>
      <x:c r="H7" s="121" t="n">
        <x:v>0.07482495968549524</x:v>
      </x:c>
      <x:c r="I7" s="121" t="n">
        <x:f>IFERROR(G7/H7,0)</x:f>
        <x:v>0.8454816515625008</x:v>
      </x:c>
      <x:c r="J7" s="224" t="n">
        <x:v>18.161290322580644</x:v>
      </x:c>
      <x:c r="K7" s="224" t="n">
        <x:v>15.32168458781362</x:v>
      </x:c>
      <x:c r="L7" s="224" t="n">
        <x:f>IFERROR(J7/K7,0)</x:f>
        <x:v>1.1853324755833674</x:v>
      </x:c>
      <x:c r="M7" s="224" t="n">
        <x:v>47</x:v>
      </x:c>
      <x:c r="N7" s="224" t="n">
        <x:v>20</x:v>
      </x:c>
      <x:c r="O7" s="224" t="n">
        <x:f>IFERROR(M7/N7,0)</x:f>
        <x:v>2.35</x:v>
      </x:c>
      <x:c r="P7" s="232"/>
      <x:c r="Q7" s="232"/>
      <x:c r="R7" s="232"/>
      <x:c r="S7" s="232"/>
      <x:c r="T7" s="232"/>
    </x:row>
    <x:row r="8">
      <x:c r="A8" s="232"/>
      <x:c r="B8" s="232"/>
      <x:c r="C8" s="232"/>
      <x:c r="D8" s="232"/>
      <x:c r="E8" s="232"/>
      <x:c r="F8" s="232"/>
      <x:c r="G8" s="232"/>
      <x:c r="H8" s="232"/>
      <x:c r="I8" s="232"/>
      <x:c r="J8" s="232"/>
      <x:c r="K8" s="232"/>
      <x:c r="L8" s="232"/>
      <x:c r="M8" s="232"/>
      <x:c r="N8" s="232"/>
      <x:c r="O8" s="232"/>
      <x:c r="P8" s="232"/>
      <x:c r="Q8" s="232"/>
      <x:c r="R8" s="232"/>
      <x:c r="S8" s="232"/>
      <x:c r="T8" s="232"/>
    </x:row>
    <x:row r="9">
      <x:c r="A9" s="232"/>
      <x:c r="B9" s="232"/>
      <x:c r="C9" s="232"/>
      <x:c r="D9" s="232"/>
      <x:c r="E9" s="232"/>
      <x:c r="F9" s="232"/>
      <x:c r="G9" s="232"/>
      <x:c r="H9" s="232"/>
      <x:c r="I9" s="232"/>
      <x:c r="J9" s="232"/>
      <x:c r="K9" s="232"/>
      <x:c r="L9" s="232"/>
      <x:c r="M9" s="232"/>
      <x:c r="N9" s="232"/>
      <x:c r="O9" s="232"/>
      <x:c r="P9" s="232"/>
      <x:c r="Q9" s="232"/>
      <x:c r="R9" s="232"/>
      <x:c r="S9" s="232"/>
      <x:c r="T9" s="232"/>
    </x:row>
    <x:row r="10">
      <x:c r="A10" s="232"/>
      <x:c r="B10" s="232"/>
      <x:c r="C10" s="232"/>
      <x:c r="D10" s="232"/>
      <x:c r="E10" s="232"/>
      <x:c r="F10" s="232"/>
      <x:c r="G10" s="232"/>
      <x:c r="H10" s="232"/>
      <x:c r="I10" s="232"/>
      <x:c r="J10" s="232"/>
      <x:c r="K10" s="232"/>
      <x:c r="L10" s="232"/>
      <x:c r="M10" s="232"/>
      <x:c r="N10" s="232"/>
      <x:c r="O10" s="232"/>
      <x:c r="P10" s="232"/>
      <x:c r="Q10" s="232"/>
      <x:c r="R10" s="232"/>
      <x:c r="S10" s="232"/>
      <x:c r="T10" s="232"/>
    </x:row>
    <x:row r="11" ht="28" customHeight="1">
      <x:c r="A11" s="183" t="str">
        <x:v>版本</x:v>
      </x:c>
      <x:c r="B11" s="183" t="str">
        <x:v>活動比</x:v>
      </x:c>
      <x:c r="C11" s="183" t="str">
        <x:v>尖峰失衡率比</x:v>
      </x:c>
      <x:c r="D11" s="183" t="str">
        <x:v>持續事件比</x:v>
      </x:c>
      <x:c r="E11" s="183" t="str">
        <x:v>容量比</x:v>
      </x:c>
      <x:c r="F11" s="232"/>
      <x:c r="G11" s="232"/>
      <x:c r="H11" s="232"/>
      <x:c r="I11" s="232"/>
      <x:c r="J11" s="232"/>
      <x:c r="K11" s="232"/>
      <x:c r="L11" s="232"/>
      <x:c r="M11" s="232"/>
      <x:c r="N11" s="232"/>
      <x:c r="O11" s="232"/>
      <x:c r="P11" s="232"/>
      <x:c r="Q11" s="232"/>
      <x:c r="R11" s="232"/>
      <x:c r="S11" s="232"/>
      <x:c r="T11" s="232"/>
    </x:row>
    <x:row r="12">
      <x:c r="A12" s="120" t="str">
        <x:v>總變動</x:v>
      </x:c>
      <x:c r="B12" s="226" t="n">
        <x:f>F5</x:f>
        <x:v>2.459287230937312</x:v>
      </x:c>
      <x:c r="C12" s="226" t="n">
        <x:f>I5</x:f>
        <x:v>0.91468446488325</x:v>
      </x:c>
      <x:c r="D12" s="226" t="n">
        <x:f>L5</x:f>
        <x:v>1.3090470857634127</x:v>
      </x:c>
      <x:c r="E12" s="226" t="n">
        <x:f>O5</x:f>
        <x:v>2.25</x:v>
      </x:c>
      <x:c r="F12" s="232"/>
      <x:c r="G12" s="232"/>
      <x:c r="H12" s="232"/>
      <x:c r="I12" s="232"/>
      <x:c r="J12" s="232"/>
      <x:c r="K12" s="232"/>
      <x:c r="L12" s="232"/>
      <x:c r="M12" s="232"/>
      <x:c r="N12" s="232"/>
      <x:c r="O12" s="232"/>
      <x:c r="P12" s="232"/>
      <x:c r="Q12" s="232"/>
      <x:c r="R12" s="232"/>
      <x:c r="S12" s="232"/>
      <x:c r="T12" s="232"/>
    </x:row>
    <x:row r="13">
      <x:c r="A13" s="119" t="str">
        <x:v>一般變動</x:v>
      </x:c>
      <x:c r="B13" s="227" t="n">
        <x:f>F6</x:f>
        <x:v>2.459340737796789</x:v>
      </x:c>
      <x:c r="C13" s="227" t="n">
        <x:f>I6</x:f>
        <x:v>0.9328851103724085</x:v>
      </x:c>
      <x:c r="D13" s="227" t="n">
        <x:f>L6</x:f>
        <x:v>1.330921504212133</x:v>
      </x:c>
      <x:c r="E13" s="227" t="n">
        <x:f>O6</x:f>
        <x:v>2.25</x:v>
      </x:c>
      <x:c r="F13" s="232"/>
      <x:c r="G13" s="232"/>
      <x:c r="H13" s="232"/>
      <x:c r="I13" s="232"/>
      <x:c r="J13" s="232"/>
      <x:c r="K13" s="232"/>
      <x:c r="L13" s="232"/>
      <x:c r="M13" s="232"/>
      <x:c r="N13" s="232"/>
      <x:c r="O13" s="232"/>
      <x:c r="P13" s="232"/>
      <x:c r="Q13" s="232"/>
      <x:c r="R13" s="232"/>
      <x:c r="S13" s="232"/>
      <x:c r="T13" s="232"/>
    </x:row>
    <x:row r="14">
      <x:c r="A14" s="120" t="str">
        <x:v>大幅變動</x:v>
      </x:c>
      <x:c r="B14" s="226" t="n">
        <x:f>F7</x:f>
        <x:v>2.359795650690132</x:v>
      </x:c>
      <x:c r="C14" s="226" t="n">
        <x:f>I7</x:f>
        <x:v>0.8454816515625008</x:v>
      </x:c>
      <x:c r="D14" s="226" t="n">
        <x:f>L7</x:f>
        <x:v>1.1853324755833674</x:v>
      </x:c>
      <x:c r="E14" s="226" t="n">
        <x:f>O7</x:f>
        <x:v>2.35</x:v>
      </x:c>
      <x:c r="F14" s="232"/>
      <x:c r="G14" s="232"/>
      <x:c r="H14" s="232"/>
      <x:c r="I14" s="232"/>
      <x:c r="J14" s="232"/>
      <x:c r="K14" s="232"/>
      <x:c r="L14" s="232"/>
      <x:c r="M14" s="232"/>
      <x:c r="N14" s="232"/>
      <x:c r="O14" s="232"/>
      <x:c r="P14" s="232"/>
      <x:c r="Q14" s="232"/>
      <x:c r="R14" s="232"/>
      <x:c r="S14" s="232"/>
      <x:c r="T14" s="232"/>
    </x:row>
    <x:row r="15">
      <x:c r="A15" s="232"/>
      <x:c r="B15" s="232"/>
      <x:c r="C15" s="232"/>
      <x:c r="D15" s="232"/>
      <x:c r="E15" s="232"/>
      <x:c r="F15" s="232"/>
      <x:c r="G15" s="232"/>
      <x:c r="H15" s="232"/>
      <x:c r="I15" s="232"/>
      <x:c r="J15" s="232"/>
      <x:c r="K15" s="232"/>
      <x:c r="L15" s="232"/>
      <x:c r="M15" s="232"/>
      <x:c r="N15" s="232"/>
      <x:c r="O15" s="232"/>
      <x:c r="P15" s="232"/>
      <x:c r="Q15" s="232"/>
      <x:c r="R15" s="232"/>
      <x:c r="S15" s="232"/>
      <x:c r="T15" s="232"/>
    </x:row>
    <x:row r="16">
      <x:c r="A16" s="232"/>
      <x:c r="B16" s="232"/>
      <x:c r="C16" s="232"/>
      <x:c r="D16" s="232"/>
      <x:c r="E16" s="232"/>
      <x:c r="F16" s="232"/>
      <x:c r="G16" s="232"/>
      <x:c r="H16" s="232"/>
      <x:c r="I16" s="232"/>
      <x:c r="J16" s="232"/>
      <x:c r="K16" s="232"/>
      <x:c r="L16" s="232"/>
      <x:c r="M16" s="232"/>
      <x:c r="N16" s="232"/>
      <x:c r="O16" s="232"/>
      <x:c r="P16" s="232"/>
      <x:c r="Q16" s="232"/>
      <x:c r="R16" s="232"/>
      <x:c r="S16" s="232"/>
      <x:c r="T16" s="232"/>
    </x:row>
    <x:row r="17">
      <x:c r="A17" s="232"/>
      <x:c r="B17" s="232"/>
      <x:c r="C17" s="232"/>
      <x:c r="D17" s="232"/>
      <x:c r="E17" s="232"/>
      <x:c r="F17" s="232"/>
      <x:c r="G17" s="232"/>
      <x:c r="H17" s="232"/>
      <x:c r="I17" s="232"/>
      <x:c r="J17" s="232"/>
      <x:c r="K17" s="232"/>
      <x:c r="L17" s="232"/>
      <x:c r="M17" s="232"/>
      <x:c r="N17" s="232"/>
      <x:c r="O17" s="232"/>
      <x:c r="P17" s="232"/>
      <x:c r="Q17" s="232"/>
      <x:c r="R17" s="232"/>
      <x:c r="S17" s="232"/>
      <x:c r="T17" s="232"/>
    </x:row>
    <x:row r="18">
      <x:c r="A18" s="141" t="str">
        <x:v>核心發現
• 活動量約2.36–2.46倍
• 容量中位數約2.25–2.35倍
• 尖峰失衡率反而略低
• 持續事件仍約1.19–1.33倍
所以『重要站』不能直接解釋成『失敗率最高站』。較大的容量或較積極的既有營運措施，可能讓失敗比例降低；這裡只能說有關聯，不能證明原因。</x:v>
      </x:c>
      <x:c r="B18" s="142"/>
      <x:c r="C18" s="142"/>
      <x:c r="D18" s="142"/>
      <x:c r="E18" s="143"/>
      <x:c r="F18" s="232"/>
      <x:c r="G18" s="232"/>
      <x:c r="H18" s="232"/>
      <x:c r="I18" s="232"/>
      <x:c r="J18" s="232"/>
      <x:c r="K18" s="232"/>
      <x:c r="L18" s="232"/>
      <x:c r="M18" s="232"/>
      <x:c r="N18" s="232"/>
      <x:c r="O18" s="232"/>
      <x:c r="P18" s="232"/>
      <x:c r="Q18" s="232"/>
      <x:c r="R18" s="232"/>
      <x:c r="S18" s="232"/>
      <x:c r="T18" s="232"/>
    </x:row>
    <x:row r="19">
      <x:c r="A19" s="144"/>
      <x:c r="B19" s="145"/>
      <x:c r="C19" s="145"/>
      <x:c r="D19" s="145"/>
      <x:c r="E19" s="146"/>
      <x:c r="F19" s="232"/>
      <x:c r="G19" s="232"/>
      <x:c r="H19" s="232"/>
      <x:c r="I19" s="232"/>
      <x:c r="J19" s="232"/>
      <x:c r="K19" s="232"/>
      <x:c r="L19" s="232"/>
      <x:c r="M19" s="232"/>
      <x:c r="N19" s="232"/>
      <x:c r="O19" s="232"/>
      <x:c r="P19" s="232"/>
      <x:c r="Q19" s="232"/>
      <x:c r="R19" s="232"/>
      <x:c r="S19" s="232"/>
      <x:c r="T19" s="232"/>
    </x:row>
    <x:row r="20">
      <x:c r="A20" s="144"/>
      <x:c r="B20" s="145"/>
      <x:c r="C20" s="145"/>
      <x:c r="D20" s="145"/>
      <x:c r="E20" s="146"/>
      <x:c r="F20" s="232"/>
      <x:c r="G20" s="232"/>
      <x:c r="H20" s="232"/>
      <x:c r="I20" s="232"/>
      <x:c r="J20" s="232"/>
      <x:c r="K20" s="232"/>
      <x:c r="L20" s="232"/>
      <x:c r="M20" s="232"/>
      <x:c r="N20" s="232"/>
      <x:c r="O20" s="232"/>
      <x:c r="P20" s="232"/>
      <x:c r="Q20" s="232"/>
      <x:c r="R20" s="232"/>
      <x:c r="S20" s="232"/>
      <x:c r="T20" s="232"/>
    </x:row>
    <x:row r="21">
      <x:c r="A21" s="144"/>
      <x:c r="B21" s="145"/>
      <x:c r="C21" s="145"/>
      <x:c r="D21" s="145"/>
      <x:c r="E21" s="146"/>
      <x:c r="F21" s="232"/>
      <x:c r="G21" s="232"/>
      <x:c r="H21" s="232"/>
      <x:c r="I21" s="232"/>
      <x:c r="J21" s="232"/>
      <x:c r="K21" s="232"/>
      <x:c r="L21" s="232"/>
      <x:c r="M21" s="232"/>
      <x:c r="N21" s="232"/>
      <x:c r="O21" s="232"/>
      <x:c r="P21" s="232"/>
      <x:c r="Q21" s="232"/>
      <x:c r="R21" s="232"/>
      <x:c r="S21" s="232"/>
      <x:c r="T21" s="232"/>
    </x:row>
    <x:row r="22">
      <x:c r="A22" s="144"/>
      <x:c r="B22" s="145"/>
      <x:c r="C22" s="145"/>
      <x:c r="D22" s="145"/>
      <x:c r="E22" s="146"/>
      <x:c r="F22" s="232"/>
      <x:c r="G22" s="232"/>
      <x:c r="H22" s="232"/>
      <x:c r="I22" s="232"/>
      <x:c r="J22" s="232"/>
      <x:c r="K22" s="232"/>
      <x:c r="L22" s="232"/>
      <x:c r="M22" s="232"/>
      <x:c r="N22" s="232"/>
      <x:c r="O22" s="232"/>
      <x:c r="P22" s="232"/>
      <x:c r="Q22" s="232"/>
      <x:c r="R22" s="232"/>
      <x:c r="S22" s="232"/>
      <x:c r="T22" s="232"/>
    </x:row>
    <x:row r="23">
      <x:c r="A23" s="144"/>
      <x:c r="B23" s="145"/>
      <x:c r="C23" s="145"/>
      <x:c r="D23" s="145"/>
      <x:c r="E23" s="146"/>
      <x:c r="F23" s="232"/>
      <x:c r="G23" s="232"/>
      <x:c r="H23" s="232"/>
      <x:c r="I23" s="232"/>
      <x:c r="J23" s="232"/>
      <x:c r="K23" s="232"/>
      <x:c r="L23" s="232"/>
      <x:c r="M23" s="232"/>
      <x:c r="N23" s="232"/>
      <x:c r="O23" s="232"/>
      <x:c r="P23" s="232"/>
      <x:c r="Q23" s="232"/>
      <x:c r="R23" s="232"/>
      <x:c r="S23" s="232"/>
      <x:c r="T23" s="232"/>
    </x:row>
    <x:row r="24">
      <x:c r="A24" s="144"/>
      <x:c r="B24" s="145"/>
      <x:c r="C24" s="145"/>
      <x:c r="D24" s="145"/>
      <x:c r="E24" s="146"/>
      <x:c r="F24" s="232"/>
      <x:c r="G24" s="232"/>
      <x:c r="H24" s="232"/>
      <x:c r="I24" s="232"/>
      <x:c r="J24" s="232"/>
      <x:c r="K24" s="232"/>
      <x:c r="L24" s="232"/>
      <x:c r="M24" s="232"/>
      <x:c r="N24" s="232"/>
      <x:c r="O24" s="232"/>
      <x:c r="P24" s="232"/>
      <x:c r="Q24" s="232"/>
      <x:c r="R24" s="232"/>
      <x:c r="S24" s="232"/>
      <x:c r="T24" s="232"/>
    </x:row>
    <x:row r="25">
      <x:c r="A25" s="147"/>
      <x:c r="B25" s="148"/>
      <x:c r="C25" s="148"/>
      <x:c r="D25" s="148"/>
      <x:c r="E25" s="149"/>
      <x:c r="F25" s="232"/>
      <x:c r="G25" s="232"/>
      <x:c r="H25" s="232"/>
      <x:c r="I25" s="232"/>
      <x:c r="J25" s="232"/>
      <x:c r="K25" s="232"/>
      <x:c r="L25" s="232"/>
      <x:c r="M25" s="232"/>
      <x:c r="N25" s="232"/>
      <x:c r="O25" s="232"/>
      <x:c r="P25" s="232"/>
      <x:c r="Q25" s="232"/>
      <x:c r="R25" s="232"/>
      <x:c r="S25" s="232"/>
      <x:c r="T25" s="232"/>
    </x:row>
  </x:sheetData>
  <x:mergeCells>
    <x:mergeCell ref="A1:T1"/>
    <x:mergeCell ref="A2:T2"/>
    <x:mergeCell ref="A18:E25"/>
  </x:mergeCells>
  <x:pageMargins left="0.7" right="0.7" top="0.75" bottom="0.75" header="0.3" footer="0.3"/>
  <x:drawing xmlns:r="http://schemas.openxmlformats.org/officeDocument/2006/relationships" r:id="R549142b0c2e54077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4" customHeight="1">
      <x:c r="A1" s="3" t="str">
        <x:v>五月：三份重要站名單的日內曲線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若三條線幾乎重疊，表示選站版本不會明顯改變尖峰時段判讀；差異較大處值得回看站點組成。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  <x:c r="R3" s="232"/>
      <x:c r="S3" s="232"/>
      <x:c r="T3" s="232"/>
    </x:row>
    <x:row r="4" ht="28" customHeight="1">
      <x:c r="A4" s="112" t="str">
        <x:v>小時</x:v>
      </x:c>
      <x:c r="B4" s="112" t="str">
        <x:v>總變動</x:v>
      </x:c>
      <x:c r="C4" s="112" t="str">
        <x:v>一般變動</x:v>
      </x:c>
      <x:c r="D4" s="112" t="str">
        <x:v>大幅變動</x:v>
      </x:c>
      <x:c r="E4" s="232"/>
      <x:c r="F4" s="183" t="str">
        <x:v>小時</x:v>
      </x:c>
      <x:c r="G4" s="183" t="str">
        <x:v>總變動</x:v>
      </x:c>
      <x:c r="H4" s="183" t="str">
        <x:v>一般變動</x:v>
      </x:c>
      <x:c r="I4" s="183" t="str">
        <x:v>大幅變動</x:v>
      </x:c>
      <x:c r="J4" s="232"/>
      <x:c r="K4" s="112" t="str">
        <x:v>小時</x:v>
      </x:c>
      <x:c r="L4" s="112" t="str">
        <x:v>總變動</x:v>
      </x:c>
      <x:c r="M4" s="112" t="str">
        <x:v>一般變動</x:v>
      </x:c>
      <x:c r="N4" s="112" t="str">
        <x:v>大幅變動</x:v>
      </x:c>
      <x:c r="O4" s="232"/>
      <x:c r="P4" s="232"/>
      <x:c r="Q4" s="232"/>
      <x:c r="R4" s="232"/>
      <x:c r="S4" s="232"/>
      <x:c r="T4" s="232"/>
    </x:row>
    <x:row r="5">
      <x:c r="A5" s="120" t="n">
        <x:v>0</x:v>
      </x:c>
      <x:c r="B5" s="121" t="n">
        <x:v>0.1093709440166133</x:v>
      </x:c>
      <x:c r="C5" s="121" t="n">
        <x:v>0.10954399930777883</x:v>
      </x:c>
      <x:c r="D5" s="121" t="n">
        <x:v>0.1071056741280583</x:v>
      </x:c>
      <x:c r="E5" s="232"/>
      <x:c r="F5" s="120" t="n">
        <x:v>0</x:v>
      </x:c>
      <x:c r="G5" s="121" t="n">
        <x:v>0.005105131089383058</x:v>
      </x:c>
      <x:c r="H5" s="121" t="n">
        <x:v>0.005537769317296876</x:v>
      </x:c>
      <x:c r="I5" s="121" t="n">
        <x:v>0.0035137948984903696</x:v>
      </x:c>
      <x:c r="J5" s="232"/>
      <x:c r="K5" s="120" t="n">
        <x:v>0</x:v>
      </x:c>
      <x:c r="L5" s="224" t="n">
        <x:v>2.035086960283811</x:v>
      </x:c>
      <x:c r="M5" s="224" t="n">
        <x:v>2.041490006056935</x:v>
      </x:c>
      <x:c r="N5" s="224" t="n">
        <x:v>1.920484122852681</x:v>
      </x:c>
      <x:c r="O5" s="232"/>
      <x:c r="P5" s="232"/>
      <x:c r="Q5" s="232"/>
      <x:c r="R5" s="232"/>
      <x:c r="S5" s="232"/>
      <x:c r="T5" s="232"/>
    </x:row>
    <x:row r="6">
      <x:c r="A6" s="119" t="n">
        <x:v>1</x:v>
      </x:c>
      <x:c r="B6" s="122" t="n">
        <x:v>0.06026650514839491</x:v>
      </x:c>
      <x:c r="C6" s="122" t="n">
        <x:v>0.06030976897118629</x:v>
      </x:c>
      <x:c r="D6" s="122" t="n">
        <x:v>0.059257331251084504</x:v>
      </x:c>
      <x:c r="E6" s="232"/>
      <x:c r="F6" s="119" t="n">
        <x:v>1</x:v>
      </x:c>
      <x:c r="G6" s="122" t="n">
        <x:v>0.003850480228432984</x:v>
      </x:c>
      <x:c r="H6" s="122" t="n">
        <x:v>0.004066799342389894</x:v>
      </x:c>
      <x:c r="I6" s="122" t="n">
        <x:v>0.0028630921395106715</x:v>
      </x:c>
      <x:c r="J6" s="232"/>
      <x:c r="K6" s="119" t="n">
        <x:v>1</x:v>
      </x:c>
      <x:c r="L6" s="225" t="n">
        <x:v>1.4210435234057281</x:v>
      </x:c>
      <x:c r="M6" s="225" t="n">
        <x:v>1.4285714285714286</x:v>
      </x:c>
      <x:c r="N6" s="225" t="n">
        <x:v>1.3386257157730348</x:v>
      </x:c>
      <x:c r="O6" s="232"/>
      <x:c r="P6" s="232"/>
      <x:c r="Q6" s="232"/>
      <x:c r="R6" s="232"/>
      <x:c r="S6" s="232"/>
      <x:c r="T6" s="232"/>
    </x:row>
    <x:row r="7">
      <x:c r="A7" s="120" t="n">
        <x:v>2</x:v>
      </x:c>
      <x:c r="B7" s="121" t="n">
        <x:v>0.0183438608635459</x:v>
      </x:c>
      <x:c r="C7" s="121" t="n">
        <x:v>0.018387124686337283</x:v>
      </x:c>
      <x:c r="D7" s="121" t="n">
        <x:v>0.019260801665799063</x:v>
      </x:c>
      <x:c r="E7" s="232"/>
      <x:c r="F7" s="120" t="n">
        <x:v>2</x:v>
      </x:c>
      <x:c r="G7" s="121" t="n">
        <x:v>0.004283118456346803</x:v>
      </x:c>
      <x:c r="H7" s="121" t="n">
        <x:v>0.004715756684260621</x:v>
      </x:c>
      <x:c r="I7" s="121" t="n">
        <x:v>0.0025160506680548325</x:v>
      </x:c>
      <x:c r="J7" s="232"/>
      <x:c r="K7" s="120" t="n">
        <x:v>2</x:v>
      </x:c>
      <x:c r="L7" s="224" t="n">
        <x:v>0.5762741195812062</x:v>
      </x:c>
      <x:c r="M7" s="224" t="n">
        <x:v>0.5803841827463875</x:v>
      </x:c>
      <x:c r="N7" s="224" t="n">
        <x:v>0.5289345826826306</x:v>
      </x:c>
      <x:c r="O7" s="232"/>
      <x:c r="P7" s="232"/>
      <x:c r="Q7" s="232"/>
      <x:c r="R7" s="232"/>
      <x:c r="S7" s="232"/>
      <x:c r="T7" s="232"/>
    </x:row>
    <x:row r="8">
      <x:c r="A8" s="119" t="n">
        <x:v>3</x:v>
      </x:c>
      <x:c r="B8" s="122" t="n">
        <x:v>0.017478584407718267</x:v>
      </x:c>
      <x:c r="C8" s="122" t="n">
        <x:v>0.017651639698883795</x:v>
      </x:c>
      <x:c r="D8" s="122" t="n">
        <x:v>0.018783619642547284</x:v>
      </x:c>
      <x:c r="E8" s="232"/>
      <x:c r="F8" s="119" t="n">
        <x:v>3</x:v>
      </x:c>
      <x:c r="G8" s="122" t="n">
        <x:v>0.004066799342389894</x:v>
      </x:c>
      <x:c r="H8" s="122" t="n">
        <x:v>0.0044994375703037125</x:v>
      </x:c>
      <x:c r="I8" s="122" t="n">
        <x:v>0.0026028110359187923</x:v>
      </x:c>
      <x:c r="J8" s="232"/>
      <x:c r="K8" s="119" t="n">
        <x:v>3</x:v>
      </x:c>
      <x:c r="L8" s="225" t="n">
        <x:v>0.4523232672838972</x:v>
      </x:c>
      <x:c r="M8" s="225" t="n">
        <x:v>0.45509215194254565</x:v>
      </x:c>
      <x:c r="N8" s="225" t="n">
        <x:v>0.43358493840013884</x:v>
      </x:c>
      <x:c r="O8" s="232"/>
      <x:c r="P8" s="232"/>
      <x:c r="Q8" s="232"/>
      <x:c r="R8" s="232"/>
      <x:c r="S8" s="232"/>
      <x:c r="T8" s="232"/>
    </x:row>
    <x:row r="9">
      <x:c r="A9" s="120" t="n">
        <x:v>4</x:v>
      </x:c>
      <x:c r="B9" s="121" t="n">
        <x:v>0.015401920913731937</x:v>
      </x:c>
      <x:c r="C9" s="121" t="n">
        <x:v>0.015401920913731937</x:v>
      </x:c>
      <x:c r="D9" s="121" t="n">
        <x:v>0.01648446989415235</x:v>
      </x:c>
      <x:c r="E9" s="232"/>
      <x:c r="F9" s="120" t="n">
        <x:v>4</x:v>
      </x:c>
      <x:c r="G9" s="121" t="n">
        <x:v>0.003850480228432984</x:v>
      </x:c>
      <x:c r="H9" s="121" t="n">
        <x:v>0.004066799342389894</x:v>
      </x:c>
      <x:c r="I9" s="121" t="n">
        <x:v>0.0028630921395106715</x:v>
      </x:c>
      <x:c r="J9" s="232"/>
      <x:c r="K9" s="120" t="n">
        <x:v>4</x:v>
      </x:c>
      <x:c r="L9" s="224" t="n">
        <x:v>0.46075971272821664</x:v>
      </x:c>
      <x:c r="M9" s="224" t="n">
        <x:v>0.46050012979146837</x:v>
      </x:c>
      <x:c r="N9" s="224" t="n">
        <x:v>0.4500260281103592</x:v>
      </x:c>
      <x:c r="O9" s="232"/>
      <x:c r="P9" s="232"/>
      <x:c r="Q9" s="232"/>
      <x:c r="R9" s="232"/>
      <x:c r="S9" s="232"/>
      <x:c r="T9" s="232"/>
    </x:row>
    <x:row r="10">
      <x:c r="A10" s="119" t="n">
        <x:v>5</x:v>
      </x:c>
      <x:c r="B10" s="122" t="n">
        <x:v>0.013411785065328372</x:v>
      </x:c>
      <x:c r="C10" s="122" t="n">
        <x:v>0.013325257419745608</x:v>
      </x:c>
      <x:c r="D10" s="122" t="n">
        <x:v>0.014272080513621378</x:v>
      </x:c>
      <x:c r="E10" s="232"/>
      <x:c r="F10" s="119" t="n">
        <x:v>5</x:v>
      </x:c>
      <x:c r="G10" s="122" t="n">
        <x:v>0.0023362464307346196</x:v>
      </x:c>
      <x:c r="H10" s="122" t="n">
        <x:v>0.0024660378991087652</x:v>
      </x:c>
      <x:c r="I10" s="122" t="n">
        <x:v>0.0014749262536873156</x:v>
      </x:c>
      <x:c r="J10" s="232"/>
      <x:c r="K10" s="119" t="n">
        <x:v>5</x:v>
      </x:c>
      <x:c r="L10" s="225" t="n">
        <x:v>0.8452453058752272</x:v>
      </x:c>
      <x:c r="M10" s="225" t="n">
        <x:v>0.8436012806091546</x:v>
      </x:c>
      <x:c r="N10" s="225" t="n">
        <x:v>0.7860489328474752</x:v>
      </x:c>
      <x:c r="O10" s="232"/>
      <x:c r="P10" s="232"/>
      <x:c r="Q10" s="232"/>
      <x:c r="R10" s="232"/>
      <x:c r="S10" s="232"/>
      <x:c r="T10" s="232"/>
    </x:row>
    <x:row r="11">
      <x:c r="A11" s="120" t="n">
        <x:v>6</x:v>
      </x:c>
      <x:c r="B11" s="121" t="n">
        <x:v>0.01194081509042139</x:v>
      </x:c>
      <x:c r="C11" s="121" t="n">
        <x:v>0.012070606558795535</x:v>
      </x:c>
      <x:c r="D11" s="121" t="n">
        <x:v>0.011192087454450807</x:v>
      </x:c>
      <x:c r="E11" s="232"/>
      <x:c r="F11" s="120" t="n">
        <x:v>6</x:v>
      </x:c>
      <x:c r="G11" s="121" t="n">
        <x:v>0.003374578177727784</x:v>
      </x:c>
      <x:c r="H11" s="121" t="n">
        <x:v>0.003720688760058839</x:v>
      </x:c>
      <x:c r="I11" s="121" t="n">
        <x:v>0.001691827173347215</x:v>
      </x:c>
      <x:c r="J11" s="232"/>
      <x:c r="K11" s="120" t="n">
        <x:v>6</x:v>
      </x:c>
      <x:c r="L11" s="224" t="n">
        <x:v>2.5977329756857315</x:v>
      </x:c>
      <x:c r="M11" s="224" t="n">
        <x:v>2.60707796140867</x:v>
      </x:c>
      <x:c r="N11" s="224" t="n">
        <x:v>2.4642981086239804</x:v>
      </x:c>
      <x:c r="O11" s="232"/>
      <x:c r="P11" s="232"/>
      <x:c r="Q11" s="232"/>
      <x:c r="R11" s="232"/>
      <x:c r="S11" s="232"/>
      <x:c r="T11" s="232"/>
    </x:row>
    <x:row r="12">
      <x:c r="A12" s="119" t="n">
        <x:v>7</x:v>
      </x:c>
      <x:c r="B12" s="122" t="n">
        <x:v>0.03802725502920182</x:v>
      </x:c>
      <x:c r="C12" s="122" t="n">
        <x:v>0.039065541855937705</x:v>
      </x:c>
      <x:c r="D12" s="122" t="n">
        <x:v>0.029540623779985252</x:v>
      </x:c>
      <x:c r="E12" s="232"/>
      <x:c r="F12" s="119" t="n">
        <x:v>7</x:v>
      </x:c>
      <x:c r="G12" s="122" t="n">
        <x:v>0.00882543802725503</x:v>
      </x:c>
      <x:c r="H12" s="122" t="n">
        <x:v>0.009171533636166991</x:v>
      </x:c>
      <x:c r="I12" s="122" t="n">
        <x:v>0.0061597189086019175</x:v>
      </x:c>
      <x:c r="J12" s="232"/>
      <x:c r="K12" s="119" t="n">
        <x:v>7</x:v>
      </x:c>
      <x:c r="L12" s="225" t="n">
        <x:v>5.330045425048669</x:v>
      </x:c>
      <x:c r="M12" s="225" t="n">
        <x:v>5.32658446895955</x:v>
      </x:c>
      <x:c r="N12" s="225" t="n">
        <x:v>5.2751485706849435</x:v>
      </x:c>
      <x:c r="O12" s="232"/>
      <x:c r="P12" s="232"/>
      <x:c r="Q12" s="232"/>
      <x:c r="R12" s="232"/>
      <x:c r="S12" s="232"/>
      <x:c r="T12" s="232"/>
    </x:row>
    <x:row r="13">
      <x:c r="A13" s="120" t="n">
        <x:v>8</x:v>
      </x:c>
      <x:c r="B13" s="121" t="n">
        <x:v>0.08132894964526735</x:v>
      </x:c>
      <x:c r="C13" s="121" t="n">
        <x:v>0.0837947741823845</x:v>
      </x:c>
      <x:c r="D13" s="121" t="n">
        <x:v>0.06879500303634944</x:v>
      </x:c>
      <x:c r="E13" s="232"/>
      <x:c r="F13" s="120" t="n">
        <x:v>8</x:v>
      </x:c>
      <x:c r="G13" s="121" t="n">
        <x:v>0.006229451462190691</x:v>
      </x:c>
      <x:c r="H13" s="121" t="n">
        <x:v>0.006099671223395051</x:v>
      </x:c>
      <x:c r="I13" s="121" t="n">
        <x:v>0.005508805413377288</x:v>
      </x:c>
      <x:c r="J13" s="232"/>
      <x:c r="K13" s="120" t="n">
        <x:v>8</x:v>
      </x:c>
      <x:c r="L13" s="224" t="n">
        <x:v>5.053729018861395</x:v>
      </x:c>
      <x:c r="M13" s="224" t="n">
        <x:v>5.021456999480879</x:v>
      </x:c>
      <x:c r="N13" s="224" t="n">
        <x:v>5.116075301466123</x:v>
      </x:c>
      <x:c r="O13" s="232"/>
      <x:c r="P13" s="232"/>
      <x:c r="Q13" s="232"/>
      <x:c r="R13" s="232"/>
      <x:c r="S13" s="232"/>
      <x:c r="T13" s="232"/>
    </x:row>
    <x:row r="14">
      <x:c r="A14" s="119" t="n">
        <x:v>9</x:v>
      </x:c>
      <x:c r="B14" s="122" t="n">
        <x:v>0.08487627617234816</x:v>
      </x:c>
      <x:c r="C14" s="122" t="n">
        <x:v>0.08725558055026822</x:v>
      </x:c>
      <x:c r="D14" s="122" t="n">
        <x:v>0.0715277175327492</x:v>
      </x:c>
      <x:c r="E14" s="232"/>
      <x:c r="F14" s="119" t="n">
        <x:v>9</x:v>
      </x:c>
      <x:c r="G14" s="122" t="n">
        <x:v>0.005104689392628483</x:v>
      </x:c>
      <x:c r="H14" s="122" t="n">
        <x:v>0.005147949472227029</x:v>
      </x:c>
      <x:c r="I14" s="122" t="n">
        <x:v>0.0034267372256441397</x:v>
      </x:c>
      <x:c r="J14" s="232"/>
      <x:c r="K14" s="119" t="n">
        <x:v>9</x:v>
      </x:c>
      <x:c r="L14" s="225" t="n">
        <x:v>3.872555805502682</x:v>
      </x:c>
      <x:c r="M14" s="225" t="n">
        <x:v>3.85148814673819</x:v>
      </x:c>
      <x:c r="N14" s="225" t="n">
        <x:v>3.8396373731239697</x:v>
      </x:c>
      <x:c r="O14" s="232"/>
      <x:c r="P14" s="232"/>
      <x:c r="Q14" s="232"/>
      <x:c r="R14" s="232"/>
      <x:c r="S14" s="232"/>
      <x:c r="T14" s="232"/>
    </x:row>
    <x:row r="15">
      <x:c r="A15" s="120" t="n">
        <x:v>10</x:v>
      </x:c>
      <x:c r="B15" s="121" t="n">
        <x:v>0.06912960719847724</x:v>
      </x:c>
      <x:c r="C15" s="121" t="n">
        <x:v>0.07111957086001039</x:v>
      </x:c>
      <x:c r="D15" s="121" t="n">
        <x:v>0.059859460397328014</x:v>
      </x:c>
      <x:c r="E15" s="232"/>
      <x:c r="F15" s="120" t="n">
        <x:v>10</x:v>
      </x:c>
      <x:c r="G15" s="121" t="n">
        <x:v>0.00354732652708081</x:v>
      </x:c>
      <x:c r="H15" s="121" t="n">
        <x:v>0.0036771067658764494</x:v>
      </x:c>
      <x:c r="I15" s="121" t="n">
        <x:v>0.002342326711199792</x:v>
      </x:c>
      <x:c r="J15" s="232"/>
      <x:c r="K15" s="120" t="n">
        <x:v>10</x:v>
      </x:c>
      <x:c r="L15" s="224" t="n">
        <x:v>3.2660927496106593</x:v>
      </x:c>
      <x:c r="M15" s="224" t="n">
        <x:v>3.2519467035819347</x:v>
      </x:c>
      <x:c r="N15" s="224" t="n">
        <x:v>3.194499869870738</x:v>
      </x:c>
      <x:c r="O15" s="232"/>
      <x:c r="P15" s="232"/>
      <x:c r="Q15" s="232"/>
      <x:c r="R15" s="232"/>
      <x:c r="S15" s="232"/>
      <x:c r="T15" s="232"/>
    </x:row>
    <x:row r="16">
      <x:c r="A16" s="119" t="n">
        <x:v>11</x:v>
      </x:c>
      <x:c r="B16" s="122" t="n">
        <x:v>0.05926630905000865</x:v>
      </x:c>
      <x:c r="C16" s="122" t="n">
        <x:v>0.06056411143796504</x:v>
      </x:c>
      <x:c r="D16" s="122" t="n">
        <x:v>0.051704693328706516</x:v>
      </x:c>
      <x:c r="E16" s="232"/>
      <x:c r="F16" s="119" t="n">
        <x:v>11</x:v>
      </x:c>
      <x:c r="G16" s="122" t="n">
        <x:v>0.0036771067658764494</x:v>
      </x:c>
      <x:c r="H16" s="122" t="n">
        <x:v>0.003936667243467728</x:v>
      </x:c>
      <x:c r="I16" s="122" t="n">
        <x:v>0.0024290795523553396</x:v>
      </x:c>
      <x:c r="J16" s="232"/>
      <x:c r="K16" s="119" t="n">
        <x:v>11</x:v>
      </x:c>
      <x:c r="L16" s="225" t="n">
        <x:v>3.0313635577089464</x:v>
      </x:c>
      <x:c r="M16" s="225" t="n">
        <x:v>3.023057622426025</x:v>
      </x:c>
      <x:c r="N16" s="225" t="n">
        <x:v>2.962956536826581</x:v>
      </x:c>
      <x:c r="O16" s="232"/>
      <x:c r="P16" s="232"/>
      <x:c r="Q16" s="232"/>
      <x:c r="R16" s="232"/>
      <x:c r="S16" s="232"/>
      <x:c r="T16" s="232"/>
    </x:row>
    <x:row r="17">
      <x:c r="A17" s="120" t="n">
        <x:v>12</x:v>
      </x:c>
      <x:c r="B17" s="121" t="n">
        <x:v>0.05688946571490374</x:v>
      </x:c>
      <x:c r="C17" s="121" t="n">
        <x:v>0.05771144278606965</x:v>
      </x:c>
      <x:c r="D17" s="121" t="n">
        <x:v>0.05240098902528955</x:v>
      </x:c>
      <x:c r="E17" s="232"/>
      <x:c r="F17" s="120" t="n">
        <x:v>12</x:v>
      </x:c>
      <x:c r="G17" s="121" t="n">
        <x:v>0.0053212199870214145</x:v>
      </x:c>
      <x:c r="H17" s="121" t="n">
        <x:v>0.005840363400389357</x:v>
      </x:c>
      <x:c r="I17" s="121" t="n">
        <x:v>0.0037739122890730055</x:v>
      </x:c>
      <x:c r="J17" s="232"/>
      <x:c r="K17" s="120" t="n">
        <x:v>12</x:v>
      </x:c>
      <x:c r="L17" s="224" t="n">
        <x:v>2.8586632057105774</x:v>
      </x:c>
      <x:c r="M17" s="224" t="n">
        <x:v>2.8582305861994377</x:v>
      </x:c>
      <x:c r="N17" s="224" t="n">
        <x:v>2.819372749750575</x:v>
      </x:c>
      <x:c r="O17" s="232"/>
      <x:c r="P17" s="232"/>
      <x:c r="Q17" s="232"/>
      <x:c r="R17" s="232"/>
      <x:c r="S17" s="232"/>
      <x:c r="T17" s="232"/>
    </x:row>
    <x:row r="18">
      <x:c r="A18" s="119" t="n">
        <x:v>13</x:v>
      </x:c>
      <x:c r="B18" s="122" t="n">
        <x:v>0.05615644198321364</x:v>
      </x:c>
      <x:c r="C18" s="122" t="n">
        <x:v>0.05697845461624989</x:v>
      </x:c>
      <x:c r="D18" s="122" t="n">
        <x:v>0.05166579906298803</x:v>
      </x:c>
      <x:c r="E18" s="232"/>
      <x:c r="F18" s="119" t="n">
        <x:v>13</x:v>
      </x:c>
      <x:c r="G18" s="122" t="n">
        <x:v>0.0068789478238297135</x:v>
      </x:c>
      <x:c r="H18" s="122" t="n">
        <x:v>0.007095266937786623</x:v>
      </x:c>
      <x:c r="I18" s="122" t="n">
        <x:v>0.0055526635432934235</x:v>
      </x:c>
      <x:c r="J18" s="232"/>
      <x:c r="K18" s="119" t="n">
        <x:v>13</x:v>
      </x:c>
      <x:c r="L18" s="225" t="n">
        <x:v>2.780652418447694</x:v>
      </x:c>
      <x:c r="M18" s="225" t="n">
        <x:v>2.782599290473306</x:v>
      </x:c>
      <x:c r="N18" s="225" t="n">
        <x:v>2.7400659378795766</x:v>
      </x:c>
      <x:c r="O18" s="232"/>
      <x:c r="P18" s="232"/>
      <x:c r="Q18" s="232"/>
      <x:c r="R18" s="232"/>
      <x:c r="S18" s="232"/>
      <x:c r="T18" s="232"/>
    </x:row>
    <x:row r="19">
      <x:c r="A19" s="120" t="n">
        <x:v>14</x:v>
      </x:c>
      <x:c r="B19" s="121" t="n">
        <x:v>0.05109457471662196</x:v>
      </x:c>
      <x:c r="C19" s="121" t="n">
        <x:v>0.05191658734965822</x:v>
      </x:c>
      <x:c r="D19" s="121" t="n">
        <x:v>0.04372722540343571</x:v>
      </x:c>
      <x:c r="E19" s="232"/>
      <x:c r="F19" s="120" t="n">
        <x:v>14</x:v>
      </x:c>
      <x:c r="G19" s="121" t="n">
        <x:v>0.005407977848922731</x:v>
      </x:c>
      <x:c r="H19" s="121" t="n">
        <x:v>0.005451241671714113</x:v>
      </x:c>
      <x:c r="I19" s="121" t="n">
        <x:v>0.004424778761061947</x:v>
      </x:c>
      <x:c r="J19" s="232"/>
      <x:c r="K19" s="120" t="n">
        <x:v>14</x:v>
      </x:c>
      <x:c r="L19" s="224" t="n">
        <x:v>2.7513195465951372</x:v>
      </x:c>
      <x:c r="M19" s="224" t="n">
        <x:v>2.7522280868737563</x:v>
      </x:c>
      <x:c r="N19" s="224" t="n">
        <x:v>2.718028804442131</x:v>
      </x:c>
      <x:c r="O19" s="232"/>
      <x:c r="P19" s="232"/>
      <x:c r="Q19" s="232"/>
      <x:c r="R19" s="232"/>
      <x:c r="S19" s="232"/>
      <x:c r="T19" s="232"/>
    </x:row>
    <x:row r="20">
      <x:c r="A20" s="119" t="n">
        <x:v>15</x:v>
      </x:c>
      <x:c r="B20" s="122" t="n">
        <x:v>0.04572986069049061</x:v>
      </x:c>
      <x:c r="C20" s="122" t="n">
        <x:v>0.0464653456779441</x:v>
      </x:c>
      <x:c r="D20" s="122" t="n">
        <x:v>0.040300190872809304</x:v>
      </x:c>
      <x:c r="E20" s="232"/>
      <x:c r="F20" s="119" t="n">
        <x:v>15</x:v>
      </x:c>
      <x:c r="G20" s="122" t="n">
        <x:v>0.004326382279138185</x:v>
      </x:c>
      <x:c r="H20" s="122" t="n">
        <x:v>0.004412909924720949</x:v>
      </x:c>
      <x:c r="I20" s="122" t="n">
        <x:v>0.003079993059170571</x:v>
      </x:c>
      <x:c r="J20" s="232"/>
      <x:c r="K20" s="119" t="n">
        <x:v>15</x:v>
      </x:c>
      <x:c r="L20" s="225" t="n">
        <x:v>2.7715237518387124</x:v>
      </x:c>
      <x:c r="M20" s="225" t="n">
        <x:v>2.7704854200917195</x:v>
      </x:c>
      <x:c r="N20" s="225" t="n">
        <x:v>2.718115564809995</x:v>
      </x:c>
      <x:c r="O20" s="232"/>
      <x:c r="P20" s="232"/>
      <x:c r="Q20" s="232"/>
      <x:c r="R20" s="232"/>
      <x:c r="S20" s="232"/>
      <x:c r="T20" s="232"/>
    </x:row>
    <x:row r="21">
      <x:c r="A21" s="120" t="n">
        <x:v>16</x:v>
      </x:c>
      <x:c r="B21" s="121" t="n">
        <x:v>0.048628536817513196</x:v>
      </x:c>
      <x:c r="C21" s="121" t="n">
        <x:v>0.04875832828588734</x:v>
      </x:c>
      <x:c r="D21" s="121" t="n">
        <x:v>0.05098719895855934</x:v>
      </x:c>
      <x:c r="E21" s="232"/>
      <x:c r="F21" s="120" t="n">
        <x:v>16</x:v>
      </x:c>
      <x:c r="G21" s="121" t="n">
        <x:v>0.005234922557757204</x:v>
      </x:c>
      <x:c r="H21" s="121" t="n">
        <x:v>0.005494505494505495</x:v>
      </x:c>
      <x:c r="I21" s="121" t="n">
        <x:v>0.0040789759166847475</x:v>
      </x:c>
      <x:c r="J21" s="232"/>
      <x:c r="K21" s="120" t="n">
        <x:v>16</x:v>
      </x:c>
      <x:c r="L21" s="224" t="n">
        <x:v>4.259453145279917</x:v>
      </x:c>
      <x:c r="M21" s="224" t="n">
        <x:v>4.244354071125724</x:v>
      </x:c>
      <x:c r="N21" s="224" t="n">
        <x:v>4.4013018008244735</x:v>
      </x:c>
      <x:c r="O21" s="232"/>
      <x:c r="P21" s="232"/>
      <x:c r="Q21" s="232"/>
      <x:c r="R21" s="232"/>
      <x:c r="S21" s="232"/>
      <x:c r="T21" s="232"/>
    </x:row>
    <x:row r="22">
      <x:c r="A22" s="119" t="n">
        <x:v>17</x:v>
      </x:c>
      <x:c r="B22" s="122" t="n">
        <x:v>0.051440685298953015</x:v>
      </x:c>
      <x:c r="C22" s="122" t="n">
        <x:v>0.05027256208358571</x:v>
      </x:c>
      <x:c r="D22" s="122" t="n">
        <x:v>0.06062315570213504</x:v>
      </x:c>
      <x:c r="E22" s="232"/>
      <x:c r="F22" s="119" t="n">
        <x:v>17</x:v>
      </x:c>
      <x:c r="G22" s="122" t="n">
        <x:v>0.009777623950852297</x:v>
      </x:c>
      <x:c r="H22" s="122" t="n">
        <x:v>0.010469845115514407</x:v>
      </x:c>
      <x:c r="I22" s="122" t="n">
        <x:v>0.004903662558583579</x:v>
      </x:c>
      <x:c r="J22" s="232"/>
      <x:c r="K22" s="119" t="n">
        <x:v>17</x:v>
      </x:c>
      <x:c r="L22" s="225" t="n">
        <x:v>4.908410487150644</x:v>
      </x:c>
      <x:c r="M22" s="225" t="n">
        <x:v>4.9139482564679415</x:v>
      </x:c>
      <x:c r="N22" s="225" t="n">
        <x:v>4.8415205693456</x:v>
      </x:c>
      <x:c r="O22" s="232"/>
      <x:c r="P22" s="232"/>
      <x:c r="Q22" s="232"/>
      <x:c r="R22" s="232"/>
      <x:c r="S22" s="232"/>
      <x:c r="T22" s="232"/>
    </x:row>
    <x:row r="23">
      <x:c r="A23" s="120" t="n">
        <x:v>18</x:v>
      </x:c>
      <x:c r="B23" s="121" t="n">
        <x:v>0.05174353205849269</x:v>
      </x:c>
      <x:c r="C23" s="121" t="n">
        <x:v>0.05109457471662196</x:v>
      </x:c>
      <x:c r="D23" s="121" t="n">
        <x:v>0.061577851067523</x:v>
      </x:c>
      <x:c r="E23" s="232"/>
      <x:c r="F23" s="120" t="n">
        <x:v>18</x:v>
      </x:c>
      <x:c r="G23" s="121" t="n">
        <x:v>0.007398113697326296</x:v>
      </x:c>
      <x:c r="H23" s="121" t="n">
        <x:v>0.008566236912693606</x:v>
      </x:c>
      <x:c r="I23" s="121" t="n">
        <x:v>0.003601805242145461</x:v>
      </x:c>
      <x:c r="J23" s="232"/>
      <x:c r="K23" s="120" t="n">
        <x:v>18</x:v>
      </x:c>
      <x:c r="L23" s="224" t="n">
        <x:v>5.503331314354936</x:v>
      </x:c>
      <x:c r="M23" s="224" t="n">
        <x:v>5.501470969974907</x:v>
      </x:c>
      <x:c r="N23" s="224" t="n">
        <x:v>5.33540183995834</x:v>
      </x:c>
      <x:c r="O23" s="232"/>
      <x:c r="P23" s="232"/>
      <x:c r="Q23" s="232"/>
      <x:c r="R23" s="232"/>
      <x:c r="S23" s="232"/>
      <x:c r="T23" s="232"/>
    </x:row>
    <x:row r="24">
      <x:c r="A24" s="119" t="n">
        <x:v>19</x:v>
      </x:c>
      <x:c r="B24" s="122" t="n">
        <x:v>0.06662628709872805</x:v>
      </x:c>
      <x:c r="C24" s="122" t="n">
        <x:v>0.0664964956303539</x:v>
      </x:c>
      <x:c r="D24" s="122" t="n">
        <x:v>0.0687695244706699</x:v>
      </x:c>
      <x:c r="E24" s="232"/>
      <x:c r="F24" s="119" t="n">
        <x:v>19</x:v>
      </x:c>
      <x:c r="G24" s="122" t="n">
        <x:v>0.005407977848922731</x:v>
      </x:c>
      <x:c r="H24" s="122" t="n">
        <x:v>0.0061001990135848404</x:v>
      </x:c>
      <x:c r="I24" s="122" t="n">
        <x:v>0.003340853870183964</x:v>
      </x:c>
      <x:c r="J24" s="232"/>
      <x:c r="K24" s="119" t="n">
        <x:v>19</x:v>
      </x:c>
      <x:c r="L24" s="225" t="n">
        <x:v>4.813057021718439</x:v>
      </x:c>
      <x:c r="M24" s="225" t="n">
        <x:v>4.826987972657264</x:v>
      </x:c>
      <x:c r="N24" s="225" t="n">
        <x:v>4.6474314474140925</x:v>
      </x:c>
      <x:c r="O24" s="232"/>
      <x:c r="P24" s="232"/>
      <x:c r="Q24" s="232"/>
      <x:c r="R24" s="232"/>
      <x:c r="S24" s="232"/>
      <x:c r="T24" s="232"/>
    </x:row>
    <x:row r="25">
      <x:c r="A25" s="120" t="n">
        <x:v>20</x:v>
      </x:c>
      <x:c r="B25" s="121" t="n">
        <x:v>0.0740276035131744</x:v>
      </x:c>
      <x:c r="C25" s="121" t="n">
        <x:v>0.07376800934539005</x:v>
      </x:c>
      <x:c r="D25" s="121" t="n">
        <x:v>0.07730684135178517</x:v>
      </x:c>
      <x:c r="E25" s="232"/>
      <x:c r="F25" s="120" t="n">
        <x:v>20</x:v>
      </x:c>
      <x:c r="G25" s="121" t="n">
        <x:v>0.0034612555704581836</x:v>
      </x:c>
      <x:c r="H25" s="121" t="n">
        <x:v>0.003807381127504002</x:v>
      </x:c>
      <x:c r="I25" s="121" t="n">
        <x:v>0.002386013621968678</x:v>
      </x:c>
      <x:c r="J25" s="232"/>
      <x:c r="K25" s="120" t="n">
        <x:v>20</x:v>
      </x:c>
      <x:c r="L25" s="224" t="n">
        <x:v>3.746506295158569</x:v>
      </x:c>
      <x:c r="M25" s="224" t="n">
        <x:v>3.760610911608186</x:v>
      </x:c>
      <x:c r="N25" s="224" t="n">
        <x:v>3.6015357251312308</x:v>
      </x:c>
      <x:c r="O25" s="232"/>
      <x:c r="P25" s="232"/>
      <x:c r="Q25" s="232"/>
      <x:c r="R25" s="232"/>
      <x:c r="S25" s="232"/>
      <x:c r="T25" s="232"/>
    </x:row>
    <x:row r="26">
      <x:c r="A26" s="119" t="n">
        <x:v>21</x:v>
      </x:c>
      <x:c r="B26" s="122" t="n">
        <x:v>0.09790603097689712</x:v>
      </x:c>
      <x:c r="C26" s="122" t="n">
        <x:v>0.09760318421735745</x:v>
      </x:c>
      <x:c r="D26" s="122" t="n">
        <x:v>0.09747527329515877</x:v>
      </x:c>
      <x:c r="E26" s="232"/>
      <x:c r="F26" s="119" t="n">
        <x:v>21</x:v>
      </x:c>
      <x:c r="G26" s="122" t="n">
        <x:v>0.0034611058233105477</x:v>
      </x:c>
      <x:c r="H26" s="122" t="n">
        <x:v>0.003677424937267457</x:v>
      </x:c>
      <x:c r="I26" s="122" t="n">
        <x:v>0.0018219677251431546</x:v>
      </x:c>
      <x:c r="J26" s="232"/>
      <x:c r="K26" s="119" t="n">
        <x:v>21</x:v>
      </x:c>
      <x:c r="L26" s="225" t="n">
        <x:v>3.490828069568227</x:v>
      </x:c>
      <x:c r="M26" s="225" t="n">
        <x:v>3.502076663493986</x:v>
      </x:c>
      <x:c r="N26" s="225" t="n">
        <x:v>3.360142287003297</x:v>
      </x:c>
      <x:c r="O26" s="232"/>
      <x:c r="P26" s="232"/>
      <x:c r="Q26" s="232"/>
      <x:c r="R26" s="232"/>
      <x:c r="S26" s="232"/>
      <x:c r="T26" s="232"/>
    </x:row>
    <x:row r="27">
      <x:c r="A27" s="120" t="n">
        <x:v>22</x:v>
      </x:c>
      <x:c r="B27" s="121" t="n">
        <x:v>0.12611404343687807</x:v>
      </x:c>
      <x:c r="C27" s="121" t="n">
        <x:v>0.1260707796140867</x:v>
      </x:c>
      <x:c r="D27" s="121" t="n">
        <x:v>0.1243709873329863</x:v>
      </x:c>
      <x:c r="E27" s="232"/>
      <x:c r="F27" s="120" t="n">
        <x:v>22</x:v>
      </x:c>
      <x:c r="G27" s="121" t="n">
        <x:v>0.010340053647140262</x:v>
      </x:c>
      <x:c r="H27" s="121" t="n">
        <x:v>0.01077269187505408</x:v>
      </x:c>
      <x:c r="I27" s="121" t="n">
        <x:v>0.005379142807565504</x:v>
      </x:c>
      <x:c r="J27" s="232"/>
      <x:c r="K27" s="120" t="n">
        <x:v>22</x:v>
      </x:c>
      <x:c r="L27" s="224" t="n">
        <x:v>2.9312537855844942</x:v>
      </x:c>
      <x:c r="M27" s="224" t="n">
        <x:v>2.9422860603962966</x:v>
      </x:c>
      <x:c r="N27" s="224" t="n">
        <x:v>2.825698420961305</x:v>
      </x:c>
      <x:c r="O27" s="232"/>
      <x:c r="P27" s="232"/>
      <x:c r="Q27" s="232"/>
      <x:c r="R27" s="232"/>
      <x:c r="S27" s="232"/>
      <x:c r="T27" s="232"/>
    </x:row>
    <x:row r="28">
      <x:c r="A28" s="119" t="n">
        <x:v>23</x:v>
      </x:c>
      <x:c r="B28" s="122" t="n">
        <x:v>0.11824002768884659</x:v>
      </x:c>
      <x:c r="C28" s="122" t="n">
        <x:v>0.1184563468028035</x:v>
      </x:c>
      <x:c r="D28" s="122" t="n">
        <x:v>0.11630227312163803</x:v>
      </x:c>
      <x:c r="E28" s="232"/>
      <x:c r="F28" s="119" t="n">
        <x:v>23</x:v>
      </x:c>
      <x:c r="G28" s="122" t="n">
        <x:v>0.007052003114995241</x:v>
      </x:c>
      <x:c r="H28" s="122" t="n">
        <x:v>0.0072250584061607686</x:v>
      </x:c>
      <x:c r="I28" s="122" t="n">
        <x:v>0.004685059864653826</x:v>
      </x:c>
      <x:c r="J28" s="232"/>
      <x:c r="K28" s="119" t="n">
        <x:v>23</x:v>
      </x:c>
      <x:c r="L28" s="225" t="n">
        <x:v>2.702344899195293</x:v>
      </x:c>
      <x:c r="M28" s="225" t="n">
        <x:v>2.713939603703383</x:v>
      </x:c>
      <x:c r="N28" s="225" t="n">
        <x:v>2.5558302967204583</x:v>
      </x:c>
      <x:c r="O28" s="232"/>
      <x:c r="P28" s="232"/>
      <x:c r="Q28" s="232"/>
      <x:c r="R28" s="232"/>
      <x:c r="S28" s="232"/>
      <x:c r="T28" s="232"/>
    </x:row>
    <x:row r="29">
      <x:c r="A29" s="232"/>
      <x:c r="B29" s="232"/>
      <x:c r="C29" s="232"/>
      <x:c r="D29" s="232"/>
      <x:c r="E29" s="232"/>
      <x:c r="F29" s="232"/>
      <x:c r="G29" s="232"/>
      <x:c r="H29" s="232"/>
      <x:c r="I29" s="232"/>
      <x:c r="J29" s="232"/>
      <x:c r="K29" s="232"/>
      <x:c r="L29" s="232"/>
      <x:c r="M29" s="232"/>
      <x:c r="N29" s="232"/>
      <x:c r="O29" s="232"/>
      <x:c r="P29" s="232"/>
      <x:c r="Q29" s="232"/>
      <x:c r="R29" s="232"/>
      <x:c r="S29" s="232"/>
      <x:c r="T29" s="232"/>
    </x:row>
    <x:row r="30">
      <x:c r="A30" s="232"/>
      <x:c r="B30" s="232"/>
      <x:c r="C30" s="232"/>
      <x:c r="D30" s="232"/>
      <x:c r="E30" s="232"/>
      <x:c r="F30" s="232"/>
      <x:c r="G30" s="232"/>
      <x:c r="H30" s="232"/>
      <x:c r="I30" s="232"/>
      <x:c r="J30" s="232"/>
      <x:c r="K30" s="232"/>
      <x:c r="L30" s="232"/>
      <x:c r="M30" s="232"/>
      <x:c r="N30" s="232"/>
      <x:c r="O30" s="232"/>
      <x:c r="P30" s="232"/>
      <x:c r="Q30" s="232"/>
      <x:c r="R30" s="232"/>
      <x:c r="S30" s="232"/>
      <x:c r="T30" s="232"/>
    </x:row>
    <x:row r="31">
      <x:c r="A31" s="232"/>
      <x:c r="B31" s="232"/>
      <x:c r="C31" s="232"/>
      <x:c r="D31" s="232"/>
      <x:c r="E31" s="232"/>
      <x:c r="F31" s="232"/>
      <x:c r="G31" s="232"/>
      <x:c r="H31" s="232"/>
      <x:c r="I31" s="232"/>
      <x:c r="J31" s="232"/>
      <x:c r="K31" s="232"/>
      <x:c r="L31" s="204" t="str">
        <x:v>讀法：活動量曲線告訴你『什麼時段需求流動大』，失衡率曲線告訴你『什麼時段服務失敗多』。兩者不一定同時最高，因此營運儀表板最好同時呈現，而不是只用熱門程度代替風險。</x:v>
      </x:c>
      <x:c r="M31" s="205"/>
      <x:c r="N31" s="205"/>
      <x:c r="O31" s="205"/>
      <x:c r="P31" s="205"/>
      <x:c r="Q31" s="205"/>
      <x:c r="R31" s="205"/>
      <x:c r="S31" s="205"/>
      <x:c r="T31" s="206"/>
    </x:row>
    <x:row r="32">
      <x:c r="A32" s="232"/>
      <x:c r="B32" s="232"/>
      <x:c r="C32" s="232"/>
      <x:c r="D32" s="232"/>
      <x:c r="E32" s="232"/>
      <x:c r="F32" s="232"/>
      <x:c r="G32" s="232"/>
      <x:c r="H32" s="232"/>
      <x:c r="I32" s="232"/>
      <x:c r="J32" s="232"/>
      <x:c r="K32" s="232"/>
      <x:c r="L32" s="207"/>
      <x:c r="M32" s="208"/>
      <x:c r="N32" s="208"/>
      <x:c r="O32" s="208"/>
      <x:c r="P32" s="208"/>
      <x:c r="Q32" s="208"/>
      <x:c r="R32" s="208"/>
      <x:c r="S32" s="208"/>
      <x:c r="T32" s="209"/>
    </x:row>
    <x:row r="33">
      <x:c r="A33" s="232"/>
      <x:c r="B33" s="232"/>
      <x:c r="C33" s="232"/>
      <x:c r="D33" s="232"/>
      <x:c r="E33" s="232"/>
      <x:c r="F33" s="232"/>
      <x:c r="G33" s="232"/>
      <x:c r="H33" s="232"/>
      <x:c r="I33" s="232"/>
      <x:c r="J33" s="232"/>
      <x:c r="K33" s="232"/>
      <x:c r="L33" s="207"/>
      <x:c r="M33" s="208"/>
      <x:c r="N33" s="208"/>
      <x:c r="O33" s="208"/>
      <x:c r="P33" s="208"/>
      <x:c r="Q33" s="208"/>
      <x:c r="R33" s="208"/>
      <x:c r="S33" s="208"/>
      <x:c r="T33" s="209"/>
    </x:row>
    <x:row r="34">
      <x:c r="A34" s="232"/>
      <x:c r="B34" s="232"/>
      <x:c r="C34" s="232"/>
      <x:c r="D34" s="232"/>
      <x:c r="E34" s="232"/>
      <x:c r="F34" s="232"/>
      <x:c r="G34" s="232"/>
      <x:c r="H34" s="232"/>
      <x:c r="I34" s="232"/>
      <x:c r="J34" s="232"/>
      <x:c r="K34" s="232"/>
      <x:c r="L34" s="207"/>
      <x:c r="M34" s="208"/>
      <x:c r="N34" s="208"/>
      <x:c r="O34" s="208"/>
      <x:c r="P34" s="208"/>
      <x:c r="Q34" s="208"/>
      <x:c r="R34" s="208"/>
      <x:c r="S34" s="208"/>
      <x:c r="T34" s="209"/>
    </x:row>
    <x:row r="35">
      <x:c r="A35" s="232"/>
      <x:c r="B35" s="232"/>
      <x:c r="C35" s="232"/>
      <x:c r="D35" s="232"/>
      <x:c r="E35" s="232"/>
      <x:c r="F35" s="232"/>
      <x:c r="G35" s="232"/>
      <x:c r="H35" s="232"/>
      <x:c r="I35" s="232"/>
      <x:c r="J35" s="232"/>
      <x:c r="K35" s="232"/>
      <x:c r="L35" s="207"/>
      <x:c r="M35" s="208"/>
      <x:c r="N35" s="208"/>
      <x:c r="O35" s="208"/>
      <x:c r="P35" s="208"/>
      <x:c r="Q35" s="208"/>
      <x:c r="R35" s="208"/>
      <x:c r="S35" s="208"/>
      <x:c r="T35" s="209"/>
    </x:row>
    <x:row r="36">
      <x:c r="A36" s="232"/>
      <x:c r="B36" s="232"/>
      <x:c r="C36" s="232"/>
      <x:c r="D36" s="232"/>
      <x:c r="E36" s="232"/>
      <x:c r="F36" s="232"/>
      <x:c r="G36" s="232"/>
      <x:c r="H36" s="232"/>
      <x:c r="I36" s="232"/>
      <x:c r="J36" s="232"/>
      <x:c r="K36" s="232"/>
      <x:c r="L36" s="207"/>
      <x:c r="M36" s="208"/>
      <x:c r="N36" s="208"/>
      <x:c r="O36" s="208"/>
      <x:c r="P36" s="208"/>
      <x:c r="Q36" s="208"/>
      <x:c r="R36" s="208"/>
      <x:c r="S36" s="208"/>
      <x:c r="T36" s="209"/>
    </x:row>
    <x:row r="37">
      <x:c r="A37" s="232"/>
      <x:c r="B37" s="232"/>
      <x:c r="C37" s="232"/>
      <x:c r="D37" s="232"/>
      <x:c r="E37" s="232"/>
      <x:c r="F37" s="232"/>
      <x:c r="G37" s="232"/>
      <x:c r="H37" s="232"/>
      <x:c r="I37" s="232"/>
      <x:c r="J37" s="232"/>
      <x:c r="K37" s="232"/>
      <x:c r="L37" s="207"/>
      <x:c r="M37" s="208"/>
      <x:c r="N37" s="208"/>
      <x:c r="O37" s="208"/>
      <x:c r="P37" s="208"/>
      <x:c r="Q37" s="208"/>
      <x:c r="R37" s="208"/>
      <x:c r="S37" s="208"/>
      <x:c r="T37" s="209"/>
    </x:row>
    <x:row r="38">
      <x:c r="A38" s="232"/>
      <x:c r="B38" s="232"/>
      <x:c r="C38" s="232"/>
      <x:c r="D38" s="232"/>
      <x:c r="E38" s="232"/>
      <x:c r="F38" s="232"/>
      <x:c r="G38" s="232"/>
      <x:c r="H38" s="232"/>
      <x:c r="I38" s="232"/>
      <x:c r="J38" s="232"/>
      <x:c r="K38" s="232"/>
      <x:c r="L38" s="207"/>
      <x:c r="M38" s="208"/>
      <x:c r="N38" s="208"/>
      <x:c r="O38" s="208"/>
      <x:c r="P38" s="208"/>
      <x:c r="Q38" s="208"/>
      <x:c r="R38" s="208"/>
      <x:c r="S38" s="208"/>
      <x:c r="T38" s="209"/>
    </x:row>
    <x:row r="39">
      <x:c r="A39" s="232"/>
      <x:c r="B39" s="232"/>
      <x:c r="C39" s="232"/>
      <x:c r="D39" s="232"/>
      <x:c r="E39" s="232"/>
      <x:c r="F39" s="232"/>
      <x:c r="G39" s="232"/>
      <x:c r="H39" s="232"/>
      <x:c r="I39" s="232"/>
      <x:c r="J39" s="232"/>
      <x:c r="K39" s="232"/>
      <x:c r="L39" s="207"/>
      <x:c r="M39" s="208"/>
      <x:c r="N39" s="208"/>
      <x:c r="O39" s="208"/>
      <x:c r="P39" s="208"/>
      <x:c r="Q39" s="208"/>
      <x:c r="R39" s="208"/>
      <x:c r="S39" s="208"/>
      <x:c r="T39" s="209"/>
    </x:row>
    <x:row r="40">
      <x:c r="A40" s="232"/>
      <x:c r="B40" s="232"/>
      <x:c r="C40" s="232"/>
      <x:c r="D40" s="232"/>
      <x:c r="E40" s="232"/>
      <x:c r="F40" s="232"/>
      <x:c r="G40" s="232"/>
      <x:c r="H40" s="232"/>
      <x:c r="I40" s="232"/>
      <x:c r="J40" s="232"/>
      <x:c r="K40" s="232"/>
      <x:c r="L40" s="207"/>
      <x:c r="M40" s="208"/>
      <x:c r="N40" s="208"/>
      <x:c r="O40" s="208"/>
      <x:c r="P40" s="208"/>
      <x:c r="Q40" s="208"/>
      <x:c r="R40" s="208"/>
      <x:c r="S40" s="208"/>
      <x:c r="T40" s="209"/>
    </x:row>
    <x:row r="41">
      <x:c r="A41" s="232"/>
      <x:c r="B41" s="232"/>
      <x:c r="C41" s="232"/>
      <x:c r="D41" s="232"/>
      <x:c r="E41" s="232"/>
      <x:c r="F41" s="232"/>
      <x:c r="G41" s="232"/>
      <x:c r="H41" s="232"/>
      <x:c r="I41" s="232"/>
      <x:c r="J41" s="232"/>
      <x:c r="K41" s="232"/>
      <x:c r="L41" s="207"/>
      <x:c r="M41" s="208"/>
      <x:c r="N41" s="208"/>
      <x:c r="O41" s="208"/>
      <x:c r="P41" s="208"/>
      <x:c r="Q41" s="208"/>
      <x:c r="R41" s="208"/>
      <x:c r="S41" s="208"/>
      <x:c r="T41" s="209"/>
    </x:row>
    <x:row r="42">
      <x:c r="A42" s="232"/>
      <x:c r="B42" s="232"/>
      <x:c r="C42" s="232"/>
      <x:c r="D42" s="232"/>
      <x:c r="E42" s="232"/>
      <x:c r="F42" s="232"/>
      <x:c r="G42" s="232"/>
      <x:c r="H42" s="232"/>
      <x:c r="I42" s="232"/>
      <x:c r="J42" s="232"/>
      <x:c r="K42" s="232"/>
      <x:c r="L42" s="207"/>
      <x:c r="M42" s="208"/>
      <x:c r="N42" s="208"/>
      <x:c r="O42" s="208"/>
      <x:c r="P42" s="208"/>
      <x:c r="Q42" s="208"/>
      <x:c r="R42" s="208"/>
      <x:c r="S42" s="208"/>
      <x:c r="T42" s="209"/>
    </x:row>
    <x:row r="43">
      <x:c r="A43" s="232"/>
      <x:c r="B43" s="232"/>
      <x:c r="C43" s="232"/>
      <x:c r="D43" s="232"/>
      <x:c r="E43" s="232"/>
      <x:c r="F43" s="232"/>
      <x:c r="G43" s="232"/>
      <x:c r="H43" s="232"/>
      <x:c r="I43" s="232"/>
      <x:c r="J43" s="232"/>
      <x:c r="K43" s="232"/>
      <x:c r="L43" s="207"/>
      <x:c r="M43" s="208"/>
      <x:c r="N43" s="208"/>
      <x:c r="O43" s="208"/>
      <x:c r="P43" s="208"/>
      <x:c r="Q43" s="208"/>
      <x:c r="R43" s="208"/>
      <x:c r="S43" s="208"/>
      <x:c r="T43" s="209"/>
    </x:row>
    <x:row r="44">
      <x:c r="A44" s="232"/>
      <x:c r="B44" s="232"/>
      <x:c r="C44" s="232"/>
      <x:c r="D44" s="232"/>
      <x:c r="E44" s="232"/>
      <x:c r="F44" s="232"/>
      <x:c r="G44" s="232"/>
      <x:c r="H44" s="232"/>
      <x:c r="I44" s="232"/>
      <x:c r="J44" s="232"/>
      <x:c r="K44" s="232"/>
      <x:c r="L44" s="207"/>
      <x:c r="M44" s="208"/>
      <x:c r="N44" s="208"/>
      <x:c r="O44" s="208"/>
      <x:c r="P44" s="208"/>
      <x:c r="Q44" s="208"/>
      <x:c r="R44" s="208"/>
      <x:c r="S44" s="208"/>
      <x:c r="T44" s="209"/>
    </x:row>
    <x:row r="45">
      <x:c r="A45" s="232"/>
      <x:c r="B45" s="232"/>
      <x:c r="C45" s="232"/>
      <x:c r="D45" s="232"/>
      <x:c r="E45" s="232"/>
      <x:c r="F45" s="232"/>
      <x:c r="G45" s="232"/>
      <x:c r="H45" s="232"/>
      <x:c r="I45" s="232"/>
      <x:c r="J45" s="232"/>
      <x:c r="K45" s="232"/>
      <x:c r="L45" s="210"/>
      <x:c r="M45" s="211"/>
      <x:c r="N45" s="211"/>
      <x:c r="O45" s="211"/>
      <x:c r="P45" s="211"/>
      <x:c r="Q45" s="211"/>
      <x:c r="R45" s="211"/>
      <x:c r="S45" s="211"/>
      <x:c r="T45" s="212"/>
    </x:row>
  </x:sheetData>
  <x:mergeCells>
    <x:mergeCell ref="A1:T1"/>
    <x:mergeCell ref="A2:T2"/>
    <x:mergeCell ref="L31:T45"/>
  </x:mergeCells>
  <x:pageMargins left="0.7" right="0.7" top="0.75" bottom="0.75" header="0.3" footer="0.3"/>
  <x:drawing xmlns:r="http://schemas.openxmlformats.org/officeDocument/2006/relationships" r:id="Rdb86a38055b94751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.400000095367432" hidden="0" customWidth="1"/>
    <x:col min="3" max="3" width="5.400000095367432" hidden="0" customWidth="1"/>
    <x:col min="4" max="4" width="5.400000095367432" hidden="0" customWidth="1"/>
    <x:col min="5" max="5" width="5.400000095367432" hidden="0" customWidth="1"/>
    <x:col min="6" max="6" width="5.400000095367432" hidden="0" customWidth="1"/>
    <x:col min="7" max="7" width="5.400000095367432" hidden="0" customWidth="1"/>
    <x:col min="8" max="8" width="5.400000095367432" hidden="0" customWidth="1"/>
    <x:col min="9" max="9" width="5.400000095367432" hidden="0" customWidth="1"/>
    <x:col min="10" max="10" width="5.400000095367432" hidden="0" customWidth="1"/>
    <x:col min="11" max="11" width="5.400000095367432" hidden="0" customWidth="1"/>
    <x:col min="12" max="12" width="5.400000095367432" hidden="0" customWidth="1"/>
    <x:col min="13" max="13" width="5.400000095367432" hidden="0" customWidth="1"/>
    <x:col min="14" max="14" width="5.400000095367432" hidden="0" customWidth="1"/>
    <x:col min="15" max="15" width="5.400000095367432" hidden="0" customWidth="1"/>
    <x:col min="16" max="16" width="5.400000095367432" hidden="0" customWidth="1"/>
    <x:col min="17" max="17" width="5.400000095367432" hidden="0" customWidth="1"/>
    <x:col min="18" max="18" width="5.400000095367432" hidden="0" customWidth="1"/>
    <x:col min="19" max="19" width="5.400000095367432" hidden="0" customWidth="1"/>
    <x:col min="20" max="20" width="5.400000095367432" hidden="0" customWidth="1"/>
    <x:col min="21" max="21" width="5.400000095367432" hidden="0" customWidth="1"/>
    <x:col min="22" max="22" width="5.400000095367432" hidden="0" customWidth="1"/>
    <x:col min="23" max="23" width="5.400000095367432" hidden="0" customWidth="1"/>
    <x:col min="24" max="24" width="5.400000095367432" hidden="0" customWidth="1"/>
    <x:col min="25" max="25" width="5.400000095367432" hidden="0" customWidth="1"/>
  </x:cols>
  <x:sheetData>
    <x:row r="1" ht="34" customHeight="1">
      <x:c r="A1" s="3" t="str">
        <x:v>五月：一般變動前25%站的星期 × 小時熱圖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8" customHeight="1">
      <x:c r="A2" s="7" t="str">
        <x:v>先用目前較建議的『一般變動』名單呈現。顏色越紅代表失衡比例越高；其他兩份名單可由Power BI資料表切換比較。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  <x:c r="R3" s="232"/>
      <x:c r="S3" s="232"/>
      <x:c r="T3" s="232"/>
      <x:c r="U3" s="232"/>
      <x:c r="V3" s="232"/>
      <x:c r="W3" s="232"/>
      <x:c r="X3" s="232"/>
      <x:c r="Y3" s="232"/>
    </x:row>
    <x:row r="4" ht="25" customHeight="1">
      <x:c r="A4" s="106" t="str">
        <x:v>無車可借率</x:v>
      </x:c>
      <x:c r="B4" s="106"/>
      <x:c r="C4" s="106"/>
      <x:c r="D4" s="106"/>
      <x:c r="E4" s="106"/>
      <x:c r="F4" s="106"/>
      <x:c r="G4" s="106"/>
      <x:c r="H4" s="106"/>
      <x:c r="I4" s="106"/>
      <x:c r="J4" s="106"/>
      <x:c r="K4" s="106"/>
      <x:c r="L4" s="106"/>
      <x:c r="M4" s="106"/>
      <x:c r="N4" s="106"/>
      <x:c r="O4" s="106"/>
      <x:c r="P4" s="106"/>
      <x:c r="Q4" s="106"/>
      <x:c r="R4" s="106"/>
      <x:c r="S4" s="106"/>
      <x:c r="T4" s="106"/>
      <x:c r="U4" s="106"/>
      <x:c r="V4" s="106"/>
      <x:c r="W4" s="106"/>
      <x:c r="X4" s="106"/>
      <x:c r="Y4" s="106"/>
    </x:row>
    <x:row r="5" ht="24" customHeight="1">
      <x:c r="A5" s="112" t="str">
        <x:v>星期</x:v>
      </x:c>
      <x:c r="B5" s="112" t="n">
        <x:v>0</x:v>
      </x:c>
      <x:c r="C5" s="112" t="n">
        <x:v>1</x:v>
      </x:c>
      <x:c r="D5" s="112" t="n">
        <x:v>2</x:v>
      </x:c>
      <x:c r="E5" s="112" t="n">
        <x:v>3</x:v>
      </x:c>
      <x:c r="F5" s="112" t="n">
        <x:v>4</x:v>
      </x:c>
      <x:c r="G5" s="112" t="n">
        <x:v>5</x:v>
      </x:c>
      <x:c r="H5" s="112" t="n">
        <x:v>6</x:v>
      </x:c>
      <x:c r="I5" s="112" t="n">
        <x:v>7</x:v>
      </x:c>
      <x:c r="J5" s="112" t="n">
        <x:v>8</x:v>
      </x:c>
      <x:c r="K5" s="112" t="n">
        <x:v>9</x:v>
      </x:c>
      <x:c r="L5" s="112" t="n">
        <x:v>10</x:v>
      </x:c>
      <x:c r="M5" s="112" t="n">
        <x:v>11</x:v>
      </x:c>
      <x:c r="N5" s="112" t="n">
        <x:v>12</x:v>
      </x:c>
      <x:c r="O5" s="112" t="n">
        <x:v>13</x:v>
      </x:c>
      <x:c r="P5" s="112" t="n">
        <x:v>14</x:v>
      </x:c>
      <x:c r="Q5" s="112" t="n">
        <x:v>15</x:v>
      </x:c>
      <x:c r="R5" s="112" t="n">
        <x:v>16</x:v>
      </x:c>
      <x:c r="S5" s="112" t="n">
        <x:v>17</x:v>
      </x:c>
      <x:c r="T5" s="112" t="n">
        <x:v>18</x:v>
      </x:c>
      <x:c r="U5" s="112" t="n">
        <x:v>19</x:v>
      </x:c>
      <x:c r="V5" s="112" t="n">
        <x:v>20</x:v>
      </x:c>
      <x:c r="W5" s="112" t="n">
        <x:v>21</x:v>
      </x:c>
      <x:c r="X5" s="112" t="n">
        <x:v>22</x:v>
      </x:c>
      <x:c r="Y5" s="112" t="n">
        <x:v>23</x:v>
      </x:c>
    </x:row>
    <x:row r="6">
      <x:c r="A6" s="120" t="str">
        <x:v>二</x:v>
      </x:c>
      <x:c r="B6" s="121" t="n">
        <x:v>0.10663983903420524</x:v>
      </x:c>
      <x:c r="C6" s="121" t="n">
        <x:v>0.07008718980549966</x:v>
      </x:c>
      <x:c r="D6" s="121" t="n">
        <x:v>0.028169014084507043</x:v>
      </x:c>
      <x:c r="E6" s="121" t="n">
        <x:v>0.02649228705566734</x:v>
      </x:c>
      <x:c r="F6" s="121" t="n">
        <x:v>0.019450033534540577</x:v>
      </x:c>
      <x:c r="G6" s="121" t="n">
        <x:v>0.011737089201877934</x:v>
      </x:c>
      <x:c r="H6" s="121" t="n">
        <x:v>0.012743125419181758</x:v>
      </x:c>
      <x:c r="I6" s="121" t="n">
        <x:v>0.054978209855849815</x:v>
      </x:c>
      <x:c r="J6" s="121" t="n">
        <x:v>0.11896782841823056</x:v>
      </x:c>
      <x:c r="K6" s="121" t="n">
        <x:v>0.13840482573726542</x:v>
      </x:c>
      <x:c r="L6" s="121" t="n">
        <x:v>0.09919571045576407</x:v>
      </x:c>
      <x:c r="M6" s="121" t="n">
        <x:v>0.08210455764075067</x:v>
      </x:c>
      <x:c r="N6" s="121" t="n">
        <x:v>0.06970509383378017</x:v>
      </x:c>
      <x:c r="O6" s="121" t="n">
        <x:v>0.06802949061662199</x:v>
      </x:c>
      <x:c r="P6" s="121" t="n">
        <x:v>0.06199731903485255</x:v>
      </x:c>
      <x:c r="Q6" s="121" t="n">
        <x:v>0.0539544235924933</x:v>
      </x:c>
      <x:c r="R6" s="121" t="n">
        <x:v>0.05227882037533512</x:v>
      </x:c>
      <x:c r="S6" s="121" t="n">
        <x:v>0.05093833780160858</x:v>
      </x:c>
      <x:c r="T6" s="121" t="n">
        <x:v>0.054959785522788206</x:v>
      </x:c>
      <x:c r="U6" s="121" t="n">
        <x:v>0.08780160857908847</x:v>
      </x:c>
      <x:c r="V6" s="121" t="n">
        <x:v>0.09349865951742628</x:v>
      </x:c>
      <x:c r="W6" s="121" t="n">
        <x:v>0.11226541554959786</x:v>
      </x:c>
      <x:c r="X6" s="121" t="n">
        <x:v>0.12902144772117963</x:v>
      </x:c>
      <x:c r="Y6" s="121" t="n">
        <x:v>0.11092493297587132</x:v>
      </x:c>
    </x:row>
    <x:row r="7">
      <x:c r="A7" s="119" t="str">
        <x:v>三</x:v>
      </x:c>
      <x:c r="B7" s="122" t="n">
        <x:v>0.09316353887399464</x:v>
      </x:c>
      <x:c r="C7" s="122" t="n">
        <x:v>0.04121983914209115</x:v>
      </x:c>
      <x:c r="D7" s="122" t="n">
        <x:v>0.010388739946380697</x:v>
      </x:c>
      <x:c r="E7" s="122" t="n">
        <x:v>0.011394101876675604</x:v>
      </x:c>
      <x:c r="F7" s="122" t="n">
        <x:v>0.010388739946380697</x:v>
      </x:c>
      <x:c r="G7" s="122" t="n">
        <x:v>0.00871313672922252</x:v>
      </x:c>
      <x:c r="H7" s="122" t="n">
        <x:v>0.011058981233243968</x:v>
      </x:c>
      <x:c r="I7" s="122" t="n">
        <x:v>0.043230563002680966</x:v>
      </x:c>
      <x:c r="J7" s="122" t="n">
        <x:v>0.09785522788203753</x:v>
      </x:c>
      <x:c r="K7" s="122" t="n">
        <x:v>0.09986595174262734</x:v>
      </x:c>
      <x:c r="L7" s="122" t="n">
        <x:v>0.07975871313672922</x:v>
      </x:c>
      <x:c r="M7" s="122" t="n">
        <x:v>0.05730563002680965</x:v>
      </x:c>
      <x:c r="N7" s="122" t="n">
        <x:v>0.05531344284277573</x:v>
      </x:c>
      <x:c r="O7" s="122" t="n">
        <x:v>0.055667337357478204</x:v>
      </x:c>
      <x:c r="P7" s="122" t="n">
        <x:v>0.043259557344064385</x:v>
      </x:c>
      <x:c r="Q7" s="122" t="n">
        <x:v>0.04393024815560027</x:v>
      </x:c>
      <x:c r="R7" s="122" t="n">
        <x:v>0.04493628437290409</x:v>
      </x:c>
      <x:c r="S7" s="122" t="n">
        <x:v>0.03990610328638498</x:v>
      </x:c>
      <x:c r="T7" s="122" t="n">
        <x:v>0.05533199195171026</x:v>
      </x:c>
      <x:c r="U7" s="122" t="n">
        <x:v>0.07310529845741114</x:v>
      </x:c>
      <x:c r="V7" s="122" t="n">
        <x:v>0.08819584171696848</x:v>
      </x:c>
      <x:c r="W7" s="122" t="n">
        <x:v>0.09859154929577464</x:v>
      </x:c>
      <x:c r="X7" s="122" t="n">
        <x:v>0.12307176391683435</x:v>
      </x:c>
      <x:c r="Y7" s="122" t="n">
        <x:v>0.10932260228034876</x:v>
      </x:c>
    </x:row>
    <x:row r="8">
      <x:c r="A8" s="120" t="str">
        <x:v>四</x:v>
      </x:c>
      <x:c r="B8" s="121" t="n">
        <x:v>0.09221998658618377</x:v>
      </x:c>
      <x:c r="C8" s="121" t="n">
        <x:v>0.046948356807511735</x:v>
      </x:c>
      <x:c r="D8" s="121" t="n">
        <x:v>0.010731052984574111</x:v>
      </x:c>
      <x:c r="E8" s="121" t="n">
        <x:v>0.012743125419181758</x:v>
      </x:c>
      <x:c r="F8" s="121" t="n">
        <x:v>0.012072434607645875</x:v>
      </x:c>
      <x:c r="G8" s="121" t="n">
        <x:v>0.012072434607645875</x:v>
      </x:c>
      <x:c r="H8" s="121" t="n">
        <x:v>0.011401743796109993</x:v>
      </x:c>
      <x:c r="I8" s="121" t="n">
        <x:v>0.052313883299798795</x:v>
      </x:c>
      <x:c r="J8" s="121" t="n">
        <x:v>0.1334674714956405</x:v>
      </x:c>
      <x:c r="K8" s="121" t="n">
        <x:v>0.14553990610328638</x:v>
      </x:c>
      <x:c r="L8" s="121" t="n">
        <x:v>0.11602951039570758</x:v>
      </x:c>
      <x:c r="M8" s="121" t="n">
        <x:v>0.09221998658618377</x:v>
      </x:c>
      <x:c r="N8" s="121" t="n">
        <x:v>0.07008718980549966</x:v>
      </x:c>
      <x:c r="O8" s="121" t="n">
        <x:v>0.07142857142857142</x:v>
      </x:c>
      <x:c r="P8" s="121" t="n">
        <x:v>0.0539906103286385</x:v>
      </x:c>
      <x:c r="Q8" s="121" t="n">
        <x:v>0.04594232059020791</x:v>
      </x:c>
      <x:c r="R8" s="121" t="n">
        <x:v>0.04896042924211938</x:v>
      </x:c>
      <x:c r="S8" s="121" t="n">
        <x:v>0.05130784708249497</x:v>
      </x:c>
      <x:c r="T8" s="121" t="n">
        <x:v>0.0539906103286385</x:v>
      </x:c>
      <x:c r="U8" s="121" t="n">
        <x:v>0.08484238765928907</x:v>
      </x:c>
      <x:c r="V8" s="121" t="n">
        <x:v>0.08048289738430583</x:v>
      </x:c>
      <x:c r="W8" s="121" t="n">
        <x:v>0.10932260228034876</x:v>
      </x:c>
      <x:c r="X8" s="121" t="n">
        <x:v>0.13782696177062373</x:v>
      </x:c>
      <x:c r="Y8" s="121" t="n">
        <x:v>0.11200536552649229</x:v>
      </x:c>
    </x:row>
    <x:row r="9">
      <x:c r="A9" s="119" t="str">
        <x:v>五</x:v>
      </x:c>
      <x:c r="B9" s="122" t="n">
        <x:v>0.09188464118041582</x:v>
      </x:c>
      <x:c r="C9" s="122" t="n">
        <x:v>0.04896042924211938</x:v>
      </x:c>
      <x:c r="D9" s="122" t="n">
        <x:v>0.008718980549966466</x:v>
      </x:c>
      <x:c r="E9" s="122" t="n">
        <x:v>0.009725016767270288</x:v>
      </x:c>
      <x:c r="F9" s="122" t="n">
        <x:v>0.012072434607645875</x:v>
      </x:c>
      <x:c r="G9" s="122" t="n">
        <x:v>0.012407780013413815</x:v>
      </x:c>
      <x:c r="H9" s="122" t="n">
        <x:v>0.012072434607645875</x:v>
      </x:c>
      <x:c r="I9" s="122" t="n">
        <x:v>0.05801475519785379</x:v>
      </x:c>
      <x:c r="J9" s="122" t="n">
        <x:v>0.14520456069751844</x:v>
      </x:c>
      <x:c r="K9" s="122" t="n">
        <x:v>0.14151576123407109</x:v>
      </x:c>
      <x:c r="L9" s="122" t="n">
        <x:v>0.09926224010731052</x:v>
      </x:c>
      <x:c r="M9" s="122" t="n">
        <x:v>0.07042253521126761</x:v>
      </x:c>
      <x:c r="N9" s="122" t="n">
        <x:v>0.07243460764587525</x:v>
      </x:c>
      <x:c r="O9" s="122" t="n">
        <x:v>0.059356136820925554</x:v>
      </x:c>
      <x:c r="P9" s="122" t="n">
        <x:v>0.06103286384976526</x:v>
      </x:c>
      <x:c r="Q9" s="122" t="n">
        <x:v>0.04862508383635144</x:v>
      </x:c>
      <x:c r="R9" s="122" t="n">
        <x:v>0.04795439302481556</x:v>
      </x:c>
      <x:c r="S9" s="122" t="n">
        <x:v>0.05432595573440644</x:v>
      </x:c>
      <x:c r="T9" s="122" t="n">
        <x:v>0.05868544600938967</x:v>
      </x:c>
      <x:c r="U9" s="122" t="n">
        <x:v>0.08886653252850436</x:v>
      </x:c>
      <x:c r="V9" s="122" t="n">
        <x:v>0.10164374371016438</x:v>
      </x:c>
      <x:c r="W9" s="122" t="n">
        <x:v>0.14285714285714285</x:v>
      </x:c>
      <x:c r="X9" s="122" t="n">
        <x:v>0.17538564721663313</x:v>
      </x:c>
      <x:c r="Y9" s="122" t="n">
        <x:v>0.14017437961099932</x:v>
      </x:c>
    </x:row>
    <x:row r="10">
      <x:c r="A10" s="120" t="str">
        <x:v>六</x:v>
      </x:c>
      <x:c r="B10" s="121" t="n">
        <x:v>0.10541845493562232</x:v>
      </x:c>
      <x:c r="C10" s="121" t="n">
        <x:v>0.0496244635193133</x:v>
      </x:c>
      <x:c r="D10" s="121" t="n">
        <x:v>0.012607296137339056</x:v>
      </x:c>
      <x:c r="E10" s="121" t="n">
        <x:v>0.010997854077253219</x:v>
      </x:c>
      <x:c r="F10" s="121" t="n">
        <x:v>0.009120171673819743</x:v>
      </x:c>
      <x:c r="G10" s="121" t="n">
        <x:v>0.00992489270386266</x:v>
      </x:c>
      <x:c r="H10" s="121" t="n">
        <x:v>0.01046137339055794</x:v>
      </x:c>
      <x:c r="I10" s="121" t="n">
        <x:v>0.03648068669527897</x:v>
      </x:c>
      <x:c r="J10" s="121" t="n">
        <x:v>0.07859442060085838</x:v>
      </x:c>
      <x:c r="K10" s="121" t="n">
        <x:v>0.07752145922746781</x:v>
      </x:c>
      <x:c r="L10" s="121" t="n">
        <x:v>0.07054721030042918</x:v>
      </x:c>
      <x:c r="M10" s="121" t="n">
        <x:v>0.055793991416309016</x:v>
      </x:c>
      <x:c r="N10" s="121" t="n">
        <x:v>0.05257510729613734</x:v>
      </x:c>
      <x:c r="O10" s="121" t="n">
        <x:v>0.04586909871244635</x:v>
      </x:c>
      <x:c r="P10" s="121" t="n">
        <x:v>0.04640557939914163</x:v>
      </x:c>
      <x:c r="Q10" s="121" t="n">
        <x:v>0.04372317596566524</x:v>
      </x:c>
      <x:c r="R10" s="121" t="n">
        <x:v>0.050965665236051505</x:v>
      </x:c>
      <x:c r="S10" s="121" t="n">
        <x:v>0.04801502145922747</x:v>
      </x:c>
      <x:c r="T10" s="121" t="n">
        <x:v>0.053916309012875537</x:v>
      </x:c>
      <x:c r="U10" s="121" t="n">
        <x:v>0.06893776824034335</x:v>
      </x:c>
      <x:c r="V10" s="121" t="n">
        <x:v>0.08315450643776824</x:v>
      </x:c>
      <x:c r="W10" s="121" t="n">
        <x:v>0.10675965665236052</x:v>
      </x:c>
      <x:c r="X10" s="121" t="n">
        <x:v>0.14082618025751073</x:v>
      </x:c>
      <x:c r="Y10" s="121" t="n">
        <x:v>0.1392167381974249</x:v>
      </x:c>
    </x:row>
    <x:row r="11">
      <x:c r="A11" s="119" t="str">
        <x:v>日</x:v>
      </x:c>
      <x:c r="B11" s="122" t="n">
        <x:v>0.13572961373390557</x:v>
      </x:c>
      <x:c r="C11" s="122" t="n">
        <x:v>0.07510729613733906</x:v>
      </x:c>
      <x:c r="D11" s="122" t="n">
        <x:v>0.022263948497854076</x:v>
      </x:c>
      <x:c r="E11" s="122" t="n">
        <x:v>0.024141630901287552</x:v>
      </x:c>
      <x:c r="F11" s="122" t="n">
        <x:v>0.019581545064377683</x:v>
      </x:c>
      <x:c r="G11" s="122" t="n">
        <x:v>0.017972103004291844</x:v>
      </x:c>
      <x:c r="H11" s="122" t="n">
        <x:v>0.01528969957081545</x:v>
      </x:c>
      <x:c r="I11" s="122" t="n">
        <x:v>0.023605150214592276</x:v>
      </x:c>
      <x:c r="J11" s="122" t="n">
        <x:v>0.02682403433476395</x:v>
      </x:c>
      <x:c r="K11" s="122" t="n">
        <x:v>0.024946351931330473</x:v>
      </x:c>
      <x:c r="L11" s="122" t="n">
        <x:v>0.03379828326180258</x:v>
      </x:c>
      <x:c r="M11" s="122" t="n">
        <x:v>0.045064377682403435</x:v>
      </x:c>
      <x:c r="N11" s="122" t="n">
        <x:v>0.04935622317596566</x:v>
      </x:c>
      <x:c r="O11" s="122" t="n">
        <x:v>0.05337982832618026</x:v>
      </x:c>
      <x:c r="P11" s="122" t="n">
        <x:v>0.05203862660944206</x:v>
      </x:c>
      <x:c r="Q11" s="122" t="n">
        <x:v>0.049087982832618025</x:v>
      </x:c>
      <x:c r="R11" s="122" t="n">
        <x:v>0.04372317596566524</x:v>
      </x:c>
      <x:c r="S11" s="122" t="n">
        <x:v>0.05203862660944206</x:v>
      </x:c>
      <x:c r="T11" s="122" t="n">
        <x:v>0.0421137339055794</x:v>
      </x:c>
      <x:c r="U11" s="122" t="n">
        <x:v>0.03460300429184549</x:v>
      </x:c>
      <x:c r="V11" s="122" t="n">
        <x:v>0.03540772532188841</x:v>
      </x:c>
      <x:c r="W11" s="122" t="n">
        <x:v>0.0536480686695279</x:v>
      </x:c>
      <x:c r="X11" s="122" t="n">
        <x:v>0.07805793991416309</x:v>
      </x:c>
      <x:c r="Y11" s="122" t="n">
        <x:v>0.10219957081545064</x:v>
      </x:c>
    </x:row>
    <x:row r="12">
      <x:c r="A12" s="120" t="str"/>
      <x:c r="B12" s="121" t="n">
        <x:v>0.13090128755364808</x:v>
      </x:c>
      <x:c r="C12" s="121" t="n">
        <x:v>0.08342274678111589</x:v>
      </x:c>
      <x:c r="D12" s="121" t="n">
        <x:v>0.03272532188841202</x:v>
      </x:c>
      <x:c r="E12" s="121" t="n">
        <x:v>0.02601931330472103</x:v>
      </x:c>
      <x:c r="F12" s="121" t="n">
        <x:v>0.023605150214592276</x:v>
      </x:c>
      <x:c r="G12" s="121" t="n">
        <x:v>0.018776824034334765</x:v>
      </x:c>
      <x:c r="H12" s="121" t="n">
        <x:v>0.011266094420600859</x:v>
      </x:c>
      <x:c r="I12" s="121" t="n">
        <x:v>0.01528969957081545</x:v>
      </x:c>
      <x:c r="J12" s="121" t="n">
        <x:v>0.017703862660944206</x:v>
      </x:c>
      <x:c r="K12" s="121" t="n">
        <x:v>0.018240343347639486</x:v>
      </x:c>
      <x:c r="L12" s="121" t="n">
        <x:v>0.02119098712446352</x:v>
      </x:c>
      <x:c r="M12" s="121" t="n">
        <x:v>0.03299356223175966</x:v>
      </x:c>
      <x:c r="N12" s="121" t="n">
        <x:v>0.04184549356223176</x:v>
      </x:c>
      <x:c r="O12" s="121" t="n">
        <x:v>0.05042918454935622</x:v>
      </x:c>
      <x:c r="P12" s="121" t="n">
        <x:v>0.04721030042918455</x:v>
      </x:c>
      <x:c r="Q12" s="121" t="n">
        <x:v>0.04130901287553648</x:v>
      </x:c>
      <x:c r="R12" s="121" t="n">
        <x:v>0.0523068669527897</x:v>
      </x:c>
      <x:c r="S12" s="121" t="n">
        <x:v>0.05445278969957081</x:v>
      </x:c>
      <x:c r="T12" s="121" t="n">
        <x:v>0.04238197424892704</x:v>
      </x:c>
      <x:c r="U12" s="121" t="n">
        <x:v>0.04104077253218884</x:v>
      </x:c>
      <x:c r="V12" s="121" t="n">
        <x:v>0.04774678111587983</x:v>
      </x:c>
      <x:c r="W12" s="121" t="n">
        <x:v>0.07430257510729614</x:v>
      </x:c>
      <x:c r="X12" s="121" t="n">
        <x:v>0.11051502145922747</x:v>
      </x:c>
      <x:c r="Y12" s="121" t="n">
        <x:v>0.11507510729613733</x:v>
      </x:c>
    </x:row>
    <x:row r="13">
      <x:c r="A13" s="232"/>
      <x:c r="B13" s="232"/>
      <x:c r="C13" s="232"/>
      <x:c r="D13" s="232"/>
      <x:c r="E13" s="232"/>
      <x:c r="F13" s="232"/>
      <x:c r="G13" s="232"/>
      <x:c r="H13" s="232"/>
      <x:c r="I13" s="232"/>
      <x:c r="J13" s="232"/>
      <x:c r="K13" s="232"/>
      <x:c r="L13" s="232"/>
      <x:c r="M13" s="232"/>
      <x:c r="N13" s="232"/>
      <x:c r="O13" s="232"/>
      <x:c r="P13" s="232"/>
      <x:c r="Q13" s="232"/>
      <x:c r="R13" s="232"/>
      <x:c r="S13" s="232"/>
      <x:c r="T13" s="232"/>
      <x:c r="U13" s="232"/>
      <x:c r="V13" s="232"/>
      <x:c r="W13" s="232"/>
      <x:c r="X13" s="232"/>
      <x:c r="Y13" s="232"/>
    </x:row>
    <x:row r="14">
      <x:c r="A14" s="232"/>
      <x:c r="B14" s="232"/>
      <x:c r="C14" s="232"/>
      <x:c r="D14" s="232"/>
      <x:c r="E14" s="232"/>
      <x:c r="F14" s="232"/>
      <x:c r="G14" s="232"/>
      <x:c r="H14" s="232"/>
      <x:c r="I14" s="232"/>
      <x:c r="J14" s="232"/>
      <x:c r="K14" s="232"/>
      <x:c r="L14" s="232"/>
      <x:c r="M14" s="232"/>
      <x:c r="N14" s="232"/>
      <x:c r="O14" s="232"/>
      <x:c r="P14" s="232"/>
      <x:c r="Q14" s="232"/>
      <x:c r="R14" s="232"/>
      <x:c r="S14" s="232"/>
      <x:c r="T14" s="232"/>
      <x:c r="U14" s="232"/>
      <x:c r="V14" s="232"/>
      <x:c r="W14" s="232"/>
      <x:c r="X14" s="232"/>
      <x:c r="Y14" s="232"/>
    </x:row>
    <x:row r="15" ht="25" customHeight="1">
      <x:c r="A15" s="106" t="str">
        <x:v>無位可還率</x:v>
      </x:c>
      <x:c r="B15" s="106"/>
      <x:c r="C15" s="106"/>
      <x:c r="D15" s="106"/>
      <x:c r="E15" s="106"/>
      <x:c r="F15" s="106"/>
      <x:c r="G15" s="106"/>
      <x:c r="H15" s="106"/>
      <x:c r="I15" s="106"/>
      <x:c r="J15" s="106"/>
      <x:c r="K15" s="106"/>
      <x:c r="L15" s="106"/>
      <x:c r="M15" s="106"/>
      <x:c r="N15" s="106"/>
      <x:c r="O15" s="106"/>
      <x:c r="P15" s="106"/>
      <x:c r="Q15" s="106"/>
      <x:c r="R15" s="106"/>
      <x:c r="S15" s="106"/>
      <x:c r="T15" s="106"/>
      <x:c r="U15" s="106"/>
      <x:c r="V15" s="106"/>
      <x:c r="W15" s="106"/>
      <x:c r="X15" s="106"/>
      <x:c r="Y15" s="106"/>
    </x:row>
    <x:row r="16" ht="24" customHeight="1">
      <x:c r="A16" s="183" t="str">
        <x:v>星期</x:v>
      </x:c>
      <x:c r="B16" s="183" t="n">
        <x:v>0</x:v>
      </x:c>
      <x:c r="C16" s="183" t="n">
        <x:v>1</x:v>
      </x:c>
      <x:c r="D16" s="183" t="n">
        <x:v>2</x:v>
      </x:c>
      <x:c r="E16" s="183" t="n">
        <x:v>3</x:v>
      </x:c>
      <x:c r="F16" s="183" t="n">
        <x:v>4</x:v>
      </x:c>
      <x:c r="G16" s="183" t="n">
        <x:v>5</x:v>
      </x:c>
      <x:c r="H16" s="183" t="n">
        <x:v>6</x:v>
      </x:c>
      <x:c r="I16" s="183" t="n">
        <x:v>7</x:v>
      </x:c>
      <x:c r="J16" s="183" t="n">
        <x:v>8</x:v>
      </x:c>
      <x:c r="K16" s="183" t="n">
        <x:v>9</x:v>
      </x:c>
      <x:c r="L16" s="183" t="n">
        <x:v>10</x:v>
      </x:c>
      <x:c r="M16" s="183" t="n">
        <x:v>11</x:v>
      </x:c>
      <x:c r="N16" s="183" t="n">
        <x:v>12</x:v>
      </x:c>
      <x:c r="O16" s="183" t="n">
        <x:v>13</x:v>
      </x:c>
      <x:c r="P16" s="183" t="n">
        <x:v>14</x:v>
      </x:c>
      <x:c r="Q16" s="183" t="n">
        <x:v>15</x:v>
      </x:c>
      <x:c r="R16" s="183" t="n">
        <x:v>16</x:v>
      </x:c>
      <x:c r="S16" s="183" t="n">
        <x:v>17</x:v>
      </x:c>
      <x:c r="T16" s="183" t="n">
        <x:v>18</x:v>
      </x:c>
      <x:c r="U16" s="183" t="n">
        <x:v>19</x:v>
      </x:c>
      <x:c r="V16" s="183" t="n">
        <x:v>20</x:v>
      </x:c>
      <x:c r="W16" s="183" t="n">
        <x:v>21</x:v>
      </x:c>
      <x:c r="X16" s="183" t="n">
        <x:v>22</x:v>
      </x:c>
      <x:c r="Y16" s="183" t="n">
        <x:v>23</x:v>
      </x:c>
    </x:row>
    <x:row r="17">
      <x:c r="A17" s="120" t="str">
        <x:v>二</x:v>
      </x:c>
      <x:c r="B17" s="121" t="n">
        <x:v>0.009054325955734407</x:v>
      </x:c>
      <x:c r="C17" s="121" t="n">
        <x:v>0.008383635144198525</x:v>
      </x:c>
      <x:c r="D17" s="121" t="n">
        <x:v>0.007377598926894702</x:v>
      </x:c>
      <x:c r="E17" s="121" t="n">
        <x:v>0.004694835680751174</x:v>
      </x:c>
      <x:c r="F17" s="121" t="n">
        <x:v>0.004024144869215292</x:v>
      </x:c>
      <x:c r="G17" s="121" t="n">
        <x:v>0.004694835680751174</x:v>
      </x:c>
      <x:c r="H17" s="121" t="n">
        <x:v>0.004024144869215292</x:v>
      </x:c>
      <x:c r="I17" s="121" t="n">
        <x:v>0.007039892725444184</x:v>
      </x:c>
      <x:c r="J17" s="121" t="n">
        <x:v>0.007707774798927614</x:v>
      </x:c>
      <x:c r="K17" s="121" t="n">
        <x:v>0.006032171581769437</x:v>
      </x:c>
      <x:c r="L17" s="121" t="n">
        <x:v>0.003351206434316354</x:v>
      </x:c>
      <x:c r="M17" s="121" t="n">
        <x:v>0.0013404825737265416</x:v>
      </x:c>
      <x:c r="N17" s="121" t="n">
        <x:v>0.005026809651474531</x:v>
      </x:c>
      <x:c r="O17" s="121" t="n">
        <x:v>0.006032171581769437</x:v>
      </x:c>
      <x:c r="P17" s="121" t="n">
        <x:v>0.003351206434316354</x:v>
      </x:c>
      <x:c r="Q17" s="121" t="n">
        <x:v>0.003686327077747989</x:v>
      </x:c>
      <x:c r="R17" s="121" t="n">
        <x:v>0.008378016085790885</x:v>
      </x:c>
      <x:c r="S17" s="121" t="n">
        <x:v>0.0160857908847185</x:v>
      </x:c>
      <x:c r="T17" s="121" t="n">
        <x:v>0.011729222520107238</x:v>
      </x:c>
      <x:c r="U17" s="121" t="n">
        <x:v>0.0023458445040214475</x:v>
      </x:c>
      <x:c r="V17" s="121" t="n">
        <x:v>0.002680965147453083</x:v>
      </x:c>
      <x:c r="W17" s="121" t="n">
        <x:v>0.003351206434316354</x:v>
      </x:c>
      <x:c r="X17" s="121" t="n">
        <x:v>0.00938337801608579</x:v>
      </x:c>
      <x:c r="Y17" s="121" t="n">
        <x:v>0.004021447721179625</x:v>
      </x:c>
    </x:row>
    <x:row r="18">
      <x:c r="A18" s="119" t="str">
        <x:v>三</x:v>
      </x:c>
      <x:c r="B18" s="122" t="n">
        <x:v>0.003686327077747989</x:v>
      </x:c>
      <x:c r="C18" s="122" t="n">
        <x:v>0.0003351206434316354</x:v>
      </x:c>
      <x:c r="D18" s="122" t="n">
        <x:v>0.0010053619302949062</x:v>
      </x:c>
      <x:c r="E18" s="122" t="n">
        <x:v>0.0020107238605898124</x:v>
      </x:c>
      <x:c r="F18" s="122" t="n">
        <x:v>0.0020107238605898124</x:v>
      </x:c>
      <x:c r="G18" s="122" t="n">
        <x:v>0.0010053619302949062</x:v>
      </x:c>
      <x:c r="H18" s="122" t="n">
        <x:v>0.00435656836461126</x:v>
      </x:c>
      <x:c r="I18" s="122" t="n">
        <x:v>0.010723860589812333</x:v>
      </x:c>
      <x:c r="J18" s="122" t="n">
        <x:v>0.004691689008042895</x:v>
      </x:c>
      <x:c r="K18" s="122" t="n">
        <x:v>0.00435656836461126</x:v>
      </x:c>
      <x:c r="L18" s="122" t="n">
        <x:v>0.003686327077747989</x:v>
      </x:c>
      <x:c r="M18" s="122" t="n">
        <x:v>0.002680965147453083</x:v>
      </x:c>
      <x:c r="N18" s="122" t="n">
        <x:v>0.0030170968823332216</x:v>
      </x:c>
      <x:c r="O18" s="122" t="n">
        <x:v>0.0026827632461435278</x:v>
      </x:c>
      <x:c r="P18" s="122" t="n">
        <x:v>0.001676727028839705</x:v>
      </x:c>
      <x:c r="Q18" s="122" t="n">
        <x:v>0.001676727028839705</x:v>
      </x:c>
      <x:c r="R18" s="122" t="n">
        <x:v>0.003688799463447351</x:v>
      </x:c>
      <x:c r="S18" s="122" t="n">
        <x:v>0.0077129443326626424</x:v>
      </x:c>
      <x:c r="T18" s="122" t="n">
        <x:v>0.0077129443326626424</x:v>
      </x:c>
      <x:c r="U18" s="122" t="n">
        <x:v>0.007042253521126761</x:v>
      </x:c>
      <x:c r="V18" s="122" t="n">
        <x:v>0.002012072434607646</x:v>
      </x:c>
      <x:c r="W18" s="122" t="n">
        <x:v>0.001676727028839705</x:v>
      </x:c>
      <x:c r="X18" s="122" t="n">
        <x:v>0.009725016767270288</x:v>
      </x:c>
      <x:c r="Y18" s="122" t="n">
        <x:v>0.0053655264922870555</x:v>
      </x:c>
    </x:row>
    <x:row r="19">
      <x:c r="A19" s="120" t="str">
        <x:v>四</x:v>
      </x:c>
      <x:c r="B19" s="121" t="n">
        <x:v>0.002012072434607646</x:v>
      </x:c>
      <x:c r="C19" s="121" t="n">
        <x:v>0.001676727028839705</x:v>
      </x:c>
      <x:c r="D19" s="121" t="n">
        <x:v>0.001006036217303823</x:v>
      </x:c>
      <x:c r="E19" s="121" t="n">
        <x:v>0.002012072434607646</x:v>
      </x:c>
      <x:c r="F19" s="121" t="n">
        <x:v>0.0030181086519114686</x:v>
      </x:c>
      <x:c r="G19" s="121" t="n">
        <x:v>0.001006036217303823</x:v>
      </x:c>
      <x:c r="H19" s="121" t="n">
        <x:v>0.005030181086519115</x:v>
      </x:c>
      <x:c r="I19" s="121" t="n">
        <x:v>0.01643192488262911</x:v>
      </x:c>
      <x:c r="J19" s="121" t="n">
        <x:v>0.008383635144198525</x:v>
      </x:c>
      <x:c r="K19" s="121" t="n">
        <x:v>0.006036217303822937</x:v>
      </x:c>
      <x:c r="L19" s="121" t="n">
        <x:v>0.003688799463447351</x:v>
      </x:c>
      <x:c r="M19" s="121" t="n">
        <x:v>0.002347417840375587</x:v>
      </x:c>
      <x:c r="N19" s="121" t="n">
        <x:v>0.004024144869215292</x:v>
      </x:c>
      <x:c r="O19" s="121" t="n">
        <x:v>0.005030181086519115</x:v>
      </x:c>
      <x:c r="P19" s="121" t="n">
        <x:v>0.006371562709590879</x:v>
      </x:c>
      <x:c r="Q19" s="121" t="n">
        <x:v>0.004024144869215292</x:v>
      </x:c>
      <x:c r="R19" s="121" t="n">
        <x:v>0.004024144869215292</x:v>
      </x:c>
      <x:c r="S19" s="121" t="n">
        <x:v>0.007042253521126761</x:v>
      </x:c>
      <x:c r="T19" s="121" t="n">
        <x:v>0.009054325955734407</x:v>
      </x:c>
      <x:c r="U19" s="121" t="n">
        <x:v>0.005700871898054996</x:v>
      </x:c>
      <x:c r="V19" s="121" t="n">
        <x:v>0.004024144869215292</x:v>
      </x:c>
      <x:c r="W19" s="121" t="n">
        <x:v>0.003688799463447351</x:v>
      </x:c>
      <x:c r="X19" s="121" t="n">
        <x:v>0.012407780013413815</x:v>
      </x:c>
      <x:c r="Y19" s="121" t="n">
        <x:v>0.008718980549966466</x:v>
      </x:c>
    </x:row>
    <x:row r="20">
      <x:c r="A20" s="119" t="str">
        <x:v>五</x:v>
      </x:c>
      <x:c r="B20" s="122" t="n">
        <x:v>0.005030181086519115</x:v>
      </x:c>
      <x:c r="C20" s="122" t="n">
        <x:v>0.002347417840375587</x:v>
      </x:c>
      <x:c r="D20" s="122" t="n">
        <x:v>0.001676727028839705</x:v>
      </x:c>
      <x:c r="E20" s="122" t="n">
        <x:v>0.00335345405767941</x:v>
      </x:c>
      <x:c r="F20" s="122" t="n">
        <x:v>0.005030181086519115</x:v>
      </x:c>
      <x:c r="G20" s="122" t="n">
        <x:v>0.0013413816230717639</x:v>
      </x:c>
      <x:c r="H20" s="122" t="n">
        <x:v>0.004024144869215292</x:v>
      </x:c>
      <x:c r="I20" s="122" t="n">
        <x:v>0.011737089201877934</x:v>
      </x:c>
      <x:c r="J20" s="122" t="n">
        <x:v>0.007042253521126761</x:v>
      </x:c>
      <x:c r="K20" s="122" t="n">
        <x:v>0.005030181086519115</x:v>
      </x:c>
      <x:c r="L20" s="122" t="n">
        <x:v>0.001676727028839705</x:v>
      </x:c>
      <x:c r="M20" s="122" t="n">
        <x:v>0.002012072434607646</x:v>
      </x:c>
      <x:c r="N20" s="122" t="n">
        <x:v>0.002347417840375587</x:v>
      </x:c>
      <x:c r="O20" s="122" t="n">
        <x:v>0.0030181086519114686</x:v>
      </x:c>
      <x:c r="P20" s="122" t="n">
        <x:v>0.001006036217303823</x:v>
      </x:c>
      <x:c r="Q20" s="122" t="n">
        <x:v>0.0013413816230717639</x:v>
      </x:c>
      <x:c r="R20" s="122" t="n">
        <x:v>0.00335345405767941</x:v>
      </x:c>
      <x:c r="S20" s="122" t="n">
        <x:v>0.015425888665325285</x:v>
      </x:c>
      <x:c r="T20" s="122" t="n">
        <x:v>0.010731052984574111</x:v>
      </x:c>
      <x:c r="U20" s="122" t="n">
        <x:v>0.00670690811535882</x:v>
      </x:c>
      <x:c r="V20" s="122" t="n">
        <x:v>0.0036900369003690036</x:v>
      </x:c>
      <x:c r="W20" s="122" t="n">
        <x:v>0.003688799463447351</x:v>
      </x:c>
      <x:c r="X20" s="122" t="n">
        <x:v>0.011737089201877934</x:v>
      </x:c>
      <x:c r="Y20" s="122" t="n">
        <x:v>0.0026827632461435278</x:v>
      </x:c>
    </x:row>
    <x:row r="21">
      <x:c r="A21" s="120" t="str">
        <x:v>六</x:v>
      </x:c>
      <x:c r="B21" s="121" t="n">
        <x:v>0.0037553648068669528</x:v>
      </x:c>
      <x:c r="C21" s="121" t="n">
        <x:v>0.001609442060085837</x:v>
      </x:c>
      <x:c r="D21" s="121" t="n">
        <x:v>0.0013412017167381974</x:v>
      </x:c>
      <x:c r="E21" s="121" t="n">
        <x:v>0.0024141630901287556</x:v>
      </x:c>
      <x:c r="F21" s="121" t="n">
        <x:v>0.002145922746781116</x:v>
      </x:c>
      <x:c r="G21" s="121" t="n">
        <x:v>0.001072961373390558</x:v>
      </x:c>
      <x:c r="H21" s="121" t="n">
        <x:v>0.004023605150214592</x:v>
      </x:c>
      <x:c r="I21" s="121" t="n">
        <x:v>0.011266094420600859</x:v>
      </x:c>
      <x:c r="J21" s="121" t="n">
        <x:v>0.005901287553648069</x:v>
      </x:c>
      <x:c r="K21" s="121" t="n">
        <x:v>0.004828326180257511</x:v>
      </x:c>
      <x:c r="L21" s="121" t="n">
        <x:v>0.0037553648068669528</x:v>
      </x:c>
      <x:c r="M21" s="121" t="n">
        <x:v>0.0037553648068669528</x:v>
      </x:c>
      <x:c r="N21" s="121" t="n">
        <x:v>0.005901287553648069</x:v>
      </x:c>
      <x:c r="O21" s="121" t="n">
        <x:v>0.0045600858369098714</x:v>
      </x:c>
      <x:c r="P21" s="121" t="n">
        <x:v>0.003218884120171674</x:v>
      </x:c>
      <x:c r="Q21" s="121" t="n">
        <x:v>0.0029506437768240345</x:v>
      </x:c>
      <x:c r="R21" s="121" t="n">
        <x:v>0.00536480686695279</x:v>
      </x:c>
      <x:c r="S21" s="121" t="n">
        <x:v>0.00992489270386266</x:v>
      </x:c>
      <x:c r="T21" s="121" t="n">
        <x:v>0.01072961373390558</x:v>
      </x:c>
      <x:c r="U21" s="121" t="n">
        <x:v>0.006169527896995708</x:v>
      </x:c>
      <x:c r="V21" s="121" t="n">
        <x:v>0.0034871244635193135</x:v>
      </x:c>
      <x:c r="W21" s="121" t="n">
        <x:v>0.004828326180257511</x:v>
      </x:c>
      <x:c r="X21" s="121" t="n">
        <x:v>0.01072961373390558</x:v>
      </x:c>
      <x:c r="Y21" s="121" t="n">
        <x:v>0.006706008583690987</x:v>
      </x:c>
    </x:row>
    <x:row r="22">
      <x:c r="A22" s="119" t="str">
        <x:v>日</x:v>
      </x:c>
      <x:c r="B22" s="122" t="n">
        <x:v>0.005633047210300429</x:v>
      </x:c>
      <x:c r="C22" s="122" t="n">
        <x:v>0.006437768240343348</x:v>
      </x:c>
      <x:c r="D22" s="122" t="n">
        <x:v>0.008315450643776824</x:v>
      </x:c>
      <x:c r="E22" s="122" t="n">
        <x:v>0.006437768240343348</x:v>
      </x:c>
      <x:c r="F22" s="122" t="n">
        <x:v>0.006169527896995708</x:v>
      </x:c>
      <x:c r="G22" s="122" t="n">
        <x:v>0.004023605150214592</x:v>
      </x:c>
      <x:c r="H22" s="122" t="n">
        <x:v>0.001609442060085837</x:v>
      </x:c>
      <x:c r="I22" s="122" t="n">
        <x:v>0.004023605150214592</x:v>
      </x:c>
      <x:c r="J22" s="122" t="n">
        <x:v>0.0037553648068669528</x:v>
      </x:c>
      <x:c r="K22" s="122" t="n">
        <x:v>0.005633047210300429</x:v>
      </x:c>
      <x:c r="L22" s="122" t="n">
        <x:v>0.0045600858369098714</x:v>
      </x:c>
      <x:c r="M22" s="122" t="n">
        <x:v>0.008047210300429184</x:v>
      </x:c>
      <x:c r="N22" s="122" t="n">
        <x:v>0.0101931330472103</x:v>
      </x:c>
      <x:c r="O22" s="122" t="n">
        <x:v>0.013680257510729614</x:v>
      </x:c>
      <x:c r="P22" s="122" t="n">
        <x:v>0.01046137339055794</x:v>
      </x:c>
      <x:c r="Q22" s="122" t="n">
        <x:v>0.006974248927038627</x:v>
      </x:c>
      <x:c r="R22" s="122" t="n">
        <x:v>0.00536480686695279</x:v>
      </x:c>
      <x:c r="S22" s="122" t="n">
        <x:v>0.009120171673819743</x:v>
      </x:c>
      <x:c r="T22" s="122" t="n">
        <x:v>0.006169527896995708</x:v>
      </x:c>
      <x:c r="U22" s="122" t="n">
        <x:v>0.008047210300429184</x:v>
      </x:c>
      <x:c r="V22" s="122" t="n">
        <x:v>0.006974248927038627</x:v>
      </x:c>
      <x:c r="W22" s="122" t="n">
        <x:v>0.004023605150214592</x:v>
      </x:c>
      <x:c r="X22" s="122" t="n">
        <x:v>0.011534334763948498</x:v>
      </x:c>
      <x:c r="Y22" s="122" t="n">
        <x:v>0.013143776824034335</x:v>
      </x:c>
    </x:row>
    <x:row r="23">
      <x:c r="A23" s="120" t="str"/>
      <x:c r="B23" s="121" t="n">
        <x:v>0.009120171673819743</x:v>
      </x:c>
      <x:c r="C23" s="121" t="n">
        <x:v>0.006974248927038627</x:v>
      </x:c>
      <x:c r="D23" s="121" t="n">
        <x:v>0.01072961373390558</x:v>
      </x:c>
      <x:c r="E23" s="121" t="n">
        <x:v>0.009388412017167383</x:v>
      </x:c>
      <x:c r="F23" s="121" t="n">
        <x:v>0.005633047210300429</x:v>
      </x:c>
      <x:c r="G23" s="121" t="n">
        <x:v>0.0037553648068669528</x:v>
      </x:c>
      <x:c r="H23" s="121" t="n">
        <x:v>0.0034871244635193135</x:v>
      </x:c>
      <x:c r="I23" s="121" t="n">
        <x:v>0.004828326180257511</x:v>
      </x:c>
      <x:c r="J23" s="121" t="n">
        <x:v>0.005901287553648069</x:v>
      </x:c>
      <x:c r="K23" s="121" t="n">
        <x:v>0.004291845493562232</x:v>
      </x:c>
      <x:c r="L23" s="121" t="n">
        <x:v>0.0045600858369098714</x:v>
      </x:c>
      <x:c r="M23" s="121" t="n">
        <x:v>0.005901287553648069</x:v>
      </x:c>
      <x:c r="N23" s="121" t="n">
        <x:v>0.008583690987124463</x:v>
      </x:c>
      <x:c r="O23" s="121" t="n">
        <x:v>0.012339055793991416</x:v>
      </x:c>
      <x:c r="P23" s="121" t="n">
        <x:v>0.0101931330472103</x:v>
      </x:c>
      <x:c r="Q23" s="121" t="n">
        <x:v>0.008851931330472103</x:v>
      </x:c>
      <x:c r="R23" s="121" t="n">
        <x:v>0.007778969957081545</x:v>
      </x:c>
      <x:c r="S23" s="121" t="n">
        <x:v>0.008851931330472103</x:v>
      </x:c>
      <x:c r="T23" s="121" t="n">
        <x:v>0.004828326180257511</x:v>
      </x:c>
      <x:c r="U23" s="121" t="n">
        <x:v>0.006169527896995708</x:v>
      </x:c>
      <x:c r="V23" s="121" t="n">
        <x:v>0.003218884120171674</x:v>
      </x:c>
      <x:c r="W23" s="121" t="n">
        <x:v>0.004023605150214592</x:v>
      </x:c>
      <x:c r="X23" s="121" t="n">
        <x:v>0.00992489270386266</x:v>
      </x:c>
      <x:c r="Y23" s="121" t="n">
        <x:v>0.008315450643776824</x:v>
      </x:c>
    </x:row>
    <x:row r="24">
      <x:c r="A24" s="232"/>
      <x:c r="B24" s="232"/>
      <x:c r="C24" s="232"/>
      <x:c r="D24" s="232"/>
      <x:c r="E24" s="232"/>
      <x:c r="F24" s="232"/>
      <x:c r="G24" s="232"/>
      <x:c r="H24" s="232"/>
      <x:c r="I24" s="232"/>
      <x:c r="J24" s="232"/>
      <x:c r="K24" s="232"/>
      <x:c r="L24" s="232"/>
      <x:c r="M24" s="232"/>
      <x:c r="N24" s="232"/>
      <x:c r="O24" s="232"/>
      <x:c r="P24" s="232"/>
      <x:c r="Q24" s="232"/>
      <x:c r="R24" s="232"/>
      <x:c r="S24" s="232"/>
      <x:c r="T24" s="232"/>
      <x:c r="U24" s="232"/>
      <x:c r="V24" s="232"/>
      <x:c r="W24" s="232"/>
      <x:c r="X24" s="232"/>
      <x:c r="Y24" s="232"/>
    </x:row>
    <x:row r="25">
      <x:c r="A25" s="232"/>
      <x:c r="B25" s="232"/>
      <x:c r="C25" s="232"/>
      <x:c r="D25" s="232"/>
      <x:c r="E25" s="232"/>
      <x:c r="F25" s="232"/>
      <x:c r="G25" s="232"/>
      <x:c r="H25" s="232"/>
      <x:c r="I25" s="232"/>
      <x:c r="J25" s="232"/>
      <x:c r="K25" s="232"/>
      <x:c r="L25" s="232"/>
      <x:c r="M25" s="232"/>
      <x:c r="N25" s="232"/>
      <x:c r="O25" s="232"/>
      <x:c r="P25" s="232"/>
      <x:c r="Q25" s="232"/>
      <x:c r="R25" s="232"/>
      <x:c r="S25" s="232"/>
      <x:c r="T25" s="232"/>
      <x:c r="U25" s="232"/>
      <x:c r="V25" s="232"/>
      <x:c r="W25" s="232"/>
      <x:c r="X25" s="232"/>
      <x:c r="Y25" s="232"/>
    </x:row>
    <x:row r="26">
      <x:c r="A26" s="141" t="str">
        <x:v>這張圖適合用來定義『熱門時段』，但最終尖峰不能只寫死成上下班：如果週末午後或特定夜間格子持續偏高，也應納入營運尖峰。熱圖是找規律的工具，不是因果證明。</x:v>
      </x:c>
      <x:c r="B26" s="142"/>
      <x:c r="C26" s="142"/>
      <x:c r="D26" s="142"/>
      <x:c r="E26" s="142"/>
      <x:c r="F26" s="142"/>
      <x:c r="G26" s="142"/>
      <x:c r="H26" s="142"/>
      <x:c r="I26" s="142"/>
      <x:c r="J26" s="142"/>
      <x:c r="K26" s="142"/>
      <x:c r="L26" s="142"/>
      <x:c r="M26" s="142"/>
      <x:c r="N26" s="142"/>
      <x:c r="O26" s="142"/>
      <x:c r="P26" s="142"/>
      <x:c r="Q26" s="142"/>
      <x:c r="R26" s="142"/>
      <x:c r="S26" s="142"/>
      <x:c r="T26" s="142"/>
      <x:c r="U26" s="142"/>
      <x:c r="V26" s="142"/>
      <x:c r="W26" s="142"/>
      <x:c r="X26" s="142"/>
      <x:c r="Y26" s="143"/>
    </x:row>
    <x:row r="27">
      <x:c r="A27" s="144"/>
      <x:c r="B27" s="145"/>
      <x:c r="C27" s="145"/>
      <x:c r="D27" s="145"/>
      <x:c r="E27" s="145"/>
      <x:c r="F27" s="145"/>
      <x:c r="G27" s="145"/>
      <x:c r="H27" s="145"/>
      <x:c r="I27" s="145"/>
      <x:c r="J27" s="145"/>
      <x:c r="K27" s="145"/>
      <x:c r="L27" s="145"/>
      <x:c r="M27" s="145"/>
      <x:c r="N27" s="145"/>
      <x:c r="O27" s="145"/>
      <x:c r="P27" s="145"/>
      <x:c r="Q27" s="145"/>
      <x:c r="R27" s="145"/>
      <x:c r="S27" s="145"/>
      <x:c r="T27" s="145"/>
      <x:c r="U27" s="145"/>
      <x:c r="V27" s="145"/>
      <x:c r="W27" s="145"/>
      <x:c r="X27" s="145"/>
      <x:c r="Y27" s="146"/>
    </x:row>
    <x:row r="28">
      <x:c r="A28" s="144"/>
      <x:c r="B28" s="145"/>
      <x:c r="C28" s="145"/>
      <x:c r="D28" s="145"/>
      <x:c r="E28" s="145"/>
      <x:c r="F28" s="145"/>
      <x:c r="G28" s="145"/>
      <x:c r="H28" s="145"/>
      <x:c r="I28" s="145"/>
      <x:c r="J28" s="145"/>
      <x:c r="K28" s="145"/>
      <x:c r="L28" s="145"/>
      <x:c r="M28" s="145"/>
      <x:c r="N28" s="145"/>
      <x:c r="O28" s="145"/>
      <x:c r="P28" s="145"/>
      <x:c r="Q28" s="145"/>
      <x:c r="R28" s="145"/>
      <x:c r="S28" s="145"/>
      <x:c r="T28" s="145"/>
      <x:c r="U28" s="145"/>
      <x:c r="V28" s="145"/>
      <x:c r="W28" s="145"/>
      <x:c r="X28" s="145"/>
      <x:c r="Y28" s="146"/>
    </x:row>
    <x:row r="29">
      <x:c r="A29" s="147"/>
      <x:c r="B29" s="148"/>
      <x:c r="C29" s="148"/>
      <x:c r="D29" s="148"/>
      <x:c r="E29" s="148"/>
      <x:c r="F29" s="148"/>
      <x:c r="G29" s="148"/>
      <x:c r="H29" s="148"/>
      <x:c r="I29" s="148"/>
      <x:c r="J29" s="148"/>
      <x:c r="K29" s="148"/>
      <x:c r="L29" s="148"/>
      <x:c r="M29" s="148"/>
      <x:c r="N29" s="148"/>
      <x:c r="O29" s="148"/>
      <x:c r="P29" s="148"/>
      <x:c r="Q29" s="148"/>
      <x:c r="R29" s="148"/>
      <x:c r="S29" s="148"/>
      <x:c r="T29" s="148"/>
      <x:c r="U29" s="148"/>
      <x:c r="V29" s="148"/>
      <x:c r="W29" s="148"/>
      <x:c r="X29" s="148"/>
      <x:c r="Y29" s="149"/>
    </x:row>
  </x:sheetData>
  <x:mergeCells>
    <x:mergeCell ref="A1:Y1"/>
    <x:mergeCell ref="A2:Y2"/>
    <x:mergeCell ref="A4:Y4"/>
    <x:mergeCell ref="A15:Y15"/>
    <x:mergeCell ref="A26:Y29"/>
  </x:mergeCells>
  <x:conditionalFormatting sqref="B6:Y12">
    <x:cfRule type="colorScale" priority="1">
      <x:colorScale>
        <x:cfvo type="min"/>
        <x:cfvo type="percentile" val="50"/>
        <x:cfvo type="max"/>
        <x:color rgb="FFE8F5E9"/>
        <x:color rgb="FFFFF3CD"/>
        <x:color rgb="FFE76F51"/>
      </x:colorScale>
    </x:cfRule>
  </x:conditionalFormatting>
  <x:conditionalFormatting sqref="B17:Y23">
    <x:cfRule type="colorScale" priority="2">
      <x:colorScale>
        <x:cfvo type="min"/>
        <x:cfvo type="percentile" val="50"/>
        <x:cfvo type="max"/>
        <x:color rgb="FFE8F5E9"/>
        <x:color rgb="FFFFF3CD"/>
        <x:color rgb="FFE76F51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4" customHeight="1">
      <x:c r="A1" s="3" t="str">
        <x:v>五月：失衡事件持續多久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真正失敗定義為可借車=0且仍有空位，或可還位=0且仍有車；相鄰30分鐘快照合併成一個事件。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  <x:c r="R3" s="232"/>
      <x:c r="S3" s="232"/>
      <x:c r="T3" s="232"/>
    </x:row>
    <x:row r="4" ht="25" customHeight="1">
      <x:c r="A4" s="106" t="str">
        <x:v>無車可借事件數</x:v>
      </x:c>
      <x:c r="B4" s="106"/>
      <x:c r="C4" s="106"/>
      <x:c r="D4" s="106"/>
      <x:c r="E4" s="232"/>
      <x:c r="F4" s="229" t="str">
        <x:v>無位可還事件數</x:v>
      </x:c>
      <x:c r="G4" s="229"/>
      <x:c r="H4" s="229"/>
      <x:c r="I4" s="229"/>
      <x:c r="J4" s="232"/>
      <x:c r="K4" s="232"/>
      <x:c r="L4" s="232"/>
      <x:c r="M4" s="232"/>
      <x:c r="N4" s="232"/>
      <x:c r="O4" s="232"/>
      <x:c r="P4" s="232"/>
      <x:c r="Q4" s="232"/>
      <x:c r="R4" s="232"/>
      <x:c r="S4" s="232"/>
      <x:c r="T4" s="232"/>
    </x:row>
    <x:row r="5" ht="28" customHeight="1">
      <x:c r="A5" s="112" t="str">
        <x:v>持續時間</x:v>
      </x:c>
      <x:c r="B5" s="112" t="str">
        <x:v>總變動</x:v>
      </x:c>
      <x:c r="C5" s="112" t="str">
        <x:v>一般變動</x:v>
      </x:c>
      <x:c r="D5" s="112" t="str">
        <x:v>大幅變動</x:v>
      </x:c>
      <x:c r="E5" s="232"/>
      <x:c r="F5" s="183" t="str">
        <x:v>持續時間</x:v>
      </x:c>
      <x:c r="G5" s="183" t="str">
        <x:v>總變動</x:v>
      </x:c>
      <x:c r="H5" s="183" t="str">
        <x:v>一般變動</x:v>
      </x:c>
      <x:c r="I5" s="183" t="str">
        <x:v>大幅變動</x:v>
      </x:c>
      <x:c r="J5" s="232"/>
      <x:c r="K5" s="232"/>
      <x:c r="L5" s="232"/>
      <x:c r="M5" s="232"/>
      <x:c r="N5" s="232"/>
      <x:c r="O5" s="232"/>
      <x:c r="P5" s="232"/>
      <x:c r="Q5" s="232"/>
      <x:c r="R5" s="232"/>
      <x:c r="S5" s="232"/>
      <x:c r="T5" s="232"/>
    </x:row>
    <x:row r="6">
      <x:c r="A6" s="120" t="str">
        <x:v>30分鐘</x:v>
      </x:c>
      <x:c r="B6" s="120" t="n">
        <x:v>10262</x:v>
      </x:c>
      <x:c r="C6" s="120" t="n">
        <x:v>10368</x:v>
      </x:c>
      <x:c r="D6" s="120" t="n">
        <x:v>9412</x:v>
      </x:c>
      <x:c r="E6" s="232"/>
      <x:c r="F6" s="120" t="str">
        <x:v>30分鐘</x:v>
      </x:c>
      <x:c r="G6" s="120" t="n">
        <x:v>1656</x:v>
      </x:c>
      <x:c r="H6" s="120" t="n">
        <x:v>1751</x:v>
      </x:c>
      <x:c r="I6" s="120" t="n">
        <x:v>1090</x:v>
      </x:c>
      <x:c r="J6" s="232"/>
      <x:c r="K6" s="232"/>
      <x:c r="L6" s="232"/>
      <x:c r="M6" s="232"/>
      <x:c r="N6" s="232"/>
      <x:c r="O6" s="232"/>
      <x:c r="P6" s="232"/>
      <x:c r="Q6" s="232"/>
      <x:c r="R6" s="232"/>
      <x:c r="S6" s="232"/>
      <x:c r="T6" s="232"/>
    </x:row>
    <x:row r="7">
      <x:c r="A7" s="119" t="str">
        <x:v>60分鐘</x:v>
      </x:c>
      <x:c r="B7" s="119" t="n">
        <x:v>3667</x:v>
      </x:c>
      <x:c r="C7" s="119" t="n">
        <x:v>3698</x:v>
      </x:c>
      <x:c r="D7" s="119" t="n">
        <x:v>3442</x:v>
      </x:c>
      <x:c r="E7" s="232"/>
      <x:c r="F7" s="119" t="str">
        <x:v>60分鐘</x:v>
      </x:c>
      <x:c r="G7" s="119" t="n">
        <x:v>333</x:v>
      </x:c>
      <x:c r="H7" s="119" t="n">
        <x:v>354</x:v>
      </x:c>
      <x:c r="I7" s="119" t="n">
        <x:v>216</x:v>
      </x:c>
      <x:c r="J7" s="232"/>
      <x:c r="K7" s="232"/>
      <x:c r="L7" s="232"/>
      <x:c r="M7" s="232"/>
      <x:c r="N7" s="232"/>
      <x:c r="O7" s="232"/>
      <x:c r="P7" s="232"/>
      <x:c r="Q7" s="232"/>
      <x:c r="R7" s="232"/>
      <x:c r="S7" s="232"/>
      <x:c r="T7" s="232"/>
    </x:row>
    <x:row r="8">
      <x:c r="A8" s="120" t="str">
        <x:v>90分鐘</x:v>
      </x:c>
      <x:c r="B8" s="120" t="n">
        <x:v>1561</x:v>
      </x:c>
      <x:c r="C8" s="120" t="n">
        <x:v>1576</x:v>
      </x:c>
      <x:c r="D8" s="120" t="n">
        <x:v>1506</x:v>
      </x:c>
      <x:c r="E8" s="232"/>
      <x:c r="F8" s="120" t="str">
        <x:v>90分鐘</x:v>
      </x:c>
      <x:c r="G8" s="120" t="n">
        <x:v>102</x:v>
      </x:c>
      <x:c r="H8" s="120" t="n">
        <x:v>109</x:v>
      </x:c>
      <x:c r="I8" s="120" t="n">
        <x:v>64</x:v>
      </x:c>
      <x:c r="J8" s="232"/>
      <x:c r="K8" s="232"/>
      <x:c r="L8" s="232"/>
      <x:c r="M8" s="232"/>
      <x:c r="N8" s="232"/>
      <x:c r="O8" s="232"/>
      <x:c r="P8" s="232"/>
      <x:c r="Q8" s="232"/>
      <x:c r="R8" s="232"/>
      <x:c r="S8" s="232"/>
      <x:c r="T8" s="232"/>
    </x:row>
    <x:row r="9">
      <x:c r="A9" s="119" t="str">
        <x:v>120–239分鐘</x:v>
      </x:c>
      <x:c r="B9" s="119" t="n">
        <x:v>1379</x:v>
      </x:c>
      <x:c r="C9" s="119" t="n">
        <x:v>1385</x:v>
      </x:c>
      <x:c r="D9" s="119" t="n">
        <x:v>1336</x:v>
      </x:c>
      <x:c r="E9" s="232"/>
      <x:c r="F9" s="119" t="str">
        <x:v>120–239分鐘</x:v>
      </x:c>
      <x:c r="G9" s="119" t="n">
        <x:v>45</x:v>
      </x:c>
      <x:c r="H9" s="119" t="n">
        <x:v>49</x:v>
      </x:c>
      <x:c r="I9" s="119" t="n">
        <x:v>25</x:v>
      </x:c>
      <x:c r="J9" s="232"/>
      <x:c r="K9" s="232"/>
      <x:c r="L9" s="232"/>
      <x:c r="M9" s="232"/>
      <x:c r="N9" s="232"/>
      <x:c r="O9" s="232"/>
      <x:c r="P9" s="232"/>
      <x:c r="Q9" s="232"/>
      <x:c r="R9" s="232"/>
      <x:c r="S9" s="232"/>
      <x:c r="T9" s="232"/>
    </x:row>
    <x:row r="10">
      <x:c r="A10" s="120" t="str">
        <x:v>≥240分鐘</x:v>
      </x:c>
      <x:c r="B10" s="120" t="n">
        <x:v>166</x:v>
      </x:c>
      <x:c r="C10" s="120" t="n">
        <x:v>166</x:v>
      </x:c>
      <x:c r="D10" s="120" t="n">
        <x:v>156</x:v>
      </x:c>
      <x:c r="E10" s="232"/>
      <x:c r="F10" s="120" t="str">
        <x:v>≥240分鐘</x:v>
      </x:c>
      <x:c r="G10" s="120" t="n">
        <x:v>12</x:v>
      </x:c>
      <x:c r="H10" s="120" t="n">
        <x:v>12</x:v>
      </x:c>
      <x:c r="I10" s="120" t="n">
        <x:v>11</x:v>
      </x:c>
      <x:c r="J10" s="232"/>
      <x:c r="K10" s="232"/>
      <x:c r="L10" s="232"/>
      <x:c r="M10" s="232"/>
      <x:c r="N10" s="232"/>
      <x:c r="O10" s="232"/>
      <x:c r="P10" s="232"/>
      <x:c r="Q10" s="232"/>
      <x:c r="R10" s="232"/>
      <x:c r="S10" s="232"/>
      <x:c r="T10" s="232"/>
    </x:row>
    <x:row r="11">
      <x:c r="A11" s="232"/>
      <x:c r="B11" s="232"/>
      <x:c r="C11" s="232"/>
      <x:c r="D11" s="232"/>
      <x:c r="E11" s="232"/>
      <x:c r="F11" s="232"/>
      <x:c r="G11" s="232"/>
      <x:c r="H11" s="232"/>
      <x:c r="I11" s="232"/>
      <x:c r="J11" s="232"/>
      <x:c r="K11" s="232"/>
      <x:c r="L11" s="232"/>
      <x:c r="M11" s="232"/>
      <x:c r="N11" s="232"/>
      <x:c r="O11" s="232"/>
      <x:c r="P11" s="232"/>
      <x:c r="Q11" s="232"/>
      <x:c r="R11" s="232"/>
      <x:c r="S11" s="232"/>
      <x:c r="T11" s="232"/>
    </x:row>
    <x:row r="12">
      <x:c r="A12" s="232"/>
      <x:c r="B12" s="232"/>
      <x:c r="C12" s="232"/>
      <x:c r="D12" s="232"/>
      <x:c r="E12" s="232"/>
      <x:c r="F12" s="232"/>
      <x:c r="G12" s="232"/>
      <x:c r="H12" s="232"/>
      <x:c r="I12" s="232"/>
      <x:c r="J12" s="232"/>
      <x:c r="K12" s="232"/>
      <x:c r="L12" s="232"/>
      <x:c r="M12" s="232"/>
      <x:c r="N12" s="232"/>
      <x:c r="O12" s="232"/>
      <x:c r="P12" s="232"/>
      <x:c r="Q12" s="232"/>
      <x:c r="R12" s="232"/>
      <x:c r="S12" s="232"/>
      <x:c r="T12" s="232"/>
    </x:row>
    <x:row r="13">
      <x:c r="A13" s="232"/>
      <x:c r="B13" s="232"/>
      <x:c r="C13" s="232"/>
      <x:c r="D13" s="232"/>
      <x:c r="E13" s="232"/>
      <x:c r="F13" s="232"/>
      <x:c r="G13" s="232"/>
      <x:c r="H13" s="232"/>
      <x:c r="I13" s="232"/>
      <x:c r="J13" s="232"/>
      <x:c r="K13" s="232"/>
      <x:c r="L13" s="232"/>
      <x:c r="M13" s="232"/>
      <x:c r="N13" s="232"/>
      <x:c r="O13" s="232"/>
      <x:c r="P13" s="232"/>
      <x:c r="Q13" s="232"/>
      <x:c r="R13" s="232"/>
      <x:c r="S13" s="232"/>
      <x:c r="T13" s="232"/>
    </x:row>
    <x:row r="14">
      <x:c r="A14" s="204" t="str">
        <x:v>為什麼持續時間重要
當官方畫面亮紅燈時，失衡已經發生；預測的價值不只在提早知道，更在判斷它會不會持續到調度人員能處理的時間。只出現一個快照的短事件，與持續2小時以上的事件，應有不同的告警優先度。</x:v>
      </x:c>
      <x:c r="B14" s="205"/>
      <x:c r="C14" s="205"/>
      <x:c r="D14" s="205"/>
      <x:c r="E14" s="205"/>
      <x:c r="F14" s="205"/>
      <x:c r="G14" s="205"/>
      <x:c r="H14" s="205"/>
      <x:c r="I14" s="206"/>
      <x:c r="J14" s="232"/>
      <x:c r="K14" s="232"/>
      <x:c r="L14" s="232"/>
      <x:c r="M14" s="232"/>
      <x:c r="N14" s="232"/>
      <x:c r="O14" s="232"/>
      <x:c r="P14" s="232"/>
      <x:c r="Q14" s="232"/>
      <x:c r="R14" s="232"/>
      <x:c r="S14" s="232"/>
      <x:c r="T14" s="232"/>
    </x:row>
    <x:row r="15">
      <x:c r="A15" s="207"/>
      <x:c r="B15" s="208"/>
      <x:c r="C15" s="208"/>
      <x:c r="D15" s="208"/>
      <x:c r="E15" s="208"/>
      <x:c r="F15" s="208"/>
      <x:c r="G15" s="208"/>
      <x:c r="H15" s="208"/>
      <x:c r="I15" s="209"/>
      <x:c r="J15" s="232"/>
      <x:c r="K15" s="232"/>
      <x:c r="L15" s="232"/>
      <x:c r="M15" s="232"/>
      <x:c r="N15" s="232"/>
      <x:c r="O15" s="232"/>
      <x:c r="P15" s="232"/>
      <x:c r="Q15" s="232"/>
      <x:c r="R15" s="232"/>
      <x:c r="S15" s="232"/>
      <x:c r="T15" s="232"/>
    </x:row>
    <x:row r="16">
      <x:c r="A16" s="207"/>
      <x:c r="B16" s="208"/>
      <x:c r="C16" s="208"/>
      <x:c r="D16" s="208"/>
      <x:c r="E16" s="208"/>
      <x:c r="F16" s="208"/>
      <x:c r="G16" s="208"/>
      <x:c r="H16" s="208"/>
      <x:c r="I16" s="209"/>
      <x:c r="J16" s="232"/>
      <x:c r="K16" s="232"/>
      <x:c r="L16" s="232"/>
      <x:c r="M16" s="232"/>
      <x:c r="N16" s="232"/>
      <x:c r="O16" s="232"/>
      <x:c r="P16" s="232"/>
      <x:c r="Q16" s="232"/>
      <x:c r="R16" s="232"/>
      <x:c r="S16" s="232"/>
      <x:c r="T16" s="232"/>
    </x:row>
    <x:row r="17">
      <x:c r="A17" s="207"/>
      <x:c r="B17" s="208"/>
      <x:c r="C17" s="208"/>
      <x:c r="D17" s="208"/>
      <x:c r="E17" s="208"/>
      <x:c r="F17" s="208"/>
      <x:c r="G17" s="208"/>
      <x:c r="H17" s="208"/>
      <x:c r="I17" s="209"/>
      <x:c r="J17" s="232"/>
      <x:c r="K17" s="232"/>
      <x:c r="L17" s="232"/>
      <x:c r="M17" s="232"/>
      <x:c r="N17" s="232"/>
      <x:c r="O17" s="232"/>
      <x:c r="P17" s="232"/>
      <x:c r="Q17" s="232"/>
      <x:c r="R17" s="232"/>
      <x:c r="S17" s="232"/>
      <x:c r="T17" s="232"/>
    </x:row>
    <x:row r="18">
      <x:c r="A18" s="207"/>
      <x:c r="B18" s="208"/>
      <x:c r="C18" s="208"/>
      <x:c r="D18" s="208"/>
      <x:c r="E18" s="208"/>
      <x:c r="F18" s="208"/>
      <x:c r="G18" s="208"/>
      <x:c r="H18" s="208"/>
      <x:c r="I18" s="209"/>
      <x:c r="J18" s="232"/>
      <x:c r="K18" s="232"/>
      <x:c r="L18" s="232"/>
      <x:c r="M18" s="232"/>
      <x:c r="N18" s="232"/>
      <x:c r="O18" s="232"/>
      <x:c r="P18" s="232"/>
      <x:c r="Q18" s="232"/>
      <x:c r="R18" s="232"/>
      <x:c r="S18" s="232"/>
      <x:c r="T18" s="232"/>
    </x:row>
    <x:row r="19">
      <x:c r="A19" s="207"/>
      <x:c r="B19" s="208"/>
      <x:c r="C19" s="208"/>
      <x:c r="D19" s="208"/>
      <x:c r="E19" s="208"/>
      <x:c r="F19" s="208"/>
      <x:c r="G19" s="208"/>
      <x:c r="H19" s="208"/>
      <x:c r="I19" s="209"/>
      <x:c r="J19" s="232"/>
      <x:c r="K19" s="232"/>
      <x:c r="L19" s="232"/>
      <x:c r="M19" s="232"/>
      <x:c r="N19" s="232"/>
      <x:c r="O19" s="232"/>
      <x:c r="P19" s="232"/>
      <x:c r="Q19" s="232"/>
      <x:c r="R19" s="232"/>
      <x:c r="S19" s="232"/>
      <x:c r="T19" s="232"/>
    </x:row>
    <x:row r="20">
      <x:c r="A20" s="207"/>
      <x:c r="B20" s="208"/>
      <x:c r="C20" s="208"/>
      <x:c r="D20" s="208"/>
      <x:c r="E20" s="208"/>
      <x:c r="F20" s="208"/>
      <x:c r="G20" s="208"/>
      <x:c r="H20" s="208"/>
      <x:c r="I20" s="209"/>
      <x:c r="J20" s="232"/>
      <x:c r="K20" s="232"/>
      <x:c r="L20" s="232"/>
      <x:c r="M20" s="232"/>
      <x:c r="N20" s="232"/>
      <x:c r="O20" s="232"/>
      <x:c r="P20" s="232"/>
      <x:c r="Q20" s="232"/>
      <x:c r="R20" s="232"/>
      <x:c r="S20" s="232"/>
      <x:c r="T20" s="232"/>
    </x:row>
    <x:row r="21">
      <x:c r="A21" s="207"/>
      <x:c r="B21" s="208"/>
      <x:c r="C21" s="208"/>
      <x:c r="D21" s="208"/>
      <x:c r="E21" s="208"/>
      <x:c r="F21" s="208"/>
      <x:c r="G21" s="208"/>
      <x:c r="H21" s="208"/>
      <x:c r="I21" s="209"/>
      <x:c r="J21" s="232"/>
      <x:c r="K21" s="232"/>
      <x:c r="L21" s="232"/>
      <x:c r="M21" s="232"/>
      <x:c r="N21" s="232"/>
      <x:c r="O21" s="232"/>
      <x:c r="P21" s="232"/>
      <x:c r="Q21" s="232"/>
      <x:c r="R21" s="232"/>
      <x:c r="S21" s="232"/>
      <x:c r="T21" s="232"/>
    </x:row>
    <x:row r="22">
      <x:c r="A22" s="210"/>
      <x:c r="B22" s="211"/>
      <x:c r="C22" s="211"/>
      <x:c r="D22" s="211"/>
      <x:c r="E22" s="211"/>
      <x:c r="F22" s="211"/>
      <x:c r="G22" s="211"/>
      <x:c r="H22" s="211"/>
      <x:c r="I22" s="212"/>
      <x:c r="J22" s="232"/>
      <x:c r="K22" s="232"/>
      <x:c r="L22" s="232"/>
      <x:c r="M22" s="232"/>
      <x:c r="N22" s="232"/>
      <x:c r="O22" s="232"/>
      <x:c r="P22" s="232"/>
      <x:c r="Q22" s="232"/>
      <x:c r="R22" s="232"/>
      <x:c r="S22" s="232"/>
      <x:c r="T22" s="232"/>
    </x:row>
  </x:sheetData>
  <x:mergeCells>
    <x:mergeCell ref="A1:T1"/>
    <x:mergeCell ref="A2:T2"/>
    <x:mergeCell ref="A4:D4"/>
    <x:mergeCell ref="F4:I4"/>
    <x:mergeCell ref="A14:I22"/>
  </x:mergeCells>
  <x:pageMargins left="0.7" right="0.7" top="0.75" bottom="0.75" header="0.3" footer="0.3"/>
  <x:drawing xmlns:r="http://schemas.openxmlformats.org/officeDocument/2006/relationships" r:id="R4adf4a6e4c9147b1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4" customHeight="1">
      <x:c r="A1" s="3" t="str">
        <x:v>五月：事件發生前後的可用比例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0分鐘是事件首次出現；負值是事前、正值是事後。比較三份名單可看選站方式是否改變事件前的耗盡軌跡。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  <x:c r="R3" s="232"/>
      <x:c r="S3" s="232"/>
      <x:c r="T3" s="232"/>
    </x:row>
    <x:row r="4" ht="28" customHeight="1">
      <x:c r="A4" s="112" t="str">
        <x:v>相對分鐘</x:v>
      </x:c>
      <x:c r="B4" s="112" t="str">
        <x:v>總變動</x:v>
      </x:c>
      <x:c r="C4" s="112" t="str">
        <x:v>一般變動</x:v>
      </x:c>
      <x:c r="D4" s="112" t="str">
        <x:v>大幅變動</x:v>
      </x:c>
      <x:c r="E4" s="232"/>
      <x:c r="F4" s="183" t="str">
        <x:v>相對分鐘</x:v>
      </x:c>
      <x:c r="G4" s="183" t="str">
        <x:v>總變動</x:v>
      </x:c>
      <x:c r="H4" s="183" t="str">
        <x:v>一般變動</x:v>
      </x:c>
      <x:c r="I4" s="183" t="str">
        <x:v>大幅變動</x:v>
      </x:c>
      <x:c r="J4" s="232"/>
      <x:c r="K4" s="232"/>
      <x:c r="L4" s="232"/>
      <x:c r="M4" s="232"/>
      <x:c r="N4" s="232"/>
      <x:c r="O4" s="232"/>
      <x:c r="P4" s="232"/>
      <x:c r="Q4" s="232"/>
      <x:c r="R4" s="232"/>
      <x:c r="S4" s="232"/>
      <x:c r="T4" s="232"/>
    </x:row>
    <x:row r="5">
      <x:c r="A5" s="120" t="n">
        <x:v>-90</x:v>
      </x:c>
      <x:c r="B5" s="121" t="n">
        <x:v>0.160116141401649</x:v>
      </x:c>
      <x:c r="C5" s="121" t="n">
        <x:v>0.1618688084373906</x:v>
      </x:c>
      <x:c r="D5" s="121" t="n">
        <x:v>0.15000892890605216</x:v>
      </x:c>
      <x:c r="E5" s="232"/>
      <x:c r="F5" s="120" t="n">
        <x:v>-90</x:v>
      </x:c>
      <x:c r="G5" s="121" t="n">
        <x:v>0.37726905550373135</x:v>
      </x:c>
      <x:c r="H5" s="121" t="n">
        <x:v>0.3822693020695729</x:v>
      </x:c>
      <x:c r="I5" s="121" t="n">
        <x:v>0.36705512188168204</x:v>
      </x:c>
      <x:c r="J5" s="232"/>
      <x:c r="K5" s="232"/>
      <x:c r="L5" s="232"/>
      <x:c r="M5" s="232"/>
      <x:c r="N5" s="232"/>
      <x:c r="O5" s="232"/>
      <x:c r="P5" s="232"/>
      <x:c r="Q5" s="232"/>
      <x:c r="R5" s="232"/>
      <x:c r="S5" s="232"/>
      <x:c r="T5" s="232"/>
    </x:row>
    <x:row r="6">
      <x:c r="A6" s="119" t="n">
        <x:v>-60</x:v>
      </x:c>
      <x:c r="B6" s="122" t="n">
        <x:v>0.12415802713680246</x:v>
      </x:c>
      <x:c r="C6" s="122" t="n">
        <x:v>0.12640102531202613</x:v>
      </x:c>
      <x:c r="D6" s="122" t="n">
        <x:v>0.11331017083201517</x:v>
      </x:c>
      <x:c r="E6" s="232"/>
      <x:c r="F6" s="119" t="n">
        <x:v>-60</x:v>
      </x:c>
      <x:c r="G6" s="122" t="n">
        <x:v>0.3208323342657343</x:v>
      </x:c>
      <x:c r="H6" s="122" t="n">
        <x:v>0.32758564700704224</x:v>
      </x:c>
      <x:c r="I6" s="122" t="n">
        <x:v>0.30248581908831906</x:v>
      </x:c>
      <x:c r="J6" s="232"/>
      <x:c r="K6" s="232"/>
      <x:c r="L6" s="232"/>
      <x:c r="M6" s="232"/>
      <x:c r="N6" s="232"/>
      <x:c r="O6" s="232"/>
      <x:c r="P6" s="232"/>
      <x:c r="Q6" s="232"/>
      <x:c r="R6" s="232"/>
      <x:c r="S6" s="232"/>
      <x:c r="T6" s="232"/>
    </x:row>
    <x:row r="7">
      <x:c r="A7" s="120" t="n">
        <x:v>-30</x:v>
      </x:c>
      <x:c r="B7" s="121" t="n">
        <x:v>0.08895546200893907</x:v>
      </x:c>
      <x:c r="C7" s="121" t="n">
        <x:v>0.09139427147185643</x:v>
      </x:c>
      <x:c r="D7" s="121" t="n">
        <x:v>0.07780585479486692</x:v>
      </x:c>
      <x:c r="E7" s="232"/>
      <x:c r="F7" s="120" t="n">
        <x:v>-30</x:v>
      </x:c>
      <x:c r="G7" s="121" t="n">
        <x:v>0.2149968350419385</x:v>
      </x:c>
      <x:c r="H7" s="121" t="n">
        <x:v>0.2216525763308403</x:v>
      </x:c>
      <x:c r="I7" s="121" t="n">
        <x:v>0.19074865551601422</x:v>
      </x:c>
      <x:c r="J7" s="232"/>
      <x:c r="K7" s="232"/>
      <x:c r="L7" s="232"/>
      <x:c r="M7" s="232"/>
      <x:c r="N7" s="232"/>
      <x:c r="O7" s="232"/>
      <x:c r="P7" s="232"/>
      <x:c r="Q7" s="232"/>
      <x:c r="R7" s="232"/>
      <x:c r="S7" s="232"/>
      <x:c r="T7" s="232"/>
    </x:row>
    <x:row r="8">
      <x:c r="A8" s="119" t="n">
        <x:v>0</x:v>
      </x:c>
      <x:c r="B8" s="122" t="n">
        <x:v>0</x:v>
      </x:c>
      <x:c r="C8" s="122" t="n">
        <x:v>0</x:v>
      </x:c>
      <x:c r="D8" s="122" t="n">
        <x:v>0</x:v>
      </x:c>
      <x:c r="E8" s="232"/>
      <x:c r="F8" s="119" t="n">
        <x:v>0</x:v>
      </x:c>
      <x:c r="G8" s="122" t="n">
        <x:v>0</x:v>
      </x:c>
      <x:c r="H8" s="122" t="n">
        <x:v>0</x:v>
      </x:c>
      <x:c r="I8" s="122" t="n">
        <x:v>0</x:v>
      </x:c>
      <x:c r="J8" s="232"/>
      <x:c r="K8" s="232"/>
      <x:c r="L8" s="232"/>
      <x:c r="M8" s="232"/>
      <x:c r="N8" s="232"/>
      <x:c r="O8" s="232"/>
      <x:c r="P8" s="232"/>
      <x:c r="Q8" s="232"/>
      <x:c r="R8" s="232"/>
      <x:c r="S8" s="232"/>
      <x:c r="T8" s="232"/>
    </x:row>
    <x:row r="9">
      <x:c r="A9" s="120" t="n">
        <x:v>30</x:v>
      </x:c>
      <x:c r="B9" s="121" t="n">
        <x:v>0.065434722310359</x:v>
      </x:c>
      <x:c r="C9" s="121" t="n">
        <x:v>0.06732590679396867</x:v>
      </x:c>
      <x:c r="D9" s="121" t="n">
        <x:v>0.05522769788443322</x:v>
      </x:c>
      <x:c r="E9" s="232"/>
      <x:c r="F9" s="120" t="n">
        <x:v>30</x:v>
      </x:c>
      <x:c r="G9" s="121" t="n">
        <x:v>0.24103080074487895</x:v>
      </x:c>
      <x:c r="H9" s="121" t="n">
        <x:v>0.2450754035164835</x:v>
      </x:c>
      <x:c r="I9" s="121" t="n">
        <x:v>0.20400127880512092</x:v>
      </x:c>
      <x:c r="J9" s="232"/>
      <x:c r="K9" s="232"/>
      <x:c r="L9" s="232"/>
      <x:c r="M9" s="232"/>
      <x:c r="N9" s="232"/>
      <x:c r="O9" s="232"/>
      <x:c r="P9" s="232"/>
      <x:c r="Q9" s="232"/>
      <x:c r="R9" s="232"/>
      <x:c r="S9" s="232"/>
      <x:c r="T9" s="232"/>
    </x:row>
    <x:row r="10">
      <x:c r="A10" s="119" t="n">
        <x:v>60</x:v>
      </x:c>
      <x:c r="B10" s="122" t="n">
        <x:v>0.08948738802634673</x:v>
      </x:c>
      <x:c r="C10" s="122" t="n">
        <x:v>0.09207799073534555</x:v>
      </x:c>
      <x:c r="D10" s="122" t="n">
        <x:v>0.07746998154235145</x:v>
      </x:c>
      <x:c r="E10" s="232"/>
      <x:c r="F10" s="119" t="n">
        <x:v>60</x:v>
      </x:c>
      <x:c r="G10" s="122" t="n">
        <x:v>0.3069009757462686</x:v>
      </x:c>
      <x:c r="H10" s="122" t="n">
        <x:v>0.3137368014090709</x:v>
      </x:c>
      <x:c r="I10" s="122" t="n">
        <x:v>0.27246993304843303</x:v>
      </x:c>
      <x:c r="J10" s="232"/>
      <x:c r="K10" s="232"/>
      <x:c r="L10" s="232"/>
      <x:c r="M10" s="232"/>
      <x:c r="N10" s="232"/>
      <x:c r="O10" s="232"/>
      <x:c r="P10" s="232"/>
      <x:c r="Q10" s="232"/>
      <x:c r="R10" s="232"/>
      <x:c r="S10" s="232"/>
      <x:c r="T10" s="232"/>
    </x:row>
    <x:row r="11">
      <x:c r="A11" s="120" t="n">
        <x:v>90</x:v>
      </x:c>
      <x:c r="B11" s="121" t="n">
        <x:v>0.10820923832793641</x:v>
      </x:c>
      <x:c r="C11" s="121" t="n">
        <x:v>0.11080010289914252</x:v>
      </x:c>
      <x:c r="D11" s="121" t="n">
        <x:v>0.09435140770739733</x:v>
      </x:c>
      <x:c r="E11" s="232"/>
      <x:c r="F11" s="120" t="n">
        <x:v>90</x:v>
      </x:c>
      <x:c r="G11" s="121" t="n">
        <x:v>0.3375652606258758</x:v>
      </x:c>
      <x:c r="H11" s="121" t="n">
        <x:v>0.34274618209876545</x:v>
      </x:c>
      <x:c r="I11" s="121" t="n">
        <x:v>0.3132120948644793</x:v>
      </x:c>
      <x:c r="J11" s="232"/>
      <x:c r="K11" s="232"/>
      <x:c r="L11" s="232"/>
      <x:c r="M11" s="232"/>
      <x:c r="N11" s="232"/>
      <x:c r="O11" s="232"/>
      <x:c r="P11" s="232"/>
      <x:c r="Q11" s="232"/>
      <x:c r="R11" s="232"/>
      <x:c r="S11" s="232"/>
      <x:c r="T11" s="232"/>
    </x:row>
    <x:row r="12">
      <x:c r="A12" s="232"/>
      <x:c r="B12" s="232"/>
      <x:c r="C12" s="232"/>
      <x:c r="D12" s="232"/>
      <x:c r="E12" s="232"/>
      <x:c r="F12" s="232"/>
      <x:c r="G12" s="232"/>
      <x:c r="H12" s="232"/>
      <x:c r="I12" s="232"/>
      <x:c r="J12" s="232"/>
      <x:c r="K12" s="232"/>
      <x:c r="L12" s="232"/>
      <x:c r="M12" s="232"/>
      <x:c r="N12" s="232"/>
      <x:c r="O12" s="232"/>
      <x:c r="P12" s="232"/>
      <x:c r="Q12" s="232"/>
      <x:c r="R12" s="232"/>
      <x:c r="S12" s="232"/>
      <x:c r="T12" s="232"/>
    </x:row>
    <x:row r="13">
      <x:c r="A13" s="232"/>
      <x:c r="B13" s="232"/>
      <x:c r="C13" s="232"/>
      <x:c r="D13" s="232"/>
      <x:c r="E13" s="232"/>
      <x:c r="F13" s="232"/>
      <x:c r="G13" s="232"/>
      <x:c r="H13" s="232"/>
      <x:c r="I13" s="232"/>
      <x:c r="J13" s="232"/>
      <x:c r="K13" s="232"/>
      <x:c r="L13" s="232"/>
      <x:c r="M13" s="232"/>
      <x:c r="N13" s="232"/>
      <x:c r="O13" s="232"/>
      <x:c r="P13" s="232"/>
      <x:c r="Q13" s="232"/>
      <x:c r="R13" s="232"/>
      <x:c r="S13" s="232"/>
      <x:c r="T13" s="232"/>
    </x:row>
    <x:row r="14">
      <x:c r="A14" s="232"/>
      <x:c r="B14" s="232"/>
      <x:c r="C14" s="232"/>
      <x:c r="D14" s="232"/>
      <x:c r="E14" s="232"/>
      <x:c r="F14" s="232"/>
      <x:c r="G14" s="232"/>
      <x:c r="H14" s="232"/>
      <x:c r="I14" s="232"/>
      <x:c r="J14" s="232"/>
      <x:c r="K14" s="232"/>
      <x:c r="L14" s="232"/>
      <x:c r="M14" s="232"/>
      <x:c r="N14" s="232"/>
      <x:c r="O14" s="232"/>
      <x:c r="P14" s="232"/>
      <x:c r="Q14" s="232"/>
      <x:c r="R14" s="232"/>
      <x:c r="S14" s="232"/>
      <x:c r="T14" s="232"/>
    </x:row>
    <x:row r="15">
      <x:c r="A15" s="141" t="str">
        <x:v>建模含意：事前比例逐步下降，代表落後值、近30／60／90分鐘變化與時段是合理特徵；事件後平均又會回升，代表告警不能只說『未來60分鐘曾經發生』，還應估計到達時點的狀態或持續至少60分鐘的機率。</x:v>
      </x:c>
      <x:c r="B15" s="142"/>
      <x:c r="C15" s="142"/>
      <x:c r="D15" s="142"/>
      <x:c r="E15" s="142"/>
      <x:c r="F15" s="142"/>
      <x:c r="G15" s="142"/>
      <x:c r="H15" s="142"/>
      <x:c r="I15" s="143"/>
      <x:c r="J15" s="232"/>
      <x:c r="K15" s="232"/>
      <x:c r="L15" s="232"/>
      <x:c r="M15" s="232"/>
      <x:c r="N15" s="232"/>
      <x:c r="O15" s="232"/>
      <x:c r="P15" s="232"/>
      <x:c r="Q15" s="232"/>
      <x:c r="R15" s="232"/>
      <x:c r="S15" s="232"/>
      <x:c r="T15" s="232"/>
    </x:row>
    <x:row r="16">
      <x:c r="A16" s="144"/>
      <x:c r="B16" s="145"/>
      <x:c r="C16" s="145"/>
      <x:c r="D16" s="145"/>
      <x:c r="E16" s="145"/>
      <x:c r="F16" s="145"/>
      <x:c r="G16" s="145"/>
      <x:c r="H16" s="145"/>
      <x:c r="I16" s="146"/>
      <x:c r="J16" s="232"/>
      <x:c r="K16" s="232"/>
      <x:c r="L16" s="232"/>
      <x:c r="M16" s="232"/>
      <x:c r="N16" s="232"/>
      <x:c r="O16" s="232"/>
      <x:c r="P16" s="232"/>
      <x:c r="Q16" s="232"/>
      <x:c r="R16" s="232"/>
      <x:c r="S16" s="232"/>
      <x:c r="T16" s="232"/>
    </x:row>
    <x:row r="17">
      <x:c r="A17" s="144"/>
      <x:c r="B17" s="145"/>
      <x:c r="C17" s="145"/>
      <x:c r="D17" s="145"/>
      <x:c r="E17" s="145"/>
      <x:c r="F17" s="145"/>
      <x:c r="G17" s="145"/>
      <x:c r="H17" s="145"/>
      <x:c r="I17" s="146"/>
      <x:c r="J17" s="232"/>
      <x:c r="K17" s="232"/>
      <x:c r="L17" s="232"/>
      <x:c r="M17" s="232"/>
      <x:c r="N17" s="232"/>
      <x:c r="O17" s="232"/>
      <x:c r="P17" s="232"/>
      <x:c r="Q17" s="232"/>
      <x:c r="R17" s="232"/>
      <x:c r="S17" s="232"/>
      <x:c r="T17" s="232"/>
    </x:row>
    <x:row r="18">
      <x:c r="A18" s="144"/>
      <x:c r="B18" s="145"/>
      <x:c r="C18" s="145"/>
      <x:c r="D18" s="145"/>
      <x:c r="E18" s="145"/>
      <x:c r="F18" s="145"/>
      <x:c r="G18" s="145"/>
      <x:c r="H18" s="145"/>
      <x:c r="I18" s="146"/>
      <x:c r="J18" s="232"/>
      <x:c r="K18" s="232"/>
      <x:c r="L18" s="232"/>
      <x:c r="M18" s="232"/>
      <x:c r="N18" s="232"/>
      <x:c r="O18" s="232"/>
      <x:c r="P18" s="232"/>
      <x:c r="Q18" s="232"/>
      <x:c r="R18" s="232"/>
      <x:c r="S18" s="232"/>
      <x:c r="T18" s="232"/>
    </x:row>
    <x:row r="19">
      <x:c r="A19" s="144"/>
      <x:c r="B19" s="145"/>
      <x:c r="C19" s="145"/>
      <x:c r="D19" s="145"/>
      <x:c r="E19" s="145"/>
      <x:c r="F19" s="145"/>
      <x:c r="G19" s="145"/>
      <x:c r="H19" s="145"/>
      <x:c r="I19" s="146"/>
      <x:c r="J19" s="232"/>
      <x:c r="K19" s="232"/>
      <x:c r="L19" s="232"/>
      <x:c r="M19" s="232"/>
      <x:c r="N19" s="232"/>
      <x:c r="O19" s="232"/>
      <x:c r="P19" s="232"/>
      <x:c r="Q19" s="232"/>
      <x:c r="R19" s="232"/>
      <x:c r="S19" s="232"/>
      <x:c r="T19" s="232"/>
    </x:row>
    <x:row r="20">
      <x:c r="A20" s="144"/>
      <x:c r="B20" s="145"/>
      <x:c r="C20" s="145"/>
      <x:c r="D20" s="145"/>
      <x:c r="E20" s="145"/>
      <x:c r="F20" s="145"/>
      <x:c r="G20" s="145"/>
      <x:c r="H20" s="145"/>
      <x:c r="I20" s="146"/>
      <x:c r="J20" s="232"/>
      <x:c r="K20" s="232"/>
      <x:c r="L20" s="232"/>
      <x:c r="M20" s="232"/>
      <x:c r="N20" s="232"/>
      <x:c r="O20" s="232"/>
      <x:c r="P20" s="232"/>
      <x:c r="Q20" s="232"/>
      <x:c r="R20" s="232"/>
      <x:c r="S20" s="232"/>
      <x:c r="T20" s="232"/>
    </x:row>
    <x:row r="21">
      <x:c r="A21" s="144"/>
      <x:c r="B21" s="145"/>
      <x:c r="C21" s="145"/>
      <x:c r="D21" s="145"/>
      <x:c r="E21" s="145"/>
      <x:c r="F21" s="145"/>
      <x:c r="G21" s="145"/>
      <x:c r="H21" s="145"/>
      <x:c r="I21" s="146"/>
      <x:c r="J21" s="232"/>
      <x:c r="K21" s="232"/>
      <x:c r="L21" s="232"/>
      <x:c r="M21" s="232"/>
      <x:c r="N21" s="232"/>
      <x:c r="O21" s="232"/>
      <x:c r="P21" s="232"/>
      <x:c r="Q21" s="232"/>
      <x:c r="R21" s="232"/>
      <x:c r="S21" s="232"/>
      <x:c r="T21" s="232"/>
    </x:row>
    <x:row r="22">
      <x:c r="A22" s="144"/>
      <x:c r="B22" s="145"/>
      <x:c r="C22" s="145"/>
      <x:c r="D22" s="145"/>
      <x:c r="E22" s="145"/>
      <x:c r="F22" s="145"/>
      <x:c r="G22" s="145"/>
      <x:c r="H22" s="145"/>
      <x:c r="I22" s="146"/>
      <x:c r="J22" s="232"/>
      <x:c r="K22" s="232"/>
      <x:c r="L22" s="232"/>
      <x:c r="M22" s="232"/>
      <x:c r="N22" s="232"/>
      <x:c r="O22" s="232"/>
      <x:c r="P22" s="232"/>
      <x:c r="Q22" s="232"/>
      <x:c r="R22" s="232"/>
      <x:c r="S22" s="232"/>
      <x:c r="T22" s="232"/>
    </x:row>
    <x:row r="23">
      <x:c r="A23" s="147"/>
      <x:c r="B23" s="148"/>
      <x:c r="C23" s="148"/>
      <x:c r="D23" s="148"/>
      <x:c r="E23" s="148"/>
      <x:c r="F23" s="148"/>
      <x:c r="G23" s="148"/>
      <x:c r="H23" s="148"/>
      <x:c r="I23" s="149"/>
      <x:c r="J23" s="232"/>
      <x:c r="K23" s="232"/>
      <x:c r="L23" s="232"/>
      <x:c r="M23" s="232"/>
      <x:c r="N23" s="232"/>
      <x:c r="O23" s="232"/>
      <x:c r="P23" s="232"/>
      <x:c r="Q23" s="232"/>
      <x:c r="R23" s="232"/>
      <x:c r="S23" s="232"/>
      <x:c r="T23" s="232"/>
    </x:row>
  </x:sheetData>
  <x:mergeCells>
    <x:mergeCell ref="A1:T1"/>
    <x:mergeCell ref="A2:T2"/>
    <x:mergeCell ref="A15:I23"/>
  </x:mergeCells>
  <x:pageMargins left="0.7" right="0.7" top="0.75" bottom="0.75" header="0.3" footer="0.3"/>
  <x:drawing xmlns:r="http://schemas.openxmlformats.org/officeDocument/2006/relationships" r:id="R813cea6a723b4065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4" customHeight="1">
      <x:c r="A1" s="3" t="str">
        <x:v>五月：目前庫存比例與未來30／60／90分鐘失敗風險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8" customHeight="1">
      <x:c r="A2" s="7" t="str">
        <x:v>這裡問的是『剛好在該時距是否失敗』，不是期間內曾發生。用比例分箱可以跨不同容量站點比較。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  <x:c r="R3" s="232"/>
      <x:c r="S3" s="232"/>
      <x:c r="T3" s="232"/>
      <x:c r="U3" s="232"/>
      <x:c r="V3" s="232"/>
    </x:row>
    <x:row r="4" ht="25" customHeight="1">
      <x:c r="A4" s="106" t="str">
        <x:v>無車可借：目前可借比例</x:v>
      </x:c>
      <x:c r="B4" s="106"/>
      <x:c r="C4" s="106"/>
      <x:c r="D4" s="106"/>
      <x:c r="E4" s="106"/>
      <x:c r="F4" s="106"/>
      <x:c r="G4" s="106"/>
      <x:c r="H4" s="106"/>
      <x:c r="I4" s="106"/>
      <x:c r="J4" s="106"/>
      <x:c r="K4" s="232"/>
      <x:c r="L4" s="232"/>
      <x:c r="M4" s="232"/>
      <x:c r="N4" s="232"/>
      <x:c r="O4" s="232"/>
      <x:c r="P4" s="232"/>
      <x:c r="Q4" s="232"/>
      <x:c r="R4" s="232"/>
      <x:c r="S4" s="232"/>
      <x:c r="T4" s="232"/>
      <x:c r="U4" s="232"/>
      <x:c r="V4" s="232"/>
    </x:row>
    <x:row r="5" ht="36" customHeight="1">
      <x:c r="A5" s="112" t="str">
        <x:v>目前比例</x:v>
      </x:c>
      <x:c r="B5" s="112" t="str">
        <x:v>總變動30分</x:v>
      </x:c>
      <x:c r="C5" s="112" t="str">
        <x:v>總變動60分</x:v>
      </x:c>
      <x:c r="D5" s="112" t="str">
        <x:v>總變動90分</x:v>
      </x:c>
      <x:c r="E5" s="112" t="str">
        <x:v>一般變動30分</x:v>
      </x:c>
      <x:c r="F5" s="112" t="str">
        <x:v>一般變動60分</x:v>
      </x:c>
      <x:c r="G5" s="112" t="str">
        <x:v>一般變動90分</x:v>
      </x:c>
      <x:c r="H5" s="112" t="str">
        <x:v>大幅變動30分</x:v>
      </x:c>
      <x:c r="I5" s="112" t="str">
        <x:v>大幅變動60分</x:v>
      </x:c>
      <x:c r="J5" s="112" t="str">
        <x:v>大幅變動90分</x:v>
      </x:c>
      <x:c r="K5" s="232"/>
      <x:c r="L5" s="232"/>
      <x:c r="M5" s="232"/>
      <x:c r="N5" s="232"/>
      <x:c r="O5" s="232"/>
      <x:c r="P5" s="232"/>
      <x:c r="Q5" s="232"/>
      <x:c r="R5" s="232"/>
      <x:c r="S5" s="232"/>
      <x:c r="T5" s="232"/>
      <x:c r="U5" s="232"/>
      <x:c r="V5" s="232"/>
    </x:row>
    <x:row r="6">
      <x:c r="A6" s="217" t="str">
        <x:v>(0,5%]</x:v>
      </x:c>
      <x:c r="B6" s="218" t="n">
        <x:v>0.17239038957513234</x:v>
      </x:c>
      <x:c r="C6" s="218" t="n">
        <x:v>0.15735439672404758</x:v>
      </x:c>
      <x:c r="D6" s="218" t="n">
        <x:v>0.14009361586419872</x:v>
      </x:c>
      <x:c r="E6" s="218" t="n">
        <x:v>0.1728327431377536</x:v>
      </x:c>
      <x:c r="F6" s="218" t="n">
        <x:v>0.15772160325820916</x:v>
      </x:c>
      <x:c r="G6" s="218" t="n">
        <x:v>0.14060081127158003</x:v>
      </x:c>
      <x:c r="H6" s="218" t="n">
        <x:v>0.16529864881929537</x:v>
      </x:c>
      <x:c r="I6" s="218" t="n">
        <x:v>0.15213230780341602</x:v>
      </x:c>
      <x:c r="J6" s="218" t="n">
        <x:v>0.135864262223989</x:v>
      </x:c>
      <x:c r="K6" s="232"/>
      <x:c r="L6" s="232"/>
      <x:c r="M6" s="232"/>
      <x:c r="N6" s="232"/>
      <x:c r="O6" s="232"/>
      <x:c r="P6" s="232"/>
      <x:c r="Q6" s="232"/>
      <x:c r="R6" s="232"/>
      <x:c r="S6" s="232"/>
      <x:c r="T6" s="232"/>
      <x:c r="U6" s="232"/>
      <x:c r="V6" s="232"/>
    </x:row>
    <x:row r="7">
      <x:c r="A7" s="216" t="str">
        <x:v>(5,10%]</x:v>
      </x:c>
      <x:c r="B7" s="219" t="n">
        <x:v>0.07723464790958666</x:v>
      </x:c>
      <x:c r="C7" s="219" t="n">
        <x:v>0.08275848437530883</x:v>
      </x:c>
      <x:c r="D7" s="219" t="n">
        <x:v>0.08009569567194574</x:v>
      </x:c>
      <x:c r="E7" s="219" t="n">
        <x:v>0.07843331092569893</x:v>
      </x:c>
      <x:c r="F7" s="219" t="n">
        <x:v>0.08380473911151548</x:v>
      </x:c>
      <x:c r="G7" s="219" t="n">
        <x:v>0.08078589659880098</x:v>
      </x:c>
      <x:c r="H7" s="219" t="n">
        <x:v>0.06538401982037782</x:v>
      </x:c>
      <x:c r="I7" s="219" t="n">
        <x:v>0.0749540129731823</x:v>
      </x:c>
      <x:c r="J7" s="219" t="n">
        <x:v>0.07294208793337208</x:v>
      </x:c>
      <x:c r="K7" s="232"/>
      <x:c r="L7" s="232"/>
      <x:c r="M7" s="232"/>
      <x:c r="N7" s="232"/>
      <x:c r="O7" s="232"/>
      <x:c r="P7" s="232"/>
      <x:c r="Q7" s="232"/>
      <x:c r="R7" s="232"/>
      <x:c r="S7" s="232"/>
      <x:c r="T7" s="232"/>
      <x:c r="U7" s="232"/>
      <x:c r="V7" s="232"/>
    </x:row>
    <x:row r="8">
      <x:c r="A8" s="217" t="str">
        <x:v>(10,20%]</x:v>
      </x:c>
      <x:c r="B8" s="218" t="n">
        <x:v>0.030894167608309635</x:v>
      </x:c>
      <x:c r="C8" s="218" t="n">
        <x:v>0.04555675648814183</x:v>
      </x:c>
      <x:c r="D8" s="218" t="n">
        <x:v>0.04914792855278368</x:v>
      </x:c>
      <x:c r="E8" s="218" t="n">
        <x:v>0.03165315034310667</x:v>
      </x:c>
      <x:c r="F8" s="218" t="n">
        <x:v>0.04641060528516683</x:v>
      </x:c>
      <x:c r="G8" s="218" t="n">
        <x:v>0.04990633195953541</x:v>
      </x:c>
      <x:c r="H8" s="218" t="n">
        <x:v>0.024116847826086956</x:v>
      </x:c>
      <x:c r="I8" s="218" t="n">
        <x:v>0.03826967192222263</x:v>
      </x:c>
      <x:c r="J8" s="218" t="n">
        <x:v>0.044106574697010174</x:v>
      </x:c>
      <x:c r="K8" s="232"/>
      <x:c r="L8" s="232"/>
      <x:c r="M8" s="232"/>
      <x:c r="N8" s="232"/>
      <x:c r="O8" s="232"/>
      <x:c r="P8" s="232"/>
      <x:c r="Q8" s="232"/>
      <x:c r="R8" s="232"/>
      <x:c r="S8" s="232"/>
      <x:c r="T8" s="232"/>
      <x:c r="U8" s="232"/>
      <x:c r="V8" s="232"/>
    </x:row>
    <x:row r="9">
      <x:c r="A9" s="216" t="str">
        <x:v>(20,40%]</x:v>
      </x:c>
      <x:c r="B9" s="219" t="n">
        <x:v>0.00909036719122556</x:v>
      </x:c>
      <x:c r="C9" s="219" t="n">
        <x:v>0.019539432976241063</x:v>
      </x:c>
      <x:c r="D9" s="219" t="n">
        <x:v>0.02797359292827571</x:v>
      </x:c>
      <x:c r="E9" s="219" t="n">
        <x:v>0.00952373844052515</x:v>
      </x:c>
      <x:c r="F9" s="219" t="n">
        <x:v>0.02004301332218173</x:v>
      </x:c>
      <x:c r="G9" s="219" t="n">
        <x:v>0.02844653665097512</x:v>
      </x:c>
      <x:c r="H9" s="219" t="n">
        <x:v>0.006995199665544349</x:v>
      </x:c>
      <x:c r="I9" s="219" t="n">
        <x:v>0.016334670281655427</x:v>
      </x:c>
      <x:c r="J9" s="219" t="n">
        <x:v>0.024019311107623554</x:v>
      </x:c>
      <x:c r="K9" s="232"/>
      <x:c r="L9" s="232"/>
      <x:c r="M9" s="232"/>
      <x:c r="N9" s="232"/>
      <x:c r="O9" s="232"/>
      <x:c r="P9" s="232"/>
      <x:c r="Q9" s="232"/>
      <x:c r="R9" s="232"/>
      <x:c r="S9" s="232"/>
      <x:c r="T9" s="232"/>
      <x:c r="U9" s="232"/>
      <x:c r="V9" s="232"/>
    </x:row>
    <x:row r="10">
      <x:c r="A10" s="217" t="str">
        <x:v>&gt;40%</x:v>
      </x:c>
      <x:c r="B10" s="218" t="n">
        <x:v>0.0024293199859226526</x:v>
      </x:c>
      <x:c r="C10" s="218" t="n">
        <x:v>0.007186220458959294</x:v>
      </x:c>
      <x:c r="D10" s="218" t="n">
        <x:v>0.01337419348522083</x:v>
      </x:c>
      <x:c r="E10" s="218" t="n">
        <x:v>0.0026674714512407638</x:v>
      </x:c>
      <x:c r="F10" s="218" t="n">
        <x:v>0.007516819065342252</x:v>
      </x:c>
      <x:c r="G10" s="218" t="n">
        <x:v>0.013772023049247779</x:v>
      </x:c>
      <x:c r="H10" s="218" t="n">
        <x:v>0.0017849919093851133</x:v>
      </x:c>
      <x:c r="I10" s="218" t="n">
        <x:v>0.005885806249177607</x:v>
      </x:c>
      <x:c r="J10" s="218" t="n">
        <x:v>0.011734972954356679</x:v>
      </x:c>
      <x:c r="K10" s="232"/>
      <x:c r="L10" s="232"/>
      <x:c r="M10" s="232"/>
      <x:c r="N10" s="232"/>
      <x:c r="O10" s="232"/>
      <x:c r="P10" s="232"/>
      <x:c r="Q10" s="232"/>
      <x:c r="R10" s="232"/>
      <x:c r="S10" s="232"/>
      <x:c r="T10" s="232"/>
      <x:c r="U10" s="232"/>
      <x:c r="V10" s="232"/>
    </x:row>
    <x:row r="11">
      <x:c r="A11" s="232"/>
      <x:c r="B11" s="232"/>
      <x:c r="C11" s="232"/>
      <x:c r="D11" s="232"/>
      <x:c r="E11" s="232"/>
      <x:c r="F11" s="232"/>
      <x:c r="G11" s="232"/>
      <x:c r="H11" s="232"/>
      <x:c r="I11" s="232"/>
      <x:c r="J11" s="232"/>
      <x:c r="K11" s="232"/>
      <x:c r="L11" s="232"/>
      <x:c r="M11" s="232"/>
      <x:c r="N11" s="232"/>
      <x:c r="O11" s="232"/>
      <x:c r="P11" s="232"/>
      <x:c r="Q11" s="232"/>
      <x:c r="R11" s="232"/>
      <x:c r="S11" s="232"/>
      <x:c r="T11" s="232"/>
      <x:c r="U11" s="232"/>
      <x:c r="V11" s="232"/>
    </x:row>
    <x:row r="12">
      <x:c r="A12" s="232"/>
      <x:c r="B12" s="232"/>
      <x:c r="C12" s="232"/>
      <x:c r="D12" s="232"/>
      <x:c r="E12" s="232"/>
      <x:c r="F12" s="232"/>
      <x:c r="G12" s="232"/>
      <x:c r="H12" s="232"/>
      <x:c r="I12" s="232"/>
      <x:c r="J12" s="232"/>
      <x:c r="K12" s="232"/>
      <x:c r="L12" s="232"/>
      <x:c r="M12" s="232"/>
      <x:c r="N12" s="232"/>
      <x:c r="O12" s="232"/>
      <x:c r="P12" s="232"/>
      <x:c r="Q12" s="232"/>
      <x:c r="R12" s="232"/>
      <x:c r="S12" s="232"/>
      <x:c r="T12" s="232"/>
      <x:c r="U12" s="232"/>
      <x:c r="V12" s="232"/>
    </x:row>
    <x:row r="13">
      <x:c r="A13" s="232"/>
      <x:c r="B13" s="232"/>
      <x:c r="C13" s="232"/>
      <x:c r="D13" s="232"/>
      <x:c r="E13" s="232"/>
      <x:c r="F13" s="232"/>
      <x:c r="G13" s="232"/>
      <x:c r="H13" s="232"/>
      <x:c r="I13" s="232"/>
      <x:c r="J13" s="232"/>
      <x:c r="K13" s="232"/>
      <x:c r="L13" s="232"/>
      <x:c r="M13" s="232"/>
      <x:c r="N13" s="232"/>
      <x:c r="O13" s="232"/>
      <x:c r="P13" s="232"/>
      <x:c r="Q13" s="232"/>
      <x:c r="R13" s="232"/>
      <x:c r="S13" s="232"/>
      <x:c r="T13" s="232"/>
      <x:c r="U13" s="232"/>
      <x:c r="V13" s="232"/>
    </x:row>
    <x:row r="14" ht="25" customHeight="1">
      <x:c r="A14" s="229" t="str">
        <x:v>無位可還：目前空位比例</x:v>
      </x:c>
      <x:c r="B14" s="229"/>
      <x:c r="C14" s="229"/>
      <x:c r="D14" s="229"/>
      <x:c r="E14" s="229"/>
      <x:c r="F14" s="229"/>
      <x:c r="G14" s="229"/>
      <x:c r="H14" s="229"/>
      <x:c r="I14" s="229"/>
      <x:c r="J14" s="229"/>
      <x:c r="K14" s="232"/>
      <x:c r="L14" s="232"/>
      <x:c r="M14" s="232"/>
      <x:c r="N14" s="232"/>
      <x:c r="O14" s="232"/>
      <x:c r="P14" s="232"/>
      <x:c r="Q14" s="232"/>
      <x:c r="R14" s="232"/>
      <x:c r="S14" s="232"/>
      <x:c r="T14" s="232"/>
      <x:c r="U14" s="232"/>
      <x:c r="V14" s="232"/>
    </x:row>
    <x:row r="15" ht="36" customHeight="1">
      <x:c r="A15" s="183" t="str">
        <x:v>目前比例</x:v>
      </x:c>
      <x:c r="B15" s="183" t="str">
        <x:v>總變動30分</x:v>
      </x:c>
      <x:c r="C15" s="183" t="str">
        <x:v>總變動60分</x:v>
      </x:c>
      <x:c r="D15" s="183" t="str">
        <x:v>總變動90分</x:v>
      </x:c>
      <x:c r="E15" s="183" t="str">
        <x:v>一般變動30分</x:v>
      </x:c>
      <x:c r="F15" s="183" t="str">
        <x:v>一般變動60分</x:v>
      </x:c>
      <x:c r="G15" s="183" t="str">
        <x:v>一般變動90分</x:v>
      </x:c>
      <x:c r="H15" s="183" t="str">
        <x:v>大幅變動30分</x:v>
      </x:c>
      <x:c r="I15" s="183" t="str">
        <x:v>大幅變動60分</x:v>
      </x:c>
      <x:c r="J15" s="183" t="str">
        <x:v>大幅變動90分</x:v>
      </x:c>
      <x:c r="K15" s="232"/>
      <x:c r="L15" s="232"/>
      <x:c r="M15" s="232"/>
      <x:c r="N15" s="232"/>
      <x:c r="O15" s="232"/>
      <x:c r="P15" s="232"/>
      <x:c r="Q15" s="232"/>
      <x:c r="R15" s="232"/>
      <x:c r="S15" s="232"/>
      <x:c r="T15" s="232"/>
      <x:c r="U15" s="232"/>
      <x:c r="V15" s="232"/>
    </x:row>
    <x:row r="16">
      <x:c r="A16" s="217" t="str">
        <x:v>(0,5%]</x:v>
      </x:c>
      <x:c r="B16" s="218" t="n">
        <x:v>0.11391328988381978</x:v>
      </x:c>
      <x:c r="C16" s="218" t="n">
        <x:v>0.07659574468085106</x:v>
      </x:c>
      <x:c r="D16" s="218" t="n">
        <x:v>0.05336361055918251</x:v>
      </x:c>
      <x:c r="E16" s="218" t="n">
        <x:v>0.11333714939896966</x:v>
      </x:c>
      <x:c r="F16" s="218" t="n">
        <x:v>0.07535816618911174</x:v>
      </x:c>
      <x:c r="G16" s="218" t="n">
        <x:v>0.053325688073394495</x:v>
      </x:c>
      <x:c r="H16" s="218" t="n">
        <x:v>0.10859863135971437</x:v>
      </x:c>
      <x:c r="I16" s="218" t="n">
        <x:v>0.0741733690795353</x:v>
      </x:c>
      <x:c r="J16" s="218" t="n">
        <x:v>0.052757078986587186</x:v>
      </x:c>
      <x:c r="K16" s="232"/>
      <x:c r="L16" s="232"/>
      <x:c r="M16" s="232"/>
      <x:c r="N16" s="232"/>
      <x:c r="O16" s="232"/>
      <x:c r="P16" s="232"/>
      <x:c r="Q16" s="232"/>
      <x:c r="R16" s="232"/>
      <x:c r="S16" s="232"/>
      <x:c r="T16" s="232"/>
      <x:c r="U16" s="232"/>
      <x:c r="V16" s="232"/>
    </x:row>
    <x:row r="17">
      <x:c r="A17" s="216" t="str">
        <x:v>(5,10%]</x:v>
      </x:c>
      <x:c r="B17" s="219" t="n">
        <x:v>0.057722308892355696</x:v>
      </x:c>
      <x:c r="C17" s="219" t="n">
        <x:v>0.044990065285268235</x:v>
      </x:c>
      <x:c r="D17" s="219" t="n">
        <x:v>0.035100184737814406</x:v>
      </x:c>
      <x:c r="E17" s="219" t="n">
        <x:v>0.05996399390666113</x:v>
      </x:c>
      <x:c r="F17" s="219" t="n">
        <x:v>0.046991960077626835</x:v>
      </x:c>
      <x:c r="G17" s="219" t="n">
        <x:v>0.03789035392088827</x:v>
      </x:c>
      <x:c r="H17" s="219" t="n">
        <x:v>0.04087237479806139</x:v>
      </x:c>
      <x:c r="I17" s="219" t="n">
        <x:v>0.0345942450695118</x:v>
      </x:c>
      <x:c r="J17" s="219" t="n">
        <x:v>0.02588159171789065</x:v>
      </x:c>
      <x:c r="K17" s="232"/>
      <x:c r="L17" s="232"/>
      <x:c r="M17" s="232"/>
      <x:c r="N17" s="232"/>
      <x:c r="O17" s="232"/>
      <x:c r="P17" s="232"/>
      <x:c r="Q17" s="232"/>
      <x:c r="R17" s="232"/>
      <x:c r="S17" s="232"/>
      <x:c r="T17" s="232"/>
      <x:c r="U17" s="232"/>
      <x:c r="V17" s="232"/>
    </x:row>
    <x:row r="18">
      <x:c r="A18" s="217" t="str">
        <x:v>(10,20%]</x:v>
      </x:c>
      <x:c r="B18" s="218" t="n">
        <x:v>0.020358034970857617</x:v>
      </x:c>
      <x:c r="C18" s="218" t="n">
        <x:v>0.019708333333333335</x:v>
      </x:c>
      <x:c r="D18" s="218" t="n">
        <x:v>0.017927124155757524</x:v>
      </x:c>
      <x:c r="E18" s="218" t="n">
        <x:v>0.0214643848671943</x:v>
      </x:c>
      <x:c r="F18" s="218" t="n">
        <x:v>0.0204454028947041</x:v>
      </x:c>
      <x:c r="G18" s="218" t="n">
        <x:v>0.018258019004937964</x:v>
      </x:c>
      <x:c r="H18" s="218" t="n">
        <x:v>0.014018268969883332</x:v>
      </x:c>
      <x:c r="I18" s="218" t="n">
        <x:v>0.0138920313136341</x:v>
      </x:c>
      <x:c r="J18" s="218" t="n">
        <x:v>0.013355063606319887</x:v>
      </x:c>
      <x:c r="K18" s="232"/>
      <x:c r="L18" s="232"/>
      <x:c r="M18" s="232"/>
      <x:c r="N18" s="232"/>
      <x:c r="O18" s="232"/>
      <x:c r="P18" s="232"/>
      <x:c r="Q18" s="232"/>
      <x:c r="R18" s="232"/>
      <x:c r="S18" s="232"/>
      <x:c r="T18" s="232"/>
      <x:c r="U18" s="232"/>
      <x:c r="V18" s="232"/>
    </x:row>
    <x:row r="19">
      <x:c r="A19" s="216" t="str">
        <x:v>(20,40%]</x:v>
      </x:c>
      <x:c r="B19" s="219" t="n">
        <x:v>0.006309420916162489</x:v>
      </x:c>
      <x:c r="C19" s="219" t="n">
        <x:v>0.00798240411229735</x:v>
      </x:c>
      <x:c r="D19" s="219" t="n">
        <x:v>0.008174117356087305</x:v>
      </x:c>
      <x:c r="E19" s="219" t="n">
        <x:v>0.006819972424660232</x:v>
      </x:c>
      <x:c r="F19" s="219" t="n">
        <x:v>0.008512997412837255</x:v>
      </x:c>
      <x:c r="G19" s="219" t="n">
        <x:v>0.00863078725109426</x:v>
      </x:c>
      <x:c r="H19" s="219" t="n">
        <x:v>0.0038126856090570736</x:v>
      </x:c>
      <x:c r="I19" s="219" t="n">
        <x:v>0.005360225311165622</x:v>
      </x:c>
      <x:c r="J19" s="219" t="n">
        <x:v>0.005429629148535429</x:v>
      </x:c>
      <x:c r="K19" s="232"/>
      <x:c r="L19" s="232"/>
      <x:c r="M19" s="232"/>
      <x:c r="N19" s="232"/>
      <x:c r="O19" s="232"/>
      <x:c r="P19" s="232"/>
      <x:c r="Q19" s="232"/>
      <x:c r="R19" s="232"/>
      <x:c r="S19" s="232"/>
      <x:c r="T19" s="232"/>
      <x:c r="U19" s="232"/>
      <x:c r="V19" s="232"/>
    </x:row>
    <x:row r="20">
      <x:c r="A20" s="217" t="str">
        <x:v>&gt;40%</x:v>
      </x:c>
      <x:c r="B20" s="218" t="n">
        <x:v>0.0007732603363338282</x:v>
      </x:c>
      <x:c r="C20" s="218" t="n">
        <x:v>0.0017725163533001637</x:v>
      </x:c>
      <x:c r="D20" s="218" t="n">
        <x:v>0.0024077728790117105</x:v>
      </x:c>
      <x:c r="E20" s="218" t="n">
        <x:v>0.0008548795929670067</x:v>
      </x:c>
      <x:c r="F20" s="218" t="n">
        <x:v>0.001929298898758948</x:v>
      </x:c>
      <x:c r="G20" s="218" t="n">
        <x:v>0.0026001339184018152</x:v>
      </x:c>
      <x:c r="H20" s="218" t="n">
        <x:v>0.00041389885940330715</x:v>
      </x:c>
      <x:c r="I20" s="218" t="n">
        <x:v>0.0010093877587970632</x:v>
      </x:c>
      <x:c r="J20" s="218" t="n">
        <x:v>0.0014629882100361897</x:v>
      </x:c>
      <x:c r="K20" s="232"/>
      <x:c r="L20" s="232"/>
      <x:c r="M20" s="232"/>
      <x:c r="N20" s="232"/>
      <x:c r="O20" s="232"/>
      <x:c r="P20" s="232"/>
      <x:c r="Q20" s="232"/>
      <x:c r="R20" s="232"/>
      <x:c r="S20" s="232"/>
      <x:c r="T20" s="232"/>
      <x:c r="U20" s="232"/>
      <x:c r="V20" s="232"/>
    </x:row>
    <x:row r="21">
      <x:c r="A21" s="232"/>
      <x:c r="B21" s="232"/>
      <x:c r="C21" s="232"/>
      <x:c r="D21" s="232"/>
      <x:c r="E21" s="232"/>
      <x:c r="F21" s="232"/>
      <x:c r="G21" s="232"/>
      <x:c r="H21" s="232"/>
      <x:c r="I21" s="232"/>
      <x:c r="J21" s="232"/>
      <x:c r="K21" s="232"/>
      <x:c r="L21" s="232"/>
      <x:c r="M21" s="232"/>
      <x:c r="N21" s="232"/>
      <x:c r="O21" s="232"/>
      <x:c r="P21" s="232"/>
      <x:c r="Q21" s="232"/>
      <x:c r="R21" s="232"/>
      <x:c r="S21" s="232"/>
      <x:c r="T21" s="232"/>
      <x:c r="U21" s="232"/>
      <x:c r="V21" s="232"/>
    </x:row>
    <x:row r="22">
      <x:c r="A22" s="232"/>
      <x:c r="B22" s="232"/>
      <x:c r="C22" s="232"/>
      <x:c r="D22" s="232"/>
      <x:c r="E22" s="232"/>
      <x:c r="F22" s="232"/>
      <x:c r="G22" s="232"/>
      <x:c r="H22" s="232"/>
      <x:c r="I22" s="232"/>
      <x:c r="J22" s="232"/>
      <x:c r="K22" s="232"/>
      <x:c r="L22" s="232"/>
      <x:c r="M22" s="232"/>
      <x:c r="N22" s="232"/>
      <x:c r="O22" s="232"/>
      <x:c r="P22" s="232"/>
      <x:c r="Q22" s="232"/>
      <x:c r="R22" s="232"/>
      <x:c r="S22" s="232"/>
      <x:c r="T22" s="232"/>
      <x:c r="U22" s="232"/>
      <x:c r="V22" s="232"/>
    </x:row>
    <x:row r="23">
      <x:c r="A23" s="232"/>
      <x:c r="B23" s="232"/>
      <x:c r="C23" s="232"/>
      <x:c r="D23" s="232"/>
      <x:c r="E23" s="232"/>
      <x:c r="F23" s="232"/>
      <x:c r="G23" s="232"/>
      <x:c r="H23" s="232"/>
      <x:c r="I23" s="232"/>
      <x:c r="J23" s="232"/>
      <x:c r="K23" s="232"/>
      <x:c r="L23" s="232"/>
      <x:c r="M23" s="232"/>
      <x:c r="N23" s="232"/>
      <x:c r="O23" s="232"/>
      <x:c r="P23" s="232"/>
      <x:c r="Q23" s="232"/>
      <x:c r="R23" s="232"/>
      <x:c r="S23" s="232"/>
      <x:c r="T23" s="232"/>
      <x:c r="U23" s="232"/>
      <x:c r="V23" s="232"/>
    </x:row>
    <x:row r="24" ht="28" customHeight="1">
      <x:c r="A24" s="112" t="str">
        <x:v>比例分箱</x:v>
      </x:c>
      <x:c r="B24" s="112" t="str">
        <x:v>總變動</x:v>
      </x:c>
      <x:c r="C24" s="112" t="str">
        <x:v>一般變動</x:v>
      </x:c>
      <x:c r="D24" s="112" t="str">
        <x:v>大幅變動</x:v>
      </x:c>
      <x:c r="E24" s="232"/>
      <x:c r="F24" s="183" t="str">
        <x:v>比例分箱</x:v>
      </x:c>
      <x:c r="G24" s="183" t="str">
        <x:v>總變動</x:v>
      </x:c>
      <x:c r="H24" s="183" t="str">
        <x:v>一般變動</x:v>
      </x:c>
      <x:c r="I24" s="183" t="str">
        <x:v>大幅變動</x:v>
      </x:c>
      <x:c r="J24" s="232"/>
      <x:c r="K24" s="232"/>
      <x:c r="L24" s="232"/>
      <x:c r="M24" s="232"/>
      <x:c r="N24" s="232"/>
      <x:c r="O24" s="232"/>
      <x:c r="P24" s="232"/>
      <x:c r="Q24" s="232"/>
      <x:c r="R24" s="232"/>
      <x:c r="S24" s="232"/>
      <x:c r="T24" s="232"/>
      <x:c r="U24" s="232"/>
      <x:c r="V24" s="232"/>
    </x:row>
    <x:row r="25">
      <x:c r="A25" s="120" t="str">
        <x:v>(0,5%]</x:v>
      </x:c>
      <x:c r="B25" s="121" t="n">
        <x:v>0.15735439672404758</x:v>
      </x:c>
      <x:c r="C25" s="121" t="n">
        <x:v>0.15772160325820916</x:v>
      </x:c>
      <x:c r="D25" s="121" t="n">
        <x:v>0.15213230780341602</x:v>
      </x:c>
      <x:c r="E25" s="232"/>
      <x:c r="F25" s="120" t="str">
        <x:v>(0,5%]</x:v>
      </x:c>
      <x:c r="G25" s="121" t="n">
        <x:v>0.07659574468085106</x:v>
      </x:c>
      <x:c r="H25" s="121" t="n">
        <x:v>0.07535816618911174</x:v>
      </x:c>
      <x:c r="I25" s="121" t="n">
        <x:v>0.0741733690795353</x:v>
      </x:c>
      <x:c r="J25" s="232"/>
      <x:c r="K25" s="232"/>
      <x:c r="L25" s="232"/>
      <x:c r="M25" s="232"/>
      <x:c r="N25" s="232"/>
      <x:c r="O25" s="232"/>
      <x:c r="P25" s="232"/>
      <x:c r="Q25" s="232"/>
      <x:c r="R25" s="232"/>
      <x:c r="S25" s="232"/>
      <x:c r="T25" s="232"/>
      <x:c r="U25" s="232"/>
      <x:c r="V25" s="232"/>
    </x:row>
    <x:row r="26">
      <x:c r="A26" s="119" t="str">
        <x:v>(5,10%]</x:v>
      </x:c>
      <x:c r="B26" s="122" t="n">
        <x:v>0.08275848437530883</x:v>
      </x:c>
      <x:c r="C26" s="122" t="n">
        <x:v>0.08380473911151548</x:v>
      </x:c>
      <x:c r="D26" s="122" t="n">
        <x:v>0.0749540129731823</x:v>
      </x:c>
      <x:c r="E26" s="232"/>
      <x:c r="F26" s="119" t="str">
        <x:v>(5,10%]</x:v>
      </x:c>
      <x:c r="G26" s="122" t="n">
        <x:v>0.044990065285268235</x:v>
      </x:c>
      <x:c r="H26" s="122" t="n">
        <x:v>0.046991960077626835</x:v>
      </x:c>
      <x:c r="I26" s="122" t="n">
        <x:v>0.0345942450695118</x:v>
      </x:c>
      <x:c r="J26" s="232"/>
      <x:c r="K26" s="232"/>
      <x:c r="L26" s="232"/>
      <x:c r="M26" s="232"/>
      <x:c r="N26" s="232"/>
      <x:c r="O26" s="232"/>
      <x:c r="P26" s="232"/>
      <x:c r="Q26" s="232"/>
      <x:c r="R26" s="232"/>
      <x:c r="S26" s="232"/>
      <x:c r="T26" s="232"/>
      <x:c r="U26" s="232"/>
      <x:c r="V26" s="232"/>
    </x:row>
    <x:row r="27">
      <x:c r="A27" s="120" t="str">
        <x:v>(10,20%]</x:v>
      </x:c>
      <x:c r="B27" s="121" t="n">
        <x:v>0.04555675648814183</x:v>
      </x:c>
      <x:c r="C27" s="121" t="n">
        <x:v>0.04641060528516683</x:v>
      </x:c>
      <x:c r="D27" s="121" t="n">
        <x:v>0.03826967192222263</x:v>
      </x:c>
      <x:c r="E27" s="232"/>
      <x:c r="F27" s="120" t="str">
        <x:v>(10,20%]</x:v>
      </x:c>
      <x:c r="G27" s="121" t="n">
        <x:v>0.019708333333333335</x:v>
      </x:c>
      <x:c r="H27" s="121" t="n">
        <x:v>0.0204454028947041</x:v>
      </x:c>
      <x:c r="I27" s="121" t="n">
        <x:v>0.0138920313136341</x:v>
      </x:c>
      <x:c r="J27" s="232"/>
      <x:c r="K27" s="232"/>
      <x:c r="L27" s="232"/>
      <x:c r="M27" s="232"/>
      <x:c r="N27" s="232"/>
      <x:c r="O27" s="232"/>
      <x:c r="P27" s="232"/>
      <x:c r="Q27" s="232"/>
      <x:c r="R27" s="232"/>
      <x:c r="S27" s="232"/>
      <x:c r="T27" s="232"/>
      <x:c r="U27" s="232"/>
      <x:c r="V27" s="232"/>
    </x:row>
    <x:row r="28">
      <x:c r="A28" s="119" t="str">
        <x:v>(20,40%]</x:v>
      </x:c>
      <x:c r="B28" s="122" t="n">
        <x:v>0.019539432976241063</x:v>
      </x:c>
      <x:c r="C28" s="122" t="n">
        <x:v>0.02004301332218173</x:v>
      </x:c>
      <x:c r="D28" s="122" t="n">
        <x:v>0.016334670281655427</x:v>
      </x:c>
      <x:c r="E28" s="232"/>
      <x:c r="F28" s="119" t="str">
        <x:v>(20,40%]</x:v>
      </x:c>
      <x:c r="G28" s="122" t="n">
        <x:v>0.00798240411229735</x:v>
      </x:c>
      <x:c r="H28" s="122" t="n">
        <x:v>0.008512997412837255</x:v>
      </x:c>
      <x:c r="I28" s="122" t="n">
        <x:v>0.005360225311165622</x:v>
      </x:c>
      <x:c r="J28" s="232"/>
      <x:c r="K28" s="232"/>
      <x:c r="L28" s="232"/>
      <x:c r="M28" s="232"/>
      <x:c r="N28" s="232"/>
      <x:c r="O28" s="232"/>
      <x:c r="P28" s="232"/>
      <x:c r="Q28" s="232"/>
      <x:c r="R28" s="232"/>
      <x:c r="S28" s="232"/>
      <x:c r="T28" s="232"/>
      <x:c r="U28" s="232"/>
      <x:c r="V28" s="232"/>
    </x:row>
    <x:row r="29">
      <x:c r="A29" s="120" t="str">
        <x:v>&gt;40%</x:v>
      </x:c>
      <x:c r="B29" s="121" t="n">
        <x:v>0.007186220458959294</x:v>
      </x:c>
      <x:c r="C29" s="121" t="n">
        <x:v>0.007516819065342252</x:v>
      </x:c>
      <x:c r="D29" s="121" t="n">
        <x:v>0.005885806249177607</x:v>
      </x:c>
      <x:c r="E29" s="232"/>
      <x:c r="F29" s="120" t="str">
        <x:v>&gt;40%</x:v>
      </x:c>
      <x:c r="G29" s="121" t="n">
        <x:v>0.0017725163533001637</x:v>
      </x:c>
      <x:c r="H29" s="121" t="n">
        <x:v>0.001929298898758948</x:v>
      </x:c>
      <x:c r="I29" s="121" t="n">
        <x:v>0.0010093877587970632</x:v>
      </x:c>
      <x:c r="J29" s="232"/>
      <x:c r="K29" s="232"/>
      <x:c r="L29" s="232"/>
      <x:c r="M29" s="232"/>
      <x:c r="N29" s="232"/>
      <x:c r="O29" s="232"/>
      <x:c r="P29" s="232"/>
      <x:c r="Q29" s="232"/>
      <x:c r="R29" s="232"/>
      <x:c r="S29" s="232"/>
      <x:c r="T29" s="232"/>
      <x:c r="U29" s="232"/>
      <x:c r="V29" s="232"/>
    </x:row>
    <x:row r="30">
      <x:c r="A30" s="232"/>
      <x:c r="B30" s="232"/>
      <x:c r="C30" s="232"/>
      <x:c r="D30" s="232"/>
      <x:c r="E30" s="232"/>
      <x:c r="F30" s="232"/>
      <x:c r="G30" s="232"/>
      <x:c r="H30" s="232"/>
      <x:c r="I30" s="232"/>
      <x:c r="J30" s="232"/>
      <x:c r="K30" s="232"/>
      <x:c r="L30" s="232"/>
      <x:c r="M30" s="232"/>
      <x:c r="N30" s="232"/>
      <x:c r="O30" s="232"/>
      <x:c r="P30" s="232"/>
      <x:c r="Q30" s="232"/>
      <x:c r="R30" s="232"/>
      <x:c r="S30" s="232"/>
      <x:c r="T30" s="232"/>
      <x:c r="U30" s="232"/>
      <x:c r="V30" s="232"/>
    </x:row>
    <x:row r="31">
      <x:c r="A31" s="232"/>
      <x:c r="B31" s="232"/>
      <x:c r="C31" s="232"/>
      <x:c r="D31" s="232"/>
      <x:c r="E31" s="232"/>
      <x:c r="F31" s="232"/>
      <x:c r="G31" s="232"/>
      <x:c r="H31" s="232"/>
      <x:c r="I31" s="232"/>
      <x:c r="J31" s="232"/>
      <x:c r="K31" s="232"/>
      <x:c r="L31" s="232"/>
      <x:c r="M31" s="232"/>
      <x:c r="N31" s="232"/>
      <x:c r="O31" s="232"/>
      <x:c r="P31" s="232"/>
      <x:c r="Q31" s="232"/>
      <x:c r="R31" s="232"/>
      <x:c r="S31" s="232"/>
      <x:c r="T31" s="232"/>
      <x:c r="U31" s="232"/>
      <x:c r="V31" s="232"/>
    </x:row>
    <x:row r="32">
      <x:c r="A32" s="232"/>
      <x:c r="B32" s="232"/>
      <x:c r="C32" s="232"/>
      <x:c r="D32" s="232"/>
      <x:c r="E32" s="232"/>
      <x:c r="F32" s="232"/>
      <x:c r="G32" s="232"/>
      <x:c r="H32" s="232"/>
      <x:c r="I32" s="232"/>
      <x:c r="J32" s="232"/>
      <x:c r="K32" s="232"/>
      <x:c r="L32" s="232"/>
      <x:c r="M32" s="232"/>
      <x:c r="N32" s="232"/>
      <x:c r="O32" s="232"/>
      <x:c r="P32" s="232"/>
      <x:c r="Q32" s="232"/>
      <x:c r="R32" s="232"/>
      <x:c r="S32" s="232"/>
      <x:c r="T32" s="232"/>
      <x:c r="U32" s="232"/>
      <x:c r="V32" s="232"/>
    </x:row>
    <x:row r="33">
      <x:c r="A33" s="204" t="str">
        <x:v>風險不必隨時距單調上升：站點可能30分鐘後缺車，60分鐘後因借還或調度恢復。因此系統更適合輸出多時距的車數／空位與失敗機率，再加一個持續性分數，而不是只報單一窗口標籤。</x:v>
      </x:c>
      <x:c r="B33" s="205"/>
      <x:c r="C33" s="205"/>
      <x:c r="D33" s="205"/>
      <x:c r="E33" s="205"/>
      <x:c r="F33" s="205"/>
      <x:c r="G33" s="205"/>
      <x:c r="H33" s="205"/>
      <x:c r="I33" s="205"/>
      <x:c r="J33" s="206"/>
      <x:c r="K33" s="232"/>
      <x:c r="L33" s="232"/>
      <x:c r="M33" s="232"/>
      <x:c r="N33" s="232"/>
      <x:c r="O33" s="232"/>
      <x:c r="P33" s="232"/>
      <x:c r="Q33" s="232"/>
      <x:c r="R33" s="232"/>
      <x:c r="S33" s="232"/>
      <x:c r="T33" s="232"/>
      <x:c r="U33" s="232"/>
      <x:c r="V33" s="232"/>
    </x:row>
    <x:row r="34">
      <x:c r="A34" s="207"/>
      <x:c r="B34" s="208"/>
      <x:c r="C34" s="208"/>
      <x:c r="D34" s="208"/>
      <x:c r="E34" s="208"/>
      <x:c r="F34" s="208"/>
      <x:c r="G34" s="208"/>
      <x:c r="H34" s="208"/>
      <x:c r="I34" s="208"/>
      <x:c r="J34" s="209"/>
      <x:c r="K34" s="232"/>
      <x:c r="L34" s="232"/>
      <x:c r="M34" s="232"/>
      <x:c r="N34" s="232"/>
      <x:c r="O34" s="232"/>
      <x:c r="P34" s="232"/>
      <x:c r="Q34" s="232"/>
      <x:c r="R34" s="232"/>
      <x:c r="S34" s="232"/>
      <x:c r="T34" s="232"/>
      <x:c r="U34" s="232"/>
      <x:c r="V34" s="232"/>
    </x:row>
    <x:row r="35">
      <x:c r="A35" s="207"/>
      <x:c r="B35" s="208"/>
      <x:c r="C35" s="208"/>
      <x:c r="D35" s="208"/>
      <x:c r="E35" s="208"/>
      <x:c r="F35" s="208"/>
      <x:c r="G35" s="208"/>
      <x:c r="H35" s="208"/>
      <x:c r="I35" s="208"/>
      <x:c r="J35" s="209"/>
      <x:c r="K35" s="232"/>
      <x:c r="L35" s="232"/>
      <x:c r="M35" s="232"/>
      <x:c r="N35" s="232"/>
      <x:c r="O35" s="232"/>
      <x:c r="P35" s="232"/>
      <x:c r="Q35" s="232"/>
      <x:c r="R35" s="232"/>
      <x:c r="S35" s="232"/>
      <x:c r="T35" s="232"/>
      <x:c r="U35" s="232"/>
      <x:c r="V35" s="232"/>
    </x:row>
    <x:row r="36">
      <x:c r="A36" s="207"/>
      <x:c r="B36" s="208"/>
      <x:c r="C36" s="208"/>
      <x:c r="D36" s="208"/>
      <x:c r="E36" s="208"/>
      <x:c r="F36" s="208"/>
      <x:c r="G36" s="208"/>
      <x:c r="H36" s="208"/>
      <x:c r="I36" s="208"/>
      <x:c r="J36" s="209"/>
      <x:c r="K36" s="232"/>
      <x:c r="L36" s="232"/>
      <x:c r="M36" s="232"/>
      <x:c r="N36" s="232"/>
      <x:c r="O36" s="232"/>
      <x:c r="P36" s="232"/>
      <x:c r="Q36" s="232"/>
      <x:c r="R36" s="232"/>
      <x:c r="S36" s="232"/>
      <x:c r="T36" s="232"/>
      <x:c r="U36" s="232"/>
      <x:c r="V36" s="232"/>
    </x:row>
    <x:row r="37">
      <x:c r="A37" s="207"/>
      <x:c r="B37" s="208"/>
      <x:c r="C37" s="208"/>
      <x:c r="D37" s="208"/>
      <x:c r="E37" s="208"/>
      <x:c r="F37" s="208"/>
      <x:c r="G37" s="208"/>
      <x:c r="H37" s="208"/>
      <x:c r="I37" s="208"/>
      <x:c r="J37" s="209"/>
      <x:c r="K37" s="232"/>
      <x:c r="L37" s="232"/>
      <x:c r="M37" s="232"/>
      <x:c r="N37" s="232"/>
      <x:c r="O37" s="232"/>
      <x:c r="P37" s="232"/>
      <x:c r="Q37" s="232"/>
      <x:c r="R37" s="232"/>
      <x:c r="S37" s="232"/>
      <x:c r="T37" s="232"/>
      <x:c r="U37" s="232"/>
      <x:c r="V37" s="232"/>
    </x:row>
    <x:row r="38">
      <x:c r="A38" s="210"/>
      <x:c r="B38" s="211"/>
      <x:c r="C38" s="211"/>
      <x:c r="D38" s="211"/>
      <x:c r="E38" s="211"/>
      <x:c r="F38" s="211"/>
      <x:c r="G38" s="211"/>
      <x:c r="H38" s="211"/>
      <x:c r="I38" s="211"/>
      <x:c r="J38" s="212"/>
      <x:c r="K38" s="232"/>
      <x:c r="L38" s="232"/>
      <x:c r="M38" s="232"/>
      <x:c r="N38" s="232"/>
      <x:c r="O38" s="232"/>
      <x:c r="P38" s="232"/>
      <x:c r="Q38" s="232"/>
      <x:c r="R38" s="232"/>
      <x:c r="S38" s="232"/>
      <x:c r="T38" s="232"/>
      <x:c r="U38" s="232"/>
      <x:c r="V38" s="232"/>
    </x:row>
  </x:sheetData>
  <x:mergeCells>
    <x:mergeCell ref="A1:V1"/>
    <x:mergeCell ref="A2:V2"/>
    <x:mergeCell ref="A4:J4"/>
    <x:mergeCell ref="A14:J14"/>
    <x:mergeCell ref="A33:J38"/>
  </x:mergeCells>
  <x:pageMargins left="0.7" right="0.7" top="0.75" bottom="0.75" header="0.3" footer="0.3"/>
  <x:drawing xmlns:r="http://schemas.openxmlformats.org/officeDocument/2006/relationships" r:id="Rb855fc674be34cc2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4" max="14" width="31" hidden="0" customWidth="1"/>
  </x:cols>
  <x:sheetData>
    <x:row r="1" ht="34" customHeight="1">
      <x:c r="A1" s="3" t="str">
        <x:v>五月：重要站中哪些又有較高失衡負擔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本頁用五月失衡快照與持續事件做案例排序。若某站活動量為0卻長期無車，可能是停用／資料狀態，必須人工核對。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  <x:c r="R3" s="232"/>
    </x:row>
    <x:row r="4" ht="28" customHeight="1">
      <x:c r="A4" s="112" t="str">
        <x:v>名次</x:v>
      </x:c>
      <x:c r="B4" s="112" t="str">
        <x:v>站點</x:v>
      </x:c>
      <x:c r="C4" s="112" t="str">
        <x:v>行政區</x:v>
      </x:c>
      <x:c r="D4" s="112" t="str">
        <x:v>入選組合</x:v>
      </x:c>
      <x:c r="E4" s="112" t="str">
        <x:v>總排名</x:v>
      </x:c>
      <x:c r="F4" s="112" t="str">
        <x:v>一般排名</x:v>
      </x:c>
      <x:c r="G4" s="112" t="str">
        <x:v>大幅排名</x:v>
      </x:c>
      <x:c r="H4" s="112" t="str">
        <x:v>五月變動/日</x:v>
      </x:c>
      <x:c r="I4" s="112" t="str">
        <x:v>五月尖峰失衡率</x:v>
      </x:c>
      <x:c r="J4" s="112" t="str">
        <x:v>五月尖峰失衡快照</x:v>
      </x:c>
      <x:c r="K4" s="112" t="str">
        <x:v>持續事件數</x:v>
      </x:c>
      <x:c r="L4" s="112" t="str">
        <x:v>事件分鐘</x:v>
      </x:c>
      <x:c r="M4" s="232"/>
      <x:c r="N4" s="183" t="str">
        <x:v>站點</x:v>
      </x:c>
      <x:c r="O4" s="183" t="str">
        <x:v>尖峰失衡快照</x:v>
      </x:c>
      <x:c r="P4" s="183" t="str">
        <x:v>持續事件數</x:v>
      </x:c>
      <x:c r="Q4" s="232"/>
      <x:c r="R4" s="232"/>
    </x:row>
    <x:row r="5" ht="28" customHeight="1">
      <x:c r="A5" s="117" t="n">
        <x:v>1</x:v>
      </x:c>
      <x:c r="B5" s="117" t="str">
        <x:v>興華公園</x:v>
      </x:c>
      <x:c r="C5" s="117" t="str">
        <x:v>三重區</x:v>
      </x:c>
      <x:c r="D5" s="117" t="str">
        <x:v>三份皆入選</x:v>
      </x:c>
      <x:c r="E5" s="117" t="n">
        <x:v>168</x:v>
      </x:c>
      <x:c r="F5" s="117" t="n">
        <x:v>172</x:v>
      </x:c>
      <x:c r="G5" s="117" t="n">
        <x:v>97</x:v>
      </x:c>
      <x:c r="H5" s="230" t="n">
        <x:v>0</x:v>
      </x:c>
      <x:c r="I5" s="184" t="n">
        <x:v>1</x:v>
      </x:c>
      <x:c r="J5" s="117" t="n">
        <x:v>434</x:v>
      </x:c>
      <x:c r="K5" s="117" t="n">
        <x:v>1</x:v>
      </x:c>
      <x:c r="L5" s="117" t="n">
        <x:v>44640</x:v>
      </x:c>
      <x:c r="M5" s="232"/>
      <x:c r="N5" s="117" t="str">
        <x:v>興華公園</x:v>
      </x:c>
      <x:c r="O5" s="117" t="n">
        <x:v>434</x:v>
      </x:c>
      <x:c r="P5" s="117" t="n">
        <x:v>1</x:v>
      </x:c>
      <x:c r="Q5" s="232"/>
      <x:c r="R5" s="232"/>
    </x:row>
    <x:row r="6" ht="28" customHeight="1">
      <x:c r="A6" s="116" t="n">
        <x:v>2</x:v>
      </x:c>
      <x:c r="B6" s="116" t="str">
        <x:v>頂新祖田市民活動中心</x:v>
      </x:c>
      <x:c r="C6" s="116" t="str">
        <x:v>土城區</x:v>
      </x:c>
      <x:c r="D6" s="116" t="str">
        <x:v>三份皆入選</x:v>
      </x:c>
      <x:c r="E6" s="116" t="n">
        <x:v>350</x:v>
      </x:c>
      <x:c r="F6" s="116" t="n">
        <x:v>368</x:v>
      </x:c>
      <x:c r="G6" s="116" t="n">
        <x:v>190</x:v>
      </x:c>
      <x:c r="H6" s="231" t="n">
        <x:v>35.45161290322581</x:v>
      </x:c>
      <x:c r="I6" s="185" t="n">
        <x:v>0.5921658986175116</x:v>
      </x:c>
      <x:c r="J6" s="116" t="n">
        <x:v>257</x:v>
      </x:c>
      <x:c r="K6" s="116" t="n">
        <x:v>6</x:v>
      </x:c>
      <x:c r="L6" s="116" t="n">
        <x:v>26130</x:v>
      </x:c>
      <x:c r="M6" s="232"/>
      <x:c r="N6" s="116" t="str">
        <x:v>頂新祖田市民活動中心</x:v>
      </x:c>
      <x:c r="O6" s="116" t="n">
        <x:v>257</x:v>
      </x:c>
      <x:c r="P6" s="116" t="n">
        <x:v>6</x:v>
      </x:c>
      <x:c r="Q6" s="232"/>
      <x:c r="R6" s="232"/>
    </x:row>
    <x:row r="7" ht="28" customHeight="1">
      <x:c r="A7" s="117" t="n">
        <x:v>3</x:v>
      </x:c>
      <x:c r="B7" s="117" t="str">
        <x:v>華江一華江九路口</x:v>
      </x:c>
      <x:c r="C7" s="117" t="str">
        <x:v>板橋區</x:v>
      </x:c>
      <x:c r="D7" s="117" t="str">
        <x:v>僅大幅變動</x:v>
      </x:c>
      <x:c r="E7" s="117" t="n">
        <x:v>590</x:v>
      </x:c>
      <x:c r="F7" s="117" t="n">
        <x:v>619</x:v>
      </x:c>
      <x:c r="G7" s="117" t="n">
        <x:v>244</x:v>
      </x:c>
      <x:c r="H7" s="230" t="n">
        <x:v>10.451612903225806</x:v>
      </x:c>
      <x:c r="I7" s="184" t="n">
        <x:v>0.423963133640553</x:v>
      </x:c>
      <x:c r="J7" s="117" t="n">
        <x:v>184</x:v>
      </x:c>
      <x:c r="K7" s="117" t="n">
        <x:v>5</x:v>
      </x:c>
      <x:c r="L7" s="117" t="n">
        <x:v>18900</x:v>
      </x:c>
      <x:c r="M7" s="232"/>
      <x:c r="N7" s="117" t="str">
        <x:v>華江一華江九路口</x:v>
      </x:c>
      <x:c r="O7" s="117" t="n">
        <x:v>184</x:v>
      </x:c>
      <x:c r="P7" s="117" t="n">
        <x:v>5</x:v>
      </x:c>
      <x:c r="Q7" s="232"/>
      <x:c r="R7" s="232"/>
    </x:row>
    <x:row r="8" ht="28" customHeight="1">
      <x:c r="A8" s="116" t="n">
        <x:v>4</x:v>
      </x:c>
      <x:c r="B8" s="116" t="str">
        <x:v>捷運三和國中站(2號出口)</x:v>
      </x:c>
      <x:c r="C8" s="116" t="str">
        <x:v>三重區</x:v>
      </x:c>
      <x:c r="D8" s="116" t="str">
        <x:v>三份皆入選</x:v>
      </x:c>
      <x:c r="E8" s="116" t="n">
        <x:v>100</x:v>
      </x:c>
      <x:c r="F8" s="116" t="n">
        <x:v>99</x:v>
      </x:c>
      <x:c r="G8" s="116" t="n">
        <x:v>251</x:v>
      </x:c>
      <x:c r="H8" s="231" t="n">
        <x:v>134.38709677419354</x:v>
      </x:c>
      <x:c r="I8" s="185" t="n">
        <x:v>0.26036866359447003</x:v>
      </x:c>
      <x:c r="J8" s="116" t="n">
        <x:v>113</x:v>
      </x:c>
      <x:c r="K8" s="116" t="n">
        <x:v>64</x:v>
      </x:c>
      <x:c r="L8" s="116" t="n">
        <x:v>9240</x:v>
      </x:c>
      <x:c r="M8" s="232"/>
      <x:c r="N8" s="116" t="str">
        <x:v>捷運三和國中站(2號出口)</x:v>
      </x:c>
      <x:c r="O8" s="116" t="n">
        <x:v>113</x:v>
      </x:c>
      <x:c r="P8" s="116" t="n">
        <x:v>64</x:v>
      </x:c>
      <x:c r="Q8" s="232"/>
      <x:c r="R8" s="232"/>
    </x:row>
    <x:row r="9" ht="28" customHeight="1">
      <x:c r="A9" s="117" t="n">
        <x:v>5</x:v>
      </x:c>
      <x:c r="B9" s="117" t="str">
        <x:v>覺明寺(豐年街53巷)</x:v>
      </x:c>
      <x:c r="C9" s="117" t="str">
        <x:v>新莊區</x:v>
      </x:c>
      <x:c r="D9" s="117" t="str">
        <x:v>總變動＋一般變動</x:v>
      </x:c>
      <x:c r="E9" s="117" t="n">
        <x:v>364</x:v>
      </x:c>
      <x:c r="F9" s="117" t="n">
        <x:v>344</x:v>
      </x:c>
      <x:c r="G9" s="117" t="n">
        <x:v>609</x:v>
      </x:c>
      <x:c r="H9" s="230" t="n">
        <x:v>92.7741935483871</x:v>
      </x:c>
      <x:c r="I9" s="184" t="n">
        <x:v>0.2350230414746544</x:v>
      </x:c>
      <x:c r="J9" s="117" t="n">
        <x:v>102</x:v>
      </x:c>
      <x:c r="K9" s="117" t="n">
        <x:v>37</x:v>
      </x:c>
      <x:c r="L9" s="117" t="n">
        <x:v>5760</x:v>
      </x:c>
      <x:c r="M9" s="232"/>
      <x:c r="N9" s="117" t="str">
        <x:v>覺明寺(豐年街53巷)</x:v>
      </x:c>
      <x:c r="O9" s="117" t="n">
        <x:v>102</x:v>
      </x:c>
      <x:c r="P9" s="117" t="n">
        <x:v>37</x:v>
      </x:c>
      <x:c r="Q9" s="232"/>
      <x:c r="R9" s="232"/>
    </x:row>
    <x:row r="10" ht="28" customHeight="1">
      <x:c r="A10" s="116" t="n">
        <x:v>6</x:v>
      </x:c>
      <x:c r="B10" s="116" t="str">
        <x:v>捷運江子翠站(6號出口)</x:v>
      </x:c>
      <x:c r="C10" s="116" t="str">
        <x:v>板橋區</x:v>
      </x:c>
      <x:c r="D10" s="116" t="str">
        <x:v>總變動＋一般變動</x:v>
      </x:c>
      <x:c r="E10" s="116" t="n">
        <x:v>355</x:v>
      </x:c>
      <x:c r="F10" s="116" t="n">
        <x:v>352</x:v>
      </x:c>
      <x:c r="G10" s="116" t="n">
        <x:v>416</x:v>
      </x:c>
      <x:c r="H10" s="231" t="n">
        <x:v>96</x:v>
      </x:c>
      <x:c r="I10" s="185" t="n">
        <x:v>0.2304147465437788</x:v>
      </x:c>
      <x:c r="J10" s="116" t="n">
        <x:v>100</x:v>
      </x:c>
      <x:c r="K10" s="116" t="n">
        <x:v>81</x:v>
      </x:c>
      <x:c r="L10" s="116" t="n">
        <x:v>9660</x:v>
      </x:c>
      <x:c r="M10" s="232"/>
      <x:c r="N10" s="116" t="str">
        <x:v>捷運江子翠站(6號出口)</x:v>
      </x:c>
      <x:c r="O10" s="116" t="n">
        <x:v>100</x:v>
      </x:c>
      <x:c r="P10" s="116" t="n">
        <x:v>81</x:v>
      </x:c>
      <x:c r="Q10" s="232"/>
      <x:c r="R10" s="232"/>
    </x:row>
    <x:row r="11" ht="28" customHeight="1">
      <x:c r="A11" s="117" t="n">
        <x:v>7</x:v>
      </x:c>
      <x:c r="B11" s="117" t="str">
        <x:v>文德新海路口</x:v>
      </x:c>
      <x:c r="C11" s="117" t="str">
        <x:v>板橋區</x:v>
      </x:c>
      <x:c r="D11" s="117" t="str">
        <x:v>總變動＋一般變動</x:v>
      </x:c>
      <x:c r="E11" s="117" t="n">
        <x:v>145</x:v>
      </x:c>
      <x:c r="F11" s="117" t="n">
        <x:v>132</x:v>
      </x:c>
      <x:c r="G11" s="117" t="n">
        <x:v>488</x:v>
      </x:c>
      <x:c r="H11" s="230" t="n">
        <x:v>124.51612903225806</x:v>
      </x:c>
      <x:c r="I11" s="184" t="n">
        <x:v>0.22350230414746544</x:v>
      </x:c>
      <x:c r="J11" s="117" t="n">
        <x:v>97</x:v>
      </x:c>
      <x:c r="K11" s="117" t="n">
        <x:v>39</x:v>
      </x:c>
      <x:c r="L11" s="117" t="n">
        <x:v>6270</x:v>
      </x:c>
      <x:c r="M11" s="232"/>
      <x:c r="N11" s="117" t="str">
        <x:v>文德新海路口</x:v>
      </x:c>
      <x:c r="O11" s="117" t="n">
        <x:v>97</x:v>
      </x:c>
      <x:c r="P11" s="117" t="n">
        <x:v>39</x:v>
      </x:c>
      <x:c r="Q11" s="232"/>
      <x:c r="R11" s="232"/>
    </x:row>
    <x:row r="12" ht="28" customHeight="1">
      <x:c r="A12" s="116" t="n">
        <x:v>8</x:v>
      </x:c>
      <x:c r="B12" s="116" t="str">
        <x:v>捷運江子翠站(2號出口)</x:v>
      </x:c>
      <x:c r="C12" s="116" t="str">
        <x:v>板橋區</x:v>
      </x:c>
      <x:c r="D12" s="116" t="str">
        <x:v>三份皆入選</x:v>
      </x:c>
      <x:c r="E12" s="116" t="n">
        <x:v>228</x:v>
      </x:c>
      <x:c r="F12" s="116" t="n">
        <x:v>235</x:v>
      </x:c>
      <x:c r="G12" s="116" t="n">
        <x:v>186</x:v>
      </x:c>
      <x:c r="H12" s="231" t="n">
        <x:v>97.90322580645162</x:v>
      </x:c>
      <x:c r="I12" s="185" t="n">
        <x:v>0.2119815668202765</x:v>
      </x:c>
      <x:c r="J12" s="116" t="n">
        <x:v>92</x:v>
      </x:c>
      <x:c r="K12" s="116" t="n">
        <x:v>81</x:v>
      </x:c>
      <x:c r="L12" s="116" t="n">
        <x:v>9450</x:v>
      </x:c>
      <x:c r="M12" s="232"/>
      <x:c r="N12" s="116" t="str">
        <x:v>捷運江子翠站(2號出口)</x:v>
      </x:c>
      <x:c r="O12" s="116" t="n">
        <x:v>92</x:v>
      </x:c>
      <x:c r="P12" s="116" t="n">
        <x:v>81</x:v>
      </x:c>
      <x:c r="Q12" s="232"/>
      <x:c r="R12" s="232"/>
    </x:row>
    <x:row r="13" ht="28" customHeight="1">
      <x:c r="A13" s="117" t="n">
        <x:v>9</x:v>
      </x:c>
      <x:c r="B13" s="117" t="str">
        <x:v>捷運淡水站(中正鼻頭街口)</x:v>
      </x:c>
      <x:c r="C13" s="117" t="str">
        <x:v>淡水區</x:v>
      </x:c>
      <x:c r="D13" s="117" t="str">
        <x:v>總變動＋一般變動</x:v>
      </x:c>
      <x:c r="E13" s="117" t="n">
        <x:v>349</x:v>
      </x:c>
      <x:c r="F13" s="117" t="n">
        <x:v>330</x:v>
      </x:c>
      <x:c r="G13" s="117" t="n">
        <x:v>513</x:v>
      </x:c>
      <x:c r="H13" s="230" t="n">
        <x:v>102.25806451612904</x:v>
      </x:c>
      <x:c r="I13" s="184" t="n">
        <x:v>0.20506912442396313</x:v>
      </x:c>
      <x:c r="J13" s="117" t="n">
        <x:v>89</x:v>
      </x:c>
      <x:c r="K13" s="117" t="n">
        <x:v>53</x:v>
      </x:c>
      <x:c r="L13" s="117" t="n">
        <x:v>8160</x:v>
      </x:c>
      <x:c r="M13" s="232"/>
      <x:c r="N13" s="117" t="str">
        <x:v>捷運淡水站(中正鼻頭街口)</x:v>
      </x:c>
      <x:c r="O13" s="117" t="n">
        <x:v>89</x:v>
      </x:c>
      <x:c r="P13" s="117" t="n">
        <x:v>53</x:v>
      </x:c>
      <x:c r="Q13" s="232"/>
      <x:c r="R13" s="232"/>
    </x:row>
    <x:row r="14" ht="28" customHeight="1">
      <x:c r="A14" s="116" t="n">
        <x:v>10</x:v>
      </x:c>
      <x:c r="B14" s="116" t="str">
        <x:v>貴子路36巷3弄口</x:v>
      </x:c>
      <x:c r="C14" s="116" t="str">
        <x:v>泰山區</x:v>
      </x:c>
      <x:c r="D14" s="116" t="str">
        <x:v>僅一般變動</x:v>
      </x:c>
      <x:c r="E14" s="116" t="n">
        <x:v>400</x:v>
      </x:c>
      <x:c r="F14" s="116" t="n">
        <x:v>371</x:v>
      </x:c>
      <x:c r="G14" s="116" t="n">
        <x:v>1036</x:v>
      </x:c>
      <x:c r="H14" s="231" t="n">
        <x:v>99.41935483870968</x:v>
      </x:c>
      <x:c r="I14" s="185" t="n">
        <x:v>0.20276497695852536</x:v>
      </x:c>
      <x:c r="J14" s="116" t="n">
        <x:v>88</x:v>
      </x:c>
      <x:c r="K14" s="116" t="n">
        <x:v>42</x:v>
      </x:c>
      <x:c r="L14" s="116" t="n">
        <x:v>6090</x:v>
      </x:c>
      <x:c r="M14" s="232"/>
      <x:c r="N14" s="116" t="str">
        <x:v>貴子路36巷3弄口</x:v>
      </x:c>
      <x:c r="O14" s="116" t="n">
        <x:v>88</x:v>
      </x:c>
      <x:c r="P14" s="116" t="n">
        <x:v>42</x:v>
      </x:c>
      <x:c r="Q14" s="232"/>
      <x:c r="R14" s="232"/>
    </x:row>
    <x:row r="15" ht="28" customHeight="1">
      <x:c r="A15" s="117" t="n">
        <x:v>11</x:v>
      </x:c>
      <x:c r="B15" s="117" t="str">
        <x:v>中正思源路口(東北側)</x:v>
      </x:c>
      <x:c r="C15" s="117" t="str">
        <x:v>新莊區</x:v>
      </x:c>
      <x:c r="D15" s="117" t="str">
        <x:v>僅大幅變動</x:v>
      </x:c>
      <x:c r="E15" s="117" t="n">
        <x:v>612</x:v>
      </x:c>
      <x:c r="F15" s="117" t="n">
        <x:v>662</x:v>
      </x:c>
      <x:c r="G15" s="117" t="n">
        <x:v>118</x:v>
      </x:c>
      <x:c r="H15" s="230" t="n">
        <x:v>69.48387096774194</x:v>
      </x:c>
      <x:c r="I15" s="184" t="n">
        <x:v>0.20046082949308755</x:v>
      </x:c>
      <x:c r="J15" s="117" t="n">
        <x:v>87</x:v>
      </x:c>
      <x:c r="K15" s="117" t="n">
        <x:v>55</x:v>
      </x:c>
      <x:c r="L15" s="117" t="n">
        <x:v>8430</x:v>
      </x:c>
      <x:c r="M15" s="232"/>
      <x:c r="N15" s="117" t="str">
        <x:v>中正思源路口(東北側)</x:v>
      </x:c>
      <x:c r="O15" s="117" t="n">
        <x:v>87</x:v>
      </x:c>
      <x:c r="P15" s="117" t="n">
        <x:v>55</x:v>
      </x:c>
      <x:c r="Q15" s="232"/>
      <x:c r="R15" s="232"/>
    </x:row>
    <x:row r="16" ht="28" customHeight="1">
      <x:c r="A16" s="116" t="n">
        <x:v>12</x:v>
      </x:c>
      <x:c r="B16" s="116" t="str">
        <x:v>捷運新埔站(3號出口)</x:v>
      </x:c>
      <x:c r="C16" s="116" t="str">
        <x:v>板橋區</x:v>
      </x:c>
      <x:c r="D16" s="116" t="str">
        <x:v>總變動＋一般變動</x:v>
      </x:c>
      <x:c r="E16" s="116" t="n">
        <x:v>303</x:v>
      </x:c>
      <x:c r="F16" s="116" t="n">
        <x:v>298</x:v>
      </x:c>
      <x:c r="G16" s="116" t="n">
        <x:v>415</x:v>
      </x:c>
      <x:c r="H16" s="231" t="n">
        <x:v>103.90322580645162</x:v>
      </x:c>
      <x:c r="I16" s="185" t="n">
        <x:v>0.19815668202764977</x:v>
      </x:c>
      <x:c r="J16" s="116" t="n">
        <x:v>86</x:v>
      </x:c>
      <x:c r="K16" s="116" t="n">
        <x:v>66</x:v>
      </x:c>
      <x:c r="L16" s="116" t="n">
        <x:v>8550</x:v>
      </x:c>
      <x:c r="M16" s="232"/>
      <x:c r="N16" s="116" t="str">
        <x:v>捷運新埔站(3號出口)</x:v>
      </x:c>
      <x:c r="O16" s="116" t="n">
        <x:v>86</x:v>
      </x:c>
      <x:c r="P16" s="116" t="n">
        <x:v>66</x:v>
      </x:c>
      <x:c r="Q16" s="232"/>
      <x:c r="R16" s="232"/>
    </x:row>
    <x:row r="17" ht="28" customHeight="1">
      <x:c r="A17" s="117" t="n">
        <x:v>13</x:v>
      </x:c>
      <x:c r="B17" s="117" t="str">
        <x:v>捷運頂溪站(2號出口)</x:v>
      </x:c>
      <x:c r="C17" s="117" t="str">
        <x:v>永和區</x:v>
      </x:c>
      <x:c r="D17" s="117" t="str">
        <x:v>三份皆入選</x:v>
      </x:c>
      <x:c r="E17" s="117" t="n">
        <x:v>117</x:v>
      </x:c>
      <x:c r="F17" s="117" t="n">
        <x:v>114</x:v>
      </x:c>
      <x:c r="G17" s="117" t="n">
        <x:v>297</x:v>
      </x:c>
      <x:c r="H17" s="230" t="n">
        <x:v>127.54838709677419</x:v>
      </x:c>
      <x:c r="I17" s="184" t="n">
        <x:v>0.1912442396313364</x:v>
      </x:c>
      <x:c r="J17" s="117" t="n">
        <x:v>83</x:v>
      </x:c>
      <x:c r="K17" s="117" t="n">
        <x:v>61</x:v>
      </x:c>
      <x:c r="L17" s="117" t="n">
        <x:v>9120</x:v>
      </x:c>
      <x:c r="M17" s="232"/>
      <x:c r="N17" s="117" t="str">
        <x:v>捷運頂溪站(2號出口)</x:v>
      </x:c>
      <x:c r="O17" s="117" t="n">
        <x:v>83</x:v>
      </x:c>
      <x:c r="P17" s="117" t="n">
        <x:v>61</x:v>
      </x:c>
      <x:c r="Q17" s="232"/>
      <x:c r="R17" s="232"/>
    </x:row>
    <x:row r="18" ht="28" customHeight="1">
      <x:c r="A18" s="116" t="n">
        <x:v>14</x:v>
      </x:c>
      <x:c r="B18" s="116" t="str">
        <x:v>海山高中(漢生東路)</x:v>
      </x:c>
      <x:c r="C18" s="116" t="str">
        <x:v>板橋區</x:v>
      </x:c>
      <x:c r="D18" s="116" t="str">
        <x:v>僅大幅變動</x:v>
      </x:c>
      <x:c r="E18" s="116" t="n">
        <x:v>518</x:v>
      </x:c>
      <x:c r="F18" s="116" t="n">
        <x:v>567</x:v>
      </x:c>
      <x:c r="G18" s="116" t="n">
        <x:v>143</x:v>
      </x:c>
      <x:c r="H18" s="231" t="n">
        <x:v>87.45161290322581</x:v>
      </x:c>
      <x:c r="I18" s="185" t="n">
        <x:v>0.1912442396313364</x:v>
      </x:c>
      <x:c r="J18" s="116" t="n">
        <x:v>83</x:v>
      </x:c>
      <x:c r="K18" s="116" t="n">
        <x:v>46</x:v>
      </x:c>
      <x:c r="L18" s="116" t="n">
        <x:v>5160</x:v>
      </x:c>
      <x:c r="M18" s="232"/>
      <x:c r="N18" s="116" t="str">
        <x:v>海山高中(漢生東路)</x:v>
      </x:c>
      <x:c r="O18" s="116" t="n">
        <x:v>83</x:v>
      </x:c>
      <x:c r="P18" s="116" t="n">
        <x:v>46</x:v>
      </x:c>
      <x:c r="Q18" s="232"/>
      <x:c r="R18" s="232"/>
    </x:row>
    <x:row r="19" ht="28" customHeight="1">
      <x:c r="A19" s="117" t="n">
        <x:v>15</x:v>
      </x:c>
      <x:c r="B19" s="117" t="str">
        <x:v>飛駝二村</x:v>
      </x:c>
      <x:c r="C19" s="117" t="str">
        <x:v>中和區</x:v>
      </x:c>
      <x:c r="D19" s="117" t="str">
        <x:v>總變動＋一般變動</x:v>
      </x:c>
      <x:c r="E19" s="117" t="n">
        <x:v>337</x:v>
      </x:c>
      <x:c r="F19" s="117" t="n">
        <x:v>314</x:v>
      </x:c>
      <x:c r="G19" s="117" t="n">
        <x:v>769</x:v>
      </x:c>
      <x:c r="H19" s="230" t="n">
        <x:v>90.48387096774194</x:v>
      </x:c>
      <x:c r="I19" s="184" t="n">
        <x:v>0.1912442396313364</x:v>
      </x:c>
      <x:c r="J19" s="117" t="n">
        <x:v>83</x:v>
      </x:c>
      <x:c r="K19" s="117" t="n">
        <x:v>41</x:v>
      </x:c>
      <x:c r="L19" s="117" t="n">
        <x:v>6570</x:v>
      </x:c>
      <x:c r="M19" s="232"/>
      <x:c r="N19" s="117" t="str">
        <x:v>飛駝二村</x:v>
      </x:c>
      <x:c r="O19" s="117" t="n">
        <x:v>83</x:v>
      </x:c>
      <x:c r="P19" s="117" t="n">
        <x:v>41</x:v>
      </x:c>
      <x:c r="Q19" s="232"/>
      <x:c r="R19" s="232"/>
    </x:row>
    <x:row r="20" ht="28" customHeight="1">
      <x:c r="A20" s="116" t="n">
        <x:v>16</x:v>
      </x:c>
      <x:c r="B20" s="116" t="str">
        <x:v>輕軌淡江大學站</x:v>
      </x:c>
      <x:c r="C20" s="116" t="str">
        <x:v>淡水區</x:v>
      </x:c>
      <x:c r="D20" s="116" t="str">
        <x:v>三份皆入選</x:v>
      </x:c>
      <x:c r="E20" s="116" t="n">
        <x:v>249</x:v>
      </x:c>
      <x:c r="F20" s="116" t="n">
        <x:v>261</x:v>
      </x:c>
      <x:c r="G20" s="116" t="n">
        <x:v>165</x:v>
      </x:c>
      <x:c r="H20" s="231" t="n">
        <x:v>122.2258064516129</x:v>
      </x:c>
      <x:c r="I20" s="185" t="n">
        <x:v>0.18663594470046083</x:v>
      </x:c>
      <x:c r="J20" s="116" t="n">
        <x:v>81</x:v>
      </x:c>
      <x:c r="K20" s="116" t="n">
        <x:v>55</x:v>
      </x:c>
      <x:c r="L20" s="116" t="n">
        <x:v>6750</x:v>
      </x:c>
      <x:c r="M20" s="232"/>
      <x:c r="N20" s="232"/>
      <x:c r="O20" s="232"/>
      <x:c r="P20" s="232"/>
      <x:c r="Q20" s="232"/>
      <x:c r="R20" s="232"/>
    </x:row>
    <x:row r="21" ht="28" customHeight="1">
      <x:c r="A21" s="117" t="n">
        <x:v>17</x:v>
      </x:c>
      <x:c r="B21" s="117" t="str">
        <x:v>仁愛仁政街145巷口</x:v>
      </x:c>
      <x:c r="C21" s="117" t="str">
        <x:v>三重區</x:v>
      </x:c>
      <x:c r="D21" s="117" t="str">
        <x:v>僅一般變動</x:v>
      </x:c>
      <x:c r="E21" s="117" t="n">
        <x:v>379</x:v>
      </x:c>
      <x:c r="F21" s="117" t="n">
        <x:v>373</x:v>
      </x:c>
      <x:c r="G21" s="117" t="n">
        <x:v>502</x:v>
      </x:c>
      <x:c r="H21" s="230" t="n">
        <x:v>105.90322580645162</x:v>
      </x:c>
      <x:c r="I21" s="184" t="n">
        <x:v>0.18433179723502305</x:v>
      </x:c>
      <x:c r="J21" s="117" t="n">
        <x:v>80</x:v>
      </x:c>
      <x:c r="K21" s="117" t="n">
        <x:v>39</x:v>
      </x:c>
      <x:c r="L21" s="117" t="n">
        <x:v>5340</x:v>
      </x:c>
      <x:c r="M21" s="232"/>
      <x:c r="N21" s="232"/>
      <x:c r="O21" s="232"/>
      <x:c r="P21" s="232"/>
      <x:c r="Q21" s="232"/>
      <x:c r="R21" s="232"/>
    </x:row>
    <x:row r="22" ht="28" customHeight="1">
      <x:c r="A22" s="116" t="n">
        <x:v>18</x:v>
      </x:c>
      <x:c r="B22" s="116" t="str">
        <x:v>中正路145巷口</x:v>
      </x:c>
      <x:c r="C22" s="116" t="str">
        <x:v>板橋區</x:v>
      </x:c>
      <x:c r="D22" s="116" t="str">
        <x:v>總變動＋一般變動</x:v>
      </x:c>
      <x:c r="E22" s="116" t="n">
        <x:v>239</x:v>
      </x:c>
      <x:c r="F22" s="116" t="n">
        <x:v>226</x:v>
      </x:c>
      <x:c r="G22" s="116" t="n">
        <x:v>501</x:v>
      </x:c>
      <x:c r="H22" s="231" t="n">
        <x:v>109.45161290322581</x:v>
      </x:c>
      <x:c r="I22" s="185" t="n">
        <x:v>0.17972350230414746</x:v>
      </x:c>
      <x:c r="J22" s="116" t="n">
        <x:v>78</x:v>
      </x:c>
      <x:c r="K22" s="116" t="n">
        <x:v>30</x:v>
      </x:c>
      <x:c r="L22" s="116" t="n">
        <x:v>4440</x:v>
      </x:c>
      <x:c r="M22" s="232"/>
      <x:c r="N22" s="232"/>
      <x:c r="O22" s="232"/>
      <x:c r="P22" s="232"/>
      <x:c r="Q22" s="232"/>
      <x:c r="R22" s="232"/>
    </x:row>
    <x:row r="23" ht="28" customHeight="1">
      <x:c r="A23" s="117" t="n">
        <x:v>19</x:v>
      </x:c>
      <x:c r="B23" s="117" t="str">
        <x:v>新莊田徑場</x:v>
      </x:c>
      <x:c r="C23" s="117" t="str">
        <x:v>新莊區</x:v>
      </x:c>
      <x:c r="D23" s="117" t="str">
        <x:v>三份皆入選</x:v>
      </x:c>
      <x:c r="E23" s="117" t="n">
        <x:v>143</x:v>
      </x:c>
      <x:c r="F23" s="117" t="n">
        <x:v>143</x:v>
      </x:c>
      <x:c r="G23" s="117" t="n">
        <x:v>176</x:v>
      </x:c>
      <x:c r="H23" s="230" t="n">
        <x:v>141.03225806451613</x:v>
      </x:c>
      <x:c r="I23" s="184" t="n">
        <x:v>0.17972350230414746</x:v>
      </x:c>
      <x:c r="J23" s="117" t="n">
        <x:v>78</x:v>
      </x:c>
      <x:c r="K23" s="117" t="n">
        <x:v>28</x:v>
      </x:c>
      <x:c r="L23" s="117" t="n">
        <x:v>4470</x:v>
      </x:c>
      <x:c r="M23" s="232"/>
      <x:c r="N23" s="232"/>
      <x:c r="O23" s="232"/>
      <x:c r="P23" s="232"/>
      <x:c r="Q23" s="232"/>
      <x:c r="R23" s="232"/>
    </x:row>
    <x:row r="24" ht="28" customHeight="1">
      <x:c r="A24" s="116" t="n">
        <x:v>20</x:v>
      </x:c>
      <x:c r="B24" s="116" t="str">
        <x:v>中山北新春街口</x:v>
      </x:c>
      <x:c r="C24" s="116" t="str">
        <x:v>淡水區</x:v>
      </x:c>
      <x:c r="D24" s="116" t="str">
        <x:v>三份皆入選</x:v>
      </x:c>
      <x:c r="E24" s="116" t="n">
        <x:v>189</x:v>
      </x:c>
      <x:c r="F24" s="116" t="n">
        <x:v>185</x:v>
      </x:c>
      <x:c r="G24" s="116" t="n">
        <x:v>247</x:v>
      </x:c>
      <x:c r="H24" s="231" t="n">
        <x:v>136.25806451612902</x:v>
      </x:c>
      <x:c r="I24" s="185" t="n">
        <x:v>0.1774193548387097</x:v>
      </x:c>
      <x:c r="J24" s="116" t="n">
        <x:v>77</x:v>
      </x:c>
      <x:c r="K24" s="116" t="n">
        <x:v>36</x:v>
      </x:c>
      <x:c r="L24" s="116" t="n">
        <x:v>4140</x:v>
      </x:c>
      <x:c r="M24" s="232"/>
      <x:c r="N24" s="232"/>
      <x:c r="O24" s="232"/>
      <x:c r="P24" s="232"/>
      <x:c r="Q24" s="232"/>
      <x:c r="R24" s="232"/>
    </x:row>
    <x:row r="25" ht="28" customHeight="1">
      <x:c r="A25" s="117" t="n">
        <x:v>21</x:v>
      </x:c>
      <x:c r="B25" s="117" t="str">
        <x:v>埤墘公園</x:v>
      </x:c>
      <x:c r="C25" s="117" t="str">
        <x:v>板橋區</x:v>
      </x:c>
      <x:c r="D25" s="117" t="str">
        <x:v>總變動＋一般變動</x:v>
      </x:c>
      <x:c r="E25" s="117" t="n">
        <x:v>222</x:v>
      </x:c>
      <x:c r="F25" s="117" t="n">
        <x:v>207</x:v>
      </x:c>
      <x:c r="G25" s="117" t="n">
        <x:v>528</x:v>
      </x:c>
      <x:c r="H25" s="230" t="n">
        <x:v>109.64516129032258</x:v>
      </x:c>
      <x:c r="I25" s="184" t="n">
        <x:v>0.17511520737327188</x:v>
      </x:c>
      <x:c r="J25" s="117" t="n">
        <x:v>76</x:v>
      </x:c>
      <x:c r="K25" s="117" t="n">
        <x:v>35</x:v>
      </x:c>
      <x:c r="L25" s="117" t="n">
        <x:v>4140</x:v>
      </x:c>
      <x:c r="M25" s="232"/>
      <x:c r="N25" s="232"/>
      <x:c r="O25" s="232"/>
      <x:c r="P25" s="232"/>
      <x:c r="Q25" s="232"/>
      <x:c r="R25" s="232"/>
    </x:row>
    <x:row r="26" ht="28" customHeight="1">
      <x:c r="A26" s="116" t="n">
        <x:v>22</x:v>
      </x:c>
      <x:c r="B26" s="116" t="str">
        <x:v>土城國中</x:v>
      </x:c>
      <x:c r="C26" s="116" t="str">
        <x:v>土城區</x:v>
      </x:c>
      <x:c r="D26" s="116" t="str">
        <x:v>僅大幅變動</x:v>
      </x:c>
      <x:c r="E26" s="116" t="n">
        <x:v>444</x:v>
      </x:c>
      <x:c r="F26" s="116" t="n">
        <x:v>500</x:v>
      </x:c>
      <x:c r="G26" s="116" t="n">
        <x:v>99</x:v>
      </x:c>
      <x:c r="H26" s="231" t="n">
        <x:v>92.48387096774194</x:v>
      </x:c>
      <x:c r="I26" s="185" t="n">
        <x:v>0.17511520737327188</x:v>
      </x:c>
      <x:c r="J26" s="116" t="n">
        <x:v>76</x:v>
      </x:c>
      <x:c r="K26" s="116" t="n">
        <x:v>22</x:v>
      </x:c>
      <x:c r="L26" s="116" t="n">
        <x:v>2520</x:v>
      </x:c>
      <x:c r="M26" s="232"/>
      <x:c r="N26" s="232"/>
      <x:c r="O26" s="232"/>
      <x:c r="P26" s="232"/>
      <x:c r="Q26" s="232"/>
      <x:c r="R26" s="232"/>
    </x:row>
    <x:row r="27" ht="28" customHeight="1">
      <x:c r="A27" s="117" t="n">
        <x:v>23</x:v>
      </x:c>
      <x:c r="B27" s="117" t="str">
        <x:v>新北高工(學士路)</x:v>
      </x:c>
      <x:c r="C27" s="117" t="str">
        <x:v>土城區</x:v>
      </x:c>
      <x:c r="D27" s="117" t="str">
        <x:v>三份皆入選</x:v>
      </x:c>
      <x:c r="E27" s="117" t="n">
        <x:v>169</x:v>
      </x:c>
      <x:c r="F27" s="117" t="n">
        <x:v>166</x:v>
      </x:c>
      <x:c r="G27" s="117" t="n">
        <x:v>269</x:v>
      </x:c>
      <x:c r="H27" s="230" t="n">
        <x:v>124.2258064516129</x:v>
      </x:c>
      <x:c r="I27" s="184" t="n">
        <x:v>0.16820276497695852</x:v>
      </x:c>
      <x:c r="J27" s="117" t="n">
        <x:v>73</x:v>
      </x:c>
      <x:c r="K27" s="117" t="n">
        <x:v>40</x:v>
      </x:c>
      <x:c r="L27" s="117" t="n">
        <x:v>4950</x:v>
      </x:c>
      <x:c r="M27" s="232"/>
      <x:c r="N27" s="232"/>
      <x:c r="O27" s="232"/>
      <x:c r="P27" s="232"/>
      <x:c r="Q27" s="232"/>
      <x:c r="R27" s="232"/>
    </x:row>
    <x:row r="28" ht="28" customHeight="1">
      <x:c r="A28" s="116" t="n">
        <x:v>24</x:v>
      </x:c>
      <x:c r="B28" s="116" t="str">
        <x:v>溪尾街196巷/仁美街口</x:v>
      </x:c>
      <x:c r="C28" s="116" t="str">
        <x:v>三重區</x:v>
      </x:c>
      <x:c r="D28" s="116" t="str">
        <x:v>總變動＋一般變動</x:v>
      </x:c>
      <x:c r="E28" s="116" t="n">
        <x:v>314</x:v>
      </x:c>
      <x:c r="F28" s="116" t="n">
        <x:v>305</x:v>
      </x:c>
      <x:c r="G28" s="116" t="n">
        <x:v>570</x:v>
      </x:c>
      <x:c r="H28" s="231" t="n">
        <x:v>100.16129032258064</x:v>
      </x:c>
      <x:c r="I28" s="185" t="n">
        <x:v>0.16359447004608296</x:v>
      </x:c>
      <x:c r="J28" s="116" t="n">
        <x:v>71</x:v>
      </x:c>
      <x:c r="K28" s="116" t="n">
        <x:v>38</x:v>
      </x:c>
      <x:c r="L28" s="116" t="n">
        <x:v>4890</x:v>
      </x:c>
      <x:c r="M28" s="232"/>
      <x:c r="N28" s="232"/>
      <x:c r="O28" s="232"/>
      <x:c r="P28" s="232"/>
      <x:c r="Q28" s="232"/>
      <x:c r="R28" s="232"/>
    </x:row>
    <x:row r="29" ht="28" customHeight="1">
      <x:c r="A29" s="117" t="n">
        <x:v>25</x:v>
      </x:c>
      <x:c r="B29" s="117" t="str">
        <x:v>浮洲合宜住宅(樂群路)</x:v>
      </x:c>
      <x:c r="C29" s="117" t="str">
        <x:v>板橋區</x:v>
      </x:c>
      <x:c r="D29" s="117" t="str">
        <x:v>三份皆入選</x:v>
      </x:c>
      <x:c r="E29" s="117" t="n">
        <x:v>96</x:v>
      </x:c>
      <x:c r="F29" s="117" t="n">
        <x:v>97</x:v>
      </x:c>
      <x:c r="G29" s="117" t="n">
        <x:v>94</x:v>
      </x:c>
      <x:c r="H29" s="230" t="n">
        <x:v>156.67741935483872</x:v>
      </x:c>
      <x:c r="I29" s="184" t="n">
        <x:v>0.16359447004608296</x:v>
      </x:c>
      <x:c r="J29" s="117" t="n">
        <x:v>71</x:v>
      </x:c>
      <x:c r="K29" s="117" t="n">
        <x:v>35</x:v>
      </x:c>
      <x:c r="L29" s="117" t="n">
        <x:v>4980</x:v>
      </x:c>
      <x:c r="M29" s="232"/>
      <x:c r="N29" s="232"/>
      <x:c r="O29" s="232"/>
      <x:c r="P29" s="232"/>
      <x:c r="Q29" s="232"/>
      <x:c r="R29" s="232"/>
    </x:row>
    <x:row r="30" ht="28" customHeight="1">
      <x:c r="A30" s="116" t="n">
        <x:v>26</x:v>
      </x:c>
      <x:c r="B30" s="116" t="str">
        <x:v>石雕公園</x:v>
      </x:c>
      <x:c r="C30" s="116" t="str">
        <x:v>板橋區</x:v>
      </x:c>
      <x:c r="D30" s="116" t="str">
        <x:v>僅大幅變動</x:v>
      </x:c>
      <x:c r="E30" s="116" t="n">
        <x:v>438</x:v>
      </x:c>
      <x:c r="F30" s="116" t="n">
        <x:v>449</x:v>
      </x:c>
      <x:c r="G30" s="116" t="n">
        <x:v>352</x:v>
      </x:c>
      <x:c r="H30" s="231" t="n">
        <x:v>93</x:v>
      </x:c>
      <x:c r="I30" s="185" t="n">
        <x:v>0.16129032258064516</x:v>
      </x:c>
      <x:c r="J30" s="116" t="n">
        <x:v>70</x:v>
      </x:c>
      <x:c r="K30" s="116" t="n">
        <x:v>33</x:v>
      </x:c>
      <x:c r="L30" s="116" t="n">
        <x:v>4590</x:v>
      </x:c>
      <x:c r="M30" s="232"/>
      <x:c r="N30" s="232"/>
      <x:c r="O30" s="232"/>
      <x:c r="P30" s="232"/>
      <x:c r="Q30" s="232"/>
      <x:c r="R30" s="232"/>
    </x:row>
    <x:row r="31" ht="28" customHeight="1">
      <x:c r="A31" s="117" t="n">
        <x:v>27</x:v>
      </x:c>
      <x:c r="B31" s="117" t="str">
        <x:v>四維公園</x:v>
      </x:c>
      <x:c r="C31" s="117" t="str">
        <x:v>新莊區</x:v>
      </x:c>
      <x:c r="D31" s="117" t="str">
        <x:v>總變動＋一般變動</x:v>
      </x:c>
      <x:c r="E31" s="117" t="n">
        <x:v>205</x:v>
      </x:c>
      <x:c r="F31" s="117" t="n">
        <x:v>200</x:v>
      </x:c>
      <x:c r="G31" s="117" t="n">
        <x:v>379</x:v>
      </x:c>
      <x:c r="H31" s="230" t="n">
        <x:v>115.19354838709677</x:v>
      </x:c>
      <x:c r="I31" s="184" t="n">
        <x:v>0.15898617511520738</x:v>
      </x:c>
      <x:c r="J31" s="117" t="n">
        <x:v>69</x:v>
      </x:c>
      <x:c r="K31" s="117" t="n">
        <x:v>17</x:v>
      </x:c>
      <x:c r="L31" s="117" t="n">
        <x:v>4560</x:v>
      </x:c>
      <x:c r="M31" s="232"/>
      <x:c r="N31" s="232"/>
      <x:c r="O31" s="232"/>
      <x:c r="P31" s="232"/>
      <x:c r="Q31" s="232"/>
      <x:c r="R31" s="232"/>
    </x:row>
    <x:row r="32" ht="28" customHeight="1">
      <x:c r="A32" s="116" t="n">
        <x:v>28</x:v>
      </x:c>
      <x:c r="B32" s="116" t="str">
        <x:v>永安公園</x:v>
      </x:c>
      <x:c r="C32" s="116" t="str">
        <x:v>板橋區</x:v>
      </x:c>
      <x:c r="D32" s="116" t="str">
        <x:v>三份皆入選</x:v>
      </x:c>
      <x:c r="E32" s="116" t="n">
        <x:v>276</x:v>
      </x:c>
      <x:c r="F32" s="116" t="n">
        <x:v>291</x:v>
      </x:c>
      <x:c r="G32" s="116" t="n">
        <x:v>130</x:v>
      </x:c>
      <x:c r="H32" s="231" t="n">
        <x:v>98.6774193548387</x:v>
      </x:c>
      <x:c r="I32" s="185" t="n">
        <x:v>0.1543778801843318</x:v>
      </x:c>
      <x:c r="J32" s="116" t="n">
        <x:v>67</x:v>
      </x:c>
      <x:c r="K32" s="116" t="n">
        <x:v>27</x:v>
      </x:c>
      <x:c r="L32" s="116" t="n">
        <x:v>3630</x:v>
      </x:c>
      <x:c r="M32" s="232"/>
      <x:c r="N32" s="232"/>
      <x:c r="O32" s="232"/>
      <x:c r="P32" s="232"/>
      <x:c r="Q32" s="232"/>
      <x:c r="R32" s="232"/>
    </x:row>
    <x:row r="33" ht="28" customHeight="1">
      <x:c r="A33" s="117" t="n">
        <x:v>29</x:v>
      </x:c>
      <x:c r="B33" s="117" t="str">
        <x:v>仁愛路306巷18弄口</x:v>
      </x:c>
      <x:c r="C33" s="117" t="str">
        <x:v>永和區</x:v>
      </x:c>
      <x:c r="D33" s="117" t="str">
        <x:v>總變動＋一般變動</x:v>
      </x:c>
      <x:c r="E33" s="117" t="n">
        <x:v>296</x:v>
      </x:c>
      <x:c r="F33" s="117" t="n">
        <x:v>276</x:v>
      </x:c>
      <x:c r="G33" s="117" t="n">
        <x:v>705</x:v>
      </x:c>
      <x:c r="H33" s="230" t="n">
        <x:v>96.96774193548387</x:v>
      </x:c>
      <x:c r="I33" s="184" t="n">
        <x:v>0.15207373271889402</x:v>
      </x:c>
      <x:c r="J33" s="117" t="n">
        <x:v>66</x:v>
      </x:c>
      <x:c r="K33" s="117" t="n">
        <x:v>32</x:v>
      </x:c>
      <x:c r="L33" s="117" t="n">
        <x:v>5460</x:v>
      </x:c>
      <x:c r="M33" s="232"/>
      <x:c r="N33" s="232"/>
      <x:c r="O33" s="232"/>
      <x:c r="P33" s="232"/>
      <x:c r="Q33" s="232"/>
      <x:c r="R33" s="232"/>
    </x:row>
    <x:row r="34" ht="28" customHeight="1">
      <x:c r="A34" s="116" t="n">
        <x:v>30</x:v>
      </x:c>
      <x:c r="B34" s="116" t="str">
        <x:v>大學學成路口</x:v>
      </x:c>
      <x:c r="C34" s="116" t="str">
        <x:v>三峽區</x:v>
      </x:c>
      <x:c r="D34" s="116" t="str">
        <x:v>僅一般變動</x:v>
      </x:c>
      <x:c r="E34" s="116" t="n">
        <x:v>392</x:v>
      </x:c>
      <x:c r="F34" s="116" t="n">
        <x:v>366</x:v>
      </x:c>
      <x:c r="G34" s="116" t="n">
        <x:v>916</x:v>
      </x:c>
      <x:c r="H34" s="231" t="n">
        <x:v>95.80645161290323</x:v>
      </x:c>
      <x:c r="I34" s="185" t="n">
        <x:v>0.1497695852534562</x:v>
      </x:c>
      <x:c r="J34" s="116" t="n">
        <x:v>65</x:v>
      </x:c>
      <x:c r="K34" s="116" t="n">
        <x:v>43</x:v>
      </x:c>
      <x:c r="L34" s="116" t="n">
        <x:v>5970</x:v>
      </x:c>
      <x:c r="M34" s="232"/>
      <x:c r="N34" s="232"/>
      <x:c r="O34" s="232"/>
      <x:c r="P34" s="232"/>
      <x:c r="Q34" s="232"/>
      <x:c r="R34" s="232"/>
    </x:row>
    <x:row r="35" ht="28" customHeight="1">
      <x:c r="A35" s="117" t="n">
        <x:v>31</x:v>
      </x:c>
      <x:c r="B35" s="117" t="str">
        <x:v>中山路二段90巷</x:v>
      </x:c>
      <x:c r="C35" s="117" t="str">
        <x:v>板橋區</x:v>
      </x:c>
      <x:c r="D35" s="117" t="str">
        <x:v>總變動＋一般變動</x:v>
      </x:c>
      <x:c r="E35" s="117" t="n">
        <x:v>282</x:v>
      </x:c>
      <x:c r="F35" s="117" t="n">
        <x:v>270</x:v>
      </x:c>
      <x:c r="G35" s="117" t="n">
        <x:v>532</x:v>
      </x:c>
      <x:c r="H35" s="230" t="n">
        <x:v>99.41935483870968</x:v>
      </x:c>
      <x:c r="I35" s="184" t="n">
        <x:v>0.1497695852534562</x:v>
      </x:c>
      <x:c r="J35" s="117" t="n">
        <x:v>65</x:v>
      </x:c>
      <x:c r="K35" s="117" t="n">
        <x:v>27</x:v>
      </x:c>
      <x:c r="L35" s="117" t="n">
        <x:v>4950</x:v>
      </x:c>
      <x:c r="M35" s="232"/>
      <x:c r="N35" s="232"/>
      <x:c r="O35" s="232"/>
      <x:c r="P35" s="232"/>
      <x:c r="Q35" s="232"/>
      <x:c r="R35" s="232"/>
    </x:row>
    <x:row r="36" ht="28" customHeight="1">
      <x:c r="A36" s="116" t="n">
        <x:v>32</x:v>
      </x:c>
      <x:c r="B36" s="116" t="str">
        <x:v>華江九華江一路口(匯翠社區)</x:v>
      </x:c>
      <x:c r="C36" s="116" t="str">
        <x:v>板橋區</x:v>
      </x:c>
      <x:c r="D36" s="116" t="str">
        <x:v>三份皆入選</x:v>
      </x:c>
      <x:c r="E36" s="116" t="n">
        <x:v>175</x:v>
      </x:c>
      <x:c r="F36" s="116" t="n">
        <x:v>179</x:v>
      </x:c>
      <x:c r="G36" s="116" t="n">
        <x:v>171</x:v>
      </x:c>
      <x:c r="H36" s="231" t="n">
        <x:v>128.70967741935485</x:v>
      </x:c>
      <x:c r="I36" s="185" t="n">
        <x:v>0.14746543778801843</x:v>
      </x:c>
      <x:c r="J36" s="116" t="n">
        <x:v>64</x:v>
      </x:c>
      <x:c r="K36" s="116" t="n">
        <x:v>36</x:v>
      </x:c>
      <x:c r="L36" s="116" t="n">
        <x:v>4440</x:v>
      </x:c>
      <x:c r="M36" s="232"/>
      <x:c r="N36" s="232"/>
      <x:c r="O36" s="232"/>
      <x:c r="P36" s="232"/>
      <x:c r="Q36" s="232"/>
      <x:c r="R36" s="232"/>
    </x:row>
    <x:row r="37" ht="28" customHeight="1">
      <x:c r="A37" s="117" t="n">
        <x:v>33</x:v>
      </x:c>
      <x:c r="B37" s="117" t="str">
        <x:v>中興街180巷口</x:v>
      </x:c>
      <x:c r="C37" s="117" t="str">
        <x:v>中和區</x:v>
      </x:c>
      <x:c r="D37" s="117" t="str">
        <x:v>總變動＋一般變動</x:v>
      </x:c>
      <x:c r="E37" s="117" t="n">
        <x:v>245</x:v>
      </x:c>
      <x:c r="F37" s="117" t="n">
        <x:v>229</x:v>
      </x:c>
      <x:c r="G37" s="117" t="n">
        <x:v>556</x:v>
      </x:c>
      <x:c r="H37" s="230" t="n">
        <x:v>119.12903225806451</x:v>
      </x:c>
      <x:c r="I37" s="184" t="n">
        <x:v>0.14516129032258066</x:v>
      </x:c>
      <x:c r="J37" s="117" t="n">
        <x:v>63</x:v>
      </x:c>
      <x:c r="K37" s="117" t="n">
        <x:v>44</x:v>
      </x:c>
      <x:c r="L37" s="117" t="n">
        <x:v>5070</x:v>
      </x:c>
      <x:c r="M37" s="232"/>
      <x:c r="N37" s="232"/>
      <x:c r="O37" s="232"/>
      <x:c r="P37" s="232"/>
      <x:c r="Q37" s="232"/>
      <x:c r="R37" s="232"/>
    </x:row>
    <x:row r="38" ht="28" customHeight="1">
      <x:c r="A38" s="116" t="n">
        <x:v>34</x:v>
      </x:c>
      <x:c r="B38" s="116" t="str">
        <x:v>新莊體育館</x:v>
      </x:c>
      <x:c r="C38" s="116" t="str">
        <x:v>新莊區</x:v>
      </x:c>
      <x:c r="D38" s="116" t="str">
        <x:v>三份皆入選</x:v>
      </x:c>
      <x:c r="E38" s="116" t="n">
        <x:v>192</x:v>
      </x:c>
      <x:c r="F38" s="116" t="n">
        <x:v>196</x:v>
      </x:c>
      <x:c r="G38" s="116" t="n">
        <x:v>154</x:v>
      </x:c>
      <x:c r="H38" s="231" t="n">
        <x:v>121.19354838709677</x:v>
      </x:c>
      <x:c r="I38" s="185" t="n">
        <x:v>0.14516129032258066</x:v>
      </x:c>
      <x:c r="J38" s="116" t="n">
        <x:v>63</x:v>
      </x:c>
      <x:c r="K38" s="116" t="n">
        <x:v>32</x:v>
      </x:c>
      <x:c r="L38" s="116" t="n">
        <x:v>4350</x:v>
      </x:c>
      <x:c r="M38" s="232"/>
      <x:c r="N38" s="232"/>
      <x:c r="O38" s="232"/>
      <x:c r="P38" s="232"/>
      <x:c r="Q38" s="232"/>
      <x:c r="R38" s="232"/>
    </x:row>
    <x:row r="39" ht="28" customHeight="1">
      <x:c r="A39" s="117" t="n">
        <x:v>35</x:v>
      </x:c>
      <x:c r="B39" s="117" t="str">
        <x:v>國隆大仁街口</x:v>
      </x:c>
      <x:c r="C39" s="117" t="str">
        <x:v>三重區</x:v>
      </x:c>
      <x:c r="D39" s="117" t="str">
        <x:v>總變動＋一般變動</x:v>
      </x:c>
      <x:c r="E39" s="117" t="n">
        <x:v>273</x:v>
      </x:c>
      <x:c r="F39" s="117" t="n">
        <x:v>259</x:v>
      </x:c>
      <x:c r="G39" s="117" t="n">
        <x:v>642</x:v>
      </x:c>
      <x:c r="H39" s="230" t="n">
        <x:v>106.51612903225806</x:v>
      </x:c>
      <x:c r="I39" s="184" t="n">
        <x:v>0.14516129032258066</x:v>
      </x:c>
      <x:c r="J39" s="117" t="n">
        <x:v>63</x:v>
      </x:c>
      <x:c r="K39" s="117" t="n">
        <x:v>25</x:v>
      </x:c>
      <x:c r="L39" s="117" t="n">
        <x:v>3540</x:v>
      </x:c>
      <x:c r="M39" s="232"/>
      <x:c r="N39" s="232"/>
      <x:c r="O39" s="232"/>
      <x:c r="P39" s="232"/>
      <x:c r="Q39" s="232"/>
      <x:c r="R39" s="232"/>
    </x:row>
    <x:row r="40" ht="28" customHeight="1">
      <x:c r="A40" s="116" t="n">
        <x:v>36</x:v>
      </x:c>
      <x:c r="B40" s="116" t="str">
        <x:v>輕軌濱海義山站(西南側)</x:v>
      </x:c>
      <x:c r="C40" s="116" t="str">
        <x:v>淡水區</x:v>
      </x:c>
      <x:c r="D40" s="116" t="str">
        <x:v>總變動＋一般變動</x:v>
      </x:c>
      <x:c r="E40" s="116" t="n">
        <x:v>257</x:v>
      </x:c>
      <x:c r="F40" s="116" t="n">
        <x:v>253</x:v>
      </x:c>
      <x:c r="G40" s="116" t="n">
        <x:v>384</x:v>
      </x:c>
      <x:c r="H40" s="231" t="n">
        <x:v>105.96774193548387</x:v>
      </x:c>
      <x:c r="I40" s="185" t="n">
        <x:v>0.14285714285714285</x:v>
      </x:c>
      <x:c r="J40" s="116" t="n">
        <x:v>62</x:v>
      </x:c>
      <x:c r="K40" s="116" t="n">
        <x:v>40</x:v>
      </x:c>
      <x:c r="L40" s="116" t="n">
        <x:v>4980</x:v>
      </x:c>
      <x:c r="M40" s="232"/>
      <x:c r="N40" s="232"/>
      <x:c r="O40" s="232"/>
      <x:c r="P40" s="232"/>
      <x:c r="Q40" s="232"/>
      <x:c r="R40" s="232"/>
    </x:row>
    <x:row r="41" ht="28" customHeight="1">
      <x:c r="A41" s="117" t="n">
        <x:v>37</x:v>
      </x:c>
      <x:c r="B41" s="117" t="str">
        <x:v>中平國中</x:v>
      </x:c>
      <x:c r="C41" s="117" t="str">
        <x:v>新莊區</x:v>
      </x:c>
      <x:c r="D41" s="117" t="str">
        <x:v>僅大幅變動</x:v>
      </x:c>
      <x:c r="E41" s="117" t="n">
        <x:v>804</x:v>
      </x:c>
      <x:c r="F41" s="117" t="n">
        <x:v>828</x:v>
      </x:c>
      <x:c r="G41" s="117" t="n">
        <x:v>331</x:v>
      </x:c>
      <x:c r="H41" s="230" t="n">
        <x:v>68.48387096774194</x:v>
      </x:c>
      <x:c r="I41" s="184" t="n">
        <x:v>0.14285714285714285</x:v>
      </x:c>
      <x:c r="J41" s="117" t="n">
        <x:v>62</x:v>
      </x:c>
      <x:c r="K41" s="117" t="n">
        <x:v>25</x:v>
      </x:c>
      <x:c r="L41" s="117" t="n">
        <x:v>3120</x:v>
      </x:c>
      <x:c r="M41" s="232"/>
      <x:c r="N41" s="232"/>
      <x:c r="O41" s="232"/>
      <x:c r="P41" s="232"/>
      <x:c r="Q41" s="232"/>
      <x:c r="R41" s="232"/>
    </x:row>
    <x:row r="42" ht="28" customHeight="1">
      <x:c r="A42" s="116" t="n">
        <x:v>38</x:v>
      </x:c>
      <x:c r="B42" s="116" t="str">
        <x:v>文化路一段212巷口</x:v>
      </x:c>
      <x:c r="C42" s="116" t="str">
        <x:v>板橋區</x:v>
      </x:c>
      <x:c r="D42" s="116" t="str">
        <x:v>總變動＋一般變動</x:v>
      </x:c>
      <x:c r="E42" s="116" t="n">
        <x:v>348</x:v>
      </x:c>
      <x:c r="F42" s="116" t="n">
        <x:v>328</x:v>
      </x:c>
      <x:c r="G42" s="116" t="n">
        <x:v>577</x:v>
      </x:c>
      <x:c r="H42" s="231" t="n">
        <x:v>105.48387096774194</x:v>
      </x:c>
      <x:c r="I42" s="185" t="n">
        <x:v>0.14055299539170507</x:v>
      </x:c>
      <x:c r="J42" s="116" t="n">
        <x:v>61</x:v>
      </x:c>
      <x:c r="K42" s="116" t="n">
        <x:v>34</x:v>
      </x:c>
      <x:c r="L42" s="116" t="n">
        <x:v>4740</x:v>
      </x:c>
      <x:c r="M42" s="232"/>
      <x:c r="N42" s="141" t="str">
        <x:v>這份排序不是最終調度清單。正式優先度還要加入：
1. 是否位於政策重點／轉乘節點
2. 事件預計持續多久
3. 到站調度時間
4. 搬一台車能避免多少失敗
5. 來源站被搬走後的風險
看到100%失衡且零活動的站，先判斷是否停用或資料異常。</x:v>
      </x:c>
      <x:c r="O42" s="142"/>
      <x:c r="P42" s="142"/>
      <x:c r="Q42" s="142"/>
      <x:c r="R42" s="143"/>
    </x:row>
    <x:row r="43" ht="28" customHeight="1">
      <x:c r="A43" s="117" t="n">
        <x:v>39</x:v>
      </x:c>
      <x:c r="B43" s="117" t="str">
        <x:v>華夏科技大學(華新街)</x:v>
      </x:c>
      <x:c r="C43" s="117" t="str">
        <x:v>中和區</x:v>
      </x:c>
      <x:c r="D43" s="117" t="str">
        <x:v>總變動＋一般變動</x:v>
      </x:c>
      <x:c r="E43" s="117" t="n">
        <x:v>259</x:v>
      </x:c>
      <x:c r="F43" s="117" t="n">
        <x:v>250</x:v>
      </x:c>
      <x:c r="G43" s="117" t="n">
        <x:v>439</x:v>
      </x:c>
      <x:c r="H43" s="230" t="n">
        <x:v>101.51612903225806</x:v>
      </x:c>
      <x:c r="I43" s="184" t="n">
        <x:v>0.1382488479262673</x:v>
      </x:c>
      <x:c r="J43" s="117" t="n">
        <x:v>60</x:v>
      </x:c>
      <x:c r="K43" s="117" t="n">
        <x:v>43</x:v>
      </x:c>
      <x:c r="L43" s="117" t="n">
        <x:v>6210</x:v>
      </x:c>
      <x:c r="M43" s="232"/>
      <x:c r="N43" s="144"/>
      <x:c r="O43" s="145"/>
      <x:c r="P43" s="145"/>
      <x:c r="Q43" s="145"/>
      <x:c r="R43" s="146"/>
    </x:row>
    <x:row r="44" ht="28" customHeight="1">
      <x:c r="A44" s="116" t="n">
        <x:v>40</x:v>
      </x:c>
      <x:c r="B44" s="116" t="str">
        <x:v>清和里(青雲路)</x:v>
      </x:c>
      <x:c r="C44" s="116" t="str">
        <x:v>土城區</x:v>
      </x:c>
      <x:c r="D44" s="116" t="str">
        <x:v>三份皆入選</x:v>
      </x:c>
      <x:c r="E44" s="116" t="n">
        <x:v>67</x:v>
      </x:c>
      <x:c r="F44" s="116" t="n">
        <x:v>62</x:v>
      </x:c>
      <x:c r="G44" s="116" t="n">
        <x:v>164</x:v>
      </x:c>
      <x:c r="H44" s="231" t="n">
        <x:v>153.41935483870967</x:v>
      </x:c>
      <x:c r="I44" s="185" t="n">
        <x:v>0.1382488479262673</x:v>
      </x:c>
      <x:c r="J44" s="116" t="n">
        <x:v>60</x:v>
      </x:c>
      <x:c r="K44" s="116" t="n">
        <x:v>24</x:v>
      </x:c>
      <x:c r="L44" s="116" t="n">
        <x:v>3090</x:v>
      </x:c>
      <x:c r="M44" s="232"/>
      <x:c r="N44" s="144"/>
      <x:c r="O44" s="145"/>
      <x:c r="P44" s="145"/>
      <x:c r="Q44" s="145"/>
      <x:c r="R44" s="146"/>
    </x:row>
    <x:row r="45" ht="28" customHeight="1">
      <x:c r="A45" s="117" t="n">
        <x:v>41</x:v>
      </x:c>
      <x:c r="B45" s="117" t="str">
        <x:v>三峽國中</x:v>
      </x:c>
      <x:c r="C45" s="117" t="str">
        <x:v>三峽區</x:v>
      </x:c>
      <x:c r="D45" s="117" t="str">
        <x:v>三份皆入選</x:v>
      </x:c>
      <x:c r="E45" s="117" t="n">
        <x:v>307</x:v>
      </x:c>
      <x:c r="F45" s="117" t="n">
        <x:v>315</x:v>
      </x:c>
      <x:c r="G45" s="117" t="n">
        <x:v>261</x:v>
      </x:c>
      <x:c r="H45" s="230" t="n">
        <x:v>111.6774193548387</x:v>
      </x:c>
      <x:c r="I45" s="184" t="n">
        <x:v>0.1382488479262673</x:v>
      </x:c>
      <x:c r="J45" s="117" t="n">
        <x:v>60</x:v>
      </x:c>
      <x:c r="K45" s="117" t="n">
        <x:v>14</x:v>
      </x:c>
      <x:c r="L45" s="117" t="n">
        <x:v>2220</x:v>
      </x:c>
      <x:c r="M45" s="232"/>
      <x:c r="N45" s="144"/>
      <x:c r="O45" s="145"/>
      <x:c r="P45" s="145"/>
      <x:c r="Q45" s="145"/>
      <x:c r="R45" s="146"/>
    </x:row>
    <x:row r="46" ht="28" customHeight="1">
      <x:c r="A46" s="116" t="n">
        <x:v>42</x:v>
      </x:c>
      <x:c r="B46" s="116" t="str">
        <x:v>正德國中</x:v>
      </x:c>
      <x:c r="C46" s="116" t="str">
        <x:v>淡水區</x:v>
      </x:c>
      <x:c r="D46" s="116" t="str">
        <x:v>僅大幅變動</x:v>
      </x:c>
      <x:c r="E46" s="116" t="n">
        <x:v>374</x:v>
      </x:c>
      <x:c r="F46" s="116" t="n">
        <x:v>379</x:v>
      </x:c>
      <x:c r="G46" s="116" t="n">
        <x:v>307</x:v>
      </x:c>
      <x:c r="H46" s="231" t="n">
        <x:v>94.51612903225806</x:v>
      </x:c>
      <x:c r="I46" s="185" t="n">
        <x:v>0.1359447004608295</x:v>
      </x:c>
      <x:c r="J46" s="116" t="n">
        <x:v>59</x:v>
      </x:c>
      <x:c r="K46" s="116" t="n">
        <x:v>29</x:v>
      </x:c>
      <x:c r="L46" s="116" t="n">
        <x:v>3690</x:v>
      </x:c>
      <x:c r="M46" s="232"/>
      <x:c r="N46" s="144"/>
      <x:c r="O46" s="145"/>
      <x:c r="P46" s="145"/>
      <x:c r="Q46" s="145"/>
      <x:c r="R46" s="146"/>
    </x:row>
    <x:row r="47" ht="28" customHeight="1">
      <x:c r="A47" s="117" t="n">
        <x:v>43</x:v>
      </x:c>
      <x:c r="B47" s="117" t="str">
        <x:v>致理科技大學</x:v>
      </x:c>
      <x:c r="C47" s="117" t="str">
        <x:v>板橋區</x:v>
      </x:c>
      <x:c r="D47" s="117" t="str">
        <x:v>三份皆入選</x:v>
      </x:c>
      <x:c r="E47" s="117" t="n">
        <x:v>97</x:v>
      </x:c>
      <x:c r="F47" s="117" t="n">
        <x:v>96</x:v>
      </x:c>
      <x:c r="G47" s="117" t="n">
        <x:v>217</x:v>
      </x:c>
      <x:c r="H47" s="230" t="n">
        <x:v>154.93548387096774</x:v>
      </x:c>
      <x:c r="I47" s="184" t="n">
        <x:v>0.1359447004608295</x:v>
      </x:c>
      <x:c r="J47" s="117" t="n">
        <x:v>59</x:v>
      </x:c>
      <x:c r="K47" s="117" t="n">
        <x:v>28</x:v>
      </x:c>
      <x:c r="L47" s="117" t="n">
        <x:v>3570</x:v>
      </x:c>
      <x:c r="M47" s="232"/>
      <x:c r="N47" s="144"/>
      <x:c r="O47" s="145"/>
      <x:c r="P47" s="145"/>
      <x:c r="Q47" s="145"/>
      <x:c r="R47" s="146"/>
    </x:row>
    <x:row r="48" ht="28" customHeight="1">
      <x:c r="A48" s="116" t="n">
        <x:v>44</x:v>
      </x:c>
      <x:c r="B48" s="116" t="str">
        <x:v>光復高中</x:v>
      </x:c>
      <x:c r="C48" s="116" t="str">
        <x:v>板橋區</x:v>
      </x:c>
      <x:c r="D48" s="116" t="str">
        <x:v>三份皆入選</x:v>
      </x:c>
      <x:c r="E48" s="116" t="n">
        <x:v>271</x:v>
      </x:c>
      <x:c r="F48" s="116" t="n">
        <x:v>287</x:v>
      </x:c>
      <x:c r="G48" s="116" t="n">
        <x:v>140</x:v>
      </x:c>
      <x:c r="H48" s="231" t="n">
        <x:v>86.12903225806451</x:v>
      </x:c>
      <x:c r="I48" s="185" t="n">
        <x:v>0.1336405529953917</x:v>
      </x:c>
      <x:c r="J48" s="116" t="n">
        <x:v>58</x:v>
      </x:c>
      <x:c r="K48" s="116" t="n">
        <x:v>23</x:v>
      </x:c>
      <x:c r="L48" s="116" t="n">
        <x:v>2430</x:v>
      </x:c>
      <x:c r="M48" s="232"/>
      <x:c r="N48" s="144"/>
      <x:c r="O48" s="145"/>
      <x:c r="P48" s="145"/>
      <x:c r="Q48" s="145"/>
      <x:c r="R48" s="146"/>
    </x:row>
    <x:row r="49" ht="28" customHeight="1">
      <x:c r="A49" s="117" t="n">
        <x:v>45</x:v>
      </x:c>
      <x:c r="B49" s="117" t="str">
        <x:v>港德攤集區(中正路236巷)</x:v>
      </x:c>
      <x:c r="C49" s="117" t="str">
        <x:v>板橋區</x:v>
      </x:c>
      <x:c r="D49" s="117" t="str">
        <x:v>總變動＋一般變動</x:v>
      </x:c>
      <x:c r="E49" s="117" t="n">
        <x:v>244</x:v>
      </x:c>
      <x:c r="F49" s="117" t="n">
        <x:v>233</x:v>
      </x:c>
      <x:c r="G49" s="117" t="n">
        <x:v>435</x:v>
      </x:c>
      <x:c r="H49" s="230" t="n">
        <x:v>119.16129032258064</x:v>
      </x:c>
      <x:c r="I49" s="184" t="n">
        <x:v>0.1313364055299539</x:v>
      </x:c>
      <x:c r="J49" s="117" t="n">
        <x:v>57</x:v>
      </x:c>
      <x:c r="K49" s="117" t="n">
        <x:v>38</x:v>
      </x:c>
      <x:c r="L49" s="117" t="n">
        <x:v>5310</x:v>
      </x:c>
      <x:c r="M49" s="232"/>
      <x:c r="N49" s="144"/>
      <x:c r="O49" s="145"/>
      <x:c r="P49" s="145"/>
      <x:c r="Q49" s="145"/>
      <x:c r="R49" s="146"/>
    </x:row>
    <x:row r="50" ht="28" customHeight="1">
      <x:c r="A50" s="116" t="n">
        <x:v>46</x:v>
      </x:c>
      <x:c r="B50" s="116" t="str">
        <x:v>江翠國中</x:v>
      </x:c>
      <x:c r="C50" s="116" t="str">
        <x:v>板橋區</x:v>
      </x:c>
      <x:c r="D50" s="116" t="str">
        <x:v>三份皆入選</x:v>
      </x:c>
      <x:c r="E50" s="116" t="n">
        <x:v>332</x:v>
      </x:c>
      <x:c r="F50" s="116" t="n">
        <x:v>340</x:v>
      </x:c>
      <x:c r="G50" s="116" t="n">
        <x:v>221</x:v>
      </x:c>
      <x:c r="H50" s="231" t="n">
        <x:v>110.25806451612904</x:v>
      </x:c>
      <x:c r="I50" s="185" t="n">
        <x:v>0.1313364055299539</x:v>
      </x:c>
      <x:c r="J50" s="116" t="n">
        <x:v>57</x:v>
      </x:c>
      <x:c r="K50" s="116" t="n">
        <x:v>25</x:v>
      </x:c>
      <x:c r="L50" s="116" t="n">
        <x:v>3240</x:v>
      </x:c>
      <x:c r="M50" s="232"/>
      <x:c r="N50" s="144"/>
      <x:c r="O50" s="145"/>
      <x:c r="P50" s="145"/>
      <x:c r="Q50" s="145"/>
      <x:c r="R50" s="146"/>
    </x:row>
    <x:row r="51" ht="28" customHeight="1">
      <x:c r="A51" s="117" t="n">
        <x:v>47</x:v>
      </x:c>
      <x:c r="B51" s="117" t="str">
        <x:v>學士龍山二街口(金城舞2社區)</x:v>
      </x:c>
      <x:c r="C51" s="117" t="str">
        <x:v>土城區</x:v>
      </x:c>
      <x:c r="D51" s="117" t="str">
        <x:v>三份皆入選</x:v>
      </x:c>
      <x:c r="E51" s="117" t="n">
        <x:v>164</x:v>
      </x:c>
      <x:c r="F51" s="117" t="n">
        <x:v>158</x:v>
      </x:c>
      <x:c r="G51" s="117" t="n">
        <x:v>273</x:v>
      </x:c>
      <x:c r="H51" s="230" t="n">
        <x:v>121.41935483870968</x:v>
      </x:c>
      <x:c r="I51" s="184" t="n">
        <x:v>0.12903225806451613</x:v>
      </x:c>
      <x:c r="J51" s="117" t="n">
        <x:v>56</x:v>
      </x:c>
      <x:c r="K51" s="117" t="n">
        <x:v>29</x:v>
      </x:c>
      <x:c r="L51" s="117" t="n">
        <x:v>3690</x:v>
      </x:c>
      <x:c r="M51" s="232"/>
      <x:c r="N51" s="144"/>
      <x:c r="O51" s="145"/>
      <x:c r="P51" s="145"/>
      <x:c r="Q51" s="145"/>
      <x:c r="R51" s="146"/>
    </x:row>
    <x:row r="52" ht="28" customHeight="1">
      <x:c r="A52" s="116" t="n">
        <x:v>48</x:v>
      </x:c>
      <x:c r="B52" s="116" t="str">
        <x:v>民生中山路口</x:v>
      </x:c>
      <x:c r="C52" s="116" t="str">
        <x:v>板橋區</x:v>
      </x:c>
      <x:c r="D52" s="116" t="str">
        <x:v>總變動＋一般變動</x:v>
      </x:c>
      <x:c r="E52" s="116" t="n">
        <x:v>231</x:v>
      </x:c>
      <x:c r="F52" s="116" t="n">
        <x:v>221</x:v>
      </x:c>
      <x:c r="G52" s="116" t="n">
        <x:v>496</x:v>
      </x:c>
      <x:c r="H52" s="231" t="n">
        <x:v>109.58064516129032</x:v>
      </x:c>
      <x:c r="I52" s="185" t="n">
        <x:v>0.12903225806451613</x:v>
      </x:c>
      <x:c r="J52" s="116" t="n">
        <x:v>56</x:v>
      </x:c>
      <x:c r="K52" s="116" t="n">
        <x:v>27</x:v>
      </x:c>
      <x:c r="L52" s="116" t="n">
        <x:v>3570</x:v>
      </x:c>
      <x:c r="M52" s="232"/>
      <x:c r="N52" s="144"/>
      <x:c r="O52" s="145"/>
      <x:c r="P52" s="145"/>
      <x:c r="Q52" s="145"/>
      <x:c r="R52" s="146"/>
    </x:row>
    <x:row r="53" ht="28" customHeight="1">
      <x:c r="A53" s="117" t="n">
        <x:v>49</x:v>
      </x:c>
      <x:c r="B53" s="117" t="str">
        <x:v>中山國中</x:v>
      </x:c>
      <x:c r="C53" s="117" t="str">
        <x:v>板橋區</x:v>
      </x:c>
      <x:c r="D53" s="117" t="str">
        <x:v>三份皆入選</x:v>
      </x:c>
      <x:c r="E53" s="117" t="n">
        <x:v>265</x:v>
      </x:c>
      <x:c r="F53" s="117" t="n">
        <x:v>263</x:v>
      </x:c>
      <x:c r="G53" s="117" t="n">
        <x:v>346</x:v>
      </x:c>
      <x:c r="H53" s="230" t="n">
        <x:v>112.03225806451613</x:v>
      </x:c>
      <x:c r="I53" s="184" t="n">
        <x:v>0.12903225806451613</x:v>
      </x:c>
      <x:c r="J53" s="117" t="n">
        <x:v>56</x:v>
      </x:c>
      <x:c r="K53" s="117" t="n">
        <x:v>24</x:v>
      </x:c>
      <x:c r="L53" s="117" t="n">
        <x:v>3330</x:v>
      </x:c>
      <x:c r="M53" s="232"/>
      <x:c r="N53" s="144"/>
      <x:c r="O53" s="145"/>
      <x:c r="P53" s="145"/>
      <x:c r="Q53" s="145"/>
      <x:c r="R53" s="146"/>
    </x:row>
    <x:row r="54" ht="28" customHeight="1">
      <x:c r="A54" s="116" t="n">
        <x:v>50</x:v>
      </x:c>
      <x:c r="B54" s="116" t="str">
        <x:v>文化路二段182巷1弄</x:v>
      </x:c>
      <x:c r="C54" s="116" t="str">
        <x:v>板橋區</x:v>
      </x:c>
      <x:c r="D54" s="116" t="str">
        <x:v>三份皆入選</x:v>
      </x:c>
      <x:c r="E54" s="116" t="n">
        <x:v>301</x:v>
      </x:c>
      <x:c r="F54" s="116" t="n">
        <x:v>316</x:v>
      </x:c>
      <x:c r="G54" s="116" t="n">
        <x:v>172</x:v>
      </x:c>
      <x:c r="H54" s="231" t="n">
        <x:v>90</x:v>
      </x:c>
      <x:c r="I54" s="185" t="n">
        <x:v>0.12672811059907835</x:v>
      </x:c>
      <x:c r="J54" s="116" t="n">
        <x:v>55</x:v>
      </x:c>
      <x:c r="K54" s="116" t="n">
        <x:v>57</x:v>
      </x:c>
      <x:c r="L54" s="116" t="n">
        <x:v>7830</x:v>
      </x:c>
      <x:c r="M54" s="232"/>
      <x:c r="N54" s="144"/>
      <x:c r="O54" s="145"/>
      <x:c r="P54" s="145"/>
      <x:c r="Q54" s="145"/>
      <x:c r="R54" s="146"/>
    </x:row>
    <x:row r="55" ht="28" customHeight="1">
      <x:c r="A55" s="117" t="n">
        <x:v>51</x:v>
      </x:c>
      <x:c r="B55" s="117" t="str">
        <x:v>萬板文聖街口</x:v>
      </x:c>
      <x:c r="C55" s="117" t="str">
        <x:v>板橋區</x:v>
      </x:c>
      <x:c r="D55" s="117" t="str">
        <x:v>三份皆入選</x:v>
      </x:c>
      <x:c r="E55" s="117" t="n">
        <x:v>187</x:v>
      </x:c>
      <x:c r="F55" s="117" t="n">
        <x:v>187</x:v>
      </x:c>
      <x:c r="G55" s="117" t="n">
        <x:v>214</x:v>
      </x:c>
      <x:c r="H55" s="230" t="n">
        <x:v>114.90322580645162</x:v>
      </x:c>
      <x:c r="I55" s="184" t="n">
        <x:v>0.12672811059907835</x:v>
      </x:c>
      <x:c r="J55" s="117" t="n">
        <x:v>55</x:v>
      </x:c>
      <x:c r="K55" s="117" t="n">
        <x:v>32</x:v>
      </x:c>
      <x:c r="L55" s="117" t="n">
        <x:v>3660</x:v>
      </x:c>
      <x:c r="M55" s="232"/>
      <x:c r="N55" s="147"/>
      <x:c r="O55" s="148"/>
      <x:c r="P55" s="148"/>
      <x:c r="Q55" s="148"/>
      <x:c r="R55" s="149"/>
    </x:row>
    <x:row r="56" ht="28" customHeight="1">
      <x:c r="A56" s="116" t="n">
        <x:v>52</x:v>
      </x:c>
      <x:c r="B56" s="116" t="str">
        <x:v>伊吉邦社區</x:v>
      </x:c>
      <x:c r="C56" s="116" t="str">
        <x:v>新莊區</x:v>
      </x:c>
      <x:c r="D56" s="116" t="str">
        <x:v>三份皆入選</x:v>
      </x:c>
      <x:c r="E56" s="116" t="n">
        <x:v>119</x:v>
      </x:c>
      <x:c r="F56" s="116" t="n">
        <x:v>119</x:v>
      </x:c>
      <x:c r="G56" s="116" t="n">
        <x:v>153</x:v>
      </x:c>
      <x:c r="H56" s="231" t="n">
        <x:v>127.80645161290323</x:v>
      </x:c>
      <x:c r="I56" s="185" t="n">
        <x:v>0.12672811059907835</x:v>
      </x:c>
      <x:c r="J56" s="116" t="n">
        <x:v>55</x:v>
      </x:c>
      <x:c r="K56" s="116" t="n">
        <x:v>30</x:v>
      </x:c>
      <x:c r="L56" s="116" t="n">
        <x:v>3420</x:v>
      </x:c>
      <x:c r="M56" s="232"/>
      <x:c r="N56" s="232"/>
      <x:c r="O56" s="232"/>
      <x:c r="P56" s="232"/>
      <x:c r="Q56" s="232"/>
      <x:c r="R56" s="232"/>
    </x:row>
    <x:row r="57" ht="28" customHeight="1">
      <x:c r="A57" s="117" t="n">
        <x:v>53</x:v>
      </x:c>
      <x:c r="B57" s="117" t="str">
        <x:v>捷運新北產業園區站</x:v>
      </x:c>
      <x:c r="C57" s="117" t="str">
        <x:v>新莊區</x:v>
      </x:c>
      <x:c r="D57" s="117" t="str">
        <x:v>三份皆入選</x:v>
      </x:c>
      <x:c r="E57" s="117" t="n">
        <x:v>59</x:v>
      </x:c>
      <x:c r="F57" s="117" t="n">
        <x:v>60</x:v>
      </x:c>
      <x:c r="G57" s="117" t="n">
        <x:v>45</x:v>
      </x:c>
      <x:c r="H57" s="230" t="n">
        <x:v>166.41935483870967</x:v>
      </x:c>
      <x:c r="I57" s="184" t="n">
        <x:v>0.12442396313364056</x:v>
      </x:c>
      <x:c r="J57" s="117" t="n">
        <x:v>54</x:v>
      </x:c>
      <x:c r="K57" s="117" t="n">
        <x:v>51</x:v>
      </x:c>
      <x:c r="L57" s="117" t="n">
        <x:v>7800</x:v>
      </x:c>
      <x:c r="M57" s="232"/>
      <x:c r="N57" s="232"/>
      <x:c r="O57" s="232"/>
      <x:c r="P57" s="232"/>
      <x:c r="Q57" s="232"/>
      <x:c r="R57" s="232"/>
    </x:row>
    <x:row r="58" ht="28" customHeight="1">
      <x:c r="A58" s="116" t="n">
        <x:v>54</x:v>
      </x:c>
      <x:c r="B58" s="116" t="str">
        <x:v>福和國中停車場</x:v>
      </x:c>
      <x:c r="C58" s="116" t="str">
        <x:v>永和區</x:v>
      </x:c>
      <x:c r="D58" s="116" t="str">
        <x:v>三份皆入選</x:v>
      </x:c>
      <x:c r="E58" s="116" t="n">
        <x:v>172</x:v>
      </x:c>
      <x:c r="F58" s="116" t="n">
        <x:v>173</x:v>
      </x:c>
      <x:c r="G58" s="116" t="n">
        <x:v>104</x:v>
      </x:c>
      <x:c r="H58" s="231" t="n">
        <x:v>137.1290322580645</x:v>
      </x:c>
      <x:c r="I58" s="185" t="n">
        <x:v>0.12442396313364056</x:v>
      </x:c>
      <x:c r="J58" s="116" t="n">
        <x:v>54</x:v>
      </x:c>
      <x:c r="K58" s="116" t="n">
        <x:v>10</x:v>
      </x:c>
      <x:c r="L58" s="116" t="n">
        <x:v>1980</x:v>
      </x:c>
      <x:c r="M58" s="232"/>
      <x:c r="N58" s="232"/>
      <x:c r="O58" s="232"/>
      <x:c r="P58" s="232"/>
      <x:c r="Q58" s="232"/>
      <x:c r="R58" s="232"/>
    </x:row>
    <x:row r="59" ht="28" customHeight="1">
      <x:c r="A59" s="117" t="n">
        <x:v>55</x:v>
      </x:c>
      <x:c r="B59" s="117" t="str">
        <x:v>莊敬公園</x:v>
      </x:c>
      <x:c r="C59" s="117" t="str">
        <x:v>板橋區</x:v>
      </x:c>
      <x:c r="D59" s="117" t="str">
        <x:v>三份皆入選</x:v>
      </x:c>
      <x:c r="E59" s="117" t="n">
        <x:v>299</x:v>
      </x:c>
      <x:c r="F59" s="117" t="n">
        <x:v>304</x:v>
      </x:c>
      <x:c r="G59" s="117" t="n">
        <x:v>260</x:v>
      </x:c>
      <x:c r="H59" s="230" t="n">
        <x:v>93.3225806451613</x:v>
      </x:c>
      <x:c r="I59" s="184" t="n">
        <x:v>0.12211981566820276</x:v>
      </x:c>
      <x:c r="J59" s="117" t="n">
        <x:v>53</x:v>
      </x:c>
      <x:c r="K59" s="117" t="n">
        <x:v>32</x:v>
      </x:c>
      <x:c r="L59" s="117" t="n">
        <x:v>4230</x:v>
      </x:c>
      <x:c r="M59" s="232"/>
      <x:c r="N59" s="232"/>
      <x:c r="O59" s="232"/>
      <x:c r="P59" s="232"/>
      <x:c r="Q59" s="232"/>
      <x:c r="R59" s="232"/>
    </x:row>
    <x:row r="60" ht="28" customHeight="1">
      <x:c r="A60" s="116" t="n">
        <x:v>56</x:v>
      </x:c>
      <x:c r="B60" s="116" t="str">
        <x:v>安康高中</x:v>
      </x:c>
      <x:c r="C60" s="116" t="str">
        <x:v>新店區</x:v>
      </x:c>
      <x:c r="D60" s="116" t="str">
        <x:v>僅大幅變動</x:v>
      </x:c>
      <x:c r="E60" s="116" t="n">
        <x:v>378</x:v>
      </x:c>
      <x:c r="F60" s="116" t="n">
        <x:v>394</x:v>
      </x:c>
      <x:c r="G60" s="116" t="n">
        <x:v>281</x:v>
      </x:c>
      <x:c r="H60" s="231" t="n">
        <x:v>117.61290322580645</x:v>
      </x:c>
      <x:c r="I60" s="185" t="n">
        <x:v>0.12211981566820276</x:v>
      </x:c>
      <x:c r="J60" s="116" t="n">
        <x:v>53</x:v>
      </x:c>
      <x:c r="K60" s="116" t="n">
        <x:v>17</x:v>
      </x:c>
      <x:c r="L60" s="116" t="n">
        <x:v>1950</x:v>
      </x:c>
      <x:c r="M60" s="232"/>
      <x:c r="N60" s="232"/>
      <x:c r="O60" s="232"/>
      <x:c r="P60" s="232"/>
      <x:c r="Q60" s="232"/>
      <x:c r="R60" s="232"/>
    </x:row>
    <x:row r="61" ht="28" customHeight="1">
      <x:c r="A61" s="117" t="n">
        <x:v>57</x:v>
      </x:c>
      <x:c r="B61" s="117" t="str">
        <x:v>文化白雲公園</x:v>
      </x:c>
      <x:c r="C61" s="117" t="str">
        <x:v>汐止區</x:v>
      </x:c>
      <x:c r="D61" s="117" t="str">
        <x:v>三份皆入選</x:v>
      </x:c>
      <x:c r="E61" s="117" t="n">
        <x:v>218</x:v>
      </x:c>
      <x:c r="F61" s="117" t="n">
        <x:v>236</x:v>
      </x:c>
      <x:c r="G61" s="117" t="n">
        <x:v>86</x:v>
      </x:c>
      <x:c r="H61" s="230" t="n">
        <x:v>108.41935483870968</x:v>
      </x:c>
      <x:c r="I61" s="184" t="n">
        <x:v>0.11981566820276497</x:v>
      </x:c>
      <x:c r="J61" s="117" t="n">
        <x:v>52</x:v>
      </x:c>
      <x:c r="K61" s="117" t="n">
        <x:v>35</x:v>
      </x:c>
      <x:c r="L61" s="117" t="n">
        <x:v>3780</x:v>
      </x:c>
      <x:c r="M61" s="232"/>
      <x:c r="N61" s="232"/>
      <x:c r="O61" s="232"/>
      <x:c r="P61" s="232"/>
      <x:c r="Q61" s="232"/>
      <x:c r="R61" s="232"/>
    </x:row>
    <x:row r="62" ht="28" customHeight="1">
      <x:c r="A62" s="116" t="n">
        <x:v>58</x:v>
      </x:c>
      <x:c r="B62" s="116" t="str">
        <x:v>廣福國小</x:v>
      </x:c>
      <x:c r="C62" s="116" t="str">
        <x:v>土城區</x:v>
      </x:c>
      <x:c r="D62" s="116" t="str">
        <x:v>總變動＋一般變動</x:v>
      </x:c>
      <x:c r="E62" s="116" t="n">
        <x:v>227</x:v>
      </x:c>
      <x:c r="F62" s="116" t="n">
        <x:v>218</x:v>
      </x:c>
      <x:c r="G62" s="116" t="n">
        <x:v>529</x:v>
      </x:c>
      <x:c r="H62" s="231" t="n">
        <x:v>116.2258064516129</x:v>
      </x:c>
      <x:c r="I62" s="185" t="n">
        <x:v>0.11981566820276497</x:v>
      </x:c>
      <x:c r="J62" s="116" t="n">
        <x:v>52</x:v>
      </x:c>
      <x:c r="K62" s="116" t="n">
        <x:v>28</x:v>
      </x:c>
      <x:c r="L62" s="116" t="n">
        <x:v>4230</x:v>
      </x:c>
      <x:c r="M62" s="232"/>
      <x:c r="N62" s="232"/>
      <x:c r="O62" s="232"/>
      <x:c r="P62" s="232"/>
      <x:c r="Q62" s="232"/>
      <x:c r="R62" s="232"/>
    </x:row>
    <x:row r="63" ht="28" customHeight="1">
      <x:c r="A63" s="117" t="n">
        <x:v>59</x:v>
      </x:c>
      <x:c r="B63" s="117" t="str">
        <x:v>廣福派出所</x:v>
      </x:c>
      <x:c r="C63" s="117" t="str">
        <x:v>土城區</x:v>
      </x:c>
      <x:c r="D63" s="117" t="str">
        <x:v>三份皆入選</x:v>
      </x:c>
      <x:c r="E63" s="117" t="n">
        <x:v>162</x:v>
      </x:c>
      <x:c r="F63" s="117" t="n">
        <x:v>165</x:v>
      </x:c>
      <x:c r="G63" s="117" t="n">
        <x:v>123</x:v>
      </x:c>
      <x:c r="H63" s="230" t="n">
        <x:v>134.4516129032258</x:v>
      </x:c>
      <x:c r="I63" s="184" t="n">
        <x:v>0.11981566820276497</x:v>
      </x:c>
      <x:c r="J63" s="117" t="n">
        <x:v>52</x:v>
      </x:c>
      <x:c r="K63" s="117" t="n">
        <x:v>26</x:v>
      </x:c>
      <x:c r="L63" s="117" t="n">
        <x:v>3210</x:v>
      </x:c>
      <x:c r="M63" s="232"/>
      <x:c r="N63" s="232"/>
      <x:c r="O63" s="232"/>
      <x:c r="P63" s="232"/>
      <x:c r="Q63" s="232"/>
      <x:c r="R63" s="232"/>
    </x:row>
    <x:row r="64" ht="28" customHeight="1">
      <x:c r="A64" s="116" t="n">
        <x:v>60</x:v>
      </x:c>
      <x:c r="B64" s="116" t="str">
        <x:v>捷運頭前庄站(1號出口)</x:v>
      </x:c>
      <x:c r="C64" s="116" t="str">
        <x:v>新莊區</x:v>
      </x:c>
      <x:c r="D64" s="116" t="str">
        <x:v>三份皆入選</x:v>
      </x:c>
      <x:c r="E64" s="116" t="n">
        <x:v>29</x:v>
      </x:c>
      <x:c r="F64" s="116" t="n">
        <x:v>31</x:v>
      </x:c>
      <x:c r="G64" s="116" t="n">
        <x:v>12</x:v>
      </x:c>
      <x:c r="H64" s="231" t="n">
        <x:v>205.93548387096774</x:v>
      </x:c>
      <x:c r="I64" s="185" t="n">
        <x:v>0.1175115207373272</x:v>
      </x:c>
      <x:c r="J64" s="116" t="n">
        <x:v>51</x:v>
      </x:c>
      <x:c r="K64" s="116" t="n">
        <x:v>42</x:v>
      </x:c>
      <x:c r="L64" s="116" t="n">
        <x:v>6000</x:v>
      </x:c>
      <x:c r="M64" s="232"/>
      <x:c r="N64" s="232"/>
      <x:c r="O64" s="232"/>
      <x:c r="P64" s="232"/>
      <x:c r="Q64" s="232"/>
      <x:c r="R64" s="232"/>
    </x:row>
  </x:sheetData>
  <x:mergeCells>
    <x:mergeCell ref="A1:R1"/>
    <x:mergeCell ref="A2:R2"/>
    <x:mergeCell ref="N42:R55"/>
  </x:mergeCells>
  <x:pageMargins left="0.7" right="0.7" top="0.75" bottom="0.75" header="0.3" footer="0.3"/>
  <x:drawing xmlns:r="http://schemas.openxmlformats.org/officeDocument/2006/relationships" r:id="R4e6ad6a24f2041f4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4" customHeight="1">
      <x:c r="A1" s="3" t="str">
        <x:v>大幅變動站點特徵與行政區分布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大幅跳動可能是運補、團體借還、活動或資料問題。保留這些站能看出既有營運機制在哪些地點較活躍，但不能直接命名為運補。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  <x:c r="R3" s="232"/>
      <x:c r="S3" s="232"/>
      <x:c r="T3" s="232"/>
    </x:row>
    <x:row r="4" ht="28" customHeight="1">
      <x:c r="A4" s="112" t="str">
        <x:v>大幅排名</x:v>
      </x:c>
      <x:c r="B4" s="112" t="str">
        <x:v>站點</x:v>
      </x:c>
      <x:c r="C4" s="112" t="str">
        <x:v>行政區</x:v>
      </x:c>
      <x:c r="D4" s="112" t="str">
        <x:v>容量</x:v>
      </x:c>
      <x:c r="E4" s="112" t="str">
        <x:v>開發大幅量/日</x:v>
      </x:c>
      <x:c r="F4" s="112" t="str">
        <x:v>開發次數/日</x:v>
      </x:c>
      <x:c r="G4" s="112" t="str">
        <x:v>開發大幅占比</x:v>
      </x:c>
      <x:c r="H4" s="112" t="str">
        <x:v>出現月份數</x:v>
      </x:c>
      <x:c r="I4" s="112" t="str">
        <x:v>五月大幅量/日</x:v>
      </x:c>
      <x:c r="J4" s="112" t="str">
        <x:v>五月尖峰失衡率</x:v>
      </x:c>
      <x:c r="K4" s="112" t="str">
        <x:v>五月持續事件</x:v>
      </x:c>
      <x:c r="L4" s="232"/>
      <x:c r="M4" s="183" t="str">
        <x:v>行政區</x:v>
      </x:c>
      <x:c r="N4" s="183" t="str">
        <x:v>總變動</x:v>
      </x:c>
      <x:c r="O4" s="183" t="str">
        <x:v>一般變動</x:v>
      </x:c>
      <x:c r="P4" s="183" t="str">
        <x:v>大幅變動</x:v>
      </x:c>
      <x:c r="Q4" s="232"/>
      <x:c r="R4" s="232"/>
      <x:c r="S4" s="232"/>
      <x:c r="T4" s="232"/>
    </x:row>
    <x:row r="5" ht="28" customHeight="1">
      <x:c r="A5" s="117" t="n">
        <x:v>1</x:v>
      </x:c>
      <x:c r="B5" s="117" t="str">
        <x:v>捷運新埔站(1號出口)</x:v>
      </x:c>
      <x:c r="C5" s="117" t="str">
        <x:v>板橋區</x:v>
      </x:c>
      <x:c r="D5" s="117" t="n">
        <x:v>99</x:v>
      </x:c>
      <x:c r="E5" s="230" t="n">
        <x:v>19.083333333333332</x:v>
      </x:c>
      <x:c r="F5" s="230" t="n">
        <x:v>0.275</x:v>
      </x:c>
      <x:c r="G5" s="184" t="n">
        <x:v>0.06223502554625503</x:v>
      </x:c>
      <x:c r="H5" s="117" t="n">
        <x:v>4</x:v>
      </x:c>
      <x:c r="I5" s="230" t="n">
        <x:v>18.161290322580644</x:v>
      </x:c>
      <x:c r="J5" s="184" t="n">
        <x:v>0.03456221198156682</x:v>
      </x:c>
      <x:c r="K5" s="117" t="n">
        <x:v>30</x:v>
      </x:c>
      <x:c r="L5" s="232"/>
      <x:c r="M5" s="120" t="str">
        <x:v>板橋區</x:v>
      </x:c>
      <x:c r="N5" s="120" t="n">
        <x:v>88</x:v>
      </x:c>
      <x:c r="O5" s="120" t="n">
        <x:v>88</x:v>
      </x:c>
      <x:c r="P5" s="120" t="n">
        <x:v>89</x:v>
      </x:c>
      <x:c r="Q5" s="232"/>
      <x:c r="R5" s="232"/>
      <x:c r="S5" s="232"/>
      <x:c r="T5" s="232"/>
    </x:row>
    <x:row r="6" ht="28" customHeight="1">
      <x:c r="A6" s="116" t="n">
        <x:v>2</x:v>
      </x:c>
      <x:c r="B6" s="116" t="str">
        <x:v>捷運淡水站</x:v>
      </x:c>
      <x:c r="C6" s="116" t="str">
        <x:v>淡水區</x:v>
      </x:c>
      <x:c r="D6" s="116" t="n">
        <x:v>98</x:v>
      </x:c>
      <x:c r="E6" s="231" t="n">
        <x:v>19.083333333333332</x:v>
      </x:c>
      <x:c r="F6" s="231" t="n">
        <x:v>0.26666666666666666</x:v>
      </x:c>
      <x:c r="G6" s="185" t="n">
        <x:v>0.07521266463034125</x:v>
      </x:c>
      <x:c r="H6" s="116" t="n">
        <x:v>4</x:v>
      </x:c>
      <x:c r="I6" s="231" t="n">
        <x:v>18.774193548387096</x:v>
      </x:c>
      <x:c r="J6" s="185" t="n">
        <x:v>0.0069124423963133645</x:v>
      </x:c>
      <x:c r="K6" s="116" t="n">
        <x:v>3</x:v>
      </x:c>
      <x:c r="L6" s="232"/>
      <x:c r="M6" s="119" t="str">
        <x:v>新莊區</x:v>
      </x:c>
      <x:c r="N6" s="119" t="n">
        <x:v>45</x:v>
      </x:c>
      <x:c r="O6" s="119" t="n">
        <x:v>46</x:v>
      </x:c>
      <x:c r="P6" s="119" t="n">
        <x:v>40</x:v>
      </x:c>
      <x:c r="Q6" s="232"/>
      <x:c r="R6" s="232"/>
      <x:c r="S6" s="232"/>
      <x:c r="T6" s="232"/>
    </x:row>
    <x:row r="7" ht="28" customHeight="1">
      <x:c r="A7" s="117" t="n">
        <x:v>3</x:v>
      </x:c>
      <x:c r="B7" s="117" t="str">
        <x:v>三重商工</x:v>
      </x:c>
      <x:c r="C7" s="117" t="str">
        <x:v>三重區</x:v>
      </x:c>
      <x:c r="D7" s="117" t="n">
        <x:v>77</x:v>
      </x:c>
      <x:c r="E7" s="230" t="n">
        <x:v>18.166666666666668</x:v>
      </x:c>
      <x:c r="F7" s="230" t="n">
        <x:v>0.2833333333333333</x:v>
      </x:c>
      <x:c r="G7" s="184" t="n">
        <x:v>0.1495814464114176</x:v>
      </x:c>
      <x:c r="H7" s="117" t="n">
        <x:v>4</x:v>
      </x:c>
      <x:c r="I7" s="230" t="n">
        <x:v>16.35483870967742</x:v>
      </x:c>
      <x:c r="J7" s="184" t="n">
        <x:v>0.059907834101382486</x:v>
      </x:c>
      <x:c r="K7" s="117" t="n">
        <x:v>6</x:v>
      </x:c>
      <x:c r="L7" s="232"/>
      <x:c r="M7" s="120" t="str">
        <x:v>中和區</x:v>
      </x:c>
      <x:c r="N7" s="120" t="n">
        <x:v>44</x:v>
      </x:c>
      <x:c r="O7" s="120" t="n">
        <x:v>43</x:v>
      </x:c>
      <x:c r="P7" s="120" t="n">
        <x:v>34</x:v>
      </x:c>
      <x:c r="Q7" s="232"/>
      <x:c r="R7" s="232"/>
      <x:c r="S7" s="232"/>
      <x:c r="T7" s="232"/>
    </x:row>
    <x:row r="8" ht="28" customHeight="1">
      <x:c r="A8" s="116" t="n">
        <x:v>4</x:v>
      </x:c>
      <x:c r="B8" s="116" t="str">
        <x:v>捷運三和國中站(1號出口)</x:v>
      </x:c>
      <x:c r="C8" s="116" t="str">
        <x:v>三重區</x:v>
      </x:c>
      <x:c r="D8" s="116" t="n">
        <x:v>95</x:v>
      </x:c>
      <x:c r="E8" s="231" t="n">
        <x:v>16.066666666666666</x:v>
      </x:c>
      <x:c r="F8" s="231" t="n">
        <x:v>0.26666666666666666</x:v>
      </x:c>
      <x:c r="G8" s="185" t="n">
        <x:v>0.06965066290957697</x:v>
      </x:c>
      <x:c r="H8" s="116" t="n">
        <x:v>4</x:v>
      </x:c>
      <x:c r="I8" s="231" t="n">
        <x:v>15.709677419354838</x:v>
      </x:c>
      <x:c r="J8" s="185" t="n">
        <x:v>0.052995391705069124</x:v>
      </x:c>
      <x:c r="K8" s="116" t="n">
        <x:v>21</x:v>
      </x:c>
      <x:c r="L8" s="232"/>
      <x:c r="M8" s="119" t="str">
        <x:v>三重區</x:v>
      </x:c>
      <x:c r="N8" s="119" t="n">
        <x:v>37</x:v>
      </x:c>
      <x:c r="O8" s="119" t="n">
        <x:v>38</x:v>
      </x:c>
      <x:c r="P8" s="119" t="n">
        <x:v>37</x:v>
      </x:c>
      <x:c r="Q8" s="232"/>
      <x:c r="R8" s="232"/>
      <x:c r="S8" s="232"/>
      <x:c r="T8" s="232"/>
    </x:row>
    <x:row r="9" ht="28" customHeight="1">
      <x:c r="A9" s="117" t="n">
        <x:v>5</x:v>
      </x:c>
      <x:c r="B9" s="117" t="str">
        <x:v>捷運南勢角站(4號出口)</x:v>
      </x:c>
      <x:c r="C9" s="117" t="str">
        <x:v>中和區</x:v>
      </x:c>
      <x:c r="D9" s="117" t="n">
        <x:v>96</x:v>
      </x:c>
      <x:c r="E9" s="230" t="n">
        <x:v>15.966666666666667</x:v>
      </x:c>
      <x:c r="F9" s="230" t="n">
        <x:v>0.3</x:v>
      </x:c>
      <x:c r="G9" s="184" t="n">
        <x:v>0.05054208763090559</x:v>
      </x:c>
      <x:c r="H9" s="117" t="n">
        <x:v>4</x:v>
      </x:c>
      <x:c r="I9" s="230" t="n">
        <x:v>14.64516129032258</x:v>
      </x:c>
      <x:c r="J9" s="184" t="n">
        <x:v>0.03225806451612903</x:v>
      </x:c>
      <x:c r="K9" s="117" t="n">
        <x:v>23</x:v>
      </x:c>
      <x:c r="L9" s="232"/>
      <x:c r="M9" s="120" t="str">
        <x:v>新店區</x:v>
      </x:c>
      <x:c r="N9" s="120" t="n">
        <x:v>34</x:v>
      </x:c>
      <x:c r="O9" s="120" t="n">
        <x:v>34</x:v>
      </x:c>
      <x:c r="P9" s="120" t="n">
        <x:v>35</x:v>
      </x:c>
      <x:c r="Q9" s="232"/>
      <x:c r="R9" s="232"/>
      <x:c r="S9" s="232"/>
      <x:c r="T9" s="232"/>
    </x:row>
    <x:row r="10" ht="28" customHeight="1">
      <x:c r="A10" s="116" t="n">
        <x:v>6</x:v>
      </x:c>
      <x:c r="B10" s="116" t="str">
        <x:v>中正民權路口</x:v>
      </x:c>
      <x:c r="C10" s="116" t="str">
        <x:v>新店區</x:v>
      </x:c>
      <x:c r="D10" s="116" t="n">
        <x:v>92</x:v>
      </x:c>
      <x:c r="E10" s="231" t="n">
        <x:v>15.708333333333334</x:v>
      </x:c>
      <x:c r="F10" s="231" t="n">
        <x:v>0.25833333333333336</x:v>
      </x:c>
      <x:c r="G10" s="185" t="n">
        <x:v>0.09038166474875335</x:v>
      </x:c>
      <x:c r="H10" s="116" t="n">
        <x:v>4</x:v>
      </x:c>
      <x:c r="I10" s="231" t="n">
        <x:v>15.483870967741936</x:v>
      </x:c>
      <x:c r="J10" s="185" t="n">
        <x:v>0.10138248847926268</x:v>
      </x:c>
      <x:c r="K10" s="116" t="n">
        <x:v>21</x:v>
      </x:c>
      <x:c r="L10" s="232"/>
      <x:c r="M10" s="119" t="str">
        <x:v>土城區</x:v>
      </x:c>
      <x:c r="N10" s="119" t="n">
        <x:v>25</x:v>
      </x:c>
      <x:c r="O10" s="119" t="n">
        <x:v>24</x:v>
      </x:c>
      <x:c r="P10" s="119" t="n">
        <x:v>29</x:v>
      </x:c>
      <x:c r="Q10" s="232"/>
      <x:c r="R10" s="232"/>
      <x:c r="S10" s="232"/>
      <x:c r="T10" s="232"/>
    </x:row>
    <x:row r="11" ht="28" customHeight="1">
      <x:c r="A11" s="117" t="n">
        <x:v>7</x:v>
      </x:c>
      <x:c r="B11" s="117" t="str">
        <x:v>捷運蘆洲站</x:v>
      </x:c>
      <x:c r="C11" s="117" t="str">
        <x:v>蘆洲區</x:v>
      </x:c>
      <x:c r="D11" s="117" t="n">
        <x:v>92</x:v>
      </x:c>
      <x:c r="E11" s="230" t="n">
        <x:v>15.708333333333334</x:v>
      </x:c>
      <x:c r="F11" s="230" t="n">
        <x:v>0.275</x:v>
      </x:c>
      <x:c r="G11" s="184" t="n">
        <x:v>0.055251047864700885</x:v>
      </x:c>
      <x:c r="H11" s="117" t="n">
        <x:v>4</x:v>
      </x:c>
      <x:c r="I11" s="230" t="n">
        <x:v>14.064516129032258</x:v>
      </x:c>
      <x:c r="J11" s="184" t="n">
        <x:v>0.020737327188940093</x:v>
      </x:c>
      <x:c r="K11" s="117" t="n">
        <x:v>15</x:v>
      </x:c>
      <x:c r="L11" s="232"/>
      <x:c r="M11" s="120" t="str">
        <x:v>永和區</x:v>
      </x:c>
      <x:c r="N11" s="120" t="n">
        <x:v>24</x:v>
      </x:c>
      <x:c r="O11" s="120" t="n">
        <x:v>23</x:v>
      </x:c>
      <x:c r="P11" s="120" t="n">
        <x:v>22</x:v>
      </x:c>
      <x:c r="Q11" s="232"/>
      <x:c r="R11" s="232"/>
      <x:c r="S11" s="232"/>
      <x:c r="T11" s="232"/>
    </x:row>
    <x:row r="12" ht="28" customHeight="1">
      <x:c r="A12" s="116" t="n">
        <x:v>8</x:v>
      </x:c>
      <x:c r="B12" s="116" t="str">
        <x:v>捷運大坪林站(5號出口)</x:v>
      </x:c>
      <x:c r="C12" s="116" t="str">
        <x:v>新店區</x:v>
      </x:c>
      <x:c r="D12" s="116" t="n">
        <x:v>92</x:v>
      </x:c>
      <x:c r="E12" s="231" t="n">
        <x:v>15.616666666666667</x:v>
      </x:c>
      <x:c r="F12" s="231" t="n">
        <x:v>0.275</x:v>
      </x:c>
      <x:c r="G12" s="185" t="n">
        <x:v>0.08620451722710336</x:v>
      </x:c>
      <x:c r="H12" s="116" t="n">
        <x:v>4</x:v>
      </x:c>
      <x:c r="I12" s="231" t="n">
        <x:v>11.193548387096774</x:v>
      </x:c>
      <x:c r="J12" s="185" t="n">
        <x:v>0.041474654377880185</x:v>
      </x:c>
      <x:c r="K12" s="116" t="n">
        <x:v>6</x:v>
      </x:c>
      <x:c r="L12" s="232"/>
      <x:c r="M12" s="119" t="str">
        <x:v>蘆洲區</x:v>
      </x:c>
      <x:c r="N12" s="119" t="n">
        <x:v>20</x:v>
      </x:c>
      <x:c r="O12" s="119" t="n">
        <x:v>20</x:v>
      </x:c>
      <x:c r="P12" s="119" t="n">
        <x:v>17</x:v>
      </x:c>
      <x:c r="Q12" s="232"/>
      <x:c r="R12" s="232"/>
      <x:c r="S12" s="232"/>
      <x:c r="T12" s="232"/>
    </x:row>
    <x:row r="13" ht="28" customHeight="1">
      <x:c r="A13" s="117" t="n">
        <x:v>9</x:v>
      </x:c>
      <x:c r="B13" s="117" t="str">
        <x:v>板橋車站</x:v>
      </x:c>
      <x:c r="C13" s="117" t="str">
        <x:v>板橋區</x:v>
      </x:c>
      <x:c r="D13" s="117" t="n">
        <x:v>95</x:v>
      </x:c>
      <x:c r="E13" s="230" t="n">
        <x:v>15.475</x:v>
      </x:c>
      <x:c r="F13" s="230" t="n">
        <x:v>0.2833333333333333</x:v>
      </x:c>
      <x:c r="G13" s="184" t="n">
        <x:v>0.06395288769500981</x:v>
      </x:c>
      <x:c r="H13" s="117" t="n">
        <x:v>4</x:v>
      </x:c>
      <x:c r="I13" s="230" t="n">
        <x:v>14.96774193548387</x:v>
      </x:c>
      <x:c r="J13" s="184" t="n">
        <x:v>0.055299539170506916</x:v>
      </x:c>
      <x:c r="K13" s="117" t="n">
        <x:v>44</x:v>
      </x:c>
      <x:c r="L13" s="232"/>
      <x:c r="M13" s="120" t="str">
        <x:v>汐止區</x:v>
      </x:c>
      <x:c r="N13" s="120" t="n">
        <x:v>14</x:v>
      </x:c>
      <x:c r="O13" s="120" t="n">
        <x:v>14</x:v>
      </x:c>
      <x:c r="P13" s="120" t="n">
        <x:v>17</x:v>
      </x:c>
      <x:c r="Q13" s="232"/>
      <x:c r="R13" s="232"/>
      <x:c r="S13" s="232"/>
      <x:c r="T13" s="232"/>
    </x:row>
    <x:row r="14" ht="28" customHeight="1">
      <x:c r="A14" s="116" t="n">
        <x:v>10</x:v>
      </x:c>
      <x:c r="B14" s="116" t="str">
        <x:v>捷運府中站(3號出口)</x:v>
      </x:c>
      <x:c r="C14" s="116" t="str">
        <x:v>板橋區</x:v>
      </x:c>
      <x:c r="D14" s="116" t="n">
        <x:v>69</x:v>
      </x:c>
      <x:c r="E14" s="231" t="n">
        <x:v>15.15</x:v>
      </x:c>
      <x:c r="F14" s="231" t="n">
        <x:v>0.275</x:v>
      </x:c>
      <x:c r="G14" s="185" t="n">
        <x:v>0.05822817244250849</x:v>
      </x:c>
      <x:c r="H14" s="116" t="n">
        <x:v>4</x:v>
      </x:c>
      <x:c r="I14" s="231" t="n">
        <x:v>11.870967741935484</x:v>
      </x:c>
      <x:c r="J14" s="185" t="n">
        <x:v>0.03456221198156682</x:v>
      </x:c>
      <x:c r="K14" s="116" t="n">
        <x:v>47</x:v>
      </x:c>
      <x:c r="L14" s="232"/>
      <x:c r="M14" s="119" t="str">
        <x:v>林口區</x:v>
      </x:c>
      <x:c r="N14" s="119" t="n">
        <x:v>13</x:v>
      </x:c>
      <x:c r="O14" s="119" t="n">
        <x:v>13</x:v>
      </x:c>
      <x:c r="P14" s="119" t="n">
        <x:v>16</x:v>
      </x:c>
      <x:c r="Q14" s="232"/>
      <x:c r="R14" s="232"/>
      <x:c r="S14" s="232"/>
      <x:c r="T14" s="232"/>
    </x:row>
    <x:row r="15" ht="28" customHeight="1">
      <x:c r="A15" s="117" t="n">
        <x:v>11</x:v>
      </x:c>
      <x:c r="B15" s="117" t="str">
        <x:v>新北高中</x:v>
      </x:c>
      <x:c r="C15" s="117" t="str">
        <x:v>三重區</x:v>
      </x:c>
      <x:c r="D15" s="117" t="n">
        <x:v>88</x:v>
      </x:c>
      <x:c r="E15" s="230" t="n">
        <x:v>15.1</x:v>
      </x:c>
      <x:c r="F15" s="230" t="n">
        <x:v>0.275</x:v>
      </x:c>
      <x:c r="G15" s="184" t="n">
        <x:v>0.1060517382652464</x:v>
      </x:c>
      <x:c r="H15" s="117" t="n">
        <x:v>4</x:v>
      </x:c>
      <x:c r="I15" s="230" t="n">
        <x:v>13.67741935483871</x:v>
      </x:c>
      <x:c r="J15" s="184" t="n">
        <x:v>0.009216589861751152</x:v>
      </x:c>
      <x:c r="K15" s="117" t="n">
        <x:v>2</x:v>
      </x:c>
      <x:c r="L15" s="232"/>
      <x:c r="M15" s="120" t="str">
        <x:v>淡水區</x:v>
      </x:c>
      <x:c r="N15" s="120" t="n">
        <x:v>11</x:v>
      </x:c>
      <x:c r="O15" s="120" t="n">
        <x:v>11</x:v>
      </x:c>
      <x:c r="P15" s="120" t="n">
        <x:v>14</x:v>
      </x:c>
      <x:c r="Q15" s="232"/>
      <x:c r="R15" s="232"/>
      <x:c r="S15" s="232"/>
      <x:c r="T15" s="232"/>
    </x:row>
    <x:row r="16" ht="28" customHeight="1">
      <x:c r="A16" s="116" t="n">
        <x:v>12</x:v>
      </x:c>
      <x:c r="B16" s="116" t="str">
        <x:v>捷運頭前庄站(1號出口)</x:v>
      </x:c>
      <x:c r="C16" s="116" t="str">
        <x:v>新莊區</x:v>
      </x:c>
      <x:c r="D16" s="116" t="n">
        <x:v>90</x:v>
      </x:c>
      <x:c r="E16" s="231" t="n">
        <x:v>15.033333333333333</x:v>
      </x:c>
      <x:c r="F16" s="231" t="n">
        <x:v>0.26666666666666666</x:v>
      </x:c>
      <x:c r="G16" s="185" t="n">
        <x:v>0.07711049369523403</x:v>
      </x:c>
      <x:c r="H16" s="116" t="n">
        <x:v>4</x:v>
      </x:c>
      <x:c r="I16" s="231" t="n">
        <x:v>9.709677419354838</x:v>
      </x:c>
      <x:c r="J16" s="185" t="n">
        <x:v>0.1175115207373272</x:v>
      </x:c>
      <x:c r="K16" s="116" t="n">
        <x:v>42</x:v>
      </x:c>
      <x:c r="L16" s="232"/>
      <x:c r="M16" s="119" t="str">
        <x:v>三峽區</x:v>
      </x:c>
      <x:c r="N16" s="119" t="n">
        <x:v>5</x:v>
      </x:c>
      <x:c r="O16" s="119" t="n">
        <x:v>6</x:v>
      </x:c>
      <x:c r="P16" s="119" t="n">
        <x:v>5</x:v>
      </x:c>
      <x:c r="Q16" s="232"/>
      <x:c r="R16" s="232"/>
      <x:c r="S16" s="232"/>
      <x:c r="T16" s="232"/>
    </x:row>
    <x:row r="17" ht="28" customHeight="1">
      <x:c r="A17" s="117" t="n">
        <x:v>13</x:v>
      </x:c>
      <x:c r="B17" s="117" t="str">
        <x:v>民生長江路口</x:v>
      </x:c>
      <x:c r="C17" s="117" t="str">
        <x:v>板橋區</x:v>
      </x:c>
      <x:c r="D17" s="117" t="n">
        <x:v>99</x:v>
      </x:c>
      <x:c r="E17" s="230" t="n">
        <x:v>14.725</x:v>
      </x:c>
      <x:c r="F17" s="230" t="n">
        <x:v>0.25833333333333336</x:v>
      </x:c>
      <x:c r="G17" s="184" t="n">
        <x:v>0.07188186477910666</x:v>
      </x:c>
      <x:c r="H17" s="117" t="n">
        <x:v>4</x:v>
      </x:c>
      <x:c r="I17" s="230" t="n">
        <x:v>11.838709677419354</x:v>
      </x:c>
      <x:c r="J17" s="184" t="n">
        <x:v>0.03456221198156682</x:v>
      </x:c>
      <x:c r="K17" s="117" t="n">
        <x:v>6</x:v>
      </x:c>
      <x:c r="L17" s="232"/>
      <x:c r="M17" s="120" t="str">
        <x:v>樹林區</x:v>
      </x:c>
      <x:c r="N17" s="120" t="n">
        <x:v>5</x:v>
      </x:c>
      <x:c r="O17" s="120" t="n">
        <x:v>5</x:v>
      </x:c>
      <x:c r="P17" s="120" t="n">
        <x:v>5</x:v>
      </x:c>
      <x:c r="Q17" s="232"/>
      <x:c r="R17" s="232"/>
      <x:c r="S17" s="232"/>
      <x:c r="T17" s="232"/>
    </x:row>
    <x:row r="18" ht="28" customHeight="1">
      <x:c r="A18" s="116" t="n">
        <x:v>14</x:v>
      </x:c>
      <x:c r="B18" s="116" t="str">
        <x:v>捷運林口站(1號出口)</x:v>
      </x:c>
      <x:c r="C18" s="116" t="str">
        <x:v>林口區</x:v>
      </x:c>
      <x:c r="D18" s="116" t="n">
        <x:v>97</x:v>
      </x:c>
      <x:c r="E18" s="231" t="n">
        <x:v>14.558333333333334</x:v>
      </x:c>
      <x:c r="F18" s="231" t="n">
        <x:v>0.26666666666666666</x:v>
      </x:c>
      <x:c r="G18" s="185" t="n">
        <x:v>0.08546130515605127</x:v>
      </x:c>
      <x:c r="H18" s="116" t="n">
        <x:v>4</x:v>
      </x:c>
      <x:c r="I18" s="231" t="n">
        <x:v>10.35483870967742</x:v>
      </x:c>
      <x:c r="J18" s="185" t="n">
        <x:v>0.052995391705069124</x:v>
      </x:c>
      <x:c r="K18" s="116" t="n">
        <x:v>15</x:v>
      </x:c>
      <x:c r="L18" s="232"/>
      <x:c r="M18" s="119" t="str">
        <x:v>泰山區</x:v>
      </x:c>
      <x:c r="N18" s="119" t="n">
        <x:v>5</x:v>
      </x:c>
      <x:c r="O18" s="119" t="n">
        <x:v>6</x:v>
      </x:c>
      <x:c r="P18" s="119" t="n">
        <x:v>4</x:v>
      </x:c>
      <x:c r="Q18" s="232"/>
      <x:c r="R18" s="232"/>
      <x:c r="S18" s="232"/>
      <x:c r="T18" s="232"/>
    </x:row>
    <x:row r="19" ht="28" customHeight="1">
      <x:c r="A19" s="117" t="n">
        <x:v>15</x:v>
      </x:c>
      <x:c r="B19" s="117" t="str">
        <x:v>汐止火車站停車場</x:v>
      </x:c>
      <x:c r="C19" s="117" t="str">
        <x:v>汐止區</x:v>
      </x:c>
      <x:c r="D19" s="117" t="n">
        <x:v>99</x:v>
      </x:c>
      <x:c r="E19" s="230" t="n">
        <x:v>14.541666666666666</x:v>
      </x:c>
      <x:c r="F19" s="230" t="n">
        <x:v>0.26666666666666666</x:v>
      </x:c>
      <x:c r="G19" s="184" t="n">
        <x:v>0.06508522621312147</x:v>
      </x:c>
      <x:c r="H19" s="117" t="n">
        <x:v>4</x:v>
      </x:c>
      <x:c r="I19" s="230" t="n">
        <x:v>16.806451612903224</x:v>
      </x:c>
      <x:c r="J19" s="184" t="n">
        <x:v>0.0069124423963133645</x:v>
      </x:c>
      <x:c r="K19" s="117" t="n">
        <x:v>22</x:v>
      </x:c>
      <x:c r="L19" s="232"/>
      <x:c r="M19" s="120" t="str">
        <x:v>鶯歌區</x:v>
      </x:c>
      <x:c r="N19" s="120" t="n">
        <x:v>2</x:v>
      </x:c>
      <x:c r="O19" s="120" t="n">
        <x:v>2</x:v>
      </x:c>
      <x:c r="P19" s="120" t="n">
        <x:v>5</x:v>
      </x:c>
      <x:c r="Q19" s="232"/>
      <x:c r="R19" s="232"/>
      <x:c r="S19" s="232"/>
      <x:c r="T19" s="232"/>
    </x:row>
    <x:row r="20" ht="28" customHeight="1">
      <x:c r="A20" s="116" t="n">
        <x:v>16</x:v>
      </x:c>
      <x:c r="B20" s="116" t="str">
        <x:v>捷運永安市場站</x:v>
      </x:c>
      <x:c r="C20" s="116" t="str">
        <x:v>中和區</x:v>
      </x:c>
      <x:c r="D20" s="116" t="n">
        <x:v>99</x:v>
      </x:c>
      <x:c r="E20" s="231" t="n">
        <x:v>14.225</x:v>
      </x:c>
      <x:c r="F20" s="231" t="n">
        <x:v>0.3333333333333333</x:v>
      </x:c>
      <x:c r="G20" s="185" t="n">
        <x:v>0.07991573033707865</x:v>
      </x:c>
      <x:c r="H20" s="116" t="n">
        <x:v>4</x:v>
      </x:c>
      <x:c r="I20" s="231" t="n">
        <x:v>10.483870967741936</x:v>
      </x:c>
      <x:c r="J20" s="185" t="n">
        <x:v>0.002304147465437788</x:v>
      </x:c>
      <x:c r="K20" s="116" t="n">
        <x:v>9</x:v>
      </x:c>
      <x:c r="L20" s="232"/>
      <x:c r="M20" s="119" t="str">
        <x:v>五股區</x:v>
      </x:c>
      <x:c r="N20" s="119" t="n">
        <x:v>1</x:v>
      </x:c>
      <x:c r="O20" s="119" t="n">
        <x:v>0</x:v>
      </x:c>
      <x:c r="P20" s="119" t="n">
        <x:v>2</x:v>
      </x:c>
      <x:c r="Q20" s="232"/>
      <x:c r="R20" s="232"/>
      <x:c r="S20" s="232"/>
      <x:c r="T20" s="232"/>
    </x:row>
    <x:row r="21" ht="28" customHeight="1">
      <x:c r="A21" s="117" t="n">
        <x:v>17</x:v>
      </x:c>
      <x:c r="B21" s="117" t="str">
        <x:v>捷運板橋站(3號出口)</x:v>
      </x:c>
      <x:c r="C21" s="117" t="str">
        <x:v>板橋區</x:v>
      </x:c>
      <x:c r="D21" s="117" t="n">
        <x:v>89</x:v>
      </x:c>
      <x:c r="E21" s="230" t="n">
        <x:v>14.2</x:v>
      </x:c>
      <x:c r="F21" s="230" t="n">
        <x:v>0.2833333333333333</x:v>
      </x:c>
      <x:c r="G21" s="184" t="n">
        <x:v>0.08651942117288652</x:v>
      </x:c>
      <x:c r="H21" s="117" t="n">
        <x:v>4</x:v>
      </x:c>
      <x:c r="I21" s="230" t="n">
        <x:v>8.96774193548387</x:v>
      </x:c>
      <x:c r="J21" s="184" t="n">
        <x:v>0.07834101382488479</x:v>
      </x:c>
      <x:c r="K21" s="117" t="n">
        <x:v>55</x:v>
      </x:c>
      <x:c r="L21" s="232"/>
      <x:c r="M21" s="120" t="str">
        <x:v>八里區</x:v>
      </x:c>
      <x:c r="N21" s="120" t="n">
        <x:v>0</x:v>
      </x:c>
      <x:c r="O21" s="120" t="n">
        <x:v>0</x:v>
      </x:c>
      <x:c r="P21" s="120" t="n">
        <x:v>1</x:v>
      </x:c>
      <x:c r="Q21" s="232"/>
      <x:c r="R21" s="232"/>
      <x:c r="S21" s="232"/>
      <x:c r="T21" s="232"/>
    </x:row>
    <x:row r="22" ht="28" customHeight="1">
      <x:c r="A22" s="116" t="n">
        <x:v>18</x:v>
      </x:c>
      <x:c r="B22" s="116" t="str">
        <x:v>新北市政府(新站路)</x:v>
      </x:c>
      <x:c r="C22" s="116" t="str">
        <x:v>板橋區</x:v>
      </x:c>
      <x:c r="D22" s="116" t="n">
        <x:v>74</x:v>
      </x:c>
      <x:c r="E22" s="231" t="n">
        <x:v>14.166666666666666</x:v>
      </x:c>
      <x:c r="F22" s="231" t="n">
        <x:v>0.2916666666666667</x:v>
      </x:c>
      <x:c r="G22" s="185" t="n">
        <x:v>0.06963217825837634</x:v>
      </x:c>
      <x:c r="H22" s="116" t="n">
        <x:v>4</x:v>
      </x:c>
      <x:c r="I22" s="231" t="n">
        <x:v>11.451612903225806</x:v>
      </x:c>
      <x:c r="J22" s="185" t="n">
        <x:v>0.03225806451612903</x:v>
      </x:c>
      <x:c r="K22" s="116" t="n">
        <x:v>44</x:v>
      </x:c>
      <x:c r="L22" s="232"/>
      <x:c r="M22" s="232"/>
      <x:c r="N22" s="232"/>
      <x:c r="O22" s="232"/>
      <x:c r="P22" s="232"/>
      <x:c r="Q22" s="232"/>
      <x:c r="R22" s="232"/>
      <x:c r="S22" s="232"/>
      <x:c r="T22" s="232"/>
    </x:row>
    <x:row r="23" ht="28" customHeight="1">
      <x:c r="A23" s="117" t="n">
        <x:v>19</x:v>
      </x:c>
      <x:c r="B23" s="117" t="str">
        <x:v>捷運板橋站(1號出口)</x:v>
      </x:c>
      <x:c r="C23" s="117" t="str">
        <x:v>板橋區</x:v>
      </x:c>
      <x:c r="D23" s="117" t="n">
        <x:v>86</x:v>
      </x:c>
      <x:c r="E23" s="230" t="n">
        <x:v>14.016666666666667</x:v>
      </x:c>
      <x:c r="F23" s="230" t="n">
        <x:v>0.26666666666666666</x:v>
      </x:c>
      <x:c r="G23" s="184" t="n">
        <x:v>0.06954148922975152</x:v>
      </x:c>
      <x:c r="H23" s="117" t="n">
        <x:v>4</x:v>
      </x:c>
      <x:c r="I23" s="230" t="n">
        <x:v>14.35483870967742</x:v>
      </x:c>
      <x:c r="J23" s="184" t="n">
        <x:v>0.059907834101382486</x:v>
      </x:c>
      <x:c r="K23" s="117" t="n">
        <x:v>57</x:v>
      </x:c>
      <x:c r="L23" s="232"/>
      <x:c r="M23" s="232"/>
      <x:c r="N23" s="232"/>
      <x:c r="O23" s="232"/>
      <x:c r="P23" s="232"/>
      <x:c r="Q23" s="232"/>
      <x:c r="R23" s="232"/>
      <x:c r="S23" s="232"/>
      <x:c r="T23" s="232"/>
    </x:row>
    <x:row r="24" ht="28" customHeight="1">
      <x:c r="A24" s="116" t="n">
        <x:v>20</x:v>
      </x:c>
      <x:c r="B24" s="116" t="str">
        <x:v>捷運十四張站</x:v>
      </x:c>
      <x:c r="C24" s="116" t="str">
        <x:v>新店區</x:v>
      </x:c>
      <x:c r="D24" s="116" t="n">
        <x:v>95</x:v>
      </x:c>
      <x:c r="E24" s="231" t="n">
        <x:v>13.916666666666666</x:v>
      </x:c>
      <x:c r="F24" s="231" t="n">
        <x:v>0.26666666666666666</x:v>
      </x:c>
      <x:c r="G24" s="185" t="n">
        <x:v>0.08123753465972662</x:v>
      </x:c>
      <x:c r="H24" s="116" t="n">
        <x:v>4</x:v>
      </x:c>
      <x:c r="I24" s="231" t="n">
        <x:v>17.35483870967742</x:v>
      </x:c>
      <x:c r="J24" s="185" t="n">
        <x:v>0.05069124423963134</x:v>
      </x:c>
      <x:c r="K24" s="116" t="n">
        <x:v>19</x:v>
      </x:c>
      <x:c r="L24" s="232"/>
      <x:c r="M24" s="232"/>
      <x:c r="N24" s="232"/>
      <x:c r="O24" s="232"/>
      <x:c r="P24" s="232"/>
      <x:c r="Q24" s="232"/>
      <x:c r="R24" s="232"/>
      <x:c r="S24" s="232"/>
      <x:c r="T24" s="232"/>
    </x:row>
    <x:row r="25" ht="28" customHeight="1">
      <x:c r="A25" s="117" t="n">
        <x:v>21</x:v>
      </x:c>
      <x:c r="B25" s="117" t="str">
        <x:v>捷運景安站</x:v>
      </x:c>
      <x:c r="C25" s="117" t="str">
        <x:v>中和區</x:v>
      </x:c>
      <x:c r="D25" s="117" t="n">
        <x:v>96</x:v>
      </x:c>
      <x:c r="E25" s="230" t="n">
        <x:v>13.825</x:v>
      </x:c>
      <x:c r="F25" s="230" t="n">
        <x:v>0.35</x:v>
      </x:c>
      <x:c r="G25" s="184" t="n">
        <x:v>0.0760625372518454</x:v>
      </x:c>
      <x:c r="H25" s="117" t="n">
        <x:v>4</x:v>
      </x:c>
      <x:c r="I25" s="230" t="n">
        <x:v>9.96774193548387</x:v>
      </x:c>
      <x:c r="J25" s="184" t="n">
        <x:v>0.013824884792626729</x:v>
      </x:c>
      <x:c r="K25" s="117" t="n">
        <x:v>31</x:v>
      </x:c>
      <x:c r="L25" s="232"/>
      <x:c r="M25" s="232"/>
      <x:c r="N25" s="232"/>
      <x:c r="O25" s="232"/>
      <x:c r="P25" s="232"/>
      <x:c r="Q25" s="232"/>
      <x:c r="R25" s="232"/>
      <x:c r="S25" s="232"/>
      <x:c r="T25" s="232"/>
    </x:row>
    <x:row r="26" ht="28" customHeight="1">
      <x:c r="A26" s="116" t="n">
        <x:v>22</x:v>
      </x:c>
      <x:c r="B26" s="116" t="str">
        <x:v>捷運中原站</x:v>
      </x:c>
      <x:c r="C26" s="116" t="str">
        <x:v>中和區</x:v>
      </x:c>
      <x:c r="D26" s="116" t="n">
        <x:v>99</x:v>
      </x:c>
      <x:c r="E26" s="231" t="n">
        <x:v>13.716666666666667</x:v>
      </x:c>
      <x:c r="F26" s="231" t="n">
        <x:v>0.3</x:v>
      </x:c>
      <x:c r="G26" s="185" t="n">
        <x:v>0.09151562326253752</x:v>
      </x:c>
      <x:c r="H26" s="116" t="n">
        <x:v>4</x:v>
      </x:c>
      <x:c r="I26" s="231" t="n">
        <x:v>10.96774193548387</x:v>
      </x:c>
      <x:c r="J26" s="185" t="n">
        <x:v>0.01152073732718894</x:v>
      </x:c>
      <x:c r="K26" s="116" t="n">
        <x:v>8</x:v>
      </x:c>
      <x:c r="L26" s="232"/>
      <x:c r="M26" s="232"/>
      <x:c r="N26" s="232"/>
      <x:c r="O26" s="232"/>
      <x:c r="P26" s="232"/>
      <x:c r="Q26" s="232"/>
      <x:c r="R26" s="232"/>
      <x:c r="S26" s="232"/>
      <x:c r="T26" s="232"/>
    </x:row>
    <x:row r="27" ht="28" customHeight="1">
      <x:c r="A27" s="117" t="n">
        <x:v>23</x:v>
      </x:c>
      <x:c r="B27" s="117" t="str">
        <x:v>捷運土城站(2號出口)</x:v>
      </x:c>
      <x:c r="C27" s="117" t="str">
        <x:v>土城區</x:v>
      </x:c>
      <x:c r="D27" s="117" t="n">
        <x:v>69</x:v>
      </x:c>
      <x:c r="E27" s="230" t="n">
        <x:v>13.683333333333334</x:v>
      </x:c>
      <x:c r="F27" s="230" t="n">
        <x:v>0.2916666666666667</x:v>
      </x:c>
      <x:c r="G27" s="184" t="n">
        <x:v>0.06600209020017686</x:v>
      </x:c>
      <x:c r="H27" s="117" t="n">
        <x:v>4</x:v>
      </x:c>
      <x:c r="I27" s="230" t="n">
        <x:v>9.774193548387096</x:v>
      </x:c>
      <x:c r="J27" s="184" t="n">
        <x:v>0.05069124423963134</x:v>
      </x:c>
      <x:c r="K27" s="117" t="n">
        <x:v>20</x:v>
      </x:c>
      <x:c r="L27" s="232"/>
      <x:c r="M27" s="232"/>
      <x:c r="N27" s="232"/>
      <x:c r="O27" s="232"/>
      <x:c r="P27" s="232"/>
      <x:c r="Q27" s="232"/>
      <x:c r="R27" s="232"/>
      <x:c r="S27" s="232"/>
      <x:c r="T27" s="232"/>
    </x:row>
    <x:row r="28" ht="28" customHeight="1">
      <x:c r="A28" s="116" t="n">
        <x:v>24</x:v>
      </x:c>
      <x:c r="B28" s="116" t="str">
        <x:v>捷運海山站(1號出口)</x:v>
      </x:c>
      <x:c r="C28" s="116" t="str">
        <x:v>土城區</x:v>
      </x:c>
      <x:c r="D28" s="116" t="n">
        <x:v>80</x:v>
      </x:c>
      <x:c r="E28" s="231" t="n">
        <x:v>13.625</x:v>
      </x:c>
      <x:c r="F28" s="231" t="n">
        <x:v>0.275</x:v>
      </x:c>
      <x:c r="G28" s="185" t="n">
        <x:v>0.06043021880544057</x:v>
      </x:c>
      <x:c r="H28" s="116" t="n">
        <x:v>4</x:v>
      </x:c>
      <x:c r="I28" s="231" t="n">
        <x:v>10.419354838709678</x:v>
      </x:c>
      <x:c r="J28" s="185" t="n">
        <x:v>0.02304147465437788</x:v>
      </x:c>
      <x:c r="K28" s="116" t="n">
        <x:v>30</x:v>
      </x:c>
      <x:c r="L28" s="232"/>
      <x:c r="M28" s="232"/>
      <x:c r="N28" s="232"/>
      <x:c r="O28" s="232"/>
      <x:c r="P28" s="232"/>
      <x:c r="Q28" s="232"/>
      <x:c r="R28" s="232"/>
      <x:c r="S28" s="232"/>
      <x:c r="T28" s="232"/>
    </x:row>
    <x:row r="29" ht="28" customHeight="1">
      <x:c r="A29" s="117" t="n">
        <x:v>25</x:v>
      </x:c>
      <x:c r="B29" s="117" t="str">
        <x:v>捷運迴龍站(3號出口)</x:v>
      </x:c>
      <x:c r="C29" s="117" t="str">
        <x:v>新莊區</x:v>
      </x:c>
      <x:c r="D29" s="117" t="n">
        <x:v>70</x:v>
      </x:c>
      <x:c r="E29" s="230" t="n">
        <x:v>13.4</x:v>
      </x:c>
      <x:c r="F29" s="230" t="n">
        <x:v>0.275</x:v>
      </x:c>
      <x:c r="G29" s="184" t="n">
        <x:v>0.04934785944452969</x:v>
      </x:c>
      <x:c r="H29" s="117" t="n">
        <x:v>4</x:v>
      </x:c>
      <x:c r="I29" s="230" t="n">
        <x:v>11.806451612903226</x:v>
      </x:c>
      <x:c r="J29" s="184" t="n">
        <x:v>0.004608294930875576</x:v>
      </x:c>
      <x:c r="K29" s="117" t="n">
        <x:v>30</x:v>
      </x:c>
      <x:c r="L29" s="232"/>
      <x:c r="M29" s="232"/>
      <x:c r="N29" s="232"/>
      <x:c r="O29" s="232"/>
      <x:c r="P29" s="232"/>
      <x:c r="Q29" s="232"/>
      <x:c r="R29" s="232"/>
      <x:c r="S29" s="232"/>
      <x:c r="T29" s="232"/>
    </x:row>
    <x:row r="30" ht="28" customHeight="1">
      <x:c r="A30" s="116" t="n">
        <x:v>26</x:v>
      </x:c>
      <x:c r="B30" s="116" t="str">
        <x:v>捷運海山站(3號出口)轉乘停車場</x:v>
      </x:c>
      <x:c r="C30" s="116" t="str">
        <x:v>土城區</x:v>
      </x:c>
      <x:c r="D30" s="116" t="n">
        <x:v>80</x:v>
      </x:c>
      <x:c r="E30" s="231" t="n">
        <x:v>13.291666666666666</x:v>
      </x:c>
      <x:c r="F30" s="231" t="n">
        <x:v>0.26666666666666666</x:v>
      </x:c>
      <x:c r="G30" s="185" t="n">
        <x:v>0.058736880869084886</x:v>
      </x:c>
      <x:c r="H30" s="116" t="n">
        <x:v>4</x:v>
      </x:c>
      <x:c r="I30" s="231" t="n">
        <x:v>15.935483870967742</x:v>
      </x:c>
      <x:c r="J30" s="185" t="n">
        <x:v>0.01152073732718894</x:v>
      </x:c>
      <x:c r="K30" s="116" t="n">
        <x:v>26</x:v>
      </x:c>
      <x:c r="L30" s="232"/>
      <x:c r="M30" s="232"/>
      <x:c r="N30" s="232"/>
      <x:c r="O30" s="232"/>
      <x:c r="P30" s="232"/>
      <x:c r="Q30" s="232"/>
      <x:c r="R30" s="232"/>
      <x:c r="S30" s="232"/>
      <x:c r="T30" s="232"/>
    </x:row>
    <x:row r="31" ht="28" customHeight="1">
      <x:c r="A31" s="117" t="n">
        <x:v>27</x:v>
      </x:c>
      <x:c r="B31" s="117" t="str">
        <x:v>捷運新莊站(1號出口)</x:v>
      </x:c>
      <x:c r="C31" s="117" t="str">
        <x:v>新莊區</x:v>
      </x:c>
      <x:c r="D31" s="117" t="n">
        <x:v>69</x:v>
      </x:c>
      <x:c r="E31" s="230" t="n">
        <x:v>13.275</x:v>
      </x:c>
      <x:c r="F31" s="230" t="n">
        <x:v>0.2833333333333333</x:v>
      </x:c>
      <x:c r="G31" s="184" t="n">
        <x:v>0.0468171398342444</x:v>
      </x:c>
      <x:c r="H31" s="117" t="n">
        <x:v>4</x:v>
      </x:c>
      <x:c r="I31" s="230" t="n">
        <x:v>11.064516129032258</x:v>
      </x:c>
      <x:c r="J31" s="184" t="n">
        <x:v>0.08525345622119816</x:v>
      </x:c>
      <x:c r="K31" s="117" t="n">
        <x:v>15</x:v>
      </x:c>
      <x:c r="L31" s="232"/>
      <x:c r="M31" s="232"/>
      <x:c r="N31" s="232"/>
      <x:c r="O31" s="232"/>
      <x:c r="P31" s="232"/>
      <x:c r="Q31" s="232"/>
      <x:c r="R31" s="232"/>
      <x:c r="S31" s="232"/>
      <x:c r="T31" s="232"/>
    </x:row>
    <x:row r="32" ht="28" customHeight="1">
      <x:c r="A32" s="116" t="n">
        <x:v>28</x:v>
      </x:c>
      <x:c r="B32" s="116" t="str">
        <x:v>新北市政府(新府路)</x:v>
      </x:c>
      <x:c r="C32" s="116" t="str">
        <x:v>板橋區</x:v>
      </x:c>
      <x:c r="D32" s="116" t="n">
        <x:v>68</x:v>
      </x:c>
      <x:c r="E32" s="231" t="n">
        <x:v>12.933333333333334</x:v>
      </x:c>
      <x:c r="F32" s="231" t="n">
        <x:v>0.26666666666666666</x:v>
      </x:c>
      <x:c r="G32" s="185" t="n">
        <x:v>0.06325141622855279</x:v>
      </x:c>
      <x:c r="H32" s="116" t="n">
        <x:v>4</x:v>
      </x:c>
      <x:c r="I32" s="231" t="n">
        <x:v>10.903225806451612</x:v>
      </x:c>
      <x:c r="J32" s="185" t="n">
        <x:v>0.03225806451612903</x:v>
      </x:c>
      <x:c r="K32" s="116" t="n">
        <x:v>45</x:v>
      </x:c>
      <x:c r="L32" s="232"/>
      <x:c r="M32" s="232"/>
      <x:c r="N32" s="232"/>
      <x:c r="O32" s="232"/>
      <x:c r="P32" s="232"/>
      <x:c r="Q32" s="232"/>
      <x:c r="R32" s="232"/>
      <x:c r="S32" s="232"/>
      <x:c r="T32" s="232"/>
    </x:row>
    <x:row r="33" ht="28" customHeight="1">
      <x:c r="A33" s="117" t="n">
        <x:v>29</x:v>
      </x:c>
      <x:c r="B33" s="117" t="str">
        <x:v>捷運新莊站(2號出口)</x:v>
      </x:c>
      <x:c r="C33" s="117" t="str">
        <x:v>新莊區</x:v>
      </x:c>
      <x:c r="D33" s="117" t="n">
        <x:v>54</x:v>
      </x:c>
      <x:c r="E33" s="230" t="n">
        <x:v>12.816666666666666</x:v>
      </x:c>
      <x:c r="F33" s="230" t="n">
        <x:v>0.30833333333333335</x:v>
      </x:c>
      <x:c r="G33" s="184" t="n">
        <x:v>0.05672137193435368</x:v>
      </x:c>
      <x:c r="H33" s="117" t="n">
        <x:v>4</x:v>
      </x:c>
      <x:c r="I33" s="230" t="n">
        <x:v>11.193548387096774</x:v>
      </x:c>
      <x:c r="J33" s="184" t="n">
        <x:v>0.0967741935483871</x:v>
      </x:c>
      <x:c r="K33" s="117" t="n">
        <x:v>32</x:v>
      </x:c>
      <x:c r="L33" s="232"/>
      <x:c r="M33" s="232"/>
      <x:c r="N33" s="232"/>
      <x:c r="O33" s="232"/>
      <x:c r="P33" s="232"/>
      <x:c r="Q33" s="232"/>
      <x:c r="R33" s="232"/>
      <x:c r="S33" s="232"/>
      <x:c r="T33" s="232"/>
    </x:row>
    <x:row r="34" ht="28" customHeight="1">
      <x:c r="A34" s="116" t="n">
        <x:v>30</x:v>
      </x:c>
      <x:c r="B34" s="116" t="str">
        <x:v>亞東醫院</x:v>
      </x:c>
      <x:c r="C34" s="116" t="str">
        <x:v>板橋區</x:v>
      </x:c>
      <x:c r="D34" s="116" t="n">
        <x:v>61</x:v>
      </x:c>
      <x:c r="E34" s="231" t="n">
        <x:v>12.65</x:v>
      </x:c>
      <x:c r="F34" s="231" t="n">
        <x:v>0.3</x:v>
      </x:c>
      <x:c r="G34" s="185" t="n">
        <x:v>0.06767420088270697</x:v>
      </x:c>
      <x:c r="H34" s="116" t="n">
        <x:v>4</x:v>
      </x:c>
      <x:c r="I34" s="231" t="n">
        <x:v>13.903225806451612</x:v>
      </x:c>
      <x:c r="J34" s="185" t="n">
        <x:v>0.027649769585253458</x:v>
      </x:c>
      <x:c r="K34" s="116" t="n">
        <x:v>37</x:v>
      </x:c>
      <x:c r="L34" s="232"/>
      <x:c r="M34" s="232"/>
      <x:c r="N34" s="232"/>
      <x:c r="O34" s="232"/>
      <x:c r="P34" s="232"/>
      <x:c r="Q34" s="232"/>
      <x:c r="R34" s="232"/>
      <x:c r="S34" s="232"/>
      <x:c r="T34" s="232"/>
    </x:row>
    <x:row r="35" ht="28" customHeight="1">
      <x:c r="A35" s="117" t="n">
        <x:v>31</x:v>
      </x:c>
      <x:c r="B35" s="117" t="str">
        <x:v>捷運府中站(1號出口)</x:v>
      </x:c>
      <x:c r="C35" s="117" t="str">
        <x:v>板橋區</x:v>
      </x:c>
      <x:c r="D35" s="117" t="n">
        <x:v>91</x:v>
      </x:c>
      <x:c r="E35" s="230" t="n">
        <x:v>12.641666666666667</x:v>
      </x:c>
      <x:c r="F35" s="230" t="n">
        <x:v>0.25833333333333336</x:v>
      </x:c>
      <x:c r="G35" s="184" t="n">
        <x:v>0.060217529374404576</x:v>
      </x:c>
      <x:c r="H35" s="117" t="n">
        <x:v>4</x:v>
      </x:c>
      <x:c r="I35" s="230" t="n">
        <x:v>12.161290322580646</x:v>
      </x:c>
      <x:c r="J35" s="184" t="n">
        <x:v>0.029953917050691243</x:v>
      </x:c>
      <x:c r="K35" s="117" t="n">
        <x:v>41</x:v>
      </x:c>
      <x:c r="L35" s="232"/>
      <x:c r="M35" s="232"/>
      <x:c r="N35" s="232"/>
      <x:c r="O35" s="232"/>
      <x:c r="P35" s="232"/>
      <x:c r="Q35" s="232"/>
      <x:c r="R35" s="232"/>
      <x:c r="S35" s="232"/>
      <x:c r="T35" s="232"/>
    </x:row>
    <x:row r="36" ht="28" customHeight="1">
      <x:c r="A36" s="116" t="n">
        <x:v>32</x:v>
      </x:c>
      <x:c r="B36" s="116" t="str">
        <x:v>捷運菜寮站(3號出口)</x:v>
      </x:c>
      <x:c r="C36" s="116" t="str">
        <x:v>三重區</x:v>
      </x:c>
      <x:c r="D36" s="116" t="n">
        <x:v>60</x:v>
      </x:c>
      <x:c r="E36" s="231" t="n">
        <x:v>12.466666666666667</x:v>
      </x:c>
      <x:c r="F36" s="231" t="n">
        <x:v>0.26666666666666666</x:v>
      </x:c>
      <x:c r="G36" s="185" t="n">
        <x:v>0.05420289855072464</x:v>
      </x:c>
      <x:c r="H36" s="116" t="n">
        <x:v>4</x:v>
      </x:c>
      <x:c r="I36" s="231" t="n">
        <x:v>11.483870967741936</x:v>
      </x:c>
      <x:c r="J36" s="185" t="n">
        <x:v>0.04608294930875576</x:v>
      </x:c>
      <x:c r="K36" s="116" t="n">
        <x:v>32</x:v>
      </x:c>
      <x:c r="L36" s="232"/>
      <x:c r="M36" s="232"/>
      <x:c r="N36" s="232"/>
      <x:c r="O36" s="232"/>
      <x:c r="P36" s="232"/>
      <x:c r="Q36" s="232"/>
      <x:c r="R36" s="232"/>
      <x:c r="S36" s="232"/>
      <x:c r="T36" s="232"/>
    </x:row>
    <x:row r="37" ht="28" customHeight="1">
      <x:c r="A37" s="117" t="n">
        <x:v>33</x:v>
      </x:c>
      <x:c r="B37" s="117" t="str">
        <x:v>捷運頂埔站(福田路)</x:v>
      </x:c>
      <x:c r="C37" s="117" t="str">
        <x:v>土城區</x:v>
      </x:c>
      <x:c r="D37" s="117" t="n">
        <x:v>66</x:v>
      </x:c>
      <x:c r="E37" s="230" t="n">
        <x:v>12.438202247191011</x:v>
      </x:c>
      <x:c r="F37" s="230" t="n">
        <x:v>0.25842696629213485</x:v>
      </x:c>
      <x:c r="G37" s="184" t="n">
        <x:v>0.060127097930584975</x:v>
      </x:c>
      <x:c r="H37" s="117" t="n">
        <x:v>3</x:v>
      </x:c>
      <x:c r="I37" s="230" t="n">
        <x:v>10.064516129032258</x:v>
      </x:c>
      <x:c r="J37" s="184" t="n">
        <x:v>0.013824884792626729</x:v>
      </x:c>
      <x:c r="K37" s="117" t="n">
        <x:v>17</x:v>
      </x:c>
      <x:c r="L37" s="232"/>
      <x:c r="M37" s="232"/>
      <x:c r="N37" s="232"/>
      <x:c r="O37" s="232"/>
      <x:c r="P37" s="232"/>
      <x:c r="Q37" s="232"/>
      <x:c r="R37" s="232"/>
      <x:c r="S37" s="232"/>
      <x:c r="T37" s="232"/>
    </x:row>
    <x:row r="38" ht="28" customHeight="1">
      <x:c r="A38" s="116" t="n">
        <x:v>34</x:v>
      </x:c>
      <x:c r="B38" s="116" t="str">
        <x:v>捷運新埔站(2號出口)</x:v>
      </x:c>
      <x:c r="C38" s="116" t="str">
        <x:v>板橋區</x:v>
      </x:c>
      <x:c r="D38" s="116" t="n">
        <x:v>60</x:v>
      </x:c>
      <x:c r="E38" s="231" t="n">
        <x:v>12.2</x:v>
      </x:c>
      <x:c r="F38" s="231" t="n">
        <x:v>0.275</x:v>
      </x:c>
      <x:c r="G38" s="185" t="n">
        <x:v>0.0687130385806815</x:v>
      </x:c>
      <x:c r="H38" s="116" t="n">
        <x:v>4</x:v>
      </x:c>
      <x:c r="I38" s="231" t="n">
        <x:v>10.580645161290322</x:v>
      </x:c>
      <x:c r="J38" s="185" t="n">
        <x:v>0.07603686635944701</x:v>
      </x:c>
      <x:c r="K38" s="116" t="n">
        <x:v>51</x:v>
      </x:c>
      <x:c r="L38" s="232"/>
      <x:c r="M38" s="204" t="str">
        <x:v>行政區分布只能回答『重要站在哪些區比較多』，不能取代站點層級。區內可能同時有捷運站、住宅區、學校與河濱站，方向相反。Power BI中可先用行政區切片，再下鑽站點與時段。</x:v>
      </x:c>
      <x:c r="N38" s="205"/>
      <x:c r="O38" s="205"/>
      <x:c r="P38" s="205"/>
      <x:c r="Q38" s="205"/>
      <x:c r="R38" s="205"/>
      <x:c r="S38" s="205"/>
      <x:c r="T38" s="206"/>
    </x:row>
    <x:row r="39" ht="28" customHeight="1">
      <x:c r="A39" s="117" t="n">
        <x:v>35</x:v>
      </x:c>
      <x:c r="B39" s="117" t="str">
        <x:v>捷運江子翠站(3號出口)</x:v>
      </x:c>
      <x:c r="C39" s="117" t="str">
        <x:v>板橋區</x:v>
      </x:c>
      <x:c r="D39" s="117" t="n">
        <x:v>60</x:v>
      </x:c>
      <x:c r="E39" s="230" t="n">
        <x:v>12.166666666666666</x:v>
      </x:c>
      <x:c r="F39" s="230" t="n">
        <x:v>0.2833333333333333</x:v>
      </x:c>
      <x:c r="G39" s="184" t="n">
        <x:v>0.06283623843339789</x:v>
      </x:c>
      <x:c r="H39" s="117" t="n">
        <x:v>4</x:v>
      </x:c>
      <x:c r="I39" s="230" t="n">
        <x:v>9.03225806451613</x:v>
      </x:c>
      <x:c r="J39" s="184" t="n">
        <x:v>0.0944700460829493</x:v>
      </x:c>
      <x:c r="K39" s="117" t="n">
        <x:v>57</x:v>
      </x:c>
      <x:c r="L39" s="232"/>
      <x:c r="M39" s="207"/>
      <x:c r="N39" s="208"/>
      <x:c r="O39" s="208"/>
      <x:c r="P39" s="208"/>
      <x:c r="Q39" s="208"/>
      <x:c r="R39" s="208"/>
      <x:c r="S39" s="208"/>
      <x:c r="T39" s="209"/>
    </x:row>
    <x:row r="40" ht="28" customHeight="1">
      <x:c r="A40" s="116" t="n">
        <x:v>36</x:v>
      </x:c>
      <x:c r="B40" s="116" t="str">
        <x:v>新店行政園區</x:v>
      </x:c>
      <x:c r="C40" s="116" t="str">
        <x:v>新店區</x:v>
      </x:c>
      <x:c r="D40" s="116" t="n">
        <x:v>93</x:v>
      </x:c>
      <x:c r="E40" s="231" t="n">
        <x:v>12.15</x:v>
      </x:c>
      <x:c r="F40" s="231" t="n">
        <x:v>0.2833333333333333</x:v>
      </x:c>
      <x:c r="G40" s="185" t="n">
        <x:v>0.10042705606832897</x:v>
      </x:c>
      <x:c r="H40" s="116" t="n">
        <x:v>4</x:v>
      </x:c>
      <x:c r="I40" s="231" t="n">
        <x:v>10.387096774193548</x:v>
      </x:c>
      <x:c r="J40" s="185" t="n">
        <x:v>0.029953917050691243</x:v>
      </x:c>
      <x:c r="K40" s="116" t="n">
        <x:v>24</x:v>
      </x:c>
      <x:c r="L40" s="232"/>
      <x:c r="M40" s="207"/>
      <x:c r="N40" s="208"/>
      <x:c r="O40" s="208"/>
      <x:c r="P40" s="208"/>
      <x:c r="Q40" s="208"/>
      <x:c r="R40" s="208"/>
      <x:c r="S40" s="208"/>
      <x:c r="T40" s="209"/>
    </x:row>
    <x:row r="41" ht="28" customHeight="1">
      <x:c r="A41" s="117" t="n">
        <x:v>37</x:v>
      </x:c>
      <x:c r="B41" s="117" t="str">
        <x:v>捷運三重站(1號出口)</x:v>
      </x:c>
      <x:c r="C41" s="117" t="str">
        <x:v>三重區</x:v>
      </x:c>
      <x:c r="D41" s="117" t="n">
        <x:v>61</x:v>
      </x:c>
      <x:c r="E41" s="230" t="n">
        <x:v>12.141666666666667</x:v>
      </x:c>
      <x:c r="F41" s="230" t="n">
        <x:v>0.3</x:v>
      </x:c>
      <x:c r="G41" s="184" t="n">
        <x:v>0.0605166971257684</x:v>
      </x:c>
      <x:c r="H41" s="117" t="n">
        <x:v>4</x:v>
      </x:c>
      <x:c r="I41" s="230" t="n">
        <x:v>9.35483870967742</x:v>
      </x:c>
      <x:c r="J41" s="184" t="n">
        <x:v>0.03686635944700461</x:v>
      </x:c>
      <x:c r="K41" s="117" t="n">
        <x:v>12</x:v>
      </x:c>
      <x:c r="L41" s="232"/>
      <x:c r="M41" s="207"/>
      <x:c r="N41" s="208"/>
      <x:c r="O41" s="208"/>
      <x:c r="P41" s="208"/>
      <x:c r="Q41" s="208"/>
      <x:c r="R41" s="208"/>
      <x:c r="S41" s="208"/>
      <x:c r="T41" s="209"/>
    </x:row>
    <x:row r="42" ht="28" customHeight="1">
      <x:c r="A42" s="116" t="n">
        <x:v>38</x:v>
      </x:c>
      <x:c r="B42" s="116" t="str">
        <x:v>四維公園地下停車場</x:v>
      </x:c>
      <x:c r="C42" s="116" t="str">
        <x:v>板橋區</x:v>
      </x:c>
      <x:c r="D42" s="116" t="n">
        <x:v>93</x:v>
      </x:c>
      <x:c r="E42" s="231" t="n">
        <x:v>12.108333333333333</x:v>
      </x:c>
      <x:c r="F42" s="231" t="n">
        <x:v>0.25833333333333336</x:v>
      </x:c>
      <x:c r="G42" s="185" t="n">
        <x:v>0.08050307496260181</x:v>
      </x:c>
      <x:c r="H42" s="116" t="n">
        <x:v>4</x:v>
      </x:c>
      <x:c r="I42" s="231" t="n">
        <x:v>8.709677419354838</x:v>
      </x:c>
      <x:c r="J42" s="185" t="n">
        <x:v>0.11290322580645161</x:v>
      </x:c>
      <x:c r="K42" s="116" t="n">
        <x:v>19</x:v>
      </x:c>
      <x:c r="L42" s="232"/>
      <x:c r="M42" s="207"/>
      <x:c r="N42" s="208"/>
      <x:c r="O42" s="208"/>
      <x:c r="P42" s="208"/>
      <x:c r="Q42" s="208"/>
      <x:c r="R42" s="208"/>
      <x:c r="S42" s="208"/>
      <x:c r="T42" s="209"/>
    </x:row>
    <x:row r="43" ht="28" customHeight="1">
      <x:c r="A43" s="117" t="n">
        <x:v>39</x:v>
      </x:c>
      <x:c r="B43" s="117" t="str">
        <x:v>臺灣藝術大學</x:v>
      </x:c>
      <x:c r="C43" s="117" t="str">
        <x:v>板橋區</x:v>
      </x:c>
      <x:c r="D43" s="117" t="n">
        <x:v>65</x:v>
      </x:c>
      <x:c r="E43" s="230" t="n">
        <x:v>11.941666666666666</x:v>
      </x:c>
      <x:c r="F43" s="230" t="n">
        <x:v>0.31666666666666665</x:v>
      </x:c>
      <x:c r="G43" s="184" t="n">
        <x:v>0.08085994808712335</x:v>
      </x:c>
      <x:c r="H43" s="117" t="n">
        <x:v>4</x:v>
      </x:c>
      <x:c r="I43" s="230" t="n">
        <x:v>12.129032258064516</x:v>
      </x:c>
      <x:c r="J43" s="184" t="n">
        <x:v>0.04377880184331797</x:v>
      </x:c>
      <x:c r="K43" s="117" t="n">
        <x:v>12</x:v>
      </x:c>
      <x:c r="L43" s="232"/>
      <x:c r="M43" s="207"/>
      <x:c r="N43" s="208"/>
      <x:c r="O43" s="208"/>
      <x:c r="P43" s="208"/>
      <x:c r="Q43" s="208"/>
      <x:c r="R43" s="208"/>
      <x:c r="S43" s="208"/>
      <x:c r="T43" s="209"/>
    </x:row>
    <x:row r="44" ht="28" customHeight="1">
      <x:c r="A44" s="116" t="n">
        <x:v>40</x:v>
      </x:c>
      <x:c r="B44" s="116" t="str">
        <x:v>捷運新埔站(4號出口)</x:v>
      </x:c>
      <x:c r="C44" s="116" t="str">
        <x:v>板橋區</x:v>
      </x:c>
      <x:c r="D44" s="116" t="n">
        <x:v>70</x:v>
      </x:c>
      <x:c r="E44" s="231" t="n">
        <x:v>11.75</x:v>
      </x:c>
      <x:c r="F44" s="231" t="n">
        <x:v>0.3</x:v>
      </x:c>
      <x:c r="G44" s="185" t="n">
        <x:v>0.07995916978564137</x:v>
      </x:c>
      <x:c r="H44" s="116" t="n">
        <x:v>4</x:v>
      </x:c>
      <x:c r="I44" s="231" t="n">
        <x:v>6.32258064516129</x:v>
      </x:c>
      <x:c r="J44" s="185" t="n">
        <x:v>0.08986175115207373</x:v>
      </x:c>
      <x:c r="K44" s="116" t="n">
        <x:v>54</x:v>
      </x:c>
      <x:c r="L44" s="232"/>
      <x:c r="M44" s="207"/>
      <x:c r="N44" s="208"/>
      <x:c r="O44" s="208"/>
      <x:c r="P44" s="208"/>
      <x:c r="Q44" s="208"/>
      <x:c r="R44" s="208"/>
      <x:c r="S44" s="208"/>
      <x:c r="T44" s="209"/>
    </x:row>
    <x:row r="45" ht="28" customHeight="1">
      <x:c r="A45" s="117" t="n">
        <x:v>41</x:v>
      </x:c>
      <x:c r="B45" s="117" t="str">
        <x:v>樹林火車站(後站)</x:v>
      </x:c>
      <x:c r="C45" s="117" t="str">
        <x:v>樹林區</x:v>
      </x:c>
      <x:c r="D45" s="117" t="n">
        <x:v>65</x:v>
      </x:c>
      <x:c r="E45" s="230" t="n">
        <x:v>11.691666666666666</x:v>
      </x:c>
      <x:c r="F45" s="230" t="n">
        <x:v>0.26666666666666666</x:v>
      </x:c>
      <x:c r="G45" s="184" t="n">
        <x:v>0.05033906210756701</x:v>
      </x:c>
      <x:c r="H45" s="117" t="n">
        <x:v>4</x:v>
      </x:c>
      <x:c r="I45" s="230" t="n">
        <x:v>12</x:v>
      </x:c>
      <x:c r="J45" s="184" t="n">
        <x:v>0.009216589861751152</x:v>
      </x:c>
      <x:c r="K45" s="117" t="n">
        <x:v>20</x:v>
      </x:c>
      <x:c r="L45" s="232"/>
      <x:c r="M45" s="207"/>
      <x:c r="N45" s="208"/>
      <x:c r="O45" s="208"/>
      <x:c r="P45" s="208"/>
      <x:c r="Q45" s="208"/>
      <x:c r="R45" s="208"/>
      <x:c r="S45" s="208"/>
      <x:c r="T45" s="209"/>
    </x:row>
    <x:row r="46" ht="28" customHeight="1">
      <x:c r="A46" s="116" t="n">
        <x:v>42</x:v>
      </x:c>
      <x:c r="B46" s="116" t="str">
        <x:v>捷運三重國小站</x:v>
      </x:c>
      <x:c r="C46" s="116" t="str">
        <x:v>三重區</x:v>
      </x:c>
      <x:c r="D46" s="116" t="n">
        <x:v>52</x:v>
      </x:c>
      <x:c r="E46" s="231" t="n">
        <x:v>11.366666666666667</x:v>
      </x:c>
      <x:c r="F46" s="231" t="n">
        <x:v>0.2833333333333333</x:v>
      </x:c>
      <x:c r="G46" s="185" t="n">
        <x:v>0.04575031864224861</x:v>
      </x:c>
      <x:c r="H46" s="116" t="n">
        <x:v>4</x:v>
      </x:c>
      <x:c r="I46" s="231" t="n">
        <x:v>10.741935483870968</x:v>
      </x:c>
      <x:c r="J46" s="185" t="n">
        <x:v>0.09216589861751152</x:v>
      </x:c>
      <x:c r="K46" s="116" t="n">
        <x:v>40</x:v>
      </x:c>
      <x:c r="L46" s="232"/>
      <x:c r="M46" s="207"/>
      <x:c r="N46" s="208"/>
      <x:c r="O46" s="208"/>
      <x:c r="P46" s="208"/>
      <x:c r="Q46" s="208"/>
      <x:c r="R46" s="208"/>
      <x:c r="S46" s="208"/>
      <x:c r="T46" s="209"/>
    </x:row>
    <x:row r="47" ht="28" customHeight="1">
      <x:c r="A47" s="117" t="n">
        <x:v>43</x:v>
      </x:c>
      <x:c r="B47" s="117" t="str">
        <x:v>汐科火車站(北)</x:v>
      </x:c>
      <x:c r="C47" s="117" t="str">
        <x:v>汐止區</x:v>
      </x:c>
      <x:c r="D47" s="117" t="n">
        <x:v>76</x:v>
      </x:c>
      <x:c r="E47" s="230" t="n">
        <x:v>11.241666666666667</x:v>
      </x:c>
      <x:c r="F47" s="230" t="n">
        <x:v>0.2916666666666667</x:v>
      </x:c>
      <x:c r="G47" s="184" t="n">
        <x:v>0.07463760097377448</x:v>
      </x:c>
      <x:c r="H47" s="117" t="n">
        <x:v>4</x:v>
      </x:c>
      <x:c r="I47" s="230" t="n">
        <x:v>10.03225806451613</x:v>
      </x:c>
      <x:c r="J47" s="184" t="n">
        <x:v>0.004608294930875576</x:v>
      </x:c>
      <x:c r="K47" s="117" t="n">
        <x:v>18</x:v>
      </x:c>
      <x:c r="L47" s="232"/>
      <x:c r="M47" s="207"/>
      <x:c r="N47" s="208"/>
      <x:c r="O47" s="208"/>
      <x:c r="P47" s="208"/>
      <x:c r="Q47" s="208"/>
      <x:c r="R47" s="208"/>
      <x:c r="S47" s="208"/>
      <x:c r="T47" s="209"/>
    </x:row>
    <x:row r="48" ht="28" customHeight="1">
      <x:c r="A48" s="116" t="n">
        <x:v>44</x:v>
      </x:c>
      <x:c r="B48" s="116" t="str">
        <x:v>永福橋</x:v>
      </x:c>
      <x:c r="C48" s="116" t="str">
        <x:v>永和區</x:v>
      </x:c>
      <x:c r="D48" s="116" t="n">
        <x:v>70</x:v>
      </x:c>
      <x:c r="E48" s="231" t="n">
        <x:v>11.075</x:v>
      </x:c>
      <x:c r="F48" s="231" t="n">
        <x:v>0.2833333333333333</x:v>
      </x:c>
      <x:c r="G48" s="185" t="n">
        <x:v>0.07699438039511036</x:v>
      </x:c>
      <x:c r="H48" s="116" t="n">
        <x:v>4</x:v>
      </x:c>
      <x:c r="I48" s="231" t="n">
        <x:v>7.548387096774194</x:v>
      </x:c>
      <x:c r="J48" s="185" t="n">
        <x:v>0.06221198156682028</x:v>
      </x:c>
      <x:c r="K48" s="116" t="n">
        <x:v>16</x:v>
      </x:c>
      <x:c r="L48" s="232"/>
      <x:c r="M48" s="207"/>
      <x:c r="N48" s="208"/>
      <x:c r="O48" s="208"/>
      <x:c r="P48" s="208"/>
      <x:c r="Q48" s="208"/>
      <x:c r="R48" s="208"/>
      <x:c r="S48" s="208"/>
      <x:c r="T48" s="209"/>
    </x:row>
    <x:row r="49" ht="28" customHeight="1">
      <x:c r="A49" s="117" t="n">
        <x:v>45</x:v>
      </x:c>
      <x:c r="B49" s="117" t="str">
        <x:v>捷運新北產業園區站</x:v>
      </x:c>
      <x:c r="C49" s="117" t="str">
        <x:v>新莊區</x:v>
      </x:c>
      <x:c r="D49" s="117" t="n">
        <x:v>70</x:v>
      </x:c>
      <x:c r="E49" s="230" t="n">
        <x:v>11.025</x:v>
      </x:c>
      <x:c r="F49" s="230" t="n">
        <x:v>0.25833333333333336</x:v>
      </x:c>
      <x:c r="G49" s="184" t="n">
        <x:v>0.07202743902439024</x:v>
      </x:c>
      <x:c r="H49" s="117" t="n">
        <x:v>4</x:v>
      </x:c>
      <x:c r="I49" s="230" t="n">
        <x:v>8.741935483870968</x:v>
      </x:c>
      <x:c r="J49" s="184" t="n">
        <x:v>0.12442396313364056</x:v>
      </x:c>
      <x:c r="K49" s="117" t="n">
        <x:v>51</x:v>
      </x:c>
      <x:c r="L49" s="232"/>
      <x:c r="M49" s="210"/>
      <x:c r="N49" s="211"/>
      <x:c r="O49" s="211"/>
      <x:c r="P49" s="211"/>
      <x:c r="Q49" s="211"/>
      <x:c r="R49" s="211"/>
      <x:c r="S49" s="211"/>
      <x:c r="T49" s="212"/>
    </x:row>
  </x:sheetData>
  <x:mergeCells>
    <x:mergeCell ref="A1:T1"/>
    <x:mergeCell ref="A2:T2"/>
    <x:mergeCell ref="M38:T49"/>
  </x:mergeCells>
  <x:pageMargins left="0.7" right="0.7" top="0.75" bottom="0.75" header="0.3" footer="0.3"/>
  <x:drawing xmlns:r="http://schemas.openxmlformats.org/officeDocument/2006/relationships" r:id="R9a6ec55886a342a5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50" hidden="0" customWidth="1"/>
    <x:col min="3" max="3" width="52" hidden="0" customWidth="1"/>
    <x:col min="10" max="10" width="35" hidden="0" customWidth="1"/>
    <x:col min="11" max="11" width="44" hidden="0" customWidth="1"/>
    <x:col min="12" max="12" width="28" hidden="0" customWidth="1"/>
  </x:cols>
  <x:sheetData>
    <x:row r="1" ht="34" customHeight="1">
      <x:c r="A1" s="3" t="str">
        <x:v>使用限制、分析口徑與Power BI資料表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這份Excel是探索性分析報告；所有原始檔與先前報告都未修改。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232"/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  <x:c r="O3" s="232"/>
      <x:c r="P3" s="232"/>
      <x:c r="Q3" s="232"/>
      <x:c r="R3" s="232"/>
    </x:row>
    <x:row r="4" ht="25" customHeight="1">
      <x:c r="A4" s="106" t="str">
        <x:v>分析口徑與限制</x:v>
      </x:c>
      <x:c r="B4" s="106"/>
      <x:c r="C4" s="106"/>
      <x:c r="D4" s="106"/>
      <x:c r="E4" s="106"/>
      <x:c r="F4" s="106"/>
      <x:c r="G4" s="106"/>
      <x:c r="H4" s="106"/>
      <x:c r="I4" s="232"/>
      <x:c r="J4" s="106" t="str">
        <x:v>Power BI可匯入的CSV</x:v>
      </x:c>
      <x:c r="K4" s="106"/>
      <x:c r="L4" s="106"/>
      <x:c r="M4" s="106"/>
      <x:c r="N4" s="106"/>
      <x:c r="O4" s="106"/>
      <x:c r="P4" s="106"/>
      <x:c r="Q4" s="106"/>
      <x:c r="R4" s="106"/>
    </x:row>
    <x:row r="5" ht="28" customHeight="1">
      <x:c r="A5" s="112" t="str">
        <x:v>項目</x:v>
      </x:c>
      <x:c r="B5" s="112" t="str">
        <x:v>本次做法</x:v>
      </x:c>
      <x:c r="C5" s="112" t="str">
        <x:v>使用時要注意</x:v>
      </x:c>
      <x:c r="D5" s="232"/>
      <x:c r="E5" s="232"/>
      <x:c r="F5" s="232"/>
      <x:c r="G5" s="232"/>
      <x:c r="H5" s="232"/>
      <x:c r="I5" s="232"/>
      <x:c r="J5" s="183" t="str">
        <x:v>檔名</x:v>
      </x:c>
      <x:c r="K5" s="183" t="str">
        <x:v>內容</x:v>
      </x:c>
      <x:c r="L5" s="183" t="str">
        <x:v>建議視覺</x:v>
      </x:c>
      <x:c r="M5" s="232"/>
      <x:c r="N5" s="232"/>
      <x:c r="O5" s="232"/>
      <x:c r="P5" s="232"/>
      <x:c r="Q5" s="232"/>
      <x:c r="R5" s="232"/>
    </x:row>
    <x:row r="6" ht="40" customHeight="1">
      <x:c r="A6" s="117" t="str">
        <x:v>站點範圍</x:v>
      </x:c>
      <x:c r="B6" s="117" t="str">
        <x:v>開發期至少60個有效日，且有效觀測覆蓋率至少75%</x:v>
      </x:c>
      <x:c r="C6" s="117" t="str">
        <x:v>避免短期新站或資料缺漏站讓排名失真；不是模型訓練範圍決策</x:v>
      </x:c>
      <x:c r="D6" s="232"/>
      <x:c r="E6" s="232"/>
      <x:c r="F6" s="232"/>
      <x:c r="G6" s="232"/>
      <x:c r="H6" s="232"/>
      <x:c r="I6" s="232"/>
      <x:c r="J6" s="117" t="str">
        <x:v>station_ranking_detail.csv</x:v>
      </x:c>
      <x:c r="K6" s="117" t="str">
        <x:v>站點三種排名、入選組合、開發與五月指標</x:v>
      </x:c>
      <x:c r="L6" s="117" t="str">
        <x:v>站點排行榜、散佈圖、切片器</x:v>
      </x:c>
      <x:c r="M6" s="232"/>
      <x:c r="N6" s="232"/>
      <x:c r="O6" s="232"/>
      <x:c r="P6" s="232"/>
      <x:c r="Q6" s="232"/>
      <x:c r="R6" s="232"/>
    </x:row>
    <x:row r="7" ht="40" customHeight="1">
      <x:c r="A7" s="116" t="str">
        <x:v>時間切分</x:v>
      </x:c>
      <x:c r="B7" s="116" t="str">
        <x:v>開發：2026-01 至 2026-04；驗證：2026-05；保留：2026-06（未使用）</x:v>
      </x:c>
      <x:c r="C7" s="116" t="str">
        <x:v>六月尚未使用，避免先看答案再調門檻</x:v>
      </x:c>
      <x:c r="D7" s="232"/>
      <x:c r="E7" s="232"/>
      <x:c r="F7" s="232"/>
      <x:c r="G7" s="232"/>
      <x:c r="H7" s="232"/>
      <x:c r="I7" s="232"/>
      <x:c r="J7" s="116" t="str">
        <x:v>ranking_overlap.csv</x:v>
      </x:c>
      <x:c r="K7" s="116" t="str">
        <x:v>兩兩名單重疊與Jaccard</x:v>
      </x:c>
      <x:c r="L7" s="116" t="str">
        <x:v>版本相似度表</x:v>
      </x:c>
      <x:c r="M7" s="232"/>
      <x:c r="N7" s="232"/>
      <x:c r="O7" s="232"/>
      <x:c r="P7" s="232"/>
      <x:c r="Q7" s="232"/>
      <x:c r="R7" s="232"/>
    </x:row>
    <x:row r="8" ht="40" customHeight="1">
      <x:c r="A8" s="117" t="str">
        <x:v>活動量</x:v>
      </x:c>
      <x:c r="B8" s="117" t="str">
        <x:v>30分鐘車數淨變化的絕對值加總</x:v>
      </x:c>
      <x:c r="C8" s="117" t="str">
        <x:v>不是實際借還交易量，會低估同一時段內互相抵消的借還</x:v>
      </x:c>
      <x:c r="D8" s="232"/>
      <x:c r="E8" s="232"/>
      <x:c r="F8" s="232"/>
      <x:c r="G8" s="232"/>
      <x:c r="H8" s="232"/>
      <x:c r="I8" s="232"/>
      <x:c r="J8" s="117" t="str">
        <x:v>ranking_membership_combinations.csv</x:v>
      </x:c>
      <x:c r="K8" s="117" t="str">
        <x:v>各入選組合站數</x:v>
      </x:c>
      <x:c r="L8" s="117" t="str">
        <x:v>組合分布圖</x:v>
      </x:c>
      <x:c r="M8" s="232"/>
      <x:c r="N8" s="232"/>
      <x:c r="O8" s="232"/>
      <x:c r="P8" s="232"/>
      <x:c r="Q8" s="232"/>
      <x:c r="R8" s="232"/>
    </x:row>
    <x:row r="9" ht="40" customHeight="1">
      <x:c r="A9" s="116" t="str">
        <x:v>失衡</x:v>
      </x:c>
      <x:c r="B9" s="116" t="str">
        <x:v>無車：車=0且仍有空位；滿柱：空位=0且仍有車</x:v>
      </x:c>
      <x:c r="C9" s="116" t="str">
        <x:v>車與空位同時為0應另視為停用／資料不確定狀態</x:v>
      </x:c>
      <x:c r="D9" s="232"/>
      <x:c r="E9" s="232"/>
      <x:c r="F9" s="232"/>
      <x:c r="G9" s="232"/>
      <x:c r="H9" s="232"/>
      <x:c r="I9" s="232"/>
      <x:c r="J9" s="116" t="str">
        <x:v>validation_stability.csv</x:v>
      </x:c>
      <x:c r="K9" s="116" t="str">
        <x:v>五月留存、順位相關、活動捕捉</x:v>
      </x:c>
      <x:c r="L9" s="116" t="str">
        <x:v>穩定性卡片與長條圖</x:v>
      </x:c>
      <x:c r="M9" s="232"/>
      <x:c r="N9" s="232"/>
      <x:c r="O9" s="232"/>
      <x:c r="P9" s="232"/>
      <x:c r="Q9" s="232"/>
      <x:c r="R9" s="232"/>
    </x:row>
    <x:row r="10" ht="40" customHeight="1">
      <x:c r="A10" s="117" t="str">
        <x:v>大幅跳動</x:v>
      </x:c>
      <x:c r="B10" s="117" t="str">
        <x:v>站點月內30分鐘車數變化絕對值前0.5%，且至少5台；只是探索性標記，不等同已知運補。</x:v>
      </x:c>
      <x:c r="C10" s="117" t="str">
        <x:v>探索標記不等於真實運補；不作因果結論</x:v>
      </x:c>
      <x:c r="D10" s="232"/>
      <x:c r="E10" s="232"/>
      <x:c r="F10" s="232"/>
      <x:c r="G10" s="232"/>
      <x:c r="H10" s="232"/>
      <x:c r="I10" s="232"/>
      <x:c r="J10" s="117" t="str">
        <x:v>group_comparison.csv</x:v>
      </x:c>
      <x:c r="K10" s="117" t="str">
        <x:v>前25%與其餘站的活動、風險、事件、容量</x:v>
      </x:c>
      <x:c r="L10" s="117" t="str">
        <x:v>群組差異圖</x:v>
      </x:c>
      <x:c r="M10" s="232"/>
      <x:c r="N10" s="232"/>
      <x:c r="O10" s="232"/>
      <x:c r="P10" s="232"/>
      <x:c r="Q10" s="232"/>
      <x:c r="R10" s="232"/>
    </x:row>
    <x:row r="11" ht="40" customHeight="1">
      <x:c r="A11" s="116" t="str">
        <x:v>前25%</x:v>
      </x:c>
      <x:c r="B11" s="116" t="str">
        <x:v>符合條件站中的固定前373名</x:v>
      </x:c>
      <x:c r="C11" s="116" t="str">
        <x:v>適合重點儀表板與敏感度分析；不代表其餘75%不需要預測</x:v>
      </x:c>
      <x:c r="D11" s="232"/>
      <x:c r="E11" s="232"/>
      <x:c r="F11" s="232"/>
      <x:c r="G11" s="232"/>
      <x:c r="H11" s="232"/>
      <x:c r="I11" s="232"/>
      <x:c r="J11" s="116" t="str">
        <x:v>hourly_group_profile.csv</x:v>
      </x:c>
      <x:c r="K11" s="116" t="str">
        <x:v>三份名單每小時失衡與活動</x:v>
      </x:c>
      <x:c r="L11" s="116" t="str">
        <x:v>時段折線圖</x:v>
      </x:c>
      <x:c r="M11" s="232"/>
      <x:c r="N11" s="232"/>
      <x:c r="O11" s="232"/>
      <x:c r="P11" s="232"/>
      <x:c r="Q11" s="232"/>
      <x:c r="R11" s="232"/>
    </x:row>
    <x:row r="12" ht="40" customHeight="1">
      <x:c r="A12" s="232"/>
      <x:c r="B12" s="232"/>
      <x:c r="C12" s="232"/>
      <x:c r="D12" s="232"/>
      <x:c r="E12" s="232"/>
      <x:c r="F12" s="232"/>
      <x:c r="G12" s="232"/>
      <x:c r="H12" s="232"/>
      <x:c r="I12" s="232"/>
      <x:c r="J12" s="117" t="str">
        <x:v>weekday_hour_group.csv</x:v>
      </x:c>
      <x:c r="K12" s="117" t="str">
        <x:v>星期×小時失衡率</x:v>
      </x:c>
      <x:c r="L12" s="117" t="str">
        <x:v>矩陣熱圖</x:v>
      </x:c>
      <x:c r="M12" s="232"/>
      <x:c r="N12" s="232"/>
      <x:c r="O12" s="232"/>
      <x:c r="P12" s="232"/>
      <x:c r="Q12" s="232"/>
      <x:c r="R12" s="232"/>
    </x:row>
    <x:row r="13" ht="40" customHeight="1">
      <x:c r="A13" s="232"/>
      <x:c r="B13" s="232"/>
      <x:c r="C13" s="232"/>
      <x:c r="D13" s="232"/>
      <x:c r="E13" s="232"/>
      <x:c r="F13" s="232"/>
      <x:c r="G13" s="232"/>
      <x:c r="H13" s="232"/>
      <x:c r="I13" s="232"/>
      <x:c r="J13" s="116" t="str">
        <x:v>event_duration_group.csv</x:v>
      </x:c>
      <x:c r="K13" s="116" t="str">
        <x:v>事件持續時間分布</x:v>
      </x:c>
      <x:c r="L13" s="116" t="str">
        <x:v>持續時間長條圖</x:v>
      </x:c>
      <x:c r="M13" s="232"/>
      <x:c r="N13" s="232"/>
      <x:c r="O13" s="232"/>
      <x:c r="P13" s="232"/>
      <x:c r="Q13" s="232"/>
      <x:c r="R13" s="232"/>
    </x:row>
    <x:row r="14" ht="40" customHeight="1">
      <x:c r="A14" s="204" t="str">
        <x:v>建議後續模型流程
1. 全站保留，不先刪成前25%
2. 用1–4月訓練、5月選模型與門檻、6月做一次最終測試
3. 預測30／60／90分鐘的車數或失衡機率
4. 另建『會持續≥60分鐘』的處置價值分數
5. 評估時對重要站與熱門時段加權，但同時報全站表現
6. 把大幅跳動標記作特徵／敏感度，不直接當真實運補標籤</x:v>
      </x:c>
      <x:c r="B14" s="205"/>
      <x:c r="C14" s="205"/>
      <x:c r="D14" s="205"/>
      <x:c r="E14" s="205"/>
      <x:c r="F14" s="205"/>
      <x:c r="G14" s="205"/>
      <x:c r="H14" s="206"/>
      <x:c r="I14" s="232"/>
      <x:c r="J14" s="117" t="str">
        <x:v>pre_event_trajectory_group.csv</x:v>
      </x:c>
      <x:c r="K14" s="117" t="str">
        <x:v>事件前後可用比例</x:v>
      </x:c>
      <x:c r="L14" s="117" t="str">
        <x:v>事件軌跡折線</x:v>
      </x:c>
      <x:c r="M14" s="232"/>
      <x:c r="N14" s="232"/>
      <x:c r="O14" s="232"/>
      <x:c r="P14" s="232"/>
      <x:c r="Q14" s="232"/>
      <x:c r="R14" s="232"/>
    </x:row>
    <x:row r="15" ht="40" customHeight="1">
      <x:c r="A15" s="207"/>
      <x:c r="B15" s="208"/>
      <x:c r="C15" s="208"/>
      <x:c r="D15" s="208"/>
      <x:c r="E15" s="208"/>
      <x:c r="F15" s="208"/>
      <x:c r="G15" s="208"/>
      <x:c r="H15" s="209"/>
      <x:c r="I15" s="232"/>
      <x:c r="J15" s="116" t="str">
        <x:v>transition_risk_group.csv</x:v>
      </x:c>
      <x:c r="K15" s="116" t="str">
        <x:v>比例分箱與30/60/90分鐘後風險</x:v>
      </x:c>
      <x:c r="L15" s="116" t="str">
        <x:v>風險曲線</x:v>
      </x:c>
      <x:c r="M15" s="232"/>
      <x:c r="N15" s="232"/>
      <x:c r="O15" s="232"/>
      <x:c r="P15" s="232"/>
      <x:c r="Q15" s="232"/>
      <x:c r="R15" s="232"/>
    </x:row>
    <x:row r="16" ht="40" customHeight="1">
      <x:c r="A16" s="207"/>
      <x:c r="B16" s="208"/>
      <x:c r="C16" s="208"/>
      <x:c r="D16" s="208"/>
      <x:c r="E16" s="208"/>
      <x:c r="F16" s="208"/>
      <x:c r="G16" s="208"/>
      <x:c r="H16" s="209"/>
      <x:c r="I16" s="232"/>
      <x:c r="J16" s="117" t="str">
        <x:v>important_station_risk.csv</x:v>
      </x:c>
      <x:c r="K16" s="117" t="str">
        <x:v>重要站五月風險與事件負擔</x:v>
      </x:c>
      <x:c r="L16" s="117" t="str">
        <x:v>管理優先案例</x:v>
      </x:c>
      <x:c r="M16" s="232"/>
      <x:c r="N16" s="232"/>
      <x:c r="O16" s="232"/>
      <x:c r="P16" s="232"/>
      <x:c r="Q16" s="232"/>
      <x:c r="R16" s="232"/>
    </x:row>
    <x:row r="17" ht="40" customHeight="1">
      <x:c r="A17" s="207"/>
      <x:c r="B17" s="208"/>
      <x:c r="C17" s="208"/>
      <x:c r="D17" s="208"/>
      <x:c r="E17" s="208"/>
      <x:c r="F17" s="208"/>
      <x:c r="G17" s="208"/>
      <x:c r="H17" s="209"/>
      <x:c r="I17" s="232"/>
      <x:c r="J17" s="116" t="str">
        <x:v>large_change_station_profile.csv</x:v>
      </x:c>
      <x:c r="K17" s="116" t="str">
        <x:v>大幅變動站特徵</x:v>
      </x:c>
      <x:c r="L17" s="116" t="str">
        <x:v>探索營運／異常站</x:v>
      </x:c>
      <x:c r="M17" s="232"/>
      <x:c r="N17" s="232"/>
      <x:c r="O17" s="232"/>
      <x:c r="P17" s="232"/>
      <x:c r="Q17" s="232"/>
      <x:c r="R17" s="232"/>
    </x:row>
    <x:row r="18" ht="40" customHeight="1">
      <x:c r="A18" s="207"/>
      <x:c r="B18" s="208"/>
      <x:c r="C18" s="208"/>
      <x:c r="D18" s="208"/>
      <x:c r="E18" s="208"/>
      <x:c r="F18" s="208"/>
      <x:c r="G18" s="208"/>
      <x:c r="H18" s="209"/>
      <x:c r="I18" s="232"/>
      <x:c r="J18" s="117" t="str">
        <x:v>district_top_quartile.csv</x:v>
      </x:c>
      <x:c r="K18" s="117" t="str">
        <x:v>行政區內的重要站分布</x:v>
      </x:c>
      <x:c r="L18" s="117" t="str">
        <x:v>行政區下鑽</x:v>
      </x:c>
      <x:c r="M18" s="232"/>
      <x:c r="N18" s="232"/>
      <x:c r="O18" s="232"/>
      <x:c r="P18" s="232"/>
      <x:c r="Q18" s="232"/>
      <x:c r="R18" s="232"/>
    </x:row>
    <x:row r="19">
      <x:c r="A19" s="207"/>
      <x:c r="B19" s="208"/>
      <x:c r="C19" s="208"/>
      <x:c r="D19" s="208"/>
      <x:c r="E19" s="208"/>
      <x:c r="F19" s="208"/>
      <x:c r="G19" s="208"/>
      <x:c r="H19" s="209"/>
      <x:c r="I19" s="232"/>
      <x:c r="J19" s="232"/>
      <x:c r="K19" s="232"/>
      <x:c r="L19" s="232"/>
      <x:c r="M19" s="232"/>
      <x:c r="N19" s="232"/>
      <x:c r="O19" s="232"/>
      <x:c r="P19" s="232"/>
      <x:c r="Q19" s="232"/>
      <x:c r="R19" s="232"/>
    </x:row>
    <x:row r="20">
      <x:c r="A20" s="207"/>
      <x:c r="B20" s="208"/>
      <x:c r="C20" s="208"/>
      <x:c r="D20" s="208"/>
      <x:c r="E20" s="208"/>
      <x:c r="F20" s="208"/>
      <x:c r="G20" s="208"/>
      <x:c r="H20" s="209"/>
      <x:c r="I20" s="232"/>
      <x:c r="J20" s="232"/>
      <x:c r="K20" s="232"/>
      <x:c r="L20" s="232"/>
      <x:c r="M20" s="232"/>
      <x:c r="N20" s="232"/>
      <x:c r="O20" s="232"/>
      <x:c r="P20" s="232"/>
      <x:c r="Q20" s="232"/>
      <x:c r="R20" s="232"/>
    </x:row>
    <x:row r="21">
      <x:c r="A21" s="207"/>
      <x:c r="B21" s="208"/>
      <x:c r="C21" s="208"/>
      <x:c r="D21" s="208"/>
      <x:c r="E21" s="208"/>
      <x:c r="F21" s="208"/>
      <x:c r="G21" s="208"/>
      <x:c r="H21" s="209"/>
      <x:c r="I21" s="232"/>
      <x:c r="J21" s="232"/>
      <x:c r="K21" s="232"/>
      <x:c r="L21" s="232"/>
      <x:c r="M21" s="232"/>
      <x:c r="N21" s="232"/>
      <x:c r="O21" s="232"/>
      <x:c r="P21" s="232"/>
      <x:c r="Q21" s="232"/>
      <x:c r="R21" s="232"/>
    </x:row>
    <x:row r="22">
      <x:c r="A22" s="210"/>
      <x:c r="B22" s="211"/>
      <x:c r="C22" s="211"/>
      <x:c r="D22" s="211"/>
      <x:c r="E22" s="211"/>
      <x:c r="F22" s="211"/>
      <x:c r="G22" s="211"/>
      <x:c r="H22" s="212"/>
      <x:c r="I22" s="232"/>
      <x:c r="J22" s="232"/>
      <x:c r="K22" s="232"/>
      <x:c r="L22" s="232"/>
      <x:c r="M22" s="232"/>
      <x:c r="N22" s="232"/>
      <x:c r="O22" s="232"/>
      <x:c r="P22" s="232"/>
      <x:c r="Q22" s="232"/>
      <x:c r="R22" s="232"/>
    </x:row>
  </x:sheetData>
  <x:mergeCells>
    <x:mergeCell ref="A1:R1"/>
    <x:mergeCell ref="A2:R2"/>
    <x:mergeCell ref="A4:H4"/>
    <x:mergeCell ref="J4:R4"/>
    <x:mergeCell ref="A14:H22"/>
  </x:mergeCells>
  <x:pageMargins left="0.7" right="0.7" top="0.75" bottom="0.75" header="0.3" footer="0.3"/>
</x:worksheet>
</file>
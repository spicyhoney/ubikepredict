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f158362f2e4d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報告總覽" sheetId="1" r:id="Rfbd6eebf8ffa4114"/>
    <x:sheet xmlns:r="http://schemas.openxmlformats.org/officeDocument/2006/relationships" name="K值取捨" sheetId="2" r:id="R5701434ebf3e4c6a"/>
    <x:sheet xmlns:r="http://schemas.openxmlformats.org/officeDocument/2006/relationships" name="挑戰組附錄" sheetId="3" r:id="R5cb1fb53e25141c1"/>
    <x:sheet xmlns:r="http://schemas.openxmlformats.org/officeDocument/2006/relationships" name="測試資料" sheetId="4" r:id="R24c44eb6aaae4721"/>
    <x:sheet xmlns:r="http://schemas.openxmlformats.org/officeDocument/2006/relationships" name="模型明細" sheetId="5" r:id="Ree8c75ceb69e4c93"/>
    <x:sheet xmlns:r="http://schemas.openxmlformats.org/officeDocument/2006/relationships" name="TopK明細" sheetId="6" r:id="Rfe4e9a2e7e50435c"/>
    <x:sheet xmlns:r="http://schemas.openxmlformats.org/officeDocument/2006/relationships" name="口徑說明" sheetId="7" r:id="R7fb942358aa0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"/>
    <x:numFmt numFmtId="202" formatCode="0.0&quot;x&quot;"/>
    <x:numFmt numFmtId="203" formatCode="0"/>
    <x:numFmt numFmtId="204" formatCode="0.00"/>
    <x:numFmt numFmtId="205" formatCode="0.0x"/>
  </x:numFmts>
  <x:fonts count="14">
    <x:font>
      <x:sz val="11"/>
      <x:name val="Carlito"/>
    </x:font>
    <x:font>
      <x:b/>
      <x:sz val="20"/>
      <x:color rgb="FFFFFFFF"/>
      <x:name val="Carlito"/>
    </x:font>
    <x:font>
      <x:i/>
      <x:sz val="10"/>
      <x:color rgb="FF244A73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  <x:font>
      <x:b/>
      <x:sz val="18"/>
      <x:color rgb="FF17365D"/>
      <x:name val="Carlito"/>
    </x:font>
    <x:font>
      <x:b/>
      <x:sz val="9"/>
      <x:color rgb="FF64748B"/>
      <x:name val="Carlito"/>
    </x:font>
    <x:font>
      <x:b/>
      <x:sz val="15"/>
      <x:color rgb="FFFFFFFF"/>
      <x:name val="Carlito"/>
    </x:font>
    <x:font>
      <x:b/>
      <x:sz val="9"/>
      <x:color rgb="FF17365D"/>
      <x:name val="Carlito"/>
    </x:font>
    <x:font>
      <x:b/>
      <x:sz val="12"/>
      <x:color rgb="FFFFFFFF"/>
      <x:name val="Carlito"/>
    </x:font>
    <x:font>
      <x:b/>
      <x:sz val="10"/>
      <x:color rgb="FF17365D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sz val="9"/>
      <x:color rgb="FF1F2937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0F6"/>
      </x:patternFill>
    </x:fill>
    <x:fill>
      <x:patternFill patternType="solid">
        <x:fgColor rgb="FF2A9D8F"/>
      </x:patternFill>
    </x:fill>
    <x:fill>
      <x:patternFill patternType="solid">
        <x:fgColor rgb="FFF6F8FB"/>
      </x:patternFill>
    </x:fill>
    <x:fill>
      <x:patternFill patternType="solid">
        <x:fgColor rgb="FFDDF3F0"/>
      </x:patternFill>
    </x:fill>
    <x:fill>
      <x:patternFill patternType="solid">
        <x:fgColor rgb="FFFCE8D5"/>
      </x:patternFill>
    </x:fill>
    <x:fill>
      <x:patternFill patternType="solid">
        <x:fgColor rgb="FF244A73"/>
      </x:patternFill>
    </x:fill>
    <x:fill>
      <x:patternFill patternType="solid">
        <x:fgColor rgb="FF7E57C2"/>
      </x:patternFill>
    </x:fill>
    <x:fill>
      <x:patternFill patternType="solid">
        <x:fgColor rgb="FFECE4F8"/>
      </x:patternFill>
    </x:fill>
    <x:fill>
      <x:patternFill patternType="solid">
        <x:fgColor rgb="FFF4A261"/>
      </x:patternFill>
    </x:fill>
    <x:fill>
      <x:patternFill patternType="solid">
        <x:fgColor rgb="FF64748B"/>
      </x:patternFill>
    </x:fill>
  </x:fills>
  <x:borders count="61">
    <x:border/>
    <x:border>
      <x:left style="thin">
        <x:color rgb="FFB8C4D2"/>
      </x:left>
      <x:top style="thin">
        <x:color rgb="FFB8C4D2"/>
      </x:top>
      <x:bottom style="thin">
        <x:color rgb="FFB8C4D2"/>
      </x:bottom>
    </x:border>
    <x:border>
      <x:top style="thin">
        <x:color rgb="FFB8C4D2"/>
      </x:top>
      <x:bottom style="thin">
        <x:color rgb="FFB8C4D2"/>
      </x:bottom>
    </x:border>
    <x:border>
      <x:right style="thin">
        <x:color rgb="FFB8C4D2"/>
      </x:right>
      <x:top style="thin">
        <x:color rgb="FFB8C4D2"/>
      </x:top>
      <x:bottom style="thin">
        <x:color rgb="FFB8C4D2"/>
      </x:bottom>
    </x:border>
    <x:border>
      <x:bottom style="thin">
        <x:color rgb="FFD9E0E8"/>
      </x:bottom>
    </x:border>
    <x:border>
      <x:top style="thin">
        <x:color rgb="FFD9E0E8"/>
      </x:top>
      <x:bottom style="thin">
        <x:color rgb="FFD9E0E8"/>
      </x:bottom>
    </x:border>
    <x:border>
      <x:top style="thin">
        <x:color rgb="FFD9E0E8"/>
      </x:top>
    </x:border>
    <x:border>
      <x:left style="thin">
        <x:color rgb="FFB8C4D2"/>
      </x:left>
      <x:top style="thin">
        <x:color rgb="FFB8C4D2"/>
      </x:top>
    </x:border>
    <x:border>
      <x:top style="thin">
        <x:color rgb="FFB8C4D2"/>
      </x:top>
    </x:border>
    <x:border>
      <x:right style="thin">
        <x:color rgb="FFB8C4D2"/>
      </x:right>
      <x:top style="thin">
        <x:color rgb="FFB8C4D2"/>
      </x:top>
    </x:border>
    <x:border>
      <x:left style="thin">
        <x:color rgb="FFB8C4D2"/>
      </x:left>
    </x:border>
    <x:border>
      <x:right style="thin">
        <x:color rgb="FFB8C4D2"/>
      </x:right>
    </x:border>
    <x:border>
      <x:left style="thin">
        <x:color rgb="FFB8C4D2"/>
      </x:left>
      <x:bottom style="thin">
        <x:color rgb="FFB8C4D2"/>
      </x:bottom>
    </x:border>
    <x:border>
      <x:bottom style="thin">
        <x:color rgb="FFB8C4D2"/>
      </x:bottom>
    </x:border>
    <x:border>
      <x:right style="thin">
        <x:color rgb="FFB8C4D2"/>
      </x:right>
      <x:bottom style="thin">
        <x:color rgb="FFB8C4D2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E9B98F"/>
      </x:left>
      <x:top style="thin">
        <x:color rgb="FFE9B98F"/>
      </x:top>
    </x:border>
    <x:border>
      <x:top style="thin">
        <x:color rgb="FFE9B98F"/>
      </x:top>
    </x:border>
    <x:border>
      <x:right style="thin">
        <x:color rgb="FFE9B98F"/>
      </x:right>
      <x:top style="thin">
        <x:color rgb="FFE9B98F"/>
      </x:top>
    </x:border>
    <x:border>
      <x:left style="thin">
        <x:color rgb="FFE9B98F"/>
      </x:left>
    </x:border>
    <x:border>
      <x:right style="thin">
        <x:color rgb="FFE9B98F"/>
      </x:right>
    </x:border>
    <x:border>
      <x:left style="thin">
        <x:color rgb="FFE9B98F"/>
      </x:left>
      <x:bottom style="thin">
        <x:color rgb="FFE9B98F"/>
      </x:bottom>
    </x:border>
    <x:border>
      <x:bottom style="thin">
        <x:color rgb="FFE9B98F"/>
      </x:bottom>
    </x:border>
    <x:border>
      <x:right style="thin">
        <x:color rgb="FFE9B98F"/>
      </x:right>
      <x:bottom style="thin">
        <x:color rgb="FFE9B98F"/>
      </x:bottom>
    </x:border>
    <x:border>
      <x:left style="medium">
        <x:color rgb="FF2A9D8F"/>
      </x:left>
      <x:top style="medium">
        <x:color rgb="FF2A9D8F"/>
      </x:top>
      <x:bottom style="medium">
        <x:color rgb="FF2A9D8F"/>
      </x:bottom>
    </x:border>
    <x:border>
      <x:top style="medium">
        <x:color rgb="FF2A9D8F"/>
      </x:top>
      <x:bottom style="medium">
        <x:color rgb="FF2A9D8F"/>
      </x:bottom>
    </x:border>
    <x:border>
      <x:right style="medium">
        <x:color rgb="FF2A9D8F"/>
      </x:right>
      <x:top style="medium">
        <x:color rgb="FF2A9D8F"/>
      </x:top>
      <x:bottom style="medium">
        <x:color rgb="FF2A9D8F"/>
      </x:bottom>
    </x:border>
    <x:border>
      <x:left style="thin">
        <x:color rgb="FF2A9D8F"/>
      </x:left>
      <x:top style="thin">
        <x:color rgb="FF2A9D8F"/>
      </x:top>
    </x:border>
    <x:border>
      <x:top style="thin">
        <x:color rgb="FF2A9D8F"/>
      </x:top>
    </x:border>
    <x:border>
      <x:right style="thin">
        <x:color rgb="FF2A9D8F"/>
      </x:right>
      <x:top style="thin">
        <x:color rgb="FF2A9D8F"/>
      </x:top>
    </x:border>
    <x:border>
      <x:left style="thin">
        <x:color rgb="FF2A9D8F"/>
      </x:left>
    </x:border>
    <x:border>
      <x:right style="thin">
        <x:color rgb="FF2A9D8F"/>
      </x:right>
    </x:border>
    <x:border>
      <x:left style="thin">
        <x:color rgb="FF2A9D8F"/>
      </x:left>
      <x:bottom style="thin">
        <x:color rgb="FF2A9D8F"/>
      </x:bottom>
    </x:border>
    <x:border>
      <x:bottom style="thin">
        <x:color rgb="FF2A9D8F"/>
      </x:bottom>
    </x:border>
    <x:border>
      <x:right style="thin">
        <x:color rgb="FF2A9D8F"/>
      </x:right>
      <x:bottom style="thin">
        <x:color rgb="FF2A9D8F"/>
      </x:bottom>
    </x:border>
    <x:border>
      <x:left style="thin">
        <x:color rgb="FFF4A261"/>
      </x:left>
      <x:top style="thin">
        <x:color rgb="FFF4A261"/>
      </x:top>
    </x:border>
    <x:border>
      <x:top style="thin">
        <x:color rgb="FFF4A261"/>
      </x:top>
    </x:border>
    <x:border>
      <x:right style="thin">
        <x:color rgb="FFF4A261"/>
      </x:right>
      <x:top style="thin">
        <x:color rgb="FFF4A261"/>
      </x:top>
    </x:border>
    <x:border>
      <x:left style="thin">
        <x:color rgb="FFF4A261"/>
      </x:left>
    </x:border>
    <x:border>
      <x:right style="thin">
        <x:color rgb="FFF4A261"/>
      </x:right>
    </x:border>
    <x:border>
      <x:left style="thin">
        <x:color rgb="FFF4A261"/>
      </x:left>
      <x:bottom style="thin">
        <x:color rgb="FFF4A261"/>
      </x:bottom>
    </x:border>
    <x:border>
      <x:bottom style="thin">
        <x:color rgb="FFF4A261"/>
      </x:bottom>
    </x:border>
    <x:border>
      <x:right style="thin">
        <x:color rgb="FFF4A261"/>
      </x:right>
      <x:bottom style="thin">
        <x:color rgb="FFF4A261"/>
      </x:bottom>
    </x:border>
    <x:border>
      <x:left style="thin">
        <x:color rgb="FF7E57C2"/>
      </x:left>
      <x:top style="thin">
        <x:color rgb="FF7E57C2"/>
      </x:top>
    </x:border>
    <x:border>
      <x:top style="thin">
        <x:color rgb="FF7E57C2"/>
      </x:top>
    </x:border>
    <x:border>
      <x:right style="thin">
        <x:color rgb="FF7E57C2"/>
      </x:right>
      <x:top style="thin">
        <x:color rgb="FF7E57C2"/>
      </x:top>
    </x:border>
    <x:border>
      <x:left style="thin">
        <x:color rgb="FF7E57C2"/>
      </x:left>
    </x:border>
    <x:border>
      <x:right style="thin">
        <x:color rgb="FF7E57C2"/>
      </x:right>
    </x:border>
    <x:border>
      <x:left style="thin">
        <x:color rgb="FF7E57C2"/>
      </x:left>
      <x:bottom style="thin">
        <x:color rgb="FF7E57C2"/>
      </x:bottom>
    </x:border>
    <x:border>
      <x:bottom style="thin">
        <x:color rgb="FF7E57C2"/>
      </x:bottom>
    </x:border>
    <x:border>
      <x:right style="thin">
        <x:color rgb="FF7E57C2"/>
      </x:right>
      <x:bottom style="thin">
        <x:color rgb="FF7E57C2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4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200" fontId="4" fillId="0" borderId="5" xfId="0" applyNumberFormat="1" applyFont="1" applyFill="1" applyBorder="1" applyAlignment="1">
      <x:alignment vertical="center" wrapText="1"/>
    </x:xf>
    <x:xf numFmtId="201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3" fontId="4" fillId="0" borderId="4" xfId="0" applyNumberFormat="1" applyFont="1" applyFill="1" applyBorder="1" applyAlignment="1">
      <x:alignment vertical="center"/>
    </x:xf>
    <x:xf numFmtId="203" fontId="4" fillId="0" borderId="5" xfId="0" applyNumberFormat="1" applyFont="1" applyFill="1" applyBorder="1" applyAlignment="1">
      <x:alignment vertical="center"/>
    </x:xf>
    <x:xf numFmtId="203" fontId="4" fillId="0" borderId="6" xfId="0" applyNumberFormat="1" applyFont="1" applyFill="1" applyBorder="1" applyAlignment="1">
      <x:alignment vertical="center"/>
    </x:xf>
    <x:xf numFmtId="204" fontId="4" fillId="0" borderId="4" xfId="0" applyNumberFormat="1" applyFont="1" applyFill="1" applyBorder="1" applyAlignment="1">
      <x:alignment vertical="center"/>
    </x:xf>
    <x:xf numFmtId="204" fontId="4" fillId="0" borderId="5" xfId="0" applyNumberFormat="1" applyFont="1" applyFill="1" applyBorder="1" applyAlignment="1">
      <x:alignment vertical="center"/>
    </x:xf>
    <x:xf numFmtId="204" fontId="4" fillId="0" borderId="6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14" xfId="0" applyNumberFormat="1" applyFont="1" applyFill="1" applyBorder="1"/>
    <x:xf numFmtId="200" fontId="5" fillId="5" borderId="7" xfId="0" applyNumberFormat="1" applyFont="1" applyFill="1" applyBorder="1"/>
    <x:xf numFmtId="200" fontId="5" fillId="5" borderId="8" xfId="0" applyNumberFormat="1" applyFont="1" applyFill="1" applyBorder="1"/>
    <x:xf numFmtId="200" fontId="5" fillId="5" borderId="9" xfId="0" applyNumberFormat="1" applyFont="1" applyFill="1" applyBorder="1"/>
    <x:xf numFmtId="200" fontId="5" fillId="5" borderId="10" xfId="0" applyNumberFormat="1" applyFont="1" applyFill="1" applyBorder="1"/>
    <x:xf numFmtId="200" fontId="5" fillId="5" borderId="0" xfId="0" applyNumberFormat="1" applyFont="1" applyFill="1" applyBorder="1"/>
    <x:xf numFmtId="200" fontId="5" fillId="5" borderId="11" xfId="0" applyNumberFormat="1" applyFont="1" applyFill="1" applyBorder="1"/>
    <x:xf numFmtId="200" fontId="5" fillId="5" borderId="12" xfId="0" applyNumberFormat="1" applyFont="1" applyFill="1" applyBorder="1"/>
    <x:xf numFmtId="200" fontId="5" fillId="5" borderId="13" xfId="0" applyNumberFormat="1" applyFont="1" applyFill="1" applyBorder="1"/>
    <x:xf numFmtId="200" fontId="5" fillId="5" borderId="14" xfId="0" applyNumberFormat="1" applyFont="1" applyFill="1" applyBorder="1"/>
    <x:xf numFmtId="200" fontId="5" fillId="5" borderId="7" xfId="0" applyNumberFormat="1" applyFont="1" applyFill="1" applyBorder="1" applyAlignment="1">
      <x:alignment horizontal="center"/>
    </x:xf>
    <x:xf numFmtId="200" fontId="5" fillId="5" borderId="8" xfId="0" applyNumberFormat="1" applyFont="1" applyFill="1" applyBorder="1" applyAlignment="1">
      <x:alignment horizontal="center"/>
    </x:xf>
    <x:xf numFmtId="200" fontId="5" fillId="5" borderId="9" xfId="0" applyNumberFormat="1" applyFont="1" applyFill="1" applyBorder="1" applyAlignment="1">
      <x:alignment horizontal="center"/>
    </x:xf>
    <x:xf numFmtId="200" fontId="5" fillId="5" borderId="10" xfId="0" applyNumberFormat="1" applyFont="1" applyFill="1" applyBorder="1" applyAlignment="1">
      <x:alignment horizontal="center"/>
    </x:xf>
    <x:xf numFmtId="200" fontId="5" fillId="5" borderId="0" xfId="0" applyNumberFormat="1" applyFont="1" applyFill="1" applyBorder="1" applyAlignment="1">
      <x:alignment horizontal="center"/>
    </x:xf>
    <x:xf numFmtId="200" fontId="5" fillId="5" borderId="11" xfId="0" applyNumberFormat="1" applyFont="1" applyFill="1" applyBorder="1" applyAlignment="1">
      <x:alignment horizontal="center"/>
    </x:xf>
    <x:xf numFmtId="200" fontId="5" fillId="5" borderId="12" xfId="0" applyNumberFormat="1" applyFont="1" applyFill="1" applyBorder="1" applyAlignment="1">
      <x:alignment horizontal="center"/>
    </x:xf>
    <x:xf numFmtId="200" fontId="5" fillId="5" borderId="13" xfId="0" applyNumberFormat="1" applyFont="1" applyFill="1" applyBorder="1" applyAlignment="1">
      <x:alignment horizontal="center"/>
    </x:xf>
    <x:xf numFmtId="200" fontId="5" fillId="5" borderId="14" xfId="0" applyNumberFormat="1" applyFont="1" applyFill="1" applyBorder="1" applyAlignment="1">
      <x:alignment horizontal="center"/>
    </x:xf>
    <x:xf numFmtId="200" fontId="5" fillId="5" borderId="7" xfId="0" applyNumberFormat="1" applyFont="1" applyFill="1" applyBorder="1" applyAlignment="1">
      <x:alignment horizontal="center" vertical="center"/>
    </x:xf>
    <x:xf numFmtId="200" fontId="5" fillId="5" borderId="8" xfId="0" applyNumberFormat="1" applyFont="1" applyFill="1" applyBorder="1" applyAlignment="1">
      <x:alignment horizontal="center" vertical="center"/>
    </x:xf>
    <x:xf numFmtId="200" fontId="5" fillId="5" borderId="9" xfId="0" applyNumberFormat="1" applyFont="1" applyFill="1" applyBorder="1" applyAlignment="1">
      <x:alignment horizontal="center" vertical="center"/>
    </x:xf>
    <x:xf numFmtId="200" fontId="5" fillId="5" borderId="10" xfId="0" applyNumberFormat="1" applyFont="1" applyFill="1" applyBorder="1" applyAlignment="1">
      <x:alignment horizontal="center" vertical="center"/>
    </x:xf>
    <x:xf numFmtId="200" fontId="5" fillId="5" borderId="0" xfId="0" applyNumberFormat="1" applyFont="1" applyFill="1" applyBorder="1" applyAlignment="1">
      <x:alignment horizontal="center" vertical="center"/>
    </x:xf>
    <x:xf numFmtId="200" fontId="5" fillId="5" borderId="11" xfId="0" applyNumberFormat="1" applyFont="1" applyFill="1" applyBorder="1" applyAlignment="1">
      <x:alignment horizontal="center" vertical="center"/>
    </x:xf>
    <x:xf numFmtId="200" fontId="5" fillId="5" borderId="12" xfId="0" applyNumberFormat="1" applyFont="1" applyFill="1" applyBorder="1" applyAlignment="1">
      <x:alignment horizontal="center" vertical="center"/>
    </x:xf>
    <x:xf numFmtId="200" fontId="5" fillId="5" borderId="13" xfId="0" applyNumberFormat="1" applyFont="1" applyFill="1" applyBorder="1" applyAlignment="1">
      <x:alignment horizontal="center" vertical="center"/>
    </x:xf>
    <x:xf numFmtId="200" fontId="5" fillId="5" borderId="14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12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201" fontId="5" fillId="6" borderId="7" xfId="0" applyNumberFormat="1" applyFont="1" applyFill="1" applyBorder="1"/>
    <x:xf numFmtId="201" fontId="5" fillId="6" borderId="8" xfId="0" applyNumberFormat="1" applyFont="1" applyFill="1" applyBorder="1"/>
    <x:xf numFmtId="201" fontId="5" fillId="6" borderId="9" xfId="0" applyNumberFormat="1" applyFont="1" applyFill="1" applyBorder="1"/>
    <x:xf numFmtId="201" fontId="5" fillId="6" borderId="10" xfId="0" applyNumberFormat="1" applyFont="1" applyFill="1" applyBorder="1"/>
    <x:xf numFmtId="201" fontId="5" fillId="6" borderId="0" xfId="0" applyNumberFormat="1" applyFont="1" applyFill="1" applyBorder="1"/>
    <x:xf numFmtId="201" fontId="5" fillId="6" borderId="11" xfId="0" applyNumberFormat="1" applyFont="1" applyFill="1" applyBorder="1"/>
    <x:xf numFmtId="201" fontId="5" fillId="6" borderId="12" xfId="0" applyNumberFormat="1" applyFont="1" applyFill="1" applyBorder="1"/>
    <x:xf numFmtId="201" fontId="5" fillId="6" borderId="13" xfId="0" applyNumberFormat="1" applyFont="1" applyFill="1" applyBorder="1"/>
    <x:xf numFmtId="201" fontId="5" fillId="6" borderId="14" xfId="0" applyNumberFormat="1" applyFont="1" applyFill="1" applyBorder="1"/>
    <x:xf numFmtId="201" fontId="5" fillId="6" borderId="7" xfId="0" applyNumberFormat="1" applyFont="1" applyFill="1" applyBorder="1" applyAlignment="1">
      <x:alignment horizontal="center"/>
    </x:xf>
    <x:xf numFmtId="201" fontId="5" fillId="6" borderId="8" xfId="0" applyNumberFormat="1" applyFont="1" applyFill="1" applyBorder="1" applyAlignment="1">
      <x:alignment horizontal="center"/>
    </x:xf>
    <x:xf numFmtId="201" fontId="5" fillId="6" borderId="9" xfId="0" applyNumberFormat="1" applyFont="1" applyFill="1" applyBorder="1" applyAlignment="1">
      <x:alignment horizontal="center"/>
    </x:xf>
    <x:xf numFmtId="201" fontId="5" fillId="6" borderId="10" xfId="0" applyNumberFormat="1" applyFont="1" applyFill="1" applyBorder="1" applyAlignment="1">
      <x:alignment horizontal="center"/>
    </x:xf>
    <x:xf numFmtId="201" fontId="5" fillId="6" borderId="0" xfId="0" applyNumberFormat="1" applyFont="1" applyFill="1" applyBorder="1" applyAlignment="1">
      <x:alignment horizontal="center"/>
    </x:xf>
    <x:xf numFmtId="201" fontId="5" fillId="6" borderId="11" xfId="0" applyNumberFormat="1" applyFont="1" applyFill="1" applyBorder="1" applyAlignment="1">
      <x:alignment horizontal="center"/>
    </x:xf>
    <x:xf numFmtId="201" fontId="5" fillId="6" borderId="12" xfId="0" applyNumberFormat="1" applyFont="1" applyFill="1" applyBorder="1" applyAlignment="1">
      <x:alignment horizontal="center"/>
    </x:xf>
    <x:xf numFmtId="201" fontId="5" fillId="6" borderId="13" xfId="0" applyNumberFormat="1" applyFont="1" applyFill="1" applyBorder="1" applyAlignment="1">
      <x:alignment horizontal="center"/>
    </x:xf>
    <x:xf numFmtId="201" fontId="5" fillId="6" borderId="14" xfId="0" applyNumberFormat="1" applyFont="1" applyFill="1" applyBorder="1" applyAlignment="1">
      <x:alignment horizontal="center"/>
    </x:xf>
    <x:xf numFmtId="201" fontId="5" fillId="6" borderId="7" xfId="0" applyNumberFormat="1" applyFont="1" applyFill="1" applyBorder="1" applyAlignment="1">
      <x:alignment horizontal="center" vertical="center"/>
    </x:xf>
    <x:xf numFmtId="201" fontId="5" fillId="6" borderId="8" xfId="0" applyNumberFormat="1" applyFont="1" applyFill="1" applyBorder="1" applyAlignment="1">
      <x:alignment horizontal="center" vertical="center"/>
    </x:xf>
    <x:xf numFmtId="201" fontId="5" fillId="6" borderId="9" xfId="0" applyNumberFormat="1" applyFont="1" applyFill="1" applyBorder="1" applyAlignment="1">
      <x:alignment horizontal="center" vertical="center"/>
    </x:xf>
    <x:xf numFmtId="201" fontId="5" fillId="6" borderId="10" xfId="0" applyNumberFormat="1" applyFont="1" applyFill="1" applyBorder="1" applyAlignment="1">
      <x:alignment horizontal="center" vertical="center"/>
    </x:xf>
    <x:xf numFmtId="201" fontId="5" fillId="6" borderId="0" xfId="0" applyNumberFormat="1" applyFont="1" applyFill="1" applyBorder="1" applyAlignment="1">
      <x:alignment horizontal="center" vertical="center"/>
    </x:xf>
    <x:xf numFmtId="201" fontId="5" fillId="6" borderId="11" xfId="0" applyNumberFormat="1" applyFont="1" applyFill="1" applyBorder="1" applyAlignment="1">
      <x:alignment horizontal="center" vertical="center"/>
    </x:xf>
    <x:xf numFmtId="201" fontId="5" fillId="6" borderId="12" xfId="0" applyNumberFormat="1" applyFont="1" applyFill="1" applyBorder="1" applyAlignment="1">
      <x:alignment horizontal="center" vertical="center"/>
    </x:xf>
    <x:xf numFmtId="201" fontId="5" fillId="6" borderId="13" xfId="0" applyNumberFormat="1" applyFont="1" applyFill="1" applyBorder="1" applyAlignment="1">
      <x:alignment horizontal="center" vertical="center"/>
    </x:xf>
    <x:xf numFmtId="201" fontId="5" fillId="6" borderId="14" xfId="0" applyNumberFormat="1" applyFont="1" applyFill="1" applyBorder="1" applyAlignment="1">
      <x:alignment horizontal="center" vertic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7" xfId="0" applyNumberFormat="1" applyFont="1" applyFill="1" applyBorder="1"/>
    <x:xf numFmtId="0" fontId="5" fillId="7" borderId="8" xfId="0" applyNumberFormat="1" applyFont="1" applyFill="1" applyBorder="1"/>
    <x:xf numFmtId="0" fontId="5" fillId="7" borderId="9" xfId="0" applyNumberFormat="1" applyFont="1" applyFill="1" applyBorder="1"/>
    <x:xf numFmtId="0" fontId="5" fillId="7" borderId="10" xfId="0" applyNumberFormat="1" applyFont="1" applyFill="1" applyBorder="1"/>
    <x:xf numFmtId="0" fontId="5" fillId="7" borderId="11" xfId="0" applyNumberFormat="1" applyFont="1" applyFill="1" applyBorder="1"/>
    <x:xf numFmtId="0" fontId="5" fillId="7" borderId="12" xfId="0" applyNumberFormat="1" applyFont="1" applyFill="1" applyBorder="1"/>
    <x:xf numFmtId="0" fontId="5" fillId="7" borderId="13" xfId="0" applyNumberFormat="1" applyFont="1" applyFill="1" applyBorder="1"/>
    <x:xf numFmtId="0" fontId="5" fillId="7" borderId="14" xfId="0" applyNumberFormat="1" applyFont="1" applyFill="1" applyBorder="1"/>
    <x:xf numFmtId="201" fontId="5" fillId="7" borderId="7" xfId="0" applyNumberFormat="1" applyFont="1" applyFill="1" applyBorder="1"/>
    <x:xf numFmtId="201" fontId="5" fillId="7" borderId="8" xfId="0" applyNumberFormat="1" applyFont="1" applyFill="1" applyBorder="1"/>
    <x:xf numFmtId="201" fontId="5" fillId="7" borderId="9" xfId="0" applyNumberFormat="1" applyFont="1" applyFill="1" applyBorder="1"/>
    <x:xf numFmtId="201" fontId="5" fillId="7" borderId="10" xfId="0" applyNumberFormat="1" applyFont="1" applyFill="1" applyBorder="1"/>
    <x:xf numFmtId="201" fontId="5" fillId="7" borderId="0" xfId="0" applyNumberFormat="1" applyFont="1" applyFill="1" applyBorder="1"/>
    <x:xf numFmtId="201" fontId="5" fillId="7" borderId="11" xfId="0" applyNumberFormat="1" applyFont="1" applyFill="1" applyBorder="1"/>
    <x:xf numFmtId="201" fontId="5" fillId="7" borderId="12" xfId="0" applyNumberFormat="1" applyFont="1" applyFill="1" applyBorder="1"/>
    <x:xf numFmtId="201" fontId="5" fillId="7" borderId="13" xfId="0" applyNumberFormat="1" applyFont="1" applyFill="1" applyBorder="1"/>
    <x:xf numFmtId="201" fontId="5" fillId="7" borderId="14" xfId="0" applyNumberFormat="1" applyFont="1" applyFill="1" applyBorder="1"/>
    <x:xf numFmtId="201" fontId="5" fillId="7" borderId="7" xfId="0" applyNumberFormat="1" applyFont="1" applyFill="1" applyBorder="1" applyAlignment="1">
      <x:alignment horizontal="center"/>
    </x:xf>
    <x:xf numFmtId="201" fontId="5" fillId="7" borderId="8" xfId="0" applyNumberFormat="1" applyFont="1" applyFill="1" applyBorder="1" applyAlignment="1">
      <x:alignment horizontal="center"/>
    </x:xf>
    <x:xf numFmtId="201" fontId="5" fillId="7" borderId="9" xfId="0" applyNumberFormat="1" applyFont="1" applyFill="1" applyBorder="1" applyAlignment="1">
      <x:alignment horizontal="center"/>
    </x:xf>
    <x:xf numFmtId="201" fontId="5" fillId="7" borderId="10" xfId="0" applyNumberFormat="1" applyFont="1" applyFill="1" applyBorder="1" applyAlignment="1">
      <x:alignment horizontal="center"/>
    </x:xf>
    <x:xf numFmtId="201" fontId="5" fillId="7" borderId="0" xfId="0" applyNumberFormat="1" applyFont="1" applyFill="1" applyBorder="1" applyAlignment="1">
      <x:alignment horizontal="center"/>
    </x:xf>
    <x:xf numFmtId="201" fontId="5" fillId="7" borderId="11" xfId="0" applyNumberFormat="1" applyFont="1" applyFill="1" applyBorder="1" applyAlignment="1">
      <x:alignment horizontal="center"/>
    </x:xf>
    <x:xf numFmtId="201" fontId="5" fillId="7" borderId="12" xfId="0" applyNumberFormat="1" applyFont="1" applyFill="1" applyBorder="1" applyAlignment="1">
      <x:alignment horizontal="center"/>
    </x:xf>
    <x:xf numFmtId="201" fontId="5" fillId="7" borderId="13" xfId="0" applyNumberFormat="1" applyFont="1" applyFill="1" applyBorder="1" applyAlignment="1">
      <x:alignment horizontal="center"/>
    </x:xf>
    <x:xf numFmtId="201" fontId="5" fillId="7" borderId="14" xfId="0" applyNumberFormat="1" applyFont="1" applyFill="1" applyBorder="1" applyAlignment="1">
      <x:alignment horizontal="center"/>
    </x:xf>
    <x:xf numFmtId="201" fontId="5" fillId="7" borderId="7" xfId="0" applyNumberFormat="1" applyFont="1" applyFill="1" applyBorder="1" applyAlignment="1">
      <x:alignment horizontal="center" vertical="center"/>
    </x:xf>
    <x:xf numFmtId="201" fontId="5" fillId="7" borderId="8" xfId="0" applyNumberFormat="1" applyFont="1" applyFill="1" applyBorder="1" applyAlignment="1">
      <x:alignment horizontal="center" vertical="center"/>
    </x:xf>
    <x:xf numFmtId="201" fontId="5" fillId="7" borderId="9" xfId="0" applyNumberFormat="1" applyFont="1" applyFill="1" applyBorder="1" applyAlignment="1">
      <x:alignment horizontal="center" vertical="center"/>
    </x:xf>
    <x:xf numFmtId="201" fontId="5" fillId="7" borderId="10" xfId="0" applyNumberFormat="1" applyFont="1" applyFill="1" applyBorder="1" applyAlignment="1">
      <x:alignment horizontal="center" vertical="center"/>
    </x:xf>
    <x:xf numFmtId="201" fontId="5" fillId="7" borderId="0" xfId="0" applyNumberFormat="1" applyFont="1" applyFill="1" applyBorder="1" applyAlignment="1">
      <x:alignment horizontal="center" vertical="center"/>
    </x:xf>
    <x:xf numFmtId="201" fontId="5" fillId="7" borderId="11" xfId="0" applyNumberFormat="1" applyFont="1" applyFill="1" applyBorder="1" applyAlignment="1">
      <x:alignment horizontal="center" vertical="center"/>
    </x:xf>
    <x:xf numFmtId="201" fontId="5" fillId="7" borderId="12" xfId="0" applyNumberFormat="1" applyFont="1" applyFill="1" applyBorder="1" applyAlignment="1">
      <x:alignment horizontal="center" vertical="center"/>
    </x:xf>
    <x:xf numFmtId="201" fontId="5" fillId="7" borderId="13" xfId="0" applyNumberFormat="1" applyFont="1" applyFill="1" applyBorder="1" applyAlignment="1">
      <x:alignment horizontal="center" vertical="center"/>
    </x:xf>
    <x:xf numFmtId="201" fontId="5" fillId="7" borderId="14" xfId="0" applyNumberFormat="1" applyFont="1" applyFill="1" applyBorder="1" applyAlignment="1">
      <x:alignment horizontal="center" vertical="center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7" xfId="0" applyNumberFormat="1" applyFont="1" applyFill="1" applyBorder="1"/>
    <x:xf numFmtId="0" fontId="7" fillId="4" borderId="9" xfId="0" applyNumberFormat="1" applyFont="1" applyFill="1" applyBorder="1"/>
    <x:xf numFmtId="0" fontId="7" fillId="4" borderId="10" xfId="0" applyNumberFormat="1" applyFont="1" applyFill="1" applyBorder="1"/>
    <x:xf numFmtId="0" fontId="7" fillId="4" borderId="11" xfId="0" applyNumberFormat="1" applyFont="1" applyFill="1" applyBorder="1"/>
    <x:xf numFmtId="0" fontId="7" fillId="4" borderId="12" xfId="0" applyNumberFormat="1" applyFont="1" applyFill="1" applyBorder="1"/>
    <x:xf numFmtId="0" fontId="7" fillId="4" borderId="14" xfId="0" applyNumberFormat="1" applyFont="1" applyFill="1" applyBorder="1"/>
    <x:xf numFmtId="0" fontId="7" fillId="4" borderId="7" xfId="0" applyNumberFormat="1" applyFont="1" applyFill="1" applyBorder="1" applyAlignment="1">
      <x:alignment horizontal="center"/>
    </x:xf>
    <x:xf numFmtId="0" fontId="7" fillId="4" borderId="9" xfId="0" applyNumberFormat="1" applyFont="1" applyFill="1" applyBorder="1" applyAlignment="1">
      <x:alignment horizontal="center"/>
    </x:xf>
    <x:xf numFmtId="0" fontId="7" fillId="4" borderId="10" xfId="0" applyNumberFormat="1" applyFont="1" applyFill="1" applyBorder="1" applyAlignment="1">
      <x:alignment horizontal="center"/>
    </x:xf>
    <x:xf numFmtId="0" fontId="7" fillId="4" borderId="11" xfId="0" applyNumberFormat="1" applyFont="1" applyFill="1" applyBorder="1" applyAlignment="1">
      <x:alignment horizontal="center"/>
    </x:xf>
    <x:xf numFmtId="0" fontId="7" fillId="4" borderId="12" xfId="0" applyNumberFormat="1" applyFont="1" applyFill="1" applyBorder="1" applyAlignment="1">
      <x:alignment horizontal="center"/>
    </x:xf>
    <x:xf numFmtId="0" fontId="7" fillId="4" borderId="14" xfId="0" applyNumberFormat="1" applyFont="1" applyFill="1" applyBorder="1" applyAlignment="1">
      <x:alignment horizontal="center"/>
    </x:xf>
    <x:xf numFmtId="0" fontId="7" fillId="4" borderId="7" xfId="0" applyNumberFormat="1" applyFont="1" applyFill="1" applyBorder="1" applyAlignment="1">
      <x:alignment horizontal="center" vertical="center"/>
    </x:xf>
    <x:xf numFmtId="0" fontId="7" fillId="4" borderId="9" xfId="0" applyNumberFormat="1" applyFont="1" applyFill="1" applyBorder="1" applyAlignment="1">
      <x:alignment horizontal="center" vertical="center"/>
    </x:xf>
    <x:xf numFmtId="0" fontId="7" fillId="4" borderId="10" xfId="0" applyNumberFormat="1" applyFont="1" applyFill="1" applyBorder="1" applyAlignment="1">
      <x:alignment horizontal="center" vertical="center"/>
    </x:xf>
    <x:xf numFmtId="0" fontId="7" fillId="4" borderId="11" xfId="0" applyNumberFormat="1" applyFont="1" applyFill="1" applyBorder="1" applyAlignment="1">
      <x:alignment horizontal="center" vertical="center"/>
    </x:xf>
    <x:xf numFmtId="0" fontId="7" fillId="4" borderId="12" xfId="0" applyNumberFormat="1" applyFont="1" applyFill="1" applyBorder="1" applyAlignment="1">
      <x:alignment horizontal="center" vertical="center"/>
    </x:xf>
    <x:xf numFmtId="0" fontId="7" fillId="4" borderId="14" xfId="0" applyNumberFormat="1" applyFont="1" applyFill="1" applyBorder="1" applyAlignment="1">
      <x:alignment horizontal="center" vertical="center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left"/>
    </x:xf>
    <x:xf numFmtId="0" fontId="9" fillId="8" borderId="0" xfId="0" applyNumberFormat="1" applyFont="1" applyFill="1" applyBorder="1" applyAlignment="1">
      <x:alignment horizontal="left" vertical="center"/>
    </x:xf>
    <x:xf numFmtId="205" fontId="4" fillId="0" borderId="4" xfId="0" applyNumberFormat="1" applyFont="1" applyFill="1" applyBorder="1" applyAlignment="1">
      <x:alignment vertical="center"/>
    </x:xf>
    <x:xf numFmtId="205" fontId="4" fillId="0" borderId="6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17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20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wrapText="1"/>
    </x:xf>
    <x:xf numFmtId="0" fontId="4" fillId="5" borderId="22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vertical="center" wrapText="1"/>
    </x:xf>
    <x:xf numFmtId="0" fontId="4" fillId="5" borderId="16" xfId="0" applyNumberFormat="1" applyFont="1" applyFill="1" applyBorder="1" applyAlignment="1">
      <x:alignment vertical="center" wrapText="1"/>
    </x:xf>
    <x:xf numFmtId="0" fontId="4" fillId="5" borderId="17" xfId="0" applyNumberFormat="1" applyFont="1" applyFill="1" applyBorder="1" applyAlignment="1">
      <x:alignment vertical="center" wrapText="1"/>
    </x:xf>
    <x:xf numFmtId="0" fontId="4" fillId="5" borderId="18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9" xfId="0" applyNumberFormat="1" applyFont="1" applyFill="1" applyBorder="1" applyAlignment="1">
      <x:alignment vertical="center" wrapText="1"/>
    </x:xf>
    <x:xf numFmtId="0" fontId="4" fillId="5" borderId="20" xfId="0" applyNumberFormat="1" applyFont="1" applyFill="1" applyBorder="1" applyAlignment="1">
      <x:alignment vertical="center" wrapText="1"/>
    </x:xf>
    <x:xf numFmtId="0" fontId="4" fillId="5" borderId="21" xfId="0" applyNumberFormat="1" applyFont="1" applyFill="1" applyBorder="1" applyAlignment="1">
      <x:alignment vertical="center" wrapText="1"/>
    </x:xf>
    <x:xf numFmtId="0" fontId="4" fillId="5" borderId="22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/>
    <x:xf numFmtId="0" fontId="4" fillId="7" borderId="23" xfId="0" applyNumberFormat="1" applyFont="1" applyFill="1" applyBorder="1"/>
    <x:xf numFmtId="0" fontId="4" fillId="7" borderId="24" xfId="0" applyNumberFormat="1" applyFont="1" applyFill="1" applyBorder="1"/>
    <x:xf numFmtId="0" fontId="4" fillId="7" borderId="25" xfId="0" applyNumberFormat="1" applyFont="1" applyFill="1" applyBorder="1"/>
    <x:xf numFmtId="0" fontId="4" fillId="7" borderId="26" xfId="0" applyNumberFormat="1" applyFont="1" applyFill="1" applyBorder="1"/>
    <x:xf numFmtId="0" fontId="4" fillId="7" borderId="27" xfId="0" applyNumberFormat="1" applyFont="1" applyFill="1" applyBorder="1"/>
    <x:xf numFmtId="0" fontId="4" fillId="7" borderId="28" xfId="0" applyNumberFormat="1" applyFont="1" applyFill="1" applyBorder="1"/>
    <x:xf numFmtId="0" fontId="4" fillId="7" borderId="29" xfId="0" applyNumberFormat="1" applyFont="1" applyFill="1" applyBorder="1"/>
    <x:xf numFmtId="0" fontId="4" fillId="7" borderId="30" xfId="0" applyNumberFormat="1" applyFont="1" applyFill="1" applyBorder="1"/>
    <x:xf numFmtId="0" fontId="4" fillId="7" borderId="23" xfId="0" applyNumberFormat="1" applyFont="1" applyFill="1" applyBorder="1" applyAlignment="1">
      <x:alignment wrapText="1"/>
    </x:xf>
    <x:xf numFmtId="0" fontId="4" fillId="7" borderId="24" xfId="0" applyNumberFormat="1" applyFont="1" applyFill="1" applyBorder="1" applyAlignment="1">
      <x:alignment wrapText="1"/>
    </x:xf>
    <x:xf numFmtId="0" fontId="4" fillId="7" borderId="25" xfId="0" applyNumberFormat="1" applyFont="1" applyFill="1" applyBorder="1" applyAlignment="1">
      <x:alignment wrapText="1"/>
    </x:xf>
    <x:xf numFmtId="0" fontId="4" fillId="7" borderId="26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27" xfId="0" applyNumberFormat="1" applyFont="1" applyFill="1" applyBorder="1" applyAlignment="1">
      <x:alignment wrapText="1"/>
    </x:xf>
    <x:xf numFmtId="0" fontId="4" fillId="7" borderId="28" xfId="0" applyNumberFormat="1" applyFont="1" applyFill="1" applyBorder="1" applyAlignment="1">
      <x:alignment wrapText="1"/>
    </x:xf>
    <x:xf numFmtId="0" fontId="4" fillId="7" borderId="29" xfId="0" applyNumberFormat="1" applyFont="1" applyFill="1" applyBorder="1" applyAlignment="1">
      <x:alignment wrapText="1"/>
    </x:xf>
    <x:xf numFmtId="0" fontId="4" fillId="7" borderId="30" xfId="0" applyNumberFormat="1" applyFont="1" applyFill="1" applyBorder="1" applyAlignment="1">
      <x:alignment wrapText="1"/>
    </x:xf>
    <x:xf numFmtId="0" fontId="4" fillId="7" borderId="23" xfId="0" applyNumberFormat="1" applyFont="1" applyFill="1" applyBorder="1" applyAlignment="1">
      <x:alignment vertical="center" wrapText="1"/>
    </x:xf>
    <x:xf numFmtId="0" fontId="4" fillId="7" borderId="24" xfId="0" applyNumberFormat="1" applyFont="1" applyFill="1" applyBorder="1" applyAlignment="1">
      <x:alignment vertical="center" wrapText="1"/>
    </x:xf>
    <x:xf numFmtId="0" fontId="4" fillId="7" borderId="25" xfId="0" applyNumberFormat="1" applyFont="1" applyFill="1" applyBorder="1" applyAlignment="1">
      <x:alignment vertical="center" wrapText="1"/>
    </x:xf>
    <x:xf numFmtId="0" fontId="4" fillId="7" borderId="26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27" xfId="0" applyNumberFormat="1" applyFont="1" applyFill="1" applyBorder="1" applyAlignment="1">
      <x:alignment vertical="center" wrapText="1"/>
    </x:xf>
    <x:xf numFmtId="0" fontId="4" fillId="7" borderId="28" xfId="0" applyNumberFormat="1" applyFont="1" applyFill="1" applyBorder="1" applyAlignment="1">
      <x:alignment vertical="center" wrapText="1"/>
    </x:xf>
    <x:xf numFmtId="0" fontId="4" fillId="7" borderId="29" xfId="0" applyNumberFormat="1" applyFont="1" applyFill="1" applyBorder="1" applyAlignment="1">
      <x:alignment vertical="center" wrapText="1"/>
    </x:xf>
    <x:xf numFmtId="0" fontId="4" fillId="7" borderId="3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6" borderId="4" xfId="0" applyNumberFormat="1" applyFont="1" applyFill="1" applyBorder="1" applyAlignment="1">
      <x:alignment vertical="center"/>
    </x:xf>
    <x:xf numFmtId="204" fontId="4" fillId="6" borderId="4" xfId="0" applyNumberFormat="1" applyFont="1" applyFill="1" applyBorder="1" applyAlignment="1">
      <x:alignment vertical="center"/>
    </x:xf>
    <x:xf numFmtId="201" fontId="4" fillId="6" borderId="4" xfId="0" applyNumberFormat="1" applyFont="1" applyFill="1" applyBorder="1" applyAlignment="1">
      <x:alignment vertical="center"/>
    </x:xf>
    <x:xf numFmtId="200" fontId="4" fillId="6" borderId="4" xfId="0" applyNumberFormat="1" applyFont="1" applyFill="1" applyBorder="1" applyAlignment="1">
      <x:alignment vertical="center"/>
    </x:xf>
    <x:xf numFmtId="0" fontId="10" fillId="6" borderId="4" xfId="0" applyNumberFormat="1" applyFont="1" applyFill="1" applyBorder="1" applyAlignment="1">
      <x:alignment vertical="center"/>
    </x:xf>
    <x:xf numFmtId="204" fontId="10" fillId="6" borderId="4" xfId="0" applyNumberFormat="1" applyFont="1" applyFill="1" applyBorder="1" applyAlignment="1">
      <x:alignment vertical="center"/>
    </x:xf>
    <x:xf numFmtId="201" fontId="10" fillId="6" borderId="4" xfId="0" applyNumberFormat="1" applyFont="1" applyFill="1" applyBorder="1" applyAlignment="1">
      <x:alignment vertical="center"/>
    </x:xf>
    <x:xf numFmtId="200" fontId="10" fillId="6" borderId="4" xfId="0" applyNumberFormat="1" applyFont="1" applyFill="1" applyBorder="1" applyAlignment="1">
      <x:alignment vertical="center"/>
    </x:xf>
    <x:xf numFmtId="0" fontId="10" fillId="6" borderId="31" xfId="0" applyNumberFormat="1" applyFont="1" applyFill="1" applyBorder="1" applyAlignment="1">
      <x:alignment vertical="center"/>
    </x:xf>
    <x:xf numFmtId="204" fontId="10" fillId="6" borderId="32" xfId="0" applyNumberFormat="1" applyFont="1" applyFill="1" applyBorder="1" applyAlignment="1">
      <x:alignment vertical="center"/>
    </x:xf>
    <x:xf numFmtId="201" fontId="10" fillId="6" borderId="32" xfId="0" applyNumberFormat="1" applyFont="1" applyFill="1" applyBorder="1" applyAlignment="1">
      <x:alignment vertical="center"/>
    </x:xf>
    <x:xf numFmtId="200" fontId="10" fillId="6" borderId="33" xfId="0" applyNumberFormat="1" applyFont="1" applyFill="1" applyBorder="1" applyAlignment="1">
      <x:alignment vertical="center"/>
    </x:xf>
    <x:xf numFmtId="0" fontId="11" fillId="6" borderId="0" xfId="0" applyNumberFormat="1" applyFont="1" applyFill="1" applyBorder="1"/>
    <x:xf numFmtId="0" fontId="11" fillId="6" borderId="34" xfId="0" applyNumberFormat="1" applyFont="1" applyFill="1" applyBorder="1"/>
    <x:xf numFmtId="0" fontId="11" fillId="6" borderId="35" xfId="0" applyNumberFormat="1" applyFont="1" applyFill="1" applyBorder="1"/>
    <x:xf numFmtId="0" fontId="11" fillId="6" borderId="36" xfId="0" applyNumberFormat="1" applyFont="1" applyFill="1" applyBorder="1"/>
    <x:xf numFmtId="0" fontId="11" fillId="6" borderId="37" xfId="0" applyNumberFormat="1" applyFont="1" applyFill="1" applyBorder="1"/>
    <x:xf numFmtId="0" fontId="11" fillId="6" borderId="38" xfId="0" applyNumberFormat="1" applyFont="1" applyFill="1" applyBorder="1"/>
    <x:xf numFmtId="0" fontId="11" fillId="6" borderId="39" xfId="0" applyNumberFormat="1" applyFont="1" applyFill="1" applyBorder="1"/>
    <x:xf numFmtId="0" fontId="11" fillId="6" borderId="40" xfId="0" applyNumberFormat="1" applyFont="1" applyFill="1" applyBorder="1"/>
    <x:xf numFmtId="0" fontId="11" fillId="6" borderId="41" xfId="0" applyNumberFormat="1" applyFont="1" applyFill="1" applyBorder="1"/>
    <x:xf numFmtId="0" fontId="11" fillId="6" borderId="34" xfId="0" applyNumberFormat="1" applyFont="1" applyFill="1" applyBorder="1" applyAlignment="1">
      <x:alignment wrapText="1"/>
    </x:xf>
    <x:xf numFmtId="0" fontId="11" fillId="6" borderId="35" xfId="0" applyNumberFormat="1" applyFont="1" applyFill="1" applyBorder="1" applyAlignment="1">
      <x:alignment wrapText="1"/>
    </x:xf>
    <x:xf numFmtId="0" fontId="11" fillId="6" borderId="36" xfId="0" applyNumberFormat="1" applyFont="1" applyFill="1" applyBorder="1" applyAlignment="1">
      <x:alignment wrapText="1"/>
    </x:xf>
    <x:xf numFmtId="0" fontId="11" fillId="6" borderId="37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11" fillId="6" borderId="38" xfId="0" applyNumberFormat="1" applyFont="1" applyFill="1" applyBorder="1" applyAlignment="1">
      <x:alignment wrapText="1"/>
    </x:xf>
    <x:xf numFmtId="0" fontId="11" fillId="6" borderId="39" xfId="0" applyNumberFormat="1" applyFont="1" applyFill="1" applyBorder="1" applyAlignment="1">
      <x:alignment wrapText="1"/>
    </x:xf>
    <x:xf numFmtId="0" fontId="11" fillId="6" borderId="40" xfId="0" applyNumberFormat="1" applyFont="1" applyFill="1" applyBorder="1" applyAlignment="1">
      <x:alignment wrapText="1"/>
    </x:xf>
    <x:xf numFmtId="0" fontId="11" fillId="6" borderId="41" xfId="0" applyNumberFormat="1" applyFont="1" applyFill="1" applyBorder="1" applyAlignment="1">
      <x:alignment wrapText="1"/>
    </x:xf>
    <x:xf numFmtId="0" fontId="11" fillId="6" borderId="34" xfId="0" applyNumberFormat="1" applyFont="1" applyFill="1" applyBorder="1" applyAlignment="1">
      <x:alignment vertical="center" wrapText="1"/>
    </x:xf>
    <x:xf numFmtId="0" fontId="11" fillId="6" borderId="35" xfId="0" applyNumberFormat="1" applyFont="1" applyFill="1" applyBorder="1" applyAlignment="1">
      <x:alignment vertical="center" wrapText="1"/>
    </x:xf>
    <x:xf numFmtId="0" fontId="11" fillId="6" borderId="36" xfId="0" applyNumberFormat="1" applyFont="1" applyFill="1" applyBorder="1" applyAlignment="1">
      <x:alignment vertical="center" wrapText="1"/>
    </x:xf>
    <x:xf numFmtId="0" fontId="11" fillId="6" borderId="37" xfId="0" applyNumberFormat="1" applyFont="1" applyFill="1" applyBorder="1" applyAlignment="1">
      <x:alignment vertical="center" wrapText="1"/>
    </x:xf>
    <x:xf numFmtId="0" fontId="11" fillId="6" borderId="0" xfId="0" applyNumberFormat="1" applyFont="1" applyFill="1" applyBorder="1" applyAlignment="1">
      <x:alignment vertical="center" wrapText="1"/>
    </x:xf>
    <x:xf numFmtId="0" fontId="11" fillId="6" borderId="38" xfId="0" applyNumberFormat="1" applyFont="1" applyFill="1" applyBorder="1" applyAlignment="1">
      <x:alignment vertical="center" wrapText="1"/>
    </x:xf>
    <x:xf numFmtId="0" fontId="11" fillId="6" borderId="39" xfId="0" applyNumberFormat="1" applyFont="1" applyFill="1" applyBorder="1" applyAlignment="1">
      <x:alignment vertical="center" wrapText="1"/>
    </x:xf>
    <x:xf numFmtId="0" fontId="11" fillId="6" borderId="40" xfId="0" applyNumberFormat="1" applyFont="1" applyFill="1" applyBorder="1" applyAlignment="1">
      <x:alignment vertical="center" wrapText="1"/>
    </x:xf>
    <x:xf numFmtId="0" fontId="11" fillId="6" borderId="41" xfId="0" applyNumberFormat="1" applyFont="1" applyFill="1" applyBorder="1" applyAlignment="1">
      <x:alignment vertical="center" wrapText="1"/>
    </x:xf>
    <x:xf numFmtId="0" fontId="4" fillId="7" borderId="42" xfId="0" applyNumberFormat="1" applyFont="1" applyFill="1" applyBorder="1"/>
    <x:xf numFmtId="0" fontId="4" fillId="7" borderId="43" xfId="0" applyNumberFormat="1" applyFont="1" applyFill="1" applyBorder="1"/>
    <x:xf numFmtId="0" fontId="4" fillId="7" borderId="44" xfId="0" applyNumberFormat="1" applyFont="1" applyFill="1" applyBorder="1"/>
    <x:xf numFmtId="0" fontId="4" fillId="7" borderId="45" xfId="0" applyNumberFormat="1" applyFont="1" applyFill="1" applyBorder="1"/>
    <x:xf numFmtId="0" fontId="4" fillId="7" borderId="46" xfId="0" applyNumberFormat="1" applyFont="1" applyFill="1" applyBorder="1"/>
    <x:xf numFmtId="0" fontId="4" fillId="7" borderId="47" xfId="0" applyNumberFormat="1" applyFont="1" applyFill="1" applyBorder="1"/>
    <x:xf numFmtId="0" fontId="4" fillId="7" borderId="48" xfId="0" applyNumberFormat="1" applyFont="1" applyFill="1" applyBorder="1"/>
    <x:xf numFmtId="0" fontId="4" fillId="7" borderId="49" xfId="0" applyNumberFormat="1" applyFont="1" applyFill="1" applyBorder="1"/>
    <x:xf numFmtId="0" fontId="4" fillId="7" borderId="42" xfId="0" applyNumberFormat="1" applyFont="1" applyFill="1" applyBorder="1" applyAlignment="1">
      <x:alignment wrapText="1"/>
    </x:xf>
    <x:xf numFmtId="0" fontId="4" fillId="7" borderId="43" xfId="0" applyNumberFormat="1" applyFont="1" applyFill="1" applyBorder="1" applyAlignment="1">
      <x:alignment wrapText="1"/>
    </x:xf>
    <x:xf numFmtId="0" fontId="4" fillId="7" borderId="44" xfId="0" applyNumberFormat="1" applyFont="1" applyFill="1" applyBorder="1" applyAlignment="1">
      <x:alignment wrapText="1"/>
    </x:xf>
    <x:xf numFmtId="0" fontId="4" fillId="7" borderId="45" xfId="0" applyNumberFormat="1" applyFont="1" applyFill="1" applyBorder="1" applyAlignment="1">
      <x:alignment wrapText="1"/>
    </x:xf>
    <x:xf numFmtId="0" fontId="4" fillId="7" borderId="46" xfId="0" applyNumberFormat="1" applyFont="1" applyFill="1" applyBorder="1" applyAlignment="1">
      <x:alignment wrapText="1"/>
    </x:xf>
    <x:xf numFmtId="0" fontId="4" fillId="7" borderId="47" xfId="0" applyNumberFormat="1" applyFont="1" applyFill="1" applyBorder="1" applyAlignment="1">
      <x:alignment wrapText="1"/>
    </x:xf>
    <x:xf numFmtId="0" fontId="4" fillId="7" borderId="48" xfId="0" applyNumberFormat="1" applyFont="1" applyFill="1" applyBorder="1" applyAlignment="1">
      <x:alignment wrapText="1"/>
    </x:xf>
    <x:xf numFmtId="0" fontId="4" fillId="7" borderId="49" xfId="0" applyNumberFormat="1" applyFont="1" applyFill="1" applyBorder="1" applyAlignment="1">
      <x:alignment wrapText="1"/>
    </x:xf>
    <x:xf numFmtId="0" fontId="4" fillId="7" borderId="42" xfId="0" applyNumberFormat="1" applyFont="1" applyFill="1" applyBorder="1" applyAlignment="1">
      <x:alignment vertical="center" wrapText="1"/>
    </x:xf>
    <x:xf numFmtId="0" fontId="4" fillId="7" borderId="43" xfId="0" applyNumberFormat="1" applyFont="1" applyFill="1" applyBorder="1" applyAlignment="1">
      <x:alignment vertical="center" wrapText="1"/>
    </x:xf>
    <x:xf numFmtId="0" fontId="4" fillId="7" borderId="44" xfId="0" applyNumberFormat="1" applyFont="1" applyFill="1" applyBorder="1" applyAlignment="1">
      <x:alignment vertical="center" wrapText="1"/>
    </x:xf>
    <x:xf numFmtId="0" fontId="4" fillId="7" borderId="45" xfId="0" applyNumberFormat="1" applyFont="1" applyFill="1" applyBorder="1" applyAlignment="1">
      <x:alignment vertical="center" wrapText="1"/>
    </x:xf>
    <x:xf numFmtId="0" fontId="4" fillId="7" borderId="46" xfId="0" applyNumberFormat="1" applyFont="1" applyFill="1" applyBorder="1" applyAlignment="1">
      <x:alignment vertical="center" wrapText="1"/>
    </x:xf>
    <x:xf numFmtId="0" fontId="4" fillId="7" borderId="47" xfId="0" applyNumberFormat="1" applyFont="1" applyFill="1" applyBorder="1" applyAlignment="1">
      <x:alignment vertical="center" wrapText="1"/>
    </x:xf>
    <x:xf numFmtId="0" fontId="4" fillId="7" borderId="48" xfId="0" applyNumberFormat="1" applyFont="1" applyFill="1" applyBorder="1" applyAlignment="1">
      <x:alignment vertical="center" wrapText="1"/>
    </x:xf>
    <x:xf numFmtId="0" fontId="4" fillId="7" borderId="4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horizontal="center" wrapText="1"/>
    </x:xf>
    <x:xf numFmtId="0" fontId="3" fillId="9" borderId="2" xfId="0" applyNumberFormat="1" applyFont="1" applyFill="1" applyBorder="1" applyAlignment="1">
      <x:alignment horizontal="center" wrapText="1"/>
    </x:xf>
    <x:xf numFmtId="0" fontId="3" fillId="9" borderId="3" xfId="0" applyNumberFormat="1" applyFont="1" applyFill="1" applyBorder="1" applyAlignment="1">
      <x:alignment horizontal="center" wrapText="1"/>
    </x:xf>
    <x:xf numFmtId="0" fontId="3" fillId="9" borderId="1" xfId="0" applyNumberFormat="1" applyFont="1" applyFill="1" applyBorder="1" applyAlignment="1">
      <x:alignment horizontal="center" vertical="center" wrapText="1"/>
    </x:xf>
    <x:xf numFmtId="0" fontId="3" fillId="9" borderId="2" xfId="0" applyNumberFormat="1" applyFont="1" applyFill="1" applyBorder="1" applyAlignment="1">
      <x:alignment horizontal="center" vertical="center" wrapText="1"/>
    </x:xf>
    <x:xf numFmtId="0" fontId="3" fillId="9" borderId="3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50" xfId="0" applyNumberFormat="1" applyFont="1" applyFill="1" applyBorder="1"/>
    <x:xf numFmtId="0" fontId="12" fillId="10" borderId="51" xfId="0" applyNumberFormat="1" applyFont="1" applyFill="1" applyBorder="1"/>
    <x:xf numFmtId="0" fontId="12" fillId="10" borderId="52" xfId="0" applyNumberFormat="1" applyFont="1" applyFill="1" applyBorder="1"/>
    <x:xf numFmtId="0" fontId="12" fillId="10" borderId="53" xfId="0" applyNumberFormat="1" applyFont="1" applyFill="1" applyBorder="1"/>
    <x:xf numFmtId="0" fontId="12" fillId="10" borderId="54" xfId="0" applyNumberFormat="1" applyFont="1" applyFill="1" applyBorder="1"/>
    <x:xf numFmtId="0" fontId="12" fillId="10" borderId="55" xfId="0" applyNumberFormat="1" applyFont="1" applyFill="1" applyBorder="1"/>
    <x:xf numFmtId="0" fontId="12" fillId="10" borderId="56" xfId="0" applyNumberFormat="1" applyFont="1" applyFill="1" applyBorder="1"/>
    <x:xf numFmtId="0" fontId="12" fillId="10" borderId="57" xfId="0" applyNumberFormat="1" applyFont="1" applyFill="1" applyBorder="1"/>
    <x:xf numFmtId="0" fontId="12" fillId="10" borderId="50" xfId="0" applyNumberFormat="1" applyFont="1" applyFill="1" applyBorder="1" applyAlignment="1">
      <x:alignment wrapText="1"/>
    </x:xf>
    <x:xf numFmtId="0" fontId="12" fillId="10" borderId="51" xfId="0" applyNumberFormat="1" applyFont="1" applyFill="1" applyBorder="1" applyAlignment="1">
      <x:alignment wrapText="1"/>
    </x:xf>
    <x:xf numFmtId="0" fontId="12" fillId="10" borderId="52" xfId="0" applyNumberFormat="1" applyFont="1" applyFill="1" applyBorder="1" applyAlignment="1">
      <x:alignment wrapText="1"/>
    </x:xf>
    <x:xf numFmtId="0" fontId="12" fillId="10" borderId="53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wrapText="1"/>
    </x:xf>
    <x:xf numFmtId="0" fontId="12" fillId="10" borderId="54" xfId="0" applyNumberFormat="1" applyFont="1" applyFill="1" applyBorder="1" applyAlignment="1">
      <x:alignment wrapText="1"/>
    </x:xf>
    <x:xf numFmtId="0" fontId="12" fillId="10" borderId="55" xfId="0" applyNumberFormat="1" applyFont="1" applyFill="1" applyBorder="1" applyAlignment="1">
      <x:alignment wrapText="1"/>
    </x:xf>
    <x:xf numFmtId="0" fontId="12" fillId="10" borderId="56" xfId="0" applyNumberFormat="1" applyFont="1" applyFill="1" applyBorder="1" applyAlignment="1">
      <x:alignment wrapText="1"/>
    </x:xf>
    <x:xf numFmtId="0" fontId="12" fillId="10" borderId="57" xfId="0" applyNumberFormat="1" applyFont="1" applyFill="1" applyBorder="1" applyAlignment="1">
      <x:alignment wrapText="1"/>
    </x:xf>
    <x:xf numFmtId="0" fontId="12" fillId="10" borderId="50" xfId="0" applyNumberFormat="1" applyFont="1" applyFill="1" applyBorder="1" applyAlignment="1">
      <x:alignment vertical="center" wrapText="1"/>
    </x:xf>
    <x:xf numFmtId="0" fontId="12" fillId="10" borderId="51" xfId="0" applyNumberFormat="1" applyFont="1" applyFill="1" applyBorder="1" applyAlignment="1">
      <x:alignment vertical="center" wrapText="1"/>
    </x:xf>
    <x:xf numFmtId="0" fontId="12" fillId="10" borderId="52" xfId="0" applyNumberFormat="1" applyFont="1" applyFill="1" applyBorder="1" applyAlignment="1">
      <x:alignment vertical="center" wrapText="1"/>
    </x:xf>
    <x:xf numFmtId="0" fontId="12" fillId="10" borderId="53" xfId="0" applyNumberFormat="1" applyFont="1" applyFill="1" applyBorder="1" applyAlignment="1">
      <x:alignment vertical="center" wrapText="1"/>
    </x:xf>
    <x:xf numFmtId="0" fontId="12" fillId="10" borderId="0" xfId="0" applyNumberFormat="1" applyFont="1" applyFill="1" applyBorder="1" applyAlignment="1">
      <x:alignment vertical="center" wrapText="1"/>
    </x:xf>
    <x:xf numFmtId="0" fontId="12" fillId="10" borderId="54" xfId="0" applyNumberFormat="1" applyFont="1" applyFill="1" applyBorder="1" applyAlignment="1">
      <x:alignment vertical="center" wrapText="1"/>
    </x:xf>
    <x:xf numFmtId="0" fontId="12" fillId="10" borderId="55" xfId="0" applyNumberFormat="1" applyFont="1" applyFill="1" applyBorder="1" applyAlignment="1">
      <x:alignment vertical="center" wrapText="1"/>
    </x:xf>
    <x:xf numFmtId="0" fontId="12" fillId="10" borderId="56" xfId="0" applyNumberFormat="1" applyFont="1" applyFill="1" applyBorder="1" applyAlignment="1">
      <x:alignment vertical="center" wrapText="1"/>
    </x:xf>
    <x:xf numFmtId="0" fontId="12" fillId="10" borderId="57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1" xfId="0" applyNumberFormat="1" applyFont="1" applyFill="1" applyBorder="1"/>
    <x:xf numFmtId="0" fontId="3" fillId="11" borderId="2" xfId="0" applyNumberFormat="1" applyFont="1" applyFill="1" applyBorder="1"/>
    <x:xf numFmtId="0" fontId="3" fillId="11" borderId="3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3" fillId="11" borderId="2" xfId="0" applyNumberFormat="1" applyFont="1" applyFill="1" applyBorder="1" applyAlignment="1">
      <x:alignment wrapText="1"/>
    </x:xf>
    <x:xf numFmtId="0" fontId="3" fillId="11" borderId="3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horizontal="center" wrapText="1"/>
    </x:xf>
    <x:xf numFmtId="0" fontId="3" fillId="11" borderId="2" xfId="0" applyNumberFormat="1" applyFont="1" applyFill="1" applyBorder="1" applyAlignment="1">
      <x:alignment horizontal="center" wrapText="1"/>
    </x:xf>
    <x:xf numFmtId="0" fontId="3" fillId="11" borderId="3" xfId="0" applyNumberFormat="1" applyFont="1" applyFill="1" applyBorder="1" applyAlignment="1">
      <x:alignment horizontal="center"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3" fillId="11" borderId="2" xfId="0" applyNumberFormat="1" applyFont="1" applyFill="1" applyBorder="1" applyAlignment="1">
      <x:alignment horizontal="center" vertical="center" wrapText="1"/>
    </x:xf>
    <x:xf numFmtId="0" fontId="3" fillId="11" borderId="3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1" xfId="0" applyNumberFormat="1" applyFont="1" applyFill="1" applyBorder="1"/>
    <x:xf numFmtId="0" fontId="3" fillId="12" borderId="2" xfId="0" applyNumberFormat="1" applyFont="1" applyFill="1" applyBorder="1"/>
    <x:xf numFmtId="0" fontId="3" fillId="12" borderId="3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2" xfId="0" applyNumberFormat="1" applyFont="1" applyFill="1" applyBorder="1" applyAlignment="1">
      <x:alignment wrapText="1"/>
    </x:xf>
    <x:xf numFmtId="0" fontId="3" fillId="12" borderId="3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wrapText="1"/>
    </x:xf>
    <x:xf numFmtId="0" fontId="3" fillId="12" borderId="2" xfId="0" applyNumberFormat="1" applyFont="1" applyFill="1" applyBorder="1" applyAlignment="1">
      <x:alignment horizontal="center" wrapText="1"/>
    </x:xf>
    <x:xf numFmtId="0" fontId="3" fillId="12" borderId="3" xfId="0" applyNumberFormat="1" applyFont="1" applyFill="1" applyBorder="1" applyAlignment="1">
      <x:alignment horizont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3" fillId="12" borderId="3" xfId="0" applyNumberFormat="1" applyFont="1" applyFill="1" applyBorder="1" applyAlignment="1">
      <x:alignment horizontal="center" vertical="center" wrapText="1"/>
    </x:xf>
    <x:xf numFmtId="0" fontId="13" fillId="5" borderId="0" xfId="0" applyNumberFormat="1" applyFont="1" applyFill="1" applyBorder="1"/>
    <x:xf numFmtId="0" fontId="13" fillId="5" borderId="58" xfId="0" applyNumberFormat="1" applyFont="1" applyFill="1" applyBorder="1"/>
    <x:xf numFmtId="0" fontId="13" fillId="5" borderId="59" xfId="0" applyNumberFormat="1" applyFont="1" applyFill="1" applyBorder="1"/>
    <x:xf numFmtId="0" fontId="13" fillId="5" borderId="60" xfId="0" applyNumberFormat="1" applyFont="1" applyFill="1" applyBorder="1"/>
    <x:xf numFmtId="0" fontId="13" fillId="5" borderId="58" xfId="0" applyNumberFormat="1" applyFont="1" applyFill="1" applyBorder="1" applyAlignment="1">
      <x:alignment wrapText="1"/>
    </x:xf>
    <x:xf numFmtId="0" fontId="13" fillId="5" borderId="59" xfId="0" applyNumberFormat="1" applyFont="1" applyFill="1" applyBorder="1" applyAlignment="1">
      <x:alignment wrapText="1"/>
    </x:xf>
    <x:xf numFmtId="0" fontId="13" fillId="5" borderId="60" xfId="0" applyNumberFormat="1" applyFont="1" applyFill="1" applyBorder="1" applyAlignment="1">
      <x:alignment wrapText="1"/>
    </x:xf>
    <x:xf numFmtId="200" fontId="4" fillId="0" borderId="4" xfId="0" applyNumberFormat="1" applyFont="1" applyFill="1" applyBorder="1" applyAlignment="1">
      <x:alignment vertical="center" wrapText="1"/>
    </x:xf>
    <x:xf numFmtId="201" fontId="4" fillId="0" borderId="4" xfId="0" applyNumberFormat="1" applyFont="1" applyFill="1" applyBorder="1" applyAlignment="1">
      <x:alignment vertical="center" wrapText="1"/>
    </x:xf>
    <x:xf numFmtId="202" fontId="4" fillId="0" borderId="4" xfId="0" applyNumberFormat="1" applyFont="1" applyFill="1" applyBorder="1" applyAlignment="1">
      <x:alignment vertical="center" wrapText="1"/>
    </x:xf>
    <x:xf numFmtId="202" fontId="4" fillId="0" borderId="5" xfId="0" applyNumberFormat="1" applyFont="1" applyFill="1" applyBorder="1" applyAlignment="1">
      <x:alignment vertical="center" wrapText="1"/>
    </x:xf>
    <x:xf numFmtId="200" fontId="4" fillId="0" borderId="6" xfId="0" applyNumberFormat="1" applyFont="1" applyFill="1" applyBorder="1" applyAlignment="1">
      <x:alignment vertical="center" wrapText="1"/>
    </x:xf>
    <x:xf numFmtId="201" fontId="4" fillId="0" borderId="6" xfId="0" applyNumberFormat="1" applyFont="1" applyFill="1" applyBorder="1" applyAlignment="1">
      <x:alignment vertical="center" wrapText="1"/>
    </x:xf>
    <x:xf numFmtId="202" fontId="4" fillId="0" borderId="6" xfId="0" applyNumberFormat="1" applyFont="1" applyFill="1" applyBorder="1" applyAlignment="1">
      <x:alignment vertical="center" wrapText="1"/>
    </x:xf>
    <x:xf numFmtId="203" fontId="4" fillId="0" borderId="4" xfId="0" applyNumberFormat="1" applyFont="1" applyFill="1" applyBorder="1" applyAlignment="1">
      <x:alignment vertical="center" wrapText="1"/>
    </x:xf>
    <x:xf numFmtId="204" fontId="4" fillId="0" borderId="4" xfId="0" applyNumberFormat="1" applyFont="1" applyFill="1" applyBorder="1" applyAlignment="1">
      <x:alignment vertical="center" wrapText="1"/>
    </x:xf>
    <x:xf numFmtId="203" fontId="4" fillId="0" borderId="5" xfId="0" applyNumberFormat="1" applyFont="1" applyFill="1" applyBorder="1" applyAlignment="1">
      <x:alignment vertical="center" wrapText="1"/>
    </x:xf>
    <x:xf numFmtId="204" fontId="4" fillId="0" borderId="5" xfId="0" applyNumberFormat="1" applyFont="1" applyFill="1" applyBorder="1" applyAlignment="1">
      <x:alignment vertical="center" wrapText="1"/>
    </x:xf>
    <x:xf numFmtId="203" fontId="4" fillId="0" borderId="6" xfId="0" applyNumberFormat="1" applyFont="1" applyFill="1" applyBorder="1" applyAlignment="1">
      <x:alignment vertical="center" wrapText="1"/>
    </x:xf>
    <x:xf numFmtId="204" fontId="4" fillId="0" borderId="6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7365D"/>
      </x:font>
      <x:fill>
        <x:patternFill patternType="solid">
          <x:bgColor rgb="FFDDF3F0"/>
        </x:patternFill>
      </x:fill>
    </x:dxf>
    <x:dxf>
      <x:font>
        <x:b/>
        <x:color rgb="FF17365D"/>
      </x:font>
      <x:fill>
        <x:patternFill patternType="solid">
          <x:bgColor rgb="FFDDF3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8d93b6b5d04586" /><Relationship Type="http://schemas.openxmlformats.org/officeDocument/2006/relationships/theme" Target="/xl/theme/theme1.xml" Id="Rc1ccd10a0e454fd9" /><Relationship Type="http://schemas.openxmlformats.org/officeDocument/2006/relationships/sharedStrings" Target="/xl/sharedStrings.xml" Id="R0ee07953ea4d4bd6" /><Relationship Type="http://schemas.openxmlformats.org/officeDocument/2006/relationships/worksheet" Target="/xl/worksheets/sheet1.xml" Id="Rfbd6eebf8ffa4114" /><Relationship Type="http://schemas.openxmlformats.org/officeDocument/2006/relationships/worksheet" Target="/xl/worksheets/sheet2.xml" Id="R5701434ebf3e4c6a" /><Relationship Type="http://schemas.openxmlformats.org/officeDocument/2006/relationships/worksheet" Target="/xl/worksheets/sheet3.xml" Id="R5cb1fb53e25141c1" /><Relationship Type="http://schemas.openxmlformats.org/officeDocument/2006/relationships/worksheet" Target="/xl/worksheets/sheet4.xml" Id="R24c44eb6aaae4721" /><Relationship Type="http://schemas.openxmlformats.org/officeDocument/2006/relationships/worksheet" Target="/xl/worksheets/sheet5.xml" Id="Ree8c75ceb69e4c93" /><Relationship Type="http://schemas.openxmlformats.org/officeDocument/2006/relationships/worksheet" Target="/xl/worksheets/sheet6.xml" Id="Rfe4e9a2e7e50435c" /><Relationship Type="http://schemas.openxmlformats.org/officeDocument/2006/relationships/worksheet" Target="/xl/worksheets/sheet7.xml" Id="R7fb942358aa04c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c8431e179ec4e91" /><Relationship Type="http://schemas.openxmlformats.org/officeDocument/2006/relationships/chart" Target="/xl/drawings/charts/chart2.xml" Id="R75e12412987c473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525ddfabf19b4c1d" /><Relationship Type="http://schemas.openxmlformats.org/officeDocument/2006/relationships/chart" Target="/xl/drawings/charts/chart4.xml" Id="R0b8170632c184db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e4e0a0223684de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PR-AUC與事件基準率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事件基準率</c:v>
          </c:tx>
          <c:spPr>
            <a:solidFill xmlns:a="http://schemas.openxmlformats.org/drawingml/2006/main">
              <a:srgbClr val="E2E8F0"/>
            </a:solidFill>
          </c:spPr>
          <c:cat>
            <c:strRef>
              <c:f>'報告總覽'!$A$13:$A$14</c:f>
              <c:strCache>
                <c:ptCount val="0"/>
              </c:strCache>
            </c:strRef>
          </c:cat>
          <c:val>
            <c:numRef>
              <c:f>'報告總覽'!$B$13:$B$14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LightGBM PR-AUC</c:v>
          </c:tx>
          <c:spPr>
            <a:solidFill xmlns:a="http://schemas.openxmlformats.org/drawingml/2006/main">
              <a:srgbClr val="2A9D8F"/>
            </a:solidFill>
          </c:spPr>
          <c:cat>
            <c:strRef>
              <c:f>'報告總覽'!$A$13:$A$14</c:f>
              <c:strCache>
                <c:ptCount val="0"/>
              </c:strCache>
            </c:strRef>
          </c:cat>
          <c:val>
            <c:numRef>
              <c:f>'報告總覽'!$C$13:$C$14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3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正式LightGBM門檻表現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Precision</c:v>
          </c:tx>
          <c:spPr>
            <a:solidFill xmlns:a="http://schemas.openxmlformats.org/drawingml/2006/main">
              <a:srgbClr val="F4A261"/>
            </a:solidFill>
          </c:spPr>
          <c:cat>
            <c:strRef>
              <c:f>'報告總覽'!$A$27:$A$28</c:f>
              <c:strCache>
                <c:ptCount val="0"/>
              </c:strCache>
            </c:strRef>
          </c:cat>
          <c:val>
            <c:numRef>
              <c:f>'報告總覽'!$B$27:$B$28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Recall</c:v>
          </c:tx>
          <c:spPr>
            <a:solidFill xmlns:a="http://schemas.openxmlformats.org/drawingml/2006/main">
              <a:srgbClr val="2A9D8F"/>
            </a:solidFill>
          </c:spPr>
          <c:cat>
            <c:strRef>
              <c:f>'報告總覽'!$A$27:$A$28</c:f>
              <c:strCache>
                <c:ptCount val="0"/>
              </c:strCache>
            </c:strRef>
          </c:cat>
          <c:val>
            <c:numRef>
              <c:f>'報告總覽'!$C$27:$C$28</c:f>
              <c:numCache>
                <c:formatCode>0.00%</c:formatCode>
                <c:ptCount val="0"/>
              </c:numCache>
            </c:numRef>
          </c:val>
        </c:ser>
        <c:ser>
          <c:idx val="2"/>
          <c:order val="2"/>
          <c:tx>
            <c:v>F2</c:v>
          </c:tx>
          <c:spPr>
            <a:solidFill xmlns:a="http://schemas.openxmlformats.org/drawingml/2006/main">
              <a:srgbClr val="244A73"/>
            </a:solidFill>
          </c:spPr>
          <c:cat>
            <c:strRef>
              <c:f>'報告總覽'!$A$27:$A$28</c:f>
              <c:strCache>
                <c:ptCount val="0"/>
              </c:strCache>
            </c:strRef>
          </c:cat>
          <c:val>
            <c:numRef>
              <c:f>'報告總覽'!$D$27:$D$28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8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K增加時，Macro召回僅小幅上升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Macro召回</c:v>
          </c:tx>
          <c:spPr>
            <a:solidFill xmlns:a="http://schemas.openxmlformats.org/drawingml/2006/main">
              <a:srgbClr val="2A9D8F"/>
            </a:solidFill>
          </c:spPr>
          <c:marker>
            <c:symbol val="none"/>
          </c:marker>
          <c:cat>
            <c:strRef>
              <c:f>'K值取捨'!$A$6:$A$9</c:f>
              <c:strCache>
                <c:ptCount val="0"/>
              </c:strCache>
            </c:strRef>
          </c:cat>
          <c:val>
            <c:numRef>
              <c:f>'K值取捨'!$D$6:$D$9</c:f>
              <c:numCache>
                <c:formatCode>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K增加時，未命中警示工作量上升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未命中Episode/日</c:v>
          </c:tx>
          <c:spPr>
            <a:solidFill xmlns:a="http://schemas.openxmlformats.org/drawingml/2006/main">
              <a:srgbClr val="C94C4C"/>
            </a:solidFill>
          </c:spPr>
          <c:marker>
            <c:symbol val="none"/>
          </c:marker>
          <c:cat>
            <c:strRef>
              <c:f>'K值取捨'!$A$6:$A$9</c:f>
              <c:strCache>
                <c:ptCount val="0"/>
              </c:strCache>
            </c:strRef>
          </c:cat>
          <c:val>
            <c:numRef>
              <c:f>'K值取捨'!$F$6:$F$9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7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PR-AUC差距很小（僅作敏感度比較）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LightGBM PR-AUC</c:v>
          </c:tx>
          <c:spPr>
            <a:solidFill xmlns:a="http://schemas.openxmlformats.org/drawingml/2006/main">
              <a:srgbClr val="2A9D8F"/>
            </a:solidFill>
          </c:spPr>
          <c:cat>
            <c:strRef>
              <c:f>'挑戰組附錄'!$A$7:$A$8</c:f>
              <c:strCache>
                <c:ptCount val="0"/>
              </c:strCache>
            </c:strRef>
          </c:cat>
          <c:val>
            <c:numRef>
              <c:f>'挑戰組附錄'!$B$7:$B$8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XGBoost PR-AUC</c:v>
          </c:tx>
          <c:spPr>
            <a:solidFill xmlns:a="http://schemas.openxmlformats.org/drawingml/2006/main">
              <a:srgbClr val="F4A261"/>
            </a:solidFill>
          </c:spPr>
          <c:cat>
            <c:strRef>
              <c:f>'挑戰組附錄'!$A$7:$A$8</c:f>
              <c:strCache>
                <c:ptCount val="0"/>
              </c:strCache>
            </c:strRef>
          </c:cat>
          <c:val>
            <c:numRef>
              <c:f>'挑戰組附錄'!$C$7:$C$8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0.3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c8431e179ec4e91"/>
        </a:graphicData>
      </a:graphic>
    </xdr:graphicFrame>
    <xdr:clientData/>
  </xdr:twoCellAnchor>
  <xdr:twoCellAnchor>
    <xdr:from>
      <xdr:col>6</xdr:col>
      <xdr:colOff>0</xdr:colOff>
      <xdr:row>25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5e12412987c473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5ddfabf19b4c1d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8170632c184dbb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4e0a0223684d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JuneModelMetrics" displayName="JuneModelMetrics" ref="A3:R9" headerRowCount="1" totalsRowCount="0" totalsRowShown="0">
  <x:tableColumns count="18">
    <x:tableColumn id="1" name="事件"/>
    <x:tableColumn id="2" name="模型"/>
    <x:tableColumn id="3" name="角色"/>
    <x:tableColumn id="4" name="正例數"/>
    <x:tableColumn id="5" name="發生率"/>
    <x:tableColumn id="6" name="PR-AUC"/>
    <x:tableColumn id="7" name="相對基準倍數"/>
    <x:tableColumn id="8" name="ROC-AUC"/>
    <x:tableColumn id="9" name="F2門檻"/>
    <x:tableColumn id="10" name="警示數"/>
    <x:tableColumn id="11" name="TP"/>
    <x:tableColumn id="12" name="FP"/>
    <x:tableColumn id="13" name="FN"/>
    <x:tableColumn id="14" name="Precision"/>
    <x:tableColumn id="15" name="Recall"/>
    <x:tableColumn id="16" name="F2"/>
    <x:tableColumn id="17" name="Brier"/>
    <x:tableColumn id="18" name="E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JuneTopKMetrics" displayName="JuneTopKMetrics" ref="A3:R15" headerRowCount="1" totalsRowCount="0" totalsRowShown="0">
  <x:tableColumns count="18">
    <x:tableColumn id="1" name="模型"/>
    <x:tableColumn id="2" name="角色"/>
    <x:tableColumn id="3" name="K"/>
    <x:tableColumn id="4" name="平均候選站"/>
    <x:tableColumn id="5" name="平均顯示站"/>
    <x:tableColumn id="6" name="快照命中率"/>
    <x:tableColumn id="7" name="Episode命中率"/>
    <x:tableColumn id="8" name="Episodes"/>
    <x:tableColumn id="9" name="命中Episodes"/>
    <x:tableColumn id="10" name="Episodes/日"/>
    <x:tableColumn id="11" name="未命中/日"/>
    <x:tableColumn id="12" name="缺車召回"/>
    <x:tableColumn id="13" name="滿柱召回"/>
    <x:tableColumn id="14" name="Macro召回"/>
    <x:tableColumn id="15" name="Micro召回"/>
    <x:tableColumn id="16" name="去重率"/>
    <x:tableColumn id="17" name="K滿載率"/>
    <x:tableColumn id="18" name="清單未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e413f713ee42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16f82588bf648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df6379b63b774c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.xml" Id="R398b526deb0244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2.xml" Id="Rb88b821162554e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28" customHeight="1">
      <x:c r="A1" s="4" t="str">
        <x:v>YouBike 2.0｜六月最終測試結果</x:v>
      </x:c>
      <x:c r="B1" s="4" t="str">
        <x:v>YouBike 2.0｜六月最終測試結果</x:v>
      </x:c>
      <x:c r="C1" s="4" t="str">
        <x:v>YouBike 2.0｜六月最終測試結果</x:v>
      </x:c>
      <x:c r="D1" s="4" t="str">
        <x:v>YouBike 2.0｜六月最終測試結果</x:v>
      </x:c>
      <x:c r="E1" s="4" t="str">
        <x:v>YouBike 2.0｜六月最終測試結果</x:v>
      </x:c>
      <x:c r="F1" s="4" t="str">
        <x:v>YouBike 2.0｜六月最終測試結果</x:v>
      </x:c>
      <x:c r="G1" s="4" t="str">
        <x:v>YouBike 2.0｜六月最終測試結果</x:v>
      </x:c>
      <x:c r="H1" s="4" t="str">
        <x:v>YouBike 2.0｜六月最終測試結果</x:v>
      </x:c>
      <x:c r="I1" s="4" t="str">
        <x:v>YouBike 2.0｜六月最終測試結果</x:v>
      </x:c>
      <x:c r="J1" s="4" t="str">
        <x:v>YouBike 2.0｜六月最終測試結果</x:v>
      </x:c>
      <x:c r="K1" s="4" t="str">
        <x:v>YouBike 2.0｜六月最終測試結果</x:v>
      </x:c>
      <x:c r="L1" s="4" t="str">
        <x:v>YouBike 2.0｜六月最終測試結果</x:v>
      </x:c>
      <x:c r="M1" s="4" t="str">
        <x:v>YouBike 2.0｜六月最終測試結果</x:v>
      </x:c>
      <x:c r="N1" s="4" t="str">
        <x:v>YouBike 2.0｜六月最終測試結果</x:v>
      </x:c>
    </x:row>
    <x:row r="2" ht="28" customHeight="1">
      <x:c r="A2" s="4" t="str">
        <x:v>YouBike 2.0｜六月最終測試結果</x:v>
      </x:c>
      <x:c r="B2" s="4" t="str">
        <x:v>YouBike 2.0｜六月最終測試結果</x:v>
      </x:c>
      <x:c r="C2" s="4" t="str">
        <x:v>YouBike 2.0｜六月最終測試結果</x:v>
      </x:c>
      <x:c r="D2" s="4" t="str">
        <x:v>YouBike 2.0｜六月最終測試結果</x:v>
      </x:c>
      <x:c r="E2" s="4" t="str">
        <x:v>YouBike 2.0｜六月最終測試結果</x:v>
      </x:c>
      <x:c r="F2" s="4" t="str">
        <x:v>YouBike 2.0｜六月最終測試結果</x:v>
      </x:c>
      <x:c r="G2" s="4" t="str">
        <x:v>YouBike 2.0｜六月最終測試結果</x:v>
      </x:c>
      <x:c r="H2" s="4" t="str">
        <x:v>YouBike 2.0｜六月最終測試結果</x:v>
      </x:c>
      <x:c r="I2" s="4" t="str">
        <x:v>YouBike 2.0｜六月最終測試結果</x:v>
      </x:c>
      <x:c r="J2" s="4" t="str">
        <x:v>YouBike 2.0｜六月最終測試結果</x:v>
      </x:c>
      <x:c r="K2" s="4" t="str">
        <x:v>YouBike 2.0｜六月最終測試結果</x:v>
      </x:c>
      <x:c r="L2" s="4" t="str">
        <x:v>YouBike 2.0｜六月最終測試結果</x:v>
      </x:c>
      <x:c r="M2" s="4" t="str">
        <x:v>YouBike 2.0｜六月最終測試結果</x:v>
      </x:c>
      <x:c r="N2" s="4" t="str">
        <x:v>YouBike 2.0｜六月最終測試結果</x:v>
      </x:c>
    </x:row>
    <x:row r="3">
      <x:c r="A3" s="8" t="str">
        <x:v>正式主方案：缺車與滿柱皆使用LightGBM。六月只做時間外驗證，未重新訓練、校正、調門檻或選模型。 </x:v>
      </x:c>
      <x:c r="B3" s="8" t="str">
        <x:v>正式主方案：缺車與滿柱皆使用LightGBM。六月只做時間外驗證，未重新訓練、校正、調門檻或選模型。 </x:v>
      </x:c>
      <x:c r="C3" s="8" t="str">
        <x:v>正式主方案：缺車與滿柱皆使用LightGBM。六月只做時間外驗證，未重新訓練、校正、調門檻或選模型。 </x:v>
      </x:c>
      <x:c r="D3" s="8" t="str">
        <x:v>正式主方案：缺車與滿柱皆使用LightGBM。六月只做時間外驗證，未重新訓練、校正、調門檻或選模型。 </x:v>
      </x:c>
      <x:c r="E3" s="8" t="str">
        <x:v>正式主方案：缺車與滿柱皆使用LightGBM。六月只做時間外驗證，未重新訓練、校正、調門檻或選模型。 </x:v>
      </x:c>
      <x:c r="F3" s="8" t="str">
        <x:v>正式主方案：缺車與滿柱皆使用LightGBM。六月只做時間外驗證，未重新訓練、校正、調門檻或選模型。 </x:v>
      </x:c>
      <x:c r="G3" s="8" t="str">
        <x:v>正式主方案：缺車與滿柱皆使用LightGBM。六月只做時間外驗證，未重新訓練、校正、調門檻或選模型。 </x:v>
      </x:c>
      <x:c r="H3" s="8" t="str">
        <x:v>正式主方案：缺車與滿柱皆使用LightGBM。六月只做時間外驗證，未重新訓練、校正、調門檻或選模型。 </x:v>
      </x:c>
      <x:c r="I3" s="8" t="str">
        <x:v>正式主方案：缺車與滿柱皆使用LightGBM。六月只做時間外驗證，未重新訓練、校正、調門檻或選模型。 </x:v>
      </x:c>
      <x:c r="J3" s="8" t="str">
        <x:v>正式主方案：缺車與滿柱皆使用LightGBM。六月只做時間外驗證，未重新訓練、校正、調門檻或選模型。 </x:v>
      </x:c>
      <x:c r="K3" s="8" t="str">
        <x:v>正式主方案：缺車與滿柱皆使用LightGBM。六月只做時間外驗證，未重新訓練、校正、調門檻或選模型。 </x:v>
      </x:c>
      <x:c r="L3" s="8" t="str">
        <x:v>正式主方案：缺車與滿柱皆使用LightGBM。六月只做時間外驗證，未重新訓練、校正、調門檻或選模型。 </x:v>
      </x:c>
      <x:c r="M3" s="8" t="str">
        <x:v>正式主方案：缺車與滿柱皆使用LightGBM。六月只做時間外驗證，未重新訓練、校正、調門檻或選模型。 </x:v>
      </x:c>
      <x:c r="N3" s="8" t="str">
        <x:v>正式主方案：缺車與滿柱皆使用LightGBM。六月只做時間外驗證，未重新訓練、校正、調門檻或選模型。 </x:v>
      </x:c>
    </x:row>
    <x:row r="5">
      <x:c r="A5" s="79" t="n">
        <x:f>'測試資料'!B5</x:f>
        <x:v>611743</x:v>
      </x:c>
      <x:c r="B5" s="80"/>
      <x:c r="C5" s="81"/>
      <x:c r="E5" s="119" t="n">
        <x:f>'測試資料'!B10</x:f>
        <x:v>0.02784339175111117</x:v>
      </x:c>
      <x:c r="F5" s="120"/>
      <x:c r="G5" s="121"/>
      <x:c r="I5" s="159" t="n">
        <x:f>'測試資料'!B12</x:f>
        <x:v>0.004704589999395171</x:v>
      </x:c>
      <x:c r="J5" s="160"/>
      <x:c r="K5" s="161"/>
      <x:c r="M5" s="184" t="str">
        <x:v>LightGBM</x:v>
      </x:c>
      <x:c r="N5" s="185" t="str">
        <x:v>LightGBM</x:v>
      </x:c>
    </x:row>
    <x:row r="6">
      <x:c r="A6" s="82"/>
      <x:c r="B6" s="83"/>
      <x:c r="C6" s="84"/>
      <x:c r="E6" s="122"/>
      <x:c r="F6" s="123"/>
      <x:c r="G6" s="124"/>
      <x:c r="I6" s="162"/>
      <x:c r="J6" s="163"/>
      <x:c r="K6" s="164"/>
      <x:c r="M6" s="186" t="str">
        <x:v>LightGBM</x:v>
      </x:c>
      <x:c r="N6" s="187" t="str">
        <x:v>LightGBM</x:v>
      </x:c>
    </x:row>
    <x:row r="7">
      <x:c r="A7" s="85"/>
      <x:c r="B7" s="86"/>
      <x:c r="C7" s="87"/>
      <x:c r="E7" s="125"/>
      <x:c r="F7" s="126"/>
      <x:c r="G7" s="127"/>
      <x:c r="I7" s="165"/>
      <x:c r="J7" s="166"/>
      <x:c r="K7" s="167"/>
      <x:c r="M7" s="188" t="str">
        <x:v>LightGBM</x:v>
      </x:c>
      <x:c r="N7" s="189" t="str">
        <x:v>LightGBM</x:v>
      </x:c>
    </x:row>
    <x:row r="8">
      <x:c r="A8" s="90" t="str">
        <x:v>六月尖峰測試快照</x:v>
      </x:c>
      <x:c r="B8" s="90" t="str">
        <x:v>六月尖峰測試快照</x:v>
      </x:c>
      <x:c r="C8" s="90" t="str">
        <x:v>六月尖峰測試快照</x:v>
      </x:c>
      <x:c r="E8" s="130" t="str">
        <x:v>30分鐘後缺車率</x:v>
      </x:c>
      <x:c r="F8" s="130" t="str">
        <x:v>30分鐘後缺車率</x:v>
      </x:c>
      <x:c r="G8" s="130" t="str">
        <x:v>30分鐘後缺車率</x:v>
      </x:c>
      <x:c r="I8" s="170" t="str">
        <x:v>30分鐘後滿柱率</x:v>
      </x:c>
      <x:c r="J8" s="170" t="str">
        <x:v>30分鐘後滿柱率</x:v>
      </x:c>
      <x:c r="K8" s="170" t="str">
        <x:v>30分鐘後滿柱率</x:v>
      </x:c>
      <x:c r="M8" s="191" t="str">
        <x:v>正式主方案</x:v>
      </x:c>
      <x:c r="N8" s="191" t="str">
        <x:v>正式主方案</x:v>
      </x:c>
    </x:row>
    <x:row r="10">
      <x:c r="A10" s="195" t="str">
        <x:v>圖1｜LightGBM的PR-AUC遠高於事件基準率</x:v>
      </x:c>
      <x:c r="B10" s="195" t="str">
        <x:v>圖1｜LightGBM的PR-AUC遠高於事件基準率</x:v>
      </x:c>
      <x:c r="C10" s="195" t="str">
        <x:v>圖1｜LightGBM的PR-AUC遠高於事件基準率</x:v>
      </x:c>
      <x:c r="D10" s="195" t="str">
        <x:v>圖1｜LightGBM的PR-AUC遠高於事件基準率</x:v>
      </x:c>
      <x:c r="E10" s="195" t="str">
        <x:v>圖1｜LightGBM的PR-AUC遠高於事件基準率</x:v>
      </x:c>
      <x:c r="F10" s="195" t="str">
        <x:v>圖1｜LightGBM的PR-AUC遠高於事件基準率</x:v>
      </x:c>
      <x:c r="G10" s="195" t="str">
        <x:v>圖1｜LightGBM的PR-AUC遠高於事件基準率</x:v>
      </x:c>
      <x:c r="H10" s="195" t="str">
        <x:v>圖1｜LightGBM的PR-AUC遠高於事件基準率</x:v>
      </x:c>
      <x:c r="I10" s="195" t="str">
        <x:v>圖1｜LightGBM的PR-AUC遠高於事件基準率</x:v>
      </x:c>
      <x:c r="J10" s="195" t="str">
        <x:v>圖1｜LightGBM的PR-AUC遠高於事件基準率</x:v>
      </x:c>
      <x:c r="K10" s="195" t="str">
        <x:v>圖1｜LightGBM的PR-AUC遠高於事件基準率</x:v>
      </x:c>
      <x:c r="L10" s="195" t="str">
        <x:v>圖1｜LightGBM的PR-AUC遠高於事件基準率</x:v>
      </x:c>
      <x:c r="M10" s="195" t="str">
        <x:v>圖1｜LightGBM的PR-AUC遠高於事件基準率</x:v>
      </x:c>
      <x:c r="N10" s="195" t="str">
        <x:v>圖1｜LightGBM的PR-AUC遠高於事件基準率</x:v>
      </x:c>
    </x:row>
    <x:row r="12">
      <x:c r="A12" s="20" t="str">
        <x:v>事件</x:v>
      </x:c>
      <x:c r="B12" s="21" t="str">
        <x:v>事件基準率</x:v>
      </x:c>
      <x:c r="C12" s="21" t="str">
        <x:v>LightGBM PR-AUC</x:v>
      </x:c>
      <x:c r="D12" s="22" t="str">
        <x:v>相對基準倍數</x:v>
      </x:c>
    </x:row>
    <x:row r="13">
      <x:c r="A13" s="27" t="str">
        <x:v>缺車</x:v>
      </x:c>
      <x:c r="B13" s="40" t="n">
        <x:f>'模型明細'!E4</x:f>
        <x:v>0.02784339175111117</x:v>
      </x:c>
      <x:c r="C13" s="40" t="n">
        <x:f>'模型明細'!F4</x:f>
        <x:v>0.25081689823556774</x:v>
      </x:c>
      <x:c r="D13" s="196" t="n">
        <x:f>C13/B13</x:f>
        <x:v>9.008130204739091</x:v>
      </x:c>
    </x:row>
    <x:row r="14">
      <x:c r="A14" s="29" t="str">
        <x:v>滿柱</x:v>
      </x:c>
      <x:c r="B14" s="41" t="n">
        <x:f>'模型明細'!E7</x:f>
        <x:v>0.004704589999395171</x:v>
      </x:c>
      <x:c r="C14" s="41" t="n">
        <x:f>'模型明細'!F7</x:f>
        <x:v>0.1400511138035712</x:v>
      </x:c>
      <x:c r="D14" s="197" t="n">
        <x:f>C14/B14</x:f>
        <x:v>29.76903700887354</x:v>
      </x:c>
    </x:row>
    <x:row r="16">
      <x:c r="A16" s="216" t="str">
        <x:v>如何解讀：缺車PR-AUC為25.08%，是基準率2.78%的9.0倍；滿柱PR-AUC為14.01%，是基準率0.47%的29.8倍。事件雖稀少，模型仍能把高風險站排到前面。</x:v>
      </x:c>
      <x:c r="B16" s="217" t="str">
        <x:v>如何解讀：缺車PR-AUC為25.08%，是基準率2.78%的9.0倍；滿柱PR-AUC為14.01%，是基準率0.47%的29.8倍。事件雖稀少，模型仍能把高風險站排到前面。</x:v>
      </x:c>
      <x:c r="C16" s="217" t="str">
        <x:v>如何解讀：缺車PR-AUC為25.08%，是基準率2.78%的9.0倍；滿柱PR-AUC為14.01%，是基準率0.47%的29.8倍。事件雖稀少，模型仍能把高風險站排到前面。</x:v>
      </x:c>
      <x:c r="D16" s="218" t="str">
        <x:v>如何解讀：缺車PR-AUC為25.08%，是基準率2.78%的9.0倍；滿柱PR-AUC為14.01%，是基準率0.47%的29.8倍。事件雖稀少，模型仍能把高風險站排到前面。</x:v>
      </x:c>
    </x:row>
    <x:row r="17">
      <x:c r="A17" s="219" t="str">
        <x:v>如何解讀：缺車PR-AUC為25.08%，是基準率2.78%的9.0倍；滿柱PR-AUC為14.01%，是基準率0.47%的29.8倍。事件雖稀少，模型仍能把高風險站排到前面。</x:v>
      </x:c>
      <x:c r="B17" s="220" t="str">
        <x:v>如何解讀：缺車PR-AUC為25.08%，是基準率2.78%的9.0倍；滿柱PR-AUC為14.01%，是基準率0.47%的29.8倍。事件雖稀少，模型仍能把高風險站排到前面。</x:v>
      </x:c>
      <x:c r="C17" s="220" t="str">
        <x:v>如何解讀：缺車PR-AUC為25.08%，是基準率2.78%的9.0倍；滿柱PR-AUC為14.01%，是基準率0.47%的29.8倍。事件雖稀少，模型仍能把高風險站排到前面。</x:v>
      </x:c>
      <x:c r="D17" s="221" t="str">
        <x:v>如何解讀：缺車PR-AUC為25.08%，是基準率2.78%的9.0倍；滿柱PR-AUC為14.01%，是基準率0.47%的29.8倍。事件雖稀少，模型仍能把高風險站排到前面。</x:v>
      </x:c>
    </x:row>
    <x:row r="18">
      <x:c r="A18" s="219" t="str">
        <x:v>如何解讀：缺車PR-AUC為25.08%，是基準率2.78%的9.0倍；滿柱PR-AUC為14.01%，是基準率0.47%的29.8倍。事件雖稀少，模型仍能把高風險站排到前面。</x:v>
      </x:c>
      <x:c r="B18" s="220" t="str">
        <x:v>如何解讀：缺車PR-AUC為25.08%，是基準率2.78%的9.0倍；滿柱PR-AUC為14.01%，是基準率0.47%的29.8倍。事件雖稀少，模型仍能把高風險站排到前面。</x:v>
      </x:c>
      <x:c r="C18" s="220" t="str">
        <x:v>如何解讀：缺車PR-AUC為25.08%，是基準率2.78%的9.0倍；滿柱PR-AUC為14.01%，是基準率0.47%的29.8倍。事件雖稀少，模型仍能把高風險站排到前面。</x:v>
      </x:c>
      <x:c r="D18" s="221" t="str">
        <x:v>如何解讀：缺車PR-AUC為25.08%，是基準率2.78%的9.0倍；滿柱PR-AUC為14.01%，是基準率0.47%的29.8倍。事件雖稀少，模型仍能把高風險站排到前面。</x:v>
      </x:c>
    </x:row>
    <x:row r="19">
      <x:c r="A19" s="222" t="str">
        <x:v>如何解讀：缺車PR-AUC為25.08%，是基準率2.78%的9.0倍；滿柱PR-AUC為14.01%，是基準率0.47%的29.8倍。事件雖稀少，模型仍能把高風險站排到前面。</x:v>
      </x:c>
      <x:c r="B19" s="223" t="str">
        <x:v>如何解讀：缺車PR-AUC為25.08%，是基準率2.78%的9.0倍；滿柱PR-AUC為14.01%，是基準率0.47%的29.8倍。事件雖稀少，模型仍能把高風險站排到前面。</x:v>
      </x:c>
      <x:c r="C19" s="223" t="str">
        <x:v>如何解讀：缺車PR-AUC為25.08%，是基準率2.78%的9.0倍；滿柱PR-AUC為14.01%，是基準率0.47%的29.8倍。事件雖稀少，模型仍能把高風險站排到前面。</x:v>
      </x:c>
      <x:c r="D19" s="224" t="str">
        <x:v>如何解讀：缺車PR-AUC為25.08%，是基準率2.78%的9.0倍；滿柱PR-AUC為14.01%，是基準率0.47%的29.8倍。事件雖稀少，模型仍能把高風險站排到前面。</x:v>
      </x:c>
    </x:row>
    <x:row r="24">
      <x:c r="A24" s="195" t="str">
        <x:v>圖2｜正式LightGBM在凍結F2門檻下的Precision、Recall與F2</x:v>
      </x:c>
      <x:c r="B24" s="195" t="str">
        <x:v>圖2｜正式LightGBM在凍結F2門檻下的Precision、Recall與F2</x:v>
      </x:c>
      <x:c r="C24" s="195" t="str">
        <x:v>圖2｜正式LightGBM在凍結F2門檻下的Precision、Recall與F2</x:v>
      </x:c>
      <x:c r="D24" s="195" t="str">
        <x:v>圖2｜正式LightGBM在凍結F2門檻下的Precision、Recall與F2</x:v>
      </x:c>
      <x:c r="E24" s="195" t="str">
        <x:v>圖2｜正式LightGBM在凍結F2門檻下的Precision、Recall與F2</x:v>
      </x:c>
      <x:c r="F24" s="195" t="str">
        <x:v>圖2｜正式LightGBM在凍結F2門檻下的Precision、Recall與F2</x:v>
      </x:c>
      <x:c r="G24" s="195" t="str">
        <x:v>圖2｜正式LightGBM在凍結F2門檻下的Precision、Recall與F2</x:v>
      </x:c>
      <x:c r="H24" s="195" t="str">
        <x:v>圖2｜正式LightGBM在凍結F2門檻下的Precision、Recall與F2</x:v>
      </x:c>
      <x:c r="I24" s="195" t="str">
        <x:v>圖2｜正式LightGBM在凍結F2門檻下的Precision、Recall與F2</x:v>
      </x:c>
      <x:c r="J24" s="195" t="str">
        <x:v>圖2｜正式LightGBM在凍結F2門檻下的Precision、Recall與F2</x:v>
      </x:c>
      <x:c r="K24" s="195" t="str">
        <x:v>圖2｜正式LightGBM在凍結F2門檻下的Precision、Recall與F2</x:v>
      </x:c>
      <x:c r="L24" s="195" t="str">
        <x:v>圖2｜正式LightGBM在凍結F2門檻下的Precision、Recall與F2</x:v>
      </x:c>
      <x:c r="M24" s="195" t="str">
        <x:v>圖2｜正式LightGBM在凍結F2門檻下的Precision、Recall與F2</x:v>
      </x:c>
      <x:c r="N24" s="195" t="str">
        <x:v>圖2｜正式LightGBM在凍結F2門檻下的Precision、Recall與F2</x:v>
      </x:c>
    </x:row>
    <x:row r="26">
      <x:c r="A26" s="20" t="str">
        <x:v>事件</x:v>
      </x:c>
      <x:c r="B26" s="21" t="str">
        <x:v>Precision</x:v>
      </x:c>
      <x:c r="C26" s="21" t="str">
        <x:v>Recall</x:v>
      </x:c>
      <x:c r="D26" s="21" t="str">
        <x:v>F2</x:v>
      </x:c>
      <x:c r="E26" s="22" t="str">
        <x:v>凍結門檻</x:v>
      </x:c>
    </x:row>
    <x:row r="27">
      <x:c r="A27" s="27" t="str">
        <x:v>缺車</x:v>
      </x:c>
      <x:c r="B27" s="40" t="n">
        <x:f>'模型明細'!N4</x:f>
        <x:v>0.1789103796251802</x:v>
      </x:c>
      <x:c r="C27" s="40" t="n">
        <x:f>'模型明細'!O4</x:f>
        <x:v>0.6994657429695298</x:v>
      </x:c>
      <x:c r="D27" s="40" t="n">
        <x:f>'模型明細'!P4</x:f>
        <x:v>0.44216323743356784</x:v>
      </x:c>
      <x:c r="E27" s="40" t="n">
        <x:f>'模型明細'!I4</x:f>
        <x:v>0.08395294278860092</x:v>
      </x:c>
    </x:row>
    <x:row r="28">
      <x:c r="A28" s="29" t="str">
        <x:v>滿柱</x:v>
      </x:c>
      <x:c r="B28" s="41" t="n">
        <x:f>'模型明細'!N7</x:f>
        <x:v>0.10186746987951807</x:v>
      </x:c>
      <x:c r="C28" s="41" t="n">
        <x:f>'模型明細'!O7</x:f>
        <x:v>0.5875608061153579</x:v>
      </x:c>
      <x:c r="D28" s="41" t="n">
        <x:f>'模型明細'!P7</x:f>
        <x:v>0.30076124075128063</x:v>
      </x:c>
      <x:c r="E28" s="41" t="n">
        <x:f>'模型明細'!I7</x:f>
        <x:v>0.04853849348425863</x:v>
      </x:c>
    </x:row>
    <x:row r="30">
      <x:c r="A30" s="243" t="str">
        <x:v>模型設計偏向先抓住風險：缺車Recall約70%、滿柱Recall約59%，因此Precision較低、會出現較多誤報。這是F2重視Recall的結果，不代表每個警示都要立刻派車。</x:v>
      </x:c>
      <x:c r="B30" s="244" t="str">
        <x:v>模型設計偏向先抓住風險：缺車Recall約70%、滿柱Recall約59%，因此Precision較低、會出現較多誤報。這是F2重視Recall的結果，不代表每個警示都要立刻派車。</x:v>
      </x:c>
      <x:c r="C30" s="244" t="str">
        <x:v>模型設計偏向先抓住風險：缺車Recall約70%、滿柱Recall約59%，因此Precision較低、會出現較多誤報。這是F2重視Recall的結果，不代表每個警示都要立刻派車。</x:v>
      </x:c>
      <x:c r="D30" s="244" t="str">
        <x:v>模型設計偏向先抓住風險：缺車Recall約70%、滿柱Recall約59%，因此Precision較低、會出現較多誤報。這是F2重視Recall的結果，不代表每個警示都要立刻派車。</x:v>
      </x:c>
      <x:c r="E30" s="245" t="str">
        <x:v>模型設計偏向先抓住風險：缺車Recall約70%、滿柱Recall約59%，因此Precision較低、會出現較多誤報。這是F2重視Recall的結果，不代表每個警示都要立刻派車。</x:v>
      </x:c>
    </x:row>
    <x:row r="31">
      <x:c r="A31" s="246" t="str">
        <x:v>模型設計偏向先抓住風險：缺車Recall約70%、滿柱Recall約59%，因此Precision較低、會出現較多誤報。這是F2重視Recall的結果，不代表每個警示都要立刻派車。</x:v>
      </x:c>
      <x:c r="B31" s="247" t="str">
        <x:v>模型設計偏向先抓住風險：缺車Recall約70%、滿柱Recall約59%，因此Precision較低、會出現較多誤報。這是F2重視Recall的結果，不代表每個警示都要立刻派車。</x:v>
      </x:c>
      <x:c r="C31" s="247" t="str">
        <x:v>模型設計偏向先抓住風險：缺車Recall約70%、滿柱Recall約59%，因此Precision較低、會出現較多誤報。這是F2重視Recall的結果，不代表每個警示都要立刻派車。</x:v>
      </x:c>
      <x:c r="D31" s="247" t="str">
        <x:v>模型設計偏向先抓住風險：缺車Recall約70%、滿柱Recall約59%，因此Precision較低、會出現較多誤報。這是F2重視Recall的結果，不代表每個警示都要立刻派車。</x:v>
      </x:c>
      <x:c r="E31" s="248" t="str">
        <x:v>模型設計偏向先抓住風險：缺車Recall約70%、滿柱Recall約59%，因此Precision較低、會出現較多誤報。這是F2重視Recall的結果，不代表每個警示都要立刻派車。</x:v>
      </x:c>
    </x:row>
    <x:row r="32">
      <x:c r="A32" s="246" t="str">
        <x:v>模型設計偏向先抓住風險：缺車Recall約70%、滿柱Recall約59%，因此Precision較低、會出現較多誤報。這是F2重視Recall的結果，不代表每個警示都要立刻派車。</x:v>
      </x:c>
      <x:c r="B32" s="247" t="str">
        <x:v>模型設計偏向先抓住風險：缺車Recall約70%、滿柱Recall約59%，因此Precision較低、會出現較多誤報。這是F2重視Recall的結果，不代表每個警示都要立刻派車。</x:v>
      </x:c>
      <x:c r="C32" s="247" t="str">
        <x:v>模型設計偏向先抓住風險：缺車Recall約70%、滿柱Recall約59%，因此Precision較低、會出現較多誤報。這是F2重視Recall的結果，不代表每個警示都要立刻派車。</x:v>
      </x:c>
      <x:c r="D32" s="247" t="str">
        <x:v>模型設計偏向先抓住風險：缺車Recall約70%、滿柱Recall約59%，因此Precision較低、會出現較多誤報。這是F2重視Recall的結果，不代表每個警示都要立刻派車。</x:v>
      </x:c>
      <x:c r="E32" s="248" t="str">
        <x:v>模型設計偏向先抓住風險：缺車Recall約70%、滿柱Recall約59%，因此Precision較低、會出現較多誤報。這是F2重視Recall的結果，不代表每個警示都要立刻派車。</x:v>
      </x:c>
    </x:row>
    <x:row r="33">
      <x:c r="A33" s="246" t="str">
        <x:v>模型設計偏向先抓住風險：缺車Recall約70%、滿柱Recall約59%，因此Precision較低、會出現較多誤報。這是F2重視Recall的結果，不代表每個警示都要立刻派車。</x:v>
      </x:c>
      <x:c r="B33" s="247" t="str">
        <x:v>模型設計偏向先抓住風險：缺車Recall約70%、滿柱Recall約59%，因此Precision較低、會出現較多誤報。這是F2重視Recall的結果，不代表每個警示都要立刻派車。</x:v>
      </x:c>
      <x:c r="C33" s="247" t="str">
        <x:v>模型設計偏向先抓住風險：缺車Recall約70%、滿柱Recall約59%，因此Precision較低、會出現較多誤報。這是F2重視Recall的結果，不代表每個警示都要立刻派車。</x:v>
      </x:c>
      <x:c r="D33" s="247" t="str">
        <x:v>模型設計偏向先抓住風險：缺車Recall約70%、滿柱Recall約59%，因此Precision較低、會出現較多誤報。這是F2重視Recall的結果，不代表每個警示都要立刻派車。</x:v>
      </x:c>
      <x:c r="E33" s="248" t="str">
        <x:v>模型設計偏向先抓住風險：缺車Recall約70%、滿柱Recall約59%，因此Precision較低、會出現較多誤報。這是F2重視Recall的結果，不代表每個警示都要立刻派車。</x:v>
      </x:c>
    </x:row>
    <x:row r="34">
      <x:c r="A34" s="249" t="str">
        <x:v>模型設計偏向先抓住風險：缺車Recall約70%、滿柱Recall約59%，因此Precision較低、會出現較多誤報。這是F2重視Recall的結果，不代表每個警示都要立刻派車。</x:v>
      </x:c>
      <x:c r="B34" s="250" t="str">
        <x:v>模型設計偏向先抓住風險：缺車Recall約70%、滿柱Recall約59%，因此Precision較低、會出現較多誤報。這是F2重視Recall的結果，不代表每個警示都要立刻派車。</x:v>
      </x:c>
      <x:c r="C34" s="250" t="str">
        <x:v>模型設計偏向先抓住風險：缺車Recall約70%、滿柱Recall約59%，因此Precision較低、會出現較多誤報。這是F2重視Recall的結果，不代表每個警示都要立刻派車。</x:v>
      </x:c>
      <x:c r="D34" s="250" t="str">
        <x:v>模型設計偏向先抓住風險：缺車Recall約70%、滿柱Recall約59%，因此Precision較低、會出現較多誤報。這是F2重視Recall的結果，不代表每個警示都要立刻派車。</x:v>
      </x:c>
      <x:c r="E34" s="251" t="str">
        <x:v>模型設計偏向先抓住風險：缺車Recall約70%、滿柱Recall約59%，因此Precision較低、會出現較多誤報。這是F2重視Recall的結果，不代表每個警示都要立刻派車。</x:v>
      </x:c>
    </x:row>
    <x:row r="40">
      <x:c r="A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B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C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D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E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F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G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H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I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J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K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L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M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N40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</x:row>
    <x:row r="41">
      <x:c r="A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B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C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D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E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F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G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H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I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J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K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L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M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N41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</x:row>
    <x:row r="42">
      <x:c r="A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B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C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D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E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F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G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H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I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J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K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L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M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N42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</x:row>
    <x:row r="43">
      <x:c r="A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B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C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D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E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F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G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H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I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J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K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L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M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  <x:c r="N43" s="255" t="str">
        <x:v>報告結論：六月跨月結果沒有推翻原方案。正式系統維持兩個LightGBM模型；缺車模型排序能力約為基準9.0倍，滿柱約29.8倍。Top-K只是有限人力下的行動清單，需與模型層Recall分開解讀。</x:v>
      </x:c>
    </x:row>
  </x:sheetData>
  <x:mergeCells>
    <x:mergeCell ref="A1:N2"/>
    <x:mergeCell ref="A3:N3"/>
    <x:mergeCell ref="A5:C7"/>
    <x:mergeCell ref="A8:C8"/>
    <x:mergeCell ref="E5:G7"/>
    <x:mergeCell ref="E8:G8"/>
    <x:mergeCell ref="I5:K7"/>
    <x:mergeCell ref="I8:K8"/>
    <x:mergeCell ref="M5:N7"/>
    <x:mergeCell ref="M8:N8"/>
    <x:mergeCell ref="A10:N10"/>
    <x:mergeCell ref="A16:D19"/>
    <x:mergeCell ref="A24:N24"/>
    <x:mergeCell ref="A30:E34"/>
    <x:mergeCell ref="A40:N43"/>
  </x:mergeCells>
  <x:pageMargins left="0.7" right="0.7" top="0.75" bottom="0.75" header="0.3" footer="0.3"/>
  <x:drawing xmlns:r="http://schemas.openxmlformats.org/officeDocument/2006/relationships" r:id="R49e413f713ee429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4" hidden="0" customWidth="1"/>
    <x:col min="3" max="3" width="15" hidden="0" customWidth="1"/>
    <x:col min="4" max="4" width="13" hidden="0" customWidth="1"/>
    <x:col min="5" max="5" width="13" hidden="0" customWidth="1"/>
    <x:col min="6" max="6" width="19" hidden="0" customWidth="1"/>
    <x:col min="7" max="7" width="13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4" customHeight="1">
      <x:c r="A1" s="4" t="str">
        <x:v>Top-K容量取捨｜正式LightGBM</x:v>
      </x:c>
      <x:c r="B1" s="4" t="str">
        <x:v>Top-K容量取捨｜正式LightGBM</x:v>
      </x:c>
      <x:c r="C1" s="4" t="str">
        <x:v>Top-K容量取捨｜正式LightGBM</x:v>
      </x:c>
      <x:c r="D1" s="4" t="str">
        <x:v>Top-K容量取捨｜正式LightGBM</x:v>
      </x:c>
      <x:c r="E1" s="4" t="str">
        <x:v>Top-K容量取捨｜正式LightGBM</x:v>
      </x:c>
      <x:c r="F1" s="4" t="str">
        <x:v>Top-K容量取捨｜正式LightGBM</x:v>
      </x:c>
      <x:c r="G1" s="4" t="str">
        <x:v>Top-K容量取捨｜正式LightGBM</x:v>
      </x:c>
      <x:c r="H1" s="4" t="str">
        <x:v>Top-K容量取捨｜正式LightGBM</x:v>
      </x:c>
      <x:c r="I1" s="4" t="str">
        <x:v>Top-K容量取捨｜正式LightGBM</x:v>
      </x:c>
      <x:c r="J1" s="4" t="str">
        <x:v>Top-K容量取捨｜正式LightGBM</x:v>
      </x:c>
      <x:c r="K1" s="4" t="str">
        <x:v>Top-K容量取捨｜正式LightGBM</x:v>
      </x:c>
      <x:c r="L1" s="4" t="str">
        <x:v>Top-K容量取捨｜正式LightGBM</x:v>
      </x:c>
      <x:c r="M1" s="4" t="str">
        <x:v>Top-K容量取捨｜正式LightGBM</x:v>
      </x:c>
      <x:c r="N1" s="4" t="str">
        <x:v>Top-K容量取捨｜正式LightGBM</x:v>
      </x:c>
    </x:row>
    <x:row r="2" ht="34" customHeight="1">
      <x:c r="A2" s="4" t="str">
        <x:v>Top-K容量取捨｜正式LightGBM</x:v>
      </x:c>
      <x:c r="B2" s="4" t="str">
        <x:v>Top-K容量取捨｜正式LightGBM</x:v>
      </x:c>
      <x:c r="C2" s="4" t="str">
        <x:v>Top-K容量取捨｜正式LightGBM</x:v>
      </x:c>
      <x:c r="D2" s="4" t="str">
        <x:v>Top-K容量取捨｜正式LightGBM</x:v>
      </x:c>
      <x:c r="E2" s="4" t="str">
        <x:v>Top-K容量取捨｜正式LightGBM</x:v>
      </x:c>
      <x:c r="F2" s="4" t="str">
        <x:v>Top-K容量取捨｜正式LightGBM</x:v>
      </x:c>
      <x:c r="G2" s="4" t="str">
        <x:v>Top-K容量取捨｜正式LightGBM</x:v>
      </x:c>
      <x:c r="H2" s="4" t="str">
        <x:v>Top-K容量取捨｜正式LightGBM</x:v>
      </x:c>
      <x:c r="I2" s="4" t="str">
        <x:v>Top-K容量取捨｜正式LightGBM</x:v>
      </x:c>
      <x:c r="J2" s="4" t="str">
        <x:v>Top-K容量取捨｜正式LightGBM</x:v>
      </x:c>
      <x:c r="K2" s="4" t="str">
        <x:v>Top-K容量取捨｜正式LightGBM</x:v>
      </x:c>
      <x:c r="L2" s="4" t="str">
        <x:v>Top-K容量取捨｜正式LightGBM</x:v>
      </x:c>
      <x:c r="M2" s="4" t="str">
        <x:v>Top-K容量取捨｜正式LightGBM</x:v>
      </x:c>
      <x:c r="N2" s="4" t="str">
        <x:v>Top-K容量取捨｜正式LightGBM</x:v>
      </x:c>
    </x:row>
    <x:row r="3">
      <x:c r="A3" s="8" t="str">
        <x:v>K是每個尖峰30分鐘決策時點最多顯示的站數；因最低風險門檻，平均顯示數會小於K。 </x:v>
      </x:c>
      <x:c r="B3" s="8" t="str">
        <x:v>K是每個尖峰30分鐘決策時點最多顯示的站數；因最低風險門檻，平均顯示數會小於K。 </x:v>
      </x:c>
      <x:c r="C3" s="8" t="str">
        <x:v>K是每個尖峰30分鐘決策時點最多顯示的站數；因最低風險門檻，平均顯示數會小於K。 </x:v>
      </x:c>
      <x:c r="D3" s="8" t="str">
        <x:v>K是每個尖峰30分鐘決策時點最多顯示的站數；因最低風險門檻，平均顯示數會小於K。 </x:v>
      </x:c>
      <x:c r="E3" s="8" t="str">
        <x:v>K是每個尖峰30分鐘決策時點最多顯示的站數；因最低風險門檻，平均顯示數會小於K。 </x:v>
      </x:c>
      <x:c r="F3" s="8" t="str">
        <x:v>K是每個尖峰30分鐘決策時點最多顯示的站數；因最低風險門檻，平均顯示數會小於K。 </x:v>
      </x:c>
      <x:c r="G3" s="8" t="str">
        <x:v>K是每個尖峰30分鐘決策時點最多顯示的站數；因最低風險門檻，平均顯示數會小於K。 </x:v>
      </x:c>
      <x:c r="H3" s="8" t="str">
        <x:v>K是每個尖峰30分鐘決策時點最多顯示的站數；因最低風險門檻，平均顯示數會小於K。 </x:v>
      </x:c>
      <x:c r="I3" s="8" t="str">
        <x:v>K是每個尖峰30分鐘決策時點最多顯示的站數；因最低風險門檻，平均顯示數會小於K。 </x:v>
      </x:c>
      <x:c r="J3" s="8" t="str">
        <x:v>K是每個尖峰30分鐘決策時點最多顯示的站數；因最低風險門檻，平均顯示數會小於K。 </x:v>
      </x:c>
      <x:c r="K3" s="8" t="str">
        <x:v>K是每個尖峰30分鐘決策時點最多顯示的站數；因最低風險門檻，平均顯示數會小於K。 </x:v>
      </x:c>
      <x:c r="L3" s="8" t="str">
        <x:v>K是每個尖峰30分鐘決策時點最多顯示的站數；因最低風險門檻，平均顯示數會小於K。 </x:v>
      </x:c>
      <x:c r="M3" s="8" t="str">
        <x:v>K是每個尖峰30分鐘決策時點最多顯示的站數；因最低風險門檻，平均顯示數會小於K。 </x:v>
      </x:c>
      <x:c r="N3" s="8" t="str">
        <x:v>K是每個尖峰30分鐘決策時點最多顯示的站數；因最低風險門檻，平均顯示數會小於K。 </x:v>
      </x:c>
    </x:row>
    <x:row r="5" ht="34" customHeight="1">
      <x:c r="A5" s="20" t="str">
        <x:v>K</x:v>
      </x:c>
      <x:c r="B5" s="21" t="str">
        <x:v>平均顯示站</x:v>
      </x:c>
      <x:c r="C5" s="21" t="str">
        <x:v>Episode命中率</x:v>
      </x:c>
      <x:c r="D5" s="21" t="str">
        <x:v>Macro召回</x:v>
      </x:c>
      <x:c r="E5" s="21" t="str">
        <x:v>Micro召回</x:v>
      </x:c>
      <x:c r="F5" s="21" t="str">
        <x:v>未命中Episode/日</x:v>
      </x:c>
      <x:c r="G5" s="22" t="str">
        <x:v>Episodes</x:v>
      </x:c>
    </x:row>
    <x:row r="6">
      <x:c r="A6" s="264" t="n">
        <x:v>10</x:v>
      </x:c>
      <x:c r="B6" s="265" t="n">
        <x:f>'TopK明細'!E4</x:f>
        <x:v>6.180952380952381</x:v>
      </x:c>
      <x:c r="C6" s="266" t="n">
        <x:f>'TopK明細'!G4</x:f>
        <x:v>0.4353353792196405</x:v>
      </x:c>
      <x:c r="D6" s="266" t="n">
        <x:f>'TopK明細'!N4</x:f>
        <x:v>0.05990159436652564</x:v>
      </x:c>
      <x:c r="E6" s="266" t="n">
        <x:f>'TopK明細'!O4</x:f>
        <x:v>0.04987193008889559</x:v>
      </x:c>
      <x:c r="F6" s="265" t="n">
        <x:f>'TopK明細'!K4</x:f>
        <x:v>42.93333333333333</x:v>
      </x:c>
      <x:c r="G6" s="267" t="n">
        <x:f>'TopK明細'!H4</x:f>
        <x:v>2281</x:v>
      </x:c>
    </x:row>
    <x:row r="7">
      <x:c r="A7" s="28" t="n">
        <x:v>15</x:v>
      </x:c>
      <x:c r="B7" s="49" t="n">
        <x:f>'TopK明細'!E5</x:f>
        <x:v>7.716666666666667</x:v>
      </x:c>
      <x:c r="C7" s="31" t="n">
        <x:f>'TopK明細'!G5</x:f>
        <x:v>0.4344436569808646</x:v>
      </x:c>
      <x:c r="D7" s="31" t="n">
        <x:f>'TopK明細'!N5</x:f>
        <x:v>0.0720832066698634</x:v>
      </x:c>
      <x:c r="E7" s="31" t="n">
        <x:f>'TopK明細'!O5</x:f>
        <x:v>0.061574004319220534</x:v>
      </x:c>
      <x:c r="F7" s="49" t="n">
        <x:f>'TopK明細'!K5</x:f>
        <x:v>53.2</x:v>
      </x:c>
      <x:c r="G7" s="30" t="n">
        <x:f>'TopK明細'!H5</x:f>
        <x:v>2822</x:v>
      </x:c>
    </x:row>
    <x:row r="8">
      <x:c r="A8" s="28" t="n">
        <x:v>20</x:v>
      </x:c>
      <x:c r="B8" s="49" t="n">
        <x:f>'TopK明細'!E6</x:f>
        <x:v>8.854761904761904</x:v>
      </x:c>
      <x:c r="C8" s="31" t="n">
        <x:f>'TopK明細'!G6</x:f>
        <x:v>0.44110353378797273</x:v>
      </x:c>
      <x:c r="D8" s="31" t="n">
        <x:f>'TopK明細'!N6</x:f>
        <x:v>0.08046488427586118</x:v>
      </x:c>
      <x:c r="E8" s="31" t="n">
        <x:f>'TopK明細'!O6</x:f>
        <x:v>0.07146803274571845</x:v>
      </x:c>
      <x:c r="F8" s="49" t="n">
        <x:f>'TopK明細'!K6</x:f>
        <x:v>60.1</x:v>
      </x:c>
      <x:c r="G8" s="30" t="n">
        <x:f>'TopK明細'!H6</x:f>
        <x:v>3226</x:v>
      </x:c>
    </x:row>
    <x:row r="9">
      <x:c r="A9" s="29" t="n">
        <x:v>25</x:v>
      </x:c>
      <x:c r="B9" s="50" t="n">
        <x:f>'TopK明細'!E7</x:f>
        <x:v>9.816666666666666</x:v>
      </x:c>
      <x:c r="C9" s="41" t="n">
        <x:f>'TopK明細'!G7</x:f>
        <x:v>0.44410112359550563</x:v>
      </x:c>
      <x:c r="D9" s="41" t="n">
        <x:f>'TopK明細'!N7</x:f>
        <x:v>0.08611357864900848</x:v>
      </x:c>
      <x:c r="E9" s="41" t="n">
        <x:f>'TopK明細'!O7</x:f>
        <x:v>0.07940334488473708</x:v>
      </x:c>
      <x:c r="F9" s="50" t="n">
        <x:f>'TopK明細'!K7</x:f>
        <x:v>65.96666666666667</x:v>
      </x:c>
      <x:c r="G9" s="39" t="n">
        <x:f>'TopK明細'!H7</x:f>
        <x:v>3560</x:v>
      </x:c>
    </x:row>
    <x:row r="12">
      <x:c r="A12" s="286" t="str">
        <x:v>建議維持K10作為展示設定：平均每時點顯示6.18站，Episode命中率43.53%，Macro召回5.99%。把K提高至25，Macro召回只升至8.61%，但未命中Episode由每日42.93升至65.97。</x:v>
      </x:c>
      <x:c r="B12" s="287" t="str">
        <x:v>建議維持K10作為展示設定：平均每時點顯示6.18站，Episode命中率43.53%，Macro召回5.99%。把K提高至25，Macro召回只升至8.61%，但未命中Episode由每日42.93升至65.97。</x:v>
      </x:c>
      <x:c r="C12" s="287" t="str">
        <x:v>建議維持K10作為展示設定：平均每時點顯示6.18站，Episode命中率43.53%，Macro召回5.99%。把K提高至25，Macro召回只升至8.61%，但未命中Episode由每日42.93升至65.97。</x:v>
      </x:c>
      <x:c r="D12" s="287" t="str">
        <x:v>建議維持K10作為展示設定：平均每時點顯示6.18站，Episode命中率43.53%，Macro召回5.99%。把K提高至25，Macro召回只升至8.61%，但未命中Episode由每日42.93升至65.97。</x:v>
      </x:c>
      <x:c r="E12" s="287" t="str">
        <x:v>建議維持K10作為展示設定：平均每時點顯示6.18站，Episode命中率43.53%，Macro召回5.99%。把K提高至25，Macro召回只升至8.61%，但未命中Episode由每日42.93升至65.97。</x:v>
      </x:c>
      <x:c r="F12" s="287" t="str">
        <x:v>建議維持K10作為展示設定：平均每時點顯示6.18站，Episode命中率43.53%，Macro召回5.99%。把K提高至25，Macro召回只升至8.61%，但未命中Episode由每日42.93升至65.97。</x:v>
      </x:c>
      <x:c r="G12" s="288" t="str">
        <x:v>建議維持K10作為展示設定：平均每時點顯示6.18站，Episode命中率43.53%，Macro召回5.99%。把K提高至25，Macro召回只升至8.61%，但未命中Episode由每日42.93升至65.97。</x:v>
      </x:c>
    </x:row>
    <x:row r="13">
      <x:c r="A13" s="289" t="str">
        <x:v>建議維持K10作為展示設定：平均每時點顯示6.18站，Episode命中率43.53%，Macro召回5.99%。把K提高至25，Macro召回只升至8.61%，但未命中Episode由每日42.93升至65.97。</x:v>
      </x:c>
      <x:c r="B13" s="290" t="str">
        <x:v>建議維持K10作為展示設定：平均每時點顯示6.18站，Episode命中率43.53%，Macro召回5.99%。把K提高至25，Macro召回只升至8.61%，但未命中Episode由每日42.93升至65.97。</x:v>
      </x:c>
      <x:c r="C13" s="290" t="str">
        <x:v>建議維持K10作為展示設定：平均每時點顯示6.18站，Episode命中率43.53%，Macro召回5.99%。把K提高至25，Macro召回只升至8.61%，但未命中Episode由每日42.93升至65.97。</x:v>
      </x:c>
      <x:c r="D13" s="290" t="str">
        <x:v>建議維持K10作為展示設定：平均每時點顯示6.18站，Episode命中率43.53%，Macro召回5.99%。把K提高至25，Macro召回只升至8.61%，但未命中Episode由每日42.93升至65.97。</x:v>
      </x:c>
      <x:c r="E13" s="290" t="str">
        <x:v>建議維持K10作為展示設定：平均每時點顯示6.18站，Episode命中率43.53%，Macro召回5.99%。把K提高至25，Macro召回只升至8.61%，但未命中Episode由每日42.93升至65.97。</x:v>
      </x:c>
      <x:c r="F13" s="290" t="str">
        <x:v>建議維持K10作為展示設定：平均每時點顯示6.18站，Episode命中率43.53%，Macro召回5.99%。把K提高至25，Macro召回只升至8.61%，但未命中Episode由每日42.93升至65.97。</x:v>
      </x:c>
      <x:c r="G13" s="291" t="str">
        <x:v>建議維持K10作為展示設定：平均每時點顯示6.18站，Episode命中率43.53%，Macro召回5.99%。把K提高至25，Macro召回只升至8.61%，但未命中Episode由每日42.93升至65.97。</x:v>
      </x:c>
    </x:row>
    <x:row r="14">
      <x:c r="A14" s="289" t="str">
        <x:v>建議維持K10作為展示設定：平均每時點顯示6.18站，Episode命中率43.53%，Macro召回5.99%。把K提高至25，Macro召回只升至8.61%，但未命中Episode由每日42.93升至65.97。</x:v>
      </x:c>
      <x:c r="B14" s="290" t="str">
        <x:v>建議維持K10作為展示設定：平均每時點顯示6.18站，Episode命中率43.53%，Macro召回5.99%。把K提高至25，Macro召回只升至8.61%，但未命中Episode由每日42.93升至65.97。</x:v>
      </x:c>
      <x:c r="C14" s="290" t="str">
        <x:v>建議維持K10作為展示設定：平均每時點顯示6.18站，Episode命中率43.53%，Macro召回5.99%。把K提高至25，Macro召回只升至8.61%，但未命中Episode由每日42.93升至65.97。</x:v>
      </x:c>
      <x:c r="D14" s="290" t="str">
        <x:v>建議維持K10作為展示設定：平均每時點顯示6.18站，Episode命中率43.53%，Macro召回5.99%。把K提高至25，Macro召回只升至8.61%，但未命中Episode由每日42.93升至65.97。</x:v>
      </x:c>
      <x:c r="E14" s="290" t="str">
        <x:v>建議維持K10作為展示設定：平均每時點顯示6.18站，Episode命中率43.53%，Macro召回5.99%。把K提高至25，Macro召回只升至8.61%，但未命中Episode由每日42.93升至65.97。</x:v>
      </x:c>
      <x:c r="F14" s="290" t="str">
        <x:v>建議維持K10作為展示設定：平均每時點顯示6.18站，Episode命中率43.53%，Macro召回5.99%。把K提高至25，Macro召回只升至8.61%，但未命中Episode由每日42.93升至65.97。</x:v>
      </x:c>
      <x:c r="G14" s="291" t="str">
        <x:v>建議維持K10作為展示設定：平均每時點顯示6.18站，Episode命中率43.53%，Macro召回5.99%。把K提高至25，Macro召回只升至8.61%，但未命中Episode由每日42.93升至65.97。</x:v>
      </x:c>
    </x:row>
    <x:row r="15">
      <x:c r="A15" s="289" t="str">
        <x:v>建議維持K10作為展示設定：平均每時點顯示6.18站，Episode命中率43.53%，Macro召回5.99%。把K提高至25，Macro召回只升至8.61%，但未命中Episode由每日42.93升至65.97。</x:v>
      </x:c>
      <x:c r="B15" s="290" t="str">
        <x:v>建議維持K10作為展示設定：平均每時點顯示6.18站，Episode命中率43.53%，Macro召回5.99%。把K提高至25，Macro召回只升至8.61%，但未命中Episode由每日42.93升至65.97。</x:v>
      </x:c>
      <x:c r="C15" s="290" t="str">
        <x:v>建議維持K10作為展示設定：平均每時點顯示6.18站，Episode命中率43.53%，Macro召回5.99%。把K提高至25，Macro召回只升至8.61%，但未命中Episode由每日42.93升至65.97。</x:v>
      </x:c>
      <x:c r="D15" s="290" t="str">
        <x:v>建議維持K10作為展示設定：平均每時點顯示6.18站，Episode命中率43.53%，Macro召回5.99%。把K提高至25，Macro召回只升至8.61%，但未命中Episode由每日42.93升至65.97。</x:v>
      </x:c>
      <x:c r="E15" s="290" t="str">
        <x:v>建議維持K10作為展示設定：平均每時點顯示6.18站，Episode命中率43.53%，Macro召回5.99%。把K提高至25，Macro召回只升至8.61%，但未命中Episode由每日42.93升至65.97。</x:v>
      </x:c>
      <x:c r="F15" s="290" t="str">
        <x:v>建議維持K10作為展示設定：平均每時點顯示6.18站，Episode命中率43.53%，Macro召回5.99%。把K提高至25，Macro召回只升至8.61%，但未命中Episode由每日42.93升至65.97。</x:v>
      </x:c>
      <x:c r="G15" s="291" t="str">
        <x:v>建議維持K10作為展示設定：平均每時點顯示6.18站，Episode命中率43.53%，Macro召回5.99%。把K提高至25，Macro召回只升至8.61%，但未命中Episode由每日42.93升至65.97。</x:v>
      </x:c>
    </x:row>
    <x:row r="16">
      <x:c r="A16" s="289" t="str">
        <x:v>建議維持K10作為展示設定：平均每時點顯示6.18站，Episode命中率43.53%，Macro召回5.99%。把K提高至25，Macro召回只升至8.61%，但未命中Episode由每日42.93升至65.97。</x:v>
      </x:c>
      <x:c r="B16" s="290" t="str">
        <x:v>建議維持K10作為展示設定：平均每時點顯示6.18站，Episode命中率43.53%，Macro召回5.99%。把K提高至25，Macro召回只升至8.61%，但未命中Episode由每日42.93升至65.97。</x:v>
      </x:c>
      <x:c r="C16" s="290" t="str">
        <x:v>建議維持K10作為展示設定：平均每時點顯示6.18站，Episode命中率43.53%，Macro召回5.99%。把K提高至25，Macro召回只升至8.61%，但未命中Episode由每日42.93升至65.97。</x:v>
      </x:c>
      <x:c r="D16" s="290" t="str">
        <x:v>建議維持K10作為展示設定：平均每時點顯示6.18站，Episode命中率43.53%，Macro召回5.99%。把K提高至25，Macro召回只升至8.61%，但未命中Episode由每日42.93升至65.97。</x:v>
      </x:c>
      <x:c r="E16" s="290" t="str">
        <x:v>建議維持K10作為展示設定：平均每時點顯示6.18站，Episode命中率43.53%，Macro召回5.99%。把K提高至25，Macro召回只升至8.61%，但未命中Episode由每日42.93升至65.97。</x:v>
      </x:c>
      <x:c r="F16" s="290" t="str">
        <x:v>建議維持K10作為展示設定：平均每時點顯示6.18站，Episode命中率43.53%，Macro召回5.99%。把K提高至25，Macro召回只升至8.61%，但未命中Episode由每日42.93升至65.97。</x:v>
      </x:c>
      <x:c r="G16" s="291" t="str">
        <x:v>建議維持K10作為展示設定：平均每時點顯示6.18站，Episode命中率43.53%，Macro召回5.99%。把K提高至25，Macro召回只升至8.61%，但未命中Episode由每日42.93升至65.97。</x:v>
      </x:c>
    </x:row>
    <x:row r="17">
      <x:c r="A17" s="292" t="str">
        <x:v>建議維持K10作為展示設定：平均每時點顯示6.18站，Episode命中率43.53%，Macro召回5.99%。把K提高至25，Macro召回只升至8.61%，但未命中Episode由每日42.93升至65.97。</x:v>
      </x:c>
      <x:c r="B17" s="293" t="str">
        <x:v>建議維持K10作為展示設定：平均每時點顯示6.18站，Episode命中率43.53%，Macro召回5.99%。把K提高至25，Macro召回只升至8.61%，但未命中Episode由每日42.93升至65.97。</x:v>
      </x:c>
      <x:c r="C17" s="293" t="str">
        <x:v>建議維持K10作為展示設定：平均每時點顯示6.18站，Episode命中率43.53%，Macro召回5.99%。把K提高至25，Macro召回只升至8.61%，但未命中Episode由每日42.93升至65.97。</x:v>
      </x:c>
      <x:c r="D17" s="293" t="str">
        <x:v>建議維持K10作為展示設定：平均每時點顯示6.18站，Episode命中率43.53%，Macro召回5.99%。把K提高至25，Macro召回只升至8.61%，但未命中Episode由每日42.93升至65.97。</x:v>
      </x:c>
      <x:c r="E17" s="293" t="str">
        <x:v>建議維持K10作為展示設定：平均每時點顯示6.18站，Episode命中率43.53%，Macro召回5.99%。把K提高至25，Macro召回只升至8.61%，但未命中Episode由每日42.93升至65.97。</x:v>
      </x:c>
      <x:c r="F17" s="293" t="str">
        <x:v>建議維持K10作為展示設定：平均每時點顯示6.18站，Episode命中率43.53%，Macro召回5.99%。把K提高至25，Macro召回只升至8.61%，但未命中Episode由每日42.93升至65.97。</x:v>
      </x:c>
      <x:c r="G17" s="294" t="str">
        <x:v>建議維持K10作為展示設定：平均每時點顯示6.18站，Episode命中率43.53%，Macro召回5.99%。把K提高至25，Macro召回只升至8.61%，但未命中Episode由每日42.93升至65.97。</x:v>
      </x:c>
    </x:row>
    <x:row r="19">
      <x:c r="A19" s="311" t="str">
        <x:v>重要口徑：Macro召回的分母是全市所有實際新失衡事件；每時點最多K站且還有最低風險門檻，所以它不是模型層Recall。K10是顯示上限，不代表每天只處理10站。</x:v>
      </x:c>
      <x:c r="B19" s="312" t="str">
        <x:v>重要口徑：Macro召回的分母是全市所有實際新失衡事件；每時點最多K站且還有最低風險門檻，所以它不是模型層Recall。K10是顯示上限，不代表每天只處理10站。</x:v>
      </x:c>
      <x:c r="C19" s="312" t="str">
        <x:v>重要口徑：Macro召回的分母是全市所有實際新失衡事件；每時點最多K站且還有最低風險門檻，所以它不是模型層Recall。K10是顯示上限，不代表每天只處理10站。</x:v>
      </x:c>
      <x:c r="D19" s="312" t="str">
        <x:v>重要口徑：Macro召回的分母是全市所有實際新失衡事件；每時點最多K站且還有最低風險門檻，所以它不是模型層Recall。K10是顯示上限，不代表每天只處理10站。</x:v>
      </x:c>
      <x:c r="E19" s="312" t="str">
        <x:v>重要口徑：Macro召回的分母是全市所有實際新失衡事件；每時點最多K站且還有最低風險門檻，所以它不是模型層Recall。K10是顯示上限，不代表每天只處理10站。</x:v>
      </x:c>
      <x:c r="F19" s="312" t="str">
        <x:v>重要口徑：Macro召回的分母是全市所有實際新失衡事件；每時點最多K站且還有最低風險門檻，所以它不是模型層Recall。K10是顯示上限，不代表每天只處理10站。</x:v>
      </x:c>
      <x:c r="G19" s="313" t="str">
        <x:v>重要口徑：Macro召回的分母是全市所有實際新失衡事件；每時點最多K站且還有最低風險門檻，所以它不是模型層Recall。K10是顯示上限，不代表每天只處理10站。</x:v>
      </x:c>
    </x:row>
    <x:row r="20">
      <x:c r="A20" s="314" t="str">
        <x:v>重要口徑：Macro召回的分母是全市所有實際新失衡事件；每時點最多K站且還有最低風險門檻，所以它不是模型層Recall。K10是顯示上限，不代表每天只處理10站。</x:v>
      </x:c>
      <x:c r="B20" s="247" t="str">
        <x:v>重要口徑：Macro召回的分母是全市所有實際新失衡事件；每時點最多K站且還有最低風險門檻，所以它不是模型層Recall。K10是顯示上限，不代表每天只處理10站。</x:v>
      </x:c>
      <x:c r="C20" s="247" t="str">
        <x:v>重要口徑：Macro召回的分母是全市所有實際新失衡事件；每時點最多K站且還有最低風險門檻，所以它不是模型層Recall。K10是顯示上限，不代表每天只處理10站。</x:v>
      </x:c>
      <x:c r="D20" s="247" t="str">
        <x:v>重要口徑：Macro召回的分母是全市所有實際新失衡事件；每時點最多K站且還有最低風險門檻，所以它不是模型層Recall。K10是顯示上限，不代表每天只處理10站。</x:v>
      </x:c>
      <x:c r="E20" s="247" t="str">
        <x:v>重要口徑：Macro召回的分母是全市所有實際新失衡事件；每時點最多K站且還有最低風險門檻，所以它不是模型層Recall。K10是顯示上限，不代表每天只處理10站。</x:v>
      </x:c>
      <x:c r="F20" s="247" t="str">
        <x:v>重要口徑：Macro召回的分母是全市所有實際新失衡事件；每時點最多K站且還有最低風險門檻，所以它不是模型層Recall。K10是顯示上限，不代表每天只處理10站。</x:v>
      </x:c>
      <x:c r="G20" s="315" t="str">
        <x:v>重要口徑：Macro召回的分母是全市所有實際新失衡事件；每時點最多K站且還有最低風險門檻，所以它不是模型層Recall。K10是顯示上限，不代表每天只處理10站。</x:v>
      </x:c>
    </x:row>
    <x:row r="21">
      <x:c r="A21" s="314" t="str">
        <x:v>重要口徑：Macro召回的分母是全市所有實際新失衡事件；每時點最多K站且還有最低風險門檻，所以它不是模型層Recall。K10是顯示上限，不代表每天只處理10站。</x:v>
      </x:c>
      <x:c r="B21" s="247" t="str">
        <x:v>重要口徑：Macro召回的分母是全市所有實際新失衡事件；每時點最多K站且還有最低風險門檻，所以它不是模型層Recall。K10是顯示上限，不代表每天只處理10站。</x:v>
      </x:c>
      <x:c r="C21" s="247" t="str">
        <x:v>重要口徑：Macro召回的分母是全市所有實際新失衡事件；每時點最多K站且還有最低風險門檻，所以它不是模型層Recall。K10是顯示上限，不代表每天只處理10站。</x:v>
      </x:c>
      <x:c r="D21" s="247" t="str">
        <x:v>重要口徑：Macro召回的分母是全市所有實際新失衡事件；每時點最多K站且還有最低風險門檻，所以它不是模型層Recall。K10是顯示上限，不代表每天只處理10站。</x:v>
      </x:c>
      <x:c r="E21" s="247" t="str">
        <x:v>重要口徑：Macro召回的分母是全市所有實際新失衡事件；每時點最多K站且還有最低風險門檻，所以它不是模型層Recall。K10是顯示上限，不代表每天只處理10站。</x:v>
      </x:c>
      <x:c r="F21" s="247" t="str">
        <x:v>重要口徑：Macro召回的分母是全市所有實際新失衡事件；每時點最多K站且還有最低風險門檻，所以它不是模型層Recall。K10是顯示上限，不代表每天只處理10站。</x:v>
      </x:c>
      <x:c r="G21" s="315" t="str">
        <x:v>重要口徑：Macro召回的分母是全市所有實際新失衡事件；每時點最多K站且還有最低風險門檻，所以它不是模型層Recall。K10是顯示上限，不代表每天只處理10站。</x:v>
      </x:c>
    </x:row>
    <x:row r="22">
      <x:c r="A22" s="314" t="str">
        <x:v>重要口徑：Macro召回的分母是全市所有實際新失衡事件；每時點最多K站且還有最低風險門檻，所以它不是模型層Recall。K10是顯示上限，不代表每天只處理10站。</x:v>
      </x:c>
      <x:c r="B22" s="247" t="str">
        <x:v>重要口徑：Macro召回的分母是全市所有實際新失衡事件；每時點最多K站且還有最低風險門檻，所以它不是模型層Recall。K10是顯示上限，不代表每天只處理10站。</x:v>
      </x:c>
      <x:c r="C22" s="247" t="str">
        <x:v>重要口徑：Macro召回的分母是全市所有實際新失衡事件；每時點最多K站且還有最低風險門檻，所以它不是模型層Recall。K10是顯示上限，不代表每天只處理10站。</x:v>
      </x:c>
      <x:c r="D22" s="247" t="str">
        <x:v>重要口徑：Macro召回的分母是全市所有實際新失衡事件；每時點最多K站且還有最低風險門檻，所以它不是模型層Recall。K10是顯示上限，不代表每天只處理10站。</x:v>
      </x:c>
      <x:c r="E22" s="247" t="str">
        <x:v>重要口徑：Macro召回的分母是全市所有實際新失衡事件；每時點最多K站且還有最低風險門檻，所以它不是模型層Recall。K10是顯示上限，不代表每天只處理10站。</x:v>
      </x:c>
      <x:c r="F22" s="247" t="str">
        <x:v>重要口徑：Macro召回的分母是全市所有實際新失衡事件；每時點最多K站且還有最低風險門檻，所以它不是模型層Recall。K10是顯示上限，不代表每天只處理10站。</x:v>
      </x:c>
      <x:c r="G22" s="315" t="str">
        <x:v>重要口徑：Macro召回的分母是全市所有實際新失衡事件；每時點最多K站且還有最低風險門檻，所以它不是模型層Recall。K10是顯示上限，不代表每天只處理10站。</x:v>
      </x:c>
    </x:row>
    <x:row r="23">
      <x:c r="A23" s="314" t="str">
        <x:v>重要口徑：Macro召回的分母是全市所有實際新失衡事件；每時點最多K站且還有最低風險門檻，所以它不是模型層Recall。K10是顯示上限，不代表每天只處理10站。</x:v>
      </x:c>
      <x:c r="B23" s="247" t="str">
        <x:v>重要口徑：Macro召回的分母是全市所有實際新失衡事件；每時點最多K站且還有最低風險門檻，所以它不是模型層Recall。K10是顯示上限，不代表每天只處理10站。</x:v>
      </x:c>
      <x:c r="C23" s="247" t="str">
        <x:v>重要口徑：Macro召回的分母是全市所有實際新失衡事件；每時點最多K站且還有最低風險門檻，所以它不是模型層Recall。K10是顯示上限，不代表每天只處理10站。</x:v>
      </x:c>
      <x:c r="D23" s="247" t="str">
        <x:v>重要口徑：Macro召回的分母是全市所有實際新失衡事件；每時點最多K站且還有最低風險門檻，所以它不是模型層Recall。K10是顯示上限，不代表每天只處理10站。</x:v>
      </x:c>
      <x:c r="E23" s="247" t="str">
        <x:v>重要口徑：Macro召回的分母是全市所有實際新失衡事件；每時點最多K站且還有最低風險門檻，所以它不是模型層Recall。K10是顯示上限，不代表每天只處理10站。</x:v>
      </x:c>
      <x:c r="F23" s="247" t="str">
        <x:v>重要口徑：Macro召回的分母是全市所有實際新失衡事件；每時點最多K站且還有最低風險門檻，所以它不是模型層Recall。K10是顯示上限，不代表每天只處理10站。</x:v>
      </x:c>
      <x:c r="G23" s="315" t="str">
        <x:v>重要口徑：Macro召回的分母是全市所有實際新失衡事件；每時點最多K站且還有最低風險門檻，所以它不是模型層Recall。K10是顯示上限，不代表每天只處理10站。</x:v>
      </x:c>
    </x:row>
    <x:row r="24">
      <x:c r="A24" s="316" t="str">
        <x:v>重要口徑：Macro召回的分母是全市所有實際新失衡事件；每時點最多K站且還有最低風險門檻，所以它不是模型層Recall。K10是顯示上限，不代表每天只處理10站。</x:v>
      </x:c>
      <x:c r="B24" s="317" t="str">
        <x:v>重要口徑：Macro召回的分母是全市所有實際新失衡事件；每時點最多K站且還有最低風險門檻，所以它不是模型層Recall。K10是顯示上限，不代表每天只處理10站。</x:v>
      </x:c>
      <x:c r="C24" s="317" t="str">
        <x:v>重要口徑：Macro召回的分母是全市所有實際新失衡事件；每時點最多K站且還有最低風險門檻，所以它不是模型層Recall。K10是顯示上限，不代表每天只處理10站。</x:v>
      </x:c>
      <x:c r="D24" s="317" t="str">
        <x:v>重要口徑：Macro召回的分母是全市所有實際新失衡事件；每時點最多K站且還有最低風險門檻，所以它不是模型層Recall。K10是顯示上限，不代表每天只處理10站。</x:v>
      </x:c>
      <x:c r="E24" s="317" t="str">
        <x:v>重要口徑：Macro召回的分母是全市所有實際新失衡事件；每時點最多K站且還有最低風險門檻，所以它不是模型層Recall。K10是顯示上限，不代表每天只處理10站。</x:v>
      </x:c>
      <x:c r="F24" s="317" t="str">
        <x:v>重要口徑：Macro召回的分母是全市所有實際新失衡事件；每時點最多K站且還有最低風險門檻，所以它不是模型層Recall。K10是顯示上限，不代表每天只處理10站。</x:v>
      </x:c>
      <x:c r="G24" s="318" t="str">
        <x:v>重要口徑：Macro召回的分母是全市所有實際新失衡事件；每時點最多K站且還有最低風險門檻，所以它不是模型層Recall。K10是顯示上限，不代表每天只處理10站。</x:v>
      </x:c>
    </x:row>
  </x:sheetData>
  <x:mergeCells>
    <x:mergeCell ref="A1:N2"/>
    <x:mergeCell ref="A3:N3"/>
    <x:mergeCell ref="A12:G17"/>
    <x:mergeCell ref="A19:G24"/>
  </x:mergeCells>
  <x:pageMargins left="0.7" right="0.7" top="0.75" bottom="0.75" header="0.3" footer="0.3"/>
  <x:drawing xmlns:r="http://schemas.openxmlformats.org/officeDocument/2006/relationships" r:id="R316f82588bf64861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4" customHeight="1">
      <x:c r="A1" s="4" t="str">
        <x:v>附錄｜挑戰模型敏感度比較</x:v>
      </x:c>
      <x:c r="B1" s="4" t="str">
        <x:v>附錄｜挑戰模型敏感度比較</x:v>
      </x:c>
      <x:c r="C1" s="4" t="str">
        <x:v>附錄｜挑戰模型敏感度比較</x:v>
      </x:c>
      <x:c r="D1" s="4" t="str">
        <x:v>附錄｜挑戰模型敏感度比較</x:v>
      </x:c>
      <x:c r="E1" s="4" t="str">
        <x:v>附錄｜挑戰模型敏感度比較</x:v>
      </x:c>
      <x:c r="F1" s="4" t="str">
        <x:v>附錄｜挑戰模型敏感度比較</x:v>
      </x:c>
      <x:c r="G1" s="4" t="str">
        <x:v>附錄｜挑戰模型敏感度比較</x:v>
      </x:c>
      <x:c r="H1" s="4" t="str">
        <x:v>附錄｜挑戰模型敏感度比較</x:v>
      </x:c>
      <x:c r="I1" s="4" t="str">
        <x:v>附錄｜挑戰模型敏感度比較</x:v>
      </x:c>
      <x:c r="J1" s="4" t="str">
        <x:v>附錄｜挑戰模型敏感度比較</x:v>
      </x:c>
      <x:c r="K1" s="4" t="str">
        <x:v>附錄｜挑戰模型敏感度比較</x:v>
      </x:c>
      <x:c r="L1" s="4" t="str">
        <x:v>附錄｜挑戰模型敏感度比較</x:v>
      </x:c>
      <x:c r="M1" s="4" t="str">
        <x:v>附錄｜挑戰模型敏感度比較</x:v>
      </x:c>
      <x:c r="N1" s="4" t="str">
        <x:v>附錄｜挑戰模型敏感度比較</x:v>
      </x:c>
    </x:row>
    <x:row r="2" ht="34" customHeight="1">
      <x:c r="A2" s="4" t="str">
        <x:v>附錄｜挑戰模型敏感度比較</x:v>
      </x:c>
      <x:c r="B2" s="4" t="str">
        <x:v>附錄｜挑戰模型敏感度比較</x:v>
      </x:c>
      <x:c r="C2" s="4" t="str">
        <x:v>附錄｜挑戰模型敏感度比較</x:v>
      </x:c>
      <x:c r="D2" s="4" t="str">
        <x:v>附錄｜挑戰模型敏感度比較</x:v>
      </x:c>
      <x:c r="E2" s="4" t="str">
        <x:v>附錄｜挑戰模型敏感度比較</x:v>
      </x:c>
      <x:c r="F2" s="4" t="str">
        <x:v>附錄｜挑戰模型敏感度比較</x:v>
      </x:c>
      <x:c r="G2" s="4" t="str">
        <x:v>附錄｜挑戰模型敏感度比較</x:v>
      </x:c>
      <x:c r="H2" s="4" t="str">
        <x:v>附錄｜挑戰模型敏感度比較</x:v>
      </x:c>
      <x:c r="I2" s="4" t="str">
        <x:v>附錄｜挑戰模型敏感度比較</x:v>
      </x:c>
      <x:c r="J2" s="4" t="str">
        <x:v>附錄｜挑戰模型敏感度比較</x:v>
      </x:c>
      <x:c r="K2" s="4" t="str">
        <x:v>附錄｜挑戰模型敏感度比較</x:v>
      </x:c>
      <x:c r="L2" s="4" t="str">
        <x:v>附錄｜挑戰模型敏感度比較</x:v>
      </x:c>
      <x:c r="M2" s="4" t="str">
        <x:v>附錄｜挑戰模型敏感度比較</x:v>
      </x:c>
      <x:c r="N2" s="4" t="str">
        <x:v>附錄｜挑戰模型敏感度比較</x:v>
      </x:c>
    </x:row>
    <x:row r="3">
      <x:c r="A3" s="8" t="str">
        <x:v>此頁只檢查結果是否敏感；六月不能用來重新選模型，正式方案仍為純LightGBM。 </x:v>
      </x:c>
      <x:c r="B3" s="8" t="str">
        <x:v>此頁只檢查結果是否敏感；六月不能用來重新選模型，正式方案仍為純LightGBM。 </x:v>
      </x:c>
      <x:c r="C3" s="8" t="str">
        <x:v>此頁只檢查結果是否敏感；六月不能用來重新選模型，正式方案仍為純LightGBM。 </x:v>
      </x:c>
      <x:c r="D3" s="8" t="str">
        <x:v>此頁只檢查結果是否敏感；六月不能用來重新選模型，正式方案仍為純LightGBM。 </x:v>
      </x:c>
      <x:c r="E3" s="8" t="str">
        <x:v>此頁只檢查結果是否敏感；六月不能用來重新選模型，正式方案仍為純LightGBM。 </x:v>
      </x:c>
      <x:c r="F3" s="8" t="str">
        <x:v>此頁只檢查結果是否敏感；六月不能用來重新選模型，正式方案仍為純LightGBM。 </x:v>
      </x:c>
      <x:c r="G3" s="8" t="str">
        <x:v>此頁只檢查結果是否敏感；六月不能用來重新選模型，正式方案仍為純LightGBM。 </x:v>
      </x:c>
      <x:c r="H3" s="8" t="str">
        <x:v>此頁只檢查結果是否敏感；六月不能用來重新選模型，正式方案仍為純LightGBM。 </x:v>
      </x:c>
      <x:c r="I3" s="8" t="str">
        <x:v>此頁只檢查結果是否敏感；六月不能用來重新選模型，正式方案仍為純LightGBM。 </x:v>
      </x:c>
      <x:c r="J3" s="8" t="str">
        <x:v>此頁只檢查結果是否敏感；六月不能用來重新選模型，正式方案仍為純LightGBM。 </x:v>
      </x:c>
      <x:c r="K3" s="8" t="str">
        <x:v>此頁只檢查結果是否敏感；六月不能用來重新選模型，正式方案仍為純LightGBM。 </x:v>
      </x:c>
      <x:c r="L3" s="8" t="str">
        <x:v>此頁只檢查結果是否敏感；六月不能用來重新選模型，正式方案仍為純LightGBM。 </x:v>
      </x:c>
      <x:c r="M3" s="8" t="str">
        <x:v>此頁只檢查結果是否敏感；六月不能用來重新選模型，正式方案仍為純LightGBM。 </x:v>
      </x:c>
      <x:c r="N3" s="8" t="str">
        <x:v>此頁只檢查結果是否敏感；六月不能用來重新選模型，正式方案仍為純LightGBM。 </x:v>
      </x:c>
    </x:row>
    <x:row r="6">
      <x:c r="A6" s="330" t="str">
        <x:v>事件</x:v>
      </x:c>
      <x:c r="B6" s="331" t="str">
        <x:v>LightGBM PR-AUC</x:v>
      </x:c>
      <x:c r="C6" s="331" t="str">
        <x:v>XGBoost PR-AUC</x:v>
      </x:c>
      <x:c r="D6" s="331" t="str">
        <x:v>XGB－LGB</x:v>
      </x:c>
      <x:c r="E6" s="332" t="str">
        <x:v>判讀</x:v>
      </x:c>
    </x:row>
    <x:row r="7">
      <x:c r="A7" s="27" t="str">
        <x:v>缺車</x:v>
      </x:c>
      <x:c r="B7" s="40" t="n">
        <x:f>'模型明細'!F4</x:f>
        <x:v>0.25081689823556774</x:v>
      </x:c>
      <x:c r="C7" s="40" t="n">
        <x:f>'模型明細'!F5</x:f>
        <x:v>0.24913160799220024</x:v>
      </x:c>
      <x:c r="D7" s="40" t="n">
        <x:f>C7-B7</x:f>
        <x:v>-0.0016852902433674988</x:v>
      </x:c>
      <x:c r="E7" s="27" t="str">
        <x:v>差異很小</x:v>
      </x:c>
    </x:row>
    <x:row r="8">
      <x:c r="A8" s="29" t="str">
        <x:v>滿柱</x:v>
      </x:c>
      <x:c r="B8" s="41" t="n">
        <x:f>'模型明細'!F7</x:f>
        <x:v>0.1400511138035712</x:v>
      </x:c>
      <x:c r="C8" s="41" t="n">
        <x:f>'模型明細'!F8</x:f>
        <x:v>0.14208836839046762</x:v>
      </x:c>
      <x:c r="D8" s="41" t="n">
        <x:f>C8-B8</x:f>
        <x:v>0.0020372545868964365</x:v>
      </x:c>
      <x:c r="E8" s="29" t="str">
        <x:v>差異很小</x:v>
      </x:c>
    </x:row>
    <x:row r="11">
      <x:c r="A11" s="352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B11" s="353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C11" s="353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D11" s="353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E11" s="354" t="str">
        <x:v>缺車：LightGBM 25.08%、XGBoost 24.91%；滿柱：LightGBM 14.01%、XGBoost 14.21%。差距僅約0.17與0.20個百分點，且每日bootstrap沒有明確勝負，因此不足以推翻六月前已凍結的純LightGBM主方案。</x:v>
      </x:c>
    </x:row>
    <x:row r="12">
      <x:c r="A12" s="355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B12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C12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D12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E12" s="357" t="str">
        <x:v>缺車：LightGBM 25.08%、XGBoost 24.91%；滿柱：LightGBM 14.01%、XGBoost 14.21%。差距僅約0.17與0.20個百分點，且每日bootstrap沒有明確勝負，因此不足以推翻六月前已凍結的純LightGBM主方案。</x:v>
      </x:c>
    </x:row>
    <x:row r="13">
      <x:c r="A13" s="355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B13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C13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D13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E13" s="357" t="str">
        <x:v>缺車：LightGBM 25.08%、XGBoost 24.91%；滿柱：LightGBM 14.01%、XGBoost 14.21%。差距僅約0.17與0.20個百分點，且每日bootstrap沒有明確勝負，因此不足以推翻六月前已凍結的純LightGBM主方案。</x:v>
      </x:c>
    </x:row>
    <x:row r="14">
      <x:c r="A14" s="355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B14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C14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D14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E14" s="357" t="str">
        <x:v>缺車：LightGBM 25.08%、XGBoost 24.91%；滿柱：LightGBM 14.01%、XGBoost 14.21%。差距僅約0.17與0.20個百分點，且每日bootstrap沒有明確勝負，因此不足以推翻六月前已凍結的純LightGBM主方案。</x:v>
      </x:c>
    </x:row>
    <x:row r="15">
      <x:c r="A15" s="355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B15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C15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D15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E15" s="357" t="str">
        <x:v>缺車：LightGBM 25.08%、XGBoost 24.91%；滿柱：LightGBM 14.01%、XGBoost 14.21%。差距僅約0.17與0.20個百分點，且每日bootstrap沒有明確勝負，因此不足以推翻六月前已凍結的純LightGBM主方案。</x:v>
      </x:c>
    </x:row>
    <x:row r="16">
      <x:c r="A16" s="355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B16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C16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D16" s="356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E16" s="357" t="str">
        <x:v>缺車：LightGBM 25.08%、XGBoost 24.91%；滿柱：LightGBM 14.01%、XGBoost 14.21%。差距僅約0.17與0.20個百分點，且每日bootstrap沒有明確勝負，因此不足以推翻六月前已凍結的純LightGBM主方案。</x:v>
      </x:c>
    </x:row>
    <x:row r="17">
      <x:c r="A17" s="358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B17" s="359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C17" s="359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D17" s="359" t="str">
        <x:v>缺車：LightGBM 25.08%、XGBoost 24.91%；滿柱：LightGBM 14.01%、XGBoost 14.21%。差距僅約0.17與0.20個百分點，且每日bootstrap沒有明確勝負，因此不足以推翻六月前已凍結的純LightGBM主方案。</x:v>
      </x:c>
      <x:c r="E17" s="360" t="str">
        <x:v>缺車：LightGBM 25.08%、XGBoost 24.91%；滿柱：LightGBM 14.01%、XGBoost 14.21%。差距僅約0.17與0.20個百分點，且每日bootstrap沒有明確勝負，因此不足以推翻六月前已凍結的純LightGBM主方案。</x:v>
      </x:c>
    </x:row>
    <x:row r="22">
      <x:c r="A22" s="361" t="str">
        <x:v>正式結論不變：缺車與滿柱均使用LightGBM。Hybrid（缺車LGB＋滿柱XGB）只保留為挑戰組結果；若因六月結果改選模型，六月就不再是最終測試集。</x:v>
      </x:c>
      <x:c r="B22" s="361" t="str">
        <x:v>正式結論不變：缺車與滿柱均使用LightGBM。Hybrid（缺車LGB＋滿柱XGB）只保留為挑戰組結果；若因六月結果改選模型，六月就不再是最終測試集。</x:v>
      </x:c>
      <x:c r="C22" s="361" t="str">
        <x:v>正式結論不變：缺車與滿柱均使用LightGBM。Hybrid（缺車LGB＋滿柱XGB）只保留為挑戰組結果；若因六月結果改選模型，六月就不再是最終測試集。</x:v>
      </x:c>
      <x:c r="D22" s="361" t="str">
        <x:v>正式結論不變：缺車與滿柱均使用LightGBM。Hybrid（缺車LGB＋滿柱XGB）只保留為挑戰組結果；若因六月結果改選模型，六月就不再是最終測試集。</x:v>
      </x:c>
      <x:c r="E22" s="361" t="str">
        <x:v>正式結論不變：缺車與滿柱均使用LightGBM。Hybrid（缺車LGB＋滿柱XGB）只保留為挑戰組結果；若因六月結果改選模型，六月就不再是最終測試集。</x:v>
      </x:c>
      <x:c r="F22" s="361" t="str">
        <x:v>正式結論不變：缺車與滿柱均使用LightGBM。Hybrid（缺車LGB＋滿柱XGB）只保留為挑戰組結果；若因六月結果改選模型，六月就不再是最終測試集。</x:v>
      </x:c>
      <x:c r="G22" s="361" t="str">
        <x:v>正式結論不變：缺車與滿柱均使用LightGBM。Hybrid（缺車LGB＋滿柱XGB）只保留為挑戰組結果；若因六月結果改選模型，六月就不再是最終測試集。</x:v>
      </x:c>
      <x:c r="H22" s="361" t="str">
        <x:v>正式結論不變：缺車與滿柱均使用LightGBM。Hybrid（缺車LGB＋滿柱XGB）只保留為挑戰組結果；若因六月結果改選模型，六月就不再是最終測試集。</x:v>
      </x:c>
      <x:c r="I22" s="361" t="str">
        <x:v>正式結論不變：缺車與滿柱均使用LightGBM。Hybrid（缺車LGB＋滿柱XGB）只保留為挑戰組結果；若因六月結果改選模型，六月就不再是最終測試集。</x:v>
      </x:c>
      <x:c r="J22" s="361" t="str">
        <x:v>正式結論不變：缺車與滿柱均使用LightGBM。Hybrid（缺車LGB＋滿柱XGB）只保留為挑戰組結果；若因六月結果改選模型，六月就不再是最終測試集。</x:v>
      </x:c>
      <x:c r="K22" s="361" t="str">
        <x:v>正式結論不變：缺車與滿柱均使用LightGBM。Hybrid（缺車LGB＋滿柱XGB）只保留為挑戰組結果；若因六月結果改選模型，六月就不再是最終測試集。</x:v>
      </x:c>
      <x:c r="L22" s="361" t="str">
        <x:v>正式結論不變：缺車與滿柱均使用LightGBM。Hybrid（缺車LGB＋滿柱XGB）只保留為挑戰組結果；若因六月結果改選模型，六月就不再是最終測試集。</x:v>
      </x:c>
      <x:c r="M22" s="361" t="str">
        <x:v>正式結論不變：缺車與滿柱均使用LightGBM。Hybrid（缺車LGB＋滿柱XGB）只保留為挑戰組結果；若因六月結果改選模型，六月就不再是最終測試集。</x:v>
      </x:c>
      <x:c r="N22" s="361" t="str">
        <x:v>正式結論不變：缺車與滿柱均使用LightGBM。Hybrid（缺車LGB＋滿柱XGB）只保留為挑戰組結果；若因六月結果改選模型，六月就不再是最終測試集。</x:v>
      </x:c>
    </x:row>
    <x:row r="23">
      <x:c r="A23" s="361" t="str">
        <x:v>正式結論不變：缺車與滿柱均使用LightGBM。Hybrid（缺車LGB＋滿柱XGB）只保留為挑戰組結果；若因六月結果改選模型，六月就不再是最終測試集。</x:v>
      </x:c>
      <x:c r="B23" s="361" t="str">
        <x:v>正式結論不變：缺車與滿柱均使用LightGBM。Hybrid（缺車LGB＋滿柱XGB）只保留為挑戰組結果；若因六月結果改選模型，六月就不再是最終測試集。</x:v>
      </x:c>
      <x:c r="C23" s="361" t="str">
        <x:v>正式結論不變：缺車與滿柱均使用LightGBM。Hybrid（缺車LGB＋滿柱XGB）只保留為挑戰組結果；若因六月結果改選模型，六月就不再是最終測試集。</x:v>
      </x:c>
      <x:c r="D23" s="361" t="str">
        <x:v>正式結論不變：缺車與滿柱均使用LightGBM。Hybrid（缺車LGB＋滿柱XGB）只保留為挑戰組結果；若因六月結果改選模型，六月就不再是最終測試集。</x:v>
      </x:c>
      <x:c r="E23" s="361" t="str">
        <x:v>正式結論不變：缺車與滿柱均使用LightGBM。Hybrid（缺車LGB＋滿柱XGB）只保留為挑戰組結果；若因六月結果改選模型，六月就不再是最終測試集。</x:v>
      </x:c>
      <x:c r="F23" s="361" t="str">
        <x:v>正式結論不變：缺車與滿柱均使用LightGBM。Hybrid（缺車LGB＋滿柱XGB）只保留為挑戰組結果；若因六月結果改選模型，六月就不再是最終測試集。</x:v>
      </x:c>
      <x:c r="G23" s="361" t="str">
        <x:v>正式結論不變：缺車與滿柱均使用LightGBM。Hybrid（缺車LGB＋滿柱XGB）只保留為挑戰組結果；若因六月結果改選模型，六月就不再是最終測試集。</x:v>
      </x:c>
      <x:c r="H23" s="361" t="str">
        <x:v>正式結論不變：缺車與滿柱均使用LightGBM。Hybrid（缺車LGB＋滿柱XGB）只保留為挑戰組結果；若因六月結果改選模型，六月就不再是最終測試集。</x:v>
      </x:c>
      <x:c r="I23" s="361" t="str">
        <x:v>正式結論不變：缺車與滿柱均使用LightGBM。Hybrid（缺車LGB＋滿柱XGB）只保留為挑戰組結果；若因六月結果改選模型，六月就不再是最終測試集。</x:v>
      </x:c>
      <x:c r="J23" s="361" t="str">
        <x:v>正式結論不變：缺車與滿柱均使用LightGBM。Hybrid（缺車LGB＋滿柱XGB）只保留為挑戰組結果；若因六月結果改選模型，六月就不再是最終測試集。</x:v>
      </x:c>
      <x:c r="K23" s="361" t="str">
        <x:v>正式結論不變：缺車與滿柱均使用LightGBM。Hybrid（缺車LGB＋滿柱XGB）只保留為挑戰組結果；若因六月結果改選模型，六月就不再是最終測試集。</x:v>
      </x:c>
      <x:c r="L23" s="361" t="str">
        <x:v>正式結論不變：缺車與滿柱均使用LightGBM。Hybrid（缺車LGB＋滿柱XGB）只保留為挑戰組結果；若因六月結果改選模型，六月就不再是最終測試集。</x:v>
      </x:c>
      <x:c r="M23" s="361" t="str">
        <x:v>正式結論不變：缺車與滿柱均使用LightGBM。Hybrid（缺車LGB＋滿柱XGB）只保留為挑戰組結果；若因六月結果改選模型，六月就不再是最終測試集。</x:v>
      </x:c>
      <x:c r="N23" s="361" t="str">
        <x:v>正式結論不變：缺車與滿柱均使用LightGBM。Hybrid（缺車LGB＋滿柱XGB）只保留為挑戰組結果；若因六月結果改選模型，六月就不再是最終測試集。</x:v>
      </x:c>
    </x:row>
    <x:row r="24">
      <x:c r="A24" s="361" t="str">
        <x:v>正式結論不變：缺車與滿柱均使用LightGBM。Hybrid（缺車LGB＋滿柱XGB）只保留為挑戰組結果；若因六月結果改選模型，六月就不再是最終測試集。</x:v>
      </x:c>
      <x:c r="B24" s="361" t="str">
        <x:v>正式結論不變：缺車與滿柱均使用LightGBM。Hybrid（缺車LGB＋滿柱XGB）只保留為挑戰組結果；若因六月結果改選模型，六月就不再是最終測試集。</x:v>
      </x:c>
      <x:c r="C24" s="361" t="str">
        <x:v>正式結論不變：缺車與滿柱均使用LightGBM。Hybrid（缺車LGB＋滿柱XGB）只保留為挑戰組結果；若因六月結果改選模型，六月就不再是最終測試集。</x:v>
      </x:c>
      <x:c r="D24" s="361" t="str">
        <x:v>正式結論不變：缺車與滿柱均使用LightGBM。Hybrid（缺車LGB＋滿柱XGB）只保留為挑戰組結果；若因六月結果改選模型，六月就不再是最終測試集。</x:v>
      </x:c>
      <x:c r="E24" s="361" t="str">
        <x:v>正式結論不變：缺車與滿柱均使用LightGBM。Hybrid（缺車LGB＋滿柱XGB）只保留為挑戰組結果；若因六月結果改選模型，六月就不再是最終測試集。</x:v>
      </x:c>
      <x:c r="F24" s="361" t="str">
        <x:v>正式結論不變：缺車與滿柱均使用LightGBM。Hybrid（缺車LGB＋滿柱XGB）只保留為挑戰組結果；若因六月結果改選模型，六月就不再是最終測試集。</x:v>
      </x:c>
      <x:c r="G24" s="361" t="str">
        <x:v>正式結論不變：缺車與滿柱均使用LightGBM。Hybrid（缺車LGB＋滿柱XGB）只保留為挑戰組結果；若因六月結果改選模型，六月就不再是最終測試集。</x:v>
      </x:c>
      <x:c r="H24" s="361" t="str">
        <x:v>正式結論不變：缺車與滿柱均使用LightGBM。Hybrid（缺車LGB＋滿柱XGB）只保留為挑戰組結果；若因六月結果改選模型，六月就不再是最終測試集。</x:v>
      </x:c>
      <x:c r="I24" s="361" t="str">
        <x:v>正式結論不變：缺車與滿柱均使用LightGBM。Hybrid（缺車LGB＋滿柱XGB）只保留為挑戰組結果；若因六月結果改選模型，六月就不再是最終測試集。</x:v>
      </x:c>
      <x:c r="J24" s="361" t="str">
        <x:v>正式結論不變：缺車與滿柱均使用LightGBM。Hybrid（缺車LGB＋滿柱XGB）只保留為挑戰組結果；若因六月結果改選模型，六月就不再是最終測試集。</x:v>
      </x:c>
      <x:c r="K24" s="361" t="str">
        <x:v>正式結論不變：缺車與滿柱均使用LightGBM。Hybrid（缺車LGB＋滿柱XGB）只保留為挑戰組結果；若因六月結果改選模型，六月就不再是最終測試集。</x:v>
      </x:c>
      <x:c r="L24" s="361" t="str">
        <x:v>正式結論不變：缺車與滿柱均使用LightGBM。Hybrid（缺車LGB＋滿柱XGB）只保留為挑戰組結果；若因六月結果改選模型，六月就不再是最終測試集。</x:v>
      </x:c>
      <x:c r="M24" s="361" t="str">
        <x:v>正式結論不變：缺車與滿柱均使用LightGBM。Hybrid（缺車LGB＋滿柱XGB）只保留為挑戰組結果；若因六月結果改選模型，六月就不再是最終測試集。</x:v>
      </x:c>
      <x:c r="N24" s="361" t="str">
        <x:v>正式結論不變：缺車與滿柱均使用LightGBM。Hybrid（缺車LGB＋滿柱XGB）只保留為挑戰組結果；若因六月結果改選模型，六月就不再是最終測試集。</x:v>
      </x:c>
    </x:row>
    <x:row r="25">
      <x:c r="A25" s="361" t="str">
        <x:v>正式結論不變：缺車與滿柱均使用LightGBM。Hybrid（缺車LGB＋滿柱XGB）只保留為挑戰組結果；若因六月結果改選模型，六月就不再是最終測試集。</x:v>
      </x:c>
      <x:c r="B25" s="361" t="str">
        <x:v>正式結論不變：缺車與滿柱均使用LightGBM。Hybrid（缺車LGB＋滿柱XGB）只保留為挑戰組結果；若因六月結果改選模型，六月就不再是最終測試集。</x:v>
      </x:c>
      <x:c r="C25" s="361" t="str">
        <x:v>正式結論不變：缺車與滿柱均使用LightGBM。Hybrid（缺車LGB＋滿柱XGB）只保留為挑戰組結果；若因六月結果改選模型，六月就不再是最終測試集。</x:v>
      </x:c>
      <x:c r="D25" s="361" t="str">
        <x:v>正式結論不變：缺車與滿柱均使用LightGBM。Hybrid（缺車LGB＋滿柱XGB）只保留為挑戰組結果；若因六月結果改選模型，六月就不再是最終測試集。</x:v>
      </x:c>
      <x:c r="E25" s="361" t="str">
        <x:v>正式結論不變：缺車與滿柱均使用LightGBM。Hybrid（缺車LGB＋滿柱XGB）只保留為挑戰組結果；若因六月結果改選模型，六月就不再是最終測試集。</x:v>
      </x:c>
      <x:c r="F25" s="361" t="str">
        <x:v>正式結論不變：缺車與滿柱均使用LightGBM。Hybrid（缺車LGB＋滿柱XGB）只保留為挑戰組結果；若因六月結果改選模型，六月就不再是最終測試集。</x:v>
      </x:c>
      <x:c r="G25" s="361" t="str">
        <x:v>正式結論不變：缺車與滿柱均使用LightGBM。Hybrid（缺車LGB＋滿柱XGB）只保留為挑戰組結果；若因六月結果改選模型，六月就不再是最終測試集。</x:v>
      </x:c>
      <x:c r="H25" s="361" t="str">
        <x:v>正式結論不變：缺車與滿柱均使用LightGBM。Hybrid（缺車LGB＋滿柱XGB）只保留為挑戰組結果；若因六月結果改選模型，六月就不再是最終測試集。</x:v>
      </x:c>
      <x:c r="I25" s="361" t="str">
        <x:v>正式結論不變：缺車與滿柱均使用LightGBM。Hybrid（缺車LGB＋滿柱XGB）只保留為挑戰組結果；若因六月結果改選模型，六月就不再是最終測試集。</x:v>
      </x:c>
      <x:c r="J25" s="361" t="str">
        <x:v>正式結論不變：缺車與滿柱均使用LightGBM。Hybrid（缺車LGB＋滿柱XGB）只保留為挑戰組結果；若因六月結果改選模型，六月就不再是最終測試集。</x:v>
      </x:c>
      <x:c r="K25" s="361" t="str">
        <x:v>正式結論不變：缺車與滿柱均使用LightGBM。Hybrid（缺車LGB＋滿柱XGB）只保留為挑戰組結果；若因六月結果改選模型，六月就不再是最終測試集。</x:v>
      </x:c>
      <x:c r="L25" s="361" t="str">
        <x:v>正式結論不變：缺車與滿柱均使用LightGBM。Hybrid（缺車LGB＋滿柱XGB）只保留為挑戰組結果；若因六月結果改選模型，六月就不再是最終測試集。</x:v>
      </x:c>
      <x:c r="M25" s="361" t="str">
        <x:v>正式結論不變：缺車與滿柱均使用LightGBM。Hybrid（缺車LGB＋滿柱XGB）只保留為挑戰組結果；若因六月結果改選模型，六月就不再是最終測試集。</x:v>
      </x:c>
      <x:c r="N25" s="361" t="str">
        <x:v>正式結論不變：缺車與滿柱均使用LightGBM。Hybrid（缺車LGB＋滿柱XGB）只保留為挑戰組結果；若因六月結果改選模型，六月就不再是最終測試集。</x:v>
      </x:c>
    </x:row>
    <x:row r="26">
      <x:c r="A26" s="361" t="str">
        <x:v>正式結論不變：缺車與滿柱均使用LightGBM。Hybrid（缺車LGB＋滿柱XGB）只保留為挑戰組結果；若因六月結果改選模型，六月就不再是最終測試集。</x:v>
      </x:c>
      <x:c r="B26" s="361" t="str">
        <x:v>正式結論不變：缺車與滿柱均使用LightGBM。Hybrid（缺車LGB＋滿柱XGB）只保留為挑戰組結果；若因六月結果改選模型，六月就不再是最終測試集。</x:v>
      </x:c>
      <x:c r="C26" s="361" t="str">
        <x:v>正式結論不變：缺車與滿柱均使用LightGBM。Hybrid（缺車LGB＋滿柱XGB）只保留為挑戰組結果；若因六月結果改選模型，六月就不再是最終測試集。</x:v>
      </x:c>
      <x:c r="D26" s="361" t="str">
        <x:v>正式結論不變：缺車與滿柱均使用LightGBM。Hybrid（缺車LGB＋滿柱XGB）只保留為挑戰組結果；若因六月結果改選模型，六月就不再是最終測試集。</x:v>
      </x:c>
      <x:c r="E26" s="361" t="str">
        <x:v>正式結論不變：缺車與滿柱均使用LightGBM。Hybrid（缺車LGB＋滿柱XGB）只保留為挑戰組結果；若因六月結果改選模型，六月就不再是最終測試集。</x:v>
      </x:c>
      <x:c r="F26" s="361" t="str">
        <x:v>正式結論不變：缺車與滿柱均使用LightGBM。Hybrid（缺車LGB＋滿柱XGB）只保留為挑戰組結果；若因六月結果改選模型，六月就不再是最終測試集。</x:v>
      </x:c>
      <x:c r="G26" s="361" t="str">
        <x:v>正式結論不變：缺車與滿柱均使用LightGBM。Hybrid（缺車LGB＋滿柱XGB）只保留為挑戰組結果；若因六月結果改選模型，六月就不再是最終測試集。</x:v>
      </x:c>
      <x:c r="H26" s="361" t="str">
        <x:v>正式結論不變：缺車與滿柱均使用LightGBM。Hybrid（缺車LGB＋滿柱XGB）只保留為挑戰組結果；若因六月結果改選模型，六月就不再是最終測試集。</x:v>
      </x:c>
      <x:c r="I26" s="361" t="str">
        <x:v>正式結論不變：缺車與滿柱均使用LightGBM。Hybrid（缺車LGB＋滿柱XGB）只保留為挑戰組結果；若因六月結果改選模型，六月就不再是最終測試集。</x:v>
      </x:c>
      <x:c r="J26" s="361" t="str">
        <x:v>正式結論不變：缺車與滿柱均使用LightGBM。Hybrid（缺車LGB＋滿柱XGB）只保留為挑戰組結果；若因六月結果改選模型，六月就不再是最終測試集。</x:v>
      </x:c>
      <x:c r="K26" s="361" t="str">
        <x:v>正式結論不變：缺車與滿柱均使用LightGBM。Hybrid（缺車LGB＋滿柱XGB）只保留為挑戰組結果；若因六月結果改選模型，六月就不再是最終測試集。</x:v>
      </x:c>
      <x:c r="L26" s="361" t="str">
        <x:v>正式結論不變：缺車與滿柱均使用LightGBM。Hybrid（缺車LGB＋滿柱XGB）只保留為挑戰組結果；若因六月結果改選模型，六月就不再是最終測試集。</x:v>
      </x:c>
      <x:c r="M26" s="361" t="str">
        <x:v>正式結論不變：缺車與滿柱均使用LightGBM。Hybrid（缺車LGB＋滿柱XGB）只保留為挑戰組結果；若因六月結果改選模型，六月就不再是最終測試集。</x:v>
      </x:c>
      <x:c r="N26" s="361" t="str">
        <x:v>正式結論不變：缺車與滿柱均使用LightGBM。Hybrid（缺車LGB＋滿柱XGB）只保留為挑戰組結果；若因六月結果改選模型，六月就不再是最終測試集。</x:v>
      </x:c>
    </x:row>
  </x:sheetData>
  <x:mergeCells>
    <x:mergeCell ref="A1:N2"/>
    <x:mergeCell ref="A3:N3"/>
    <x:mergeCell ref="A11:E17"/>
    <x:mergeCell ref="A22:N26"/>
  </x:mergeCells>
  <x:pageMargins left="0.7" right="0.7" top="0.75" bottom="0.75" header="0.3" footer="0.3"/>
  <x:drawing xmlns:r="http://schemas.openxmlformats.org/officeDocument/2006/relationships" r:id="Rdf6379b63b774cc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48" hidden="0" customWidth="1"/>
  </x:cols>
  <x:sheetData>
    <x:row r="1" ht="34" customHeight="1">
      <x:c r="A1" s="32" t="str">
        <x:v>六月凍結測試資料</x:v>
      </x:c>
      <x:c r="B1" s="32" t="str">
        <x:v>六月凍結測試資料</x:v>
      </x:c>
      <x:c r="C1" s="32" t="str">
        <x:v>六月凍結測試資料</x:v>
      </x:c>
      <x:c r="D1" s="32" t="str">
        <x:v>六月凍結測試資料</x:v>
      </x:c>
    </x:row>
    <x:row r="2">
      <x:c r="A2" s="8" t="str">
        <x:v>這些值來自 run_complete.json；Dashboard 以公式連結，六月沒有參與訓練或調參。 </x:v>
      </x:c>
      <x:c r="B2" s="8" t="str">
        <x:v>這些值來自 run_complete.json；Dashboard 以公式連結，六月沒有參與訓練或調參。 </x:v>
      </x:c>
      <x:c r="C2" s="8" t="str">
        <x:v>這些值來自 run_complete.json；Dashboard 以公式連結，六月沒有參與訓練或調參。 </x:v>
      </x:c>
      <x:c r="D2" s="8" t="str">
        <x:v>這些值來自 run_complete.json；Dashboard 以公式連結，六月沒有參與訓練或調參。 </x:v>
      </x:c>
    </x:row>
    <x:row r="3">
      <x:c r="A3" s="20" t="str">
        <x:v>指標</x:v>
      </x:c>
      <x:c r="B3" s="21" t="str">
        <x:v>值</x:v>
      </x:c>
      <x:c r="C3" s="21" t="str">
        <x:v>單位／狀態</x:v>
      </x:c>
      <x:c r="D3" s="22" t="str">
        <x:v>說明</x:v>
      </x:c>
    </x:row>
    <x:row r="4">
      <x:c r="A4" s="33" t="str">
        <x:v>測試月份</x:v>
      </x:c>
      <x:c r="B4" s="33" t="n">
        <x:v>6</x:v>
      </x:c>
      <x:c r="C4" s="33" t="str">
        <x:v>2026年6月</x:v>
      </x:c>
      <x:c r="D4" s="33" t="str">
        <x:v>凍結後時間外測試</x:v>
      </x:c>
    </x:row>
    <x:row r="5">
      <x:c r="A5" s="34" t="str">
        <x:v>尖峰測試快照</x:v>
      </x:c>
      <x:c r="B5" s="35" t="n">
        <x:v>611743</x:v>
      </x:c>
      <x:c r="C5" s="34" t="str">
        <x:v>站點快照</x:v>
      </x:c>
      <x:c r="D5" s="34" t="str">
        <x:v>目標時間位於7–9、16–19時</x:v>
      </x:c>
    </x:row>
    <x:row r="6">
      <x:c r="A6" s="34" t="str">
        <x:v>站點數</x:v>
      </x:c>
      <x:c r="B6" s="35" t="n">
        <x:v>1558</x:v>
      </x:c>
      <x:c r="C6" s="34" t="str">
        <x:v>站</x:v>
      </x:c>
      <x:c r="D6" s="34" t="str">
        <x:v>六月測試範圍</x:v>
      </x:c>
    </x:row>
    <x:row r="7">
      <x:c r="A7" s="34" t="str">
        <x:v>決策時點</x:v>
      </x:c>
      <x:c r="B7" s="35" t="n">
        <x:v>420</x:v>
      </x:c>
      <x:c r="C7" s="34" t="str">
        <x:v>次</x:v>
      </x:c>
      <x:c r="D7" s="34" t="str">
        <x:v>每30分鐘一個決策時點</x:v>
      </x:c>
    </x:row>
    <x:row r="8">
      <x:c r="A8" s="34" t="str">
        <x:v>測試天數</x:v>
      </x:c>
      <x:c r="B8" s="35" t="n">
        <x:v>30</x:v>
      </x:c>
      <x:c r="C8" s="34" t="str">
        <x:v>天</x:v>
      </x:c>
      <x:c r="D8" s="34" t="str">
        <x:v>2026-06-01至2026-06-30</x:v>
      </x:c>
    </x:row>
    <x:row r="9">
      <x:c r="A9" s="34" t="str">
        <x:v>缺車正例</x:v>
      </x:c>
      <x:c r="B9" s="35" t="n">
        <x:v>17033</x:v>
      </x:c>
      <x:c r="C9" s="34" t="str">
        <x:v>件</x:v>
      </x:c>
      <x:c r="D9" s="34" t="str">
        <x:v>30分鐘後成為無車可借</x:v>
      </x:c>
    </x:row>
    <x:row r="10">
      <x:c r="A10" s="34" t="str">
        <x:v>缺車發生率</x:v>
      </x:c>
      <x:c r="B10" s="36" t="n">
        <x:v>0.02784339175111117</x:v>
      </x:c>
      <x:c r="C10" s="34" t="str">
        <x:v>%</x:v>
      </x:c>
      <x:c r="D10" s="34" t="str">
        <x:v>PR-AUC的隨機基準率</x:v>
      </x:c>
    </x:row>
    <x:row r="11">
      <x:c r="A11" s="34" t="str">
        <x:v>滿柱正例</x:v>
      </x:c>
      <x:c r="B11" s="34" t="n">
        <x:v>2878</x:v>
      </x:c>
      <x:c r="C11" s="34" t="str">
        <x:v>件</x:v>
      </x:c>
      <x:c r="D11" s="34" t="str">
        <x:v>30分鐘後成為無位可還</x:v>
      </x:c>
    </x:row>
    <x:row r="12">
      <x:c r="A12" s="34" t="str">
        <x:v>滿柱發生率</x:v>
      </x:c>
      <x:c r="B12" s="36" t="n">
        <x:v>0.004704589999395171</x:v>
      </x:c>
      <x:c r="C12" s="34" t="str">
        <x:v>%</x:v>
      </x:c>
      <x:c r="D12" s="34" t="str">
        <x:v>PR-AUC的隨機基準率</x:v>
      </x:c>
    </x:row>
    <x:row r="13">
      <x:c r="A13" s="37" t="str">
        <x:v>是否重新訓練／調參</x:v>
      </x:c>
      <x:c r="B13" s="37" t="n">
        <x:v>0</x:v>
      </x:c>
      <x:c r="C13" s="37" t="str">
        <x:v>否</x:v>
      </x:c>
      <x:c r="D13" s="37" t="str">
        <x:v>所有模型、校正、門檻及Top-K規則均已凍結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24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4" customHeight="1">
      <x:c r="A1" s="32" t="str">
        <x:v>六月模型層完整指標</x:v>
      </x:c>
      <x:c r="B1" s="32" t="str">
        <x:v>六月模型層完整指標</x:v>
      </x:c>
      <x:c r="C1" s="32" t="str">
        <x:v>六月模型層完整指標</x:v>
      </x:c>
      <x:c r="D1" s="32" t="str">
        <x:v>六月模型層完整指標</x:v>
      </x:c>
      <x:c r="E1" s="32" t="str">
        <x:v>六月模型層完整指標</x:v>
      </x:c>
      <x:c r="F1" s="32" t="str">
        <x:v>六月模型層完整指標</x:v>
      </x:c>
      <x:c r="G1" s="32" t="str">
        <x:v>六月模型層完整指標</x:v>
      </x:c>
      <x:c r="H1" s="32" t="str">
        <x:v>六月模型層完整指標</x:v>
      </x:c>
      <x:c r="I1" s="32" t="str">
        <x:v>六月模型層完整指標</x:v>
      </x:c>
      <x:c r="J1" s="32" t="str">
        <x:v>六月模型層完整指標</x:v>
      </x:c>
      <x:c r="K1" s="32" t="str">
        <x:v>六月模型層完整指標</x:v>
      </x:c>
      <x:c r="L1" s="32" t="str">
        <x:v>六月模型層完整指標</x:v>
      </x:c>
      <x:c r="M1" s="32" t="str">
        <x:v>六月模型層完整指標</x:v>
      </x:c>
      <x:c r="N1" s="32" t="str">
        <x:v>六月模型層完整指標</x:v>
      </x:c>
      <x:c r="O1" s="32" t="str">
        <x:v>六月模型層完整指標</x:v>
      </x:c>
      <x:c r="P1" s="32" t="str">
        <x:v>六月模型層完整指標</x:v>
      </x:c>
      <x:c r="Q1" s="32" t="str">
        <x:v>六月模型層完整指標</x:v>
      </x:c>
      <x:c r="R1" s="32" t="str">
        <x:v>六月模型層完整指標</x:v>
      </x:c>
    </x:row>
    <x:row r="2">
      <x:c r="A2" s="8" t="str">
        <x:v>正式主方案為兩個LightGBM模型；XGBoost與Hybrid僅保留為預先聲明的挑戰組。 </x:v>
      </x:c>
      <x:c r="B2" s="8" t="str">
        <x:v>正式主方案為兩個LightGBM模型；XGBoost與Hybrid僅保留為預先聲明的挑戰組。 </x:v>
      </x:c>
      <x:c r="C2" s="8" t="str">
        <x:v>正式主方案為兩個LightGBM模型；XGBoost與Hybrid僅保留為預先聲明的挑戰組。 </x:v>
      </x:c>
      <x:c r="D2" s="8" t="str">
        <x:v>正式主方案為兩個LightGBM模型；XGBoost與Hybrid僅保留為預先聲明的挑戰組。 </x:v>
      </x:c>
      <x:c r="E2" s="8" t="str">
        <x:v>正式主方案為兩個LightGBM模型；XGBoost與Hybrid僅保留為預先聲明的挑戰組。 </x:v>
      </x:c>
      <x:c r="F2" s="8" t="str">
        <x:v>正式主方案為兩個LightGBM模型；XGBoost與Hybrid僅保留為預先聲明的挑戰組。 </x:v>
      </x:c>
      <x:c r="G2" s="8" t="str">
        <x:v>正式主方案為兩個LightGBM模型；XGBoost與Hybrid僅保留為預先聲明的挑戰組。 </x:v>
      </x:c>
      <x:c r="H2" s="8" t="str">
        <x:v>正式主方案為兩個LightGBM模型；XGBoost與Hybrid僅保留為預先聲明的挑戰組。 </x:v>
      </x:c>
      <x:c r="I2" s="8" t="str">
        <x:v>正式主方案為兩個LightGBM模型；XGBoost與Hybrid僅保留為預先聲明的挑戰組。 </x:v>
      </x:c>
      <x:c r="J2" s="8" t="str">
        <x:v>正式主方案為兩個LightGBM模型；XGBoost與Hybrid僅保留為預先聲明的挑戰組。 </x:v>
      </x:c>
      <x:c r="K2" s="8" t="str">
        <x:v>正式主方案為兩個LightGBM模型；XGBoost與Hybrid僅保留為預先聲明的挑戰組。 </x:v>
      </x:c>
      <x:c r="L2" s="8" t="str">
        <x:v>正式主方案為兩個LightGBM模型；XGBoost與Hybrid僅保留為預先聲明的挑戰組。 </x:v>
      </x:c>
      <x:c r="M2" s="8" t="str">
        <x:v>正式主方案為兩個LightGBM模型；XGBoost與Hybrid僅保留為預先聲明的挑戰組。 </x:v>
      </x:c>
      <x:c r="N2" s="8" t="str">
        <x:v>正式主方案為兩個LightGBM模型；XGBoost與Hybrid僅保留為預先聲明的挑戰組。 </x:v>
      </x:c>
      <x:c r="O2" s="8" t="str">
        <x:v>正式主方案為兩個LightGBM模型；XGBoost與Hybrid僅保留為預先聲明的挑戰組。 </x:v>
      </x:c>
      <x:c r="P2" s="8" t="str">
        <x:v>正式主方案為兩個LightGBM模型；XGBoost與Hybrid僅保留為預先聲明的挑戰組。 </x:v>
      </x:c>
      <x:c r="Q2" s="8" t="str">
        <x:v>正式主方案為兩個LightGBM模型；XGBoost與Hybrid僅保留為預先聲明的挑戰組。 </x:v>
      </x:c>
      <x:c r="R2" s="8" t="str">
        <x:v>正式主方案為兩個LightGBM模型；XGBoost與Hybrid僅保留為預先聲明的挑戰組。 </x:v>
      </x:c>
    </x:row>
    <x:row r="3">
      <x:c r="A3" s="20" t="str">
        <x:v>事件</x:v>
      </x:c>
      <x:c r="B3" s="21" t="str">
        <x:v>模型</x:v>
      </x:c>
      <x:c r="C3" s="21" t="str">
        <x:v>角色</x:v>
      </x:c>
      <x:c r="D3" s="21" t="str">
        <x:v>正例數</x:v>
      </x:c>
      <x:c r="E3" s="21" t="str">
        <x:v>發生率</x:v>
      </x:c>
      <x:c r="F3" s="21" t="str">
        <x:v>PR-AUC</x:v>
      </x:c>
      <x:c r="G3" s="21" t="str">
        <x:v>相對基準倍數</x:v>
      </x:c>
      <x:c r="H3" s="21" t="str">
        <x:v>ROC-AUC</x:v>
      </x:c>
      <x:c r="I3" s="21" t="str">
        <x:v>F2門檻</x:v>
      </x:c>
      <x:c r="J3" s="21" t="str">
        <x:v>警示數</x:v>
      </x:c>
      <x:c r="K3" s="21" t="str">
        <x:v>TP</x:v>
      </x:c>
      <x:c r="L3" s="21" t="str">
        <x:v>FP</x:v>
      </x:c>
      <x:c r="M3" s="21" t="str">
        <x:v>FN</x:v>
      </x:c>
      <x:c r="N3" s="21" t="str">
        <x:v>Precision</x:v>
      </x:c>
      <x:c r="O3" s="21" t="str">
        <x:v>Recall</x:v>
      </x:c>
      <x:c r="P3" s="21" t="str">
        <x:v>F2</x:v>
      </x:c>
      <x:c r="Q3" s="21" t="str">
        <x:v>Brier</x:v>
      </x:c>
      <x:c r="R3" s="22" t="str">
        <x:v>ECE</x:v>
      </x:c>
    </x:row>
    <x:row r="4">
      <x:c r="A4" s="33" t="str">
        <x:v>缺車</x:v>
      </x:c>
      <x:c r="B4" s="33" t="str">
        <x:v>LightGBM</x:v>
      </x:c>
      <x:c r="C4" s="33" t="str">
        <x:v>正式主方案</x:v>
      </x:c>
      <x:c r="D4" s="397" t="n">
        <x:v>17033</x:v>
      </x:c>
      <x:c r="E4" s="398" t="n">
        <x:v>0.02784339175111117</x:v>
      </x:c>
      <x:c r="F4" s="398" t="n">
        <x:v>0.25081689823556774</x:v>
      </x:c>
      <x:c r="G4" s="399" t="n">
        <x:v>9.008130204739091</x:v>
      </x:c>
      <x:c r="H4" s="398" t="n">
        <x:v>0.9174072063882379</x:v>
      </x:c>
      <x:c r="I4" s="398" t="n">
        <x:v>0.08395294278860092</x:v>
      </x:c>
      <x:c r="J4" s="397" t="n">
        <x:v>66592</x:v>
      </x:c>
      <x:c r="K4" s="397" t="n">
        <x:v>11914</x:v>
      </x:c>
      <x:c r="L4" s="397" t="n">
        <x:v>54678</x:v>
      </x:c>
      <x:c r="M4" s="397" t="n">
        <x:v>5119</x:v>
      </x:c>
      <x:c r="N4" s="398" t="n">
        <x:v>0.1789103796251802</x:v>
      </x:c>
      <x:c r="O4" s="398" t="n">
        <x:v>0.6994657429695298</x:v>
      </x:c>
      <x:c r="P4" s="398" t="n">
        <x:v>0.44216323743356784</x:v>
      </x:c>
      <x:c r="Q4" s="398" t="n">
        <x:v>0.02326800487935543</x:v>
      </x:c>
      <x:c r="R4" s="398" t="n">
        <x:v>0.003619609956390067</x:v>
      </x:c>
    </x:row>
    <x:row r="5">
      <x:c r="A5" s="34" t="str">
        <x:v>缺車</x:v>
      </x:c>
      <x:c r="B5" s="34" t="str">
        <x:v>XGBoost</x:v>
      </x:c>
      <x:c r="C5" s="34" t="str">
        <x:v>挑戰組（不重新選模）</x:v>
      </x:c>
      <x:c r="D5" s="35" t="n">
        <x:v>17033</x:v>
      </x:c>
      <x:c r="E5" s="36" t="n">
        <x:v>0.02784339175111117</x:v>
      </x:c>
      <x:c r="F5" s="36" t="n">
        <x:v>0.24913160799220024</x:v>
      </x:c>
      <x:c r="G5" s="400" t="n">
        <x:v>8.947602728114399</x:v>
      </x:c>
      <x:c r="H5" s="36" t="n">
        <x:v>0.9180133199226899</x:v>
      </x:c>
      <x:c r="I5" s="36" t="n">
        <x:v>0.07664588463306425</x:v>
      </x:c>
      <x:c r="J5" s="35" t="n">
        <x:v>71554</x:v>
      </x:c>
      <x:c r="K5" s="35" t="n">
        <x:v>12320</x:v>
      </x:c>
      <x:c r="L5" s="35" t="n">
        <x:v>59234</x:v>
      </x:c>
      <x:c r="M5" s="35" t="n">
        <x:v>4713</x:v>
      </x:c>
      <x:c r="N5" s="36" t="n">
        <x:v>0.17217765603600077</x:v>
      </x:c>
      <x:c r="O5" s="36" t="n">
        <x:v>0.7233018258674339</x:v>
      </x:c>
      <x:c r="P5" s="36" t="n">
        <x:v>0.4409890754979025</x:v>
      </x:c>
      <x:c r="Q5" s="36" t="n">
        <x:v>0.02328762784600258</x:v>
      </x:c>
      <x:c r="R5" s="36" t="n">
        <x:v>0.0036694122233580056</x:v>
      </x:c>
    </x:row>
    <x:row r="6">
      <x:c r="A6" s="34" t="str">
        <x:v>缺車</x:v>
      </x:c>
      <x:c r="B6" s="34" t="str">
        <x:v>Hybrid</x:v>
      </x:c>
      <x:c r="C6" s="34" t="str">
        <x:v>挑戰組（不重新選模）</x:v>
      </x:c>
      <x:c r="D6" s="35" t="n">
        <x:v>17033</x:v>
      </x:c>
      <x:c r="E6" s="36" t="n">
        <x:v>0.02784339175111117</x:v>
      </x:c>
      <x:c r="F6" s="36" t="n">
        <x:v>0.25081689823556774</x:v>
      </x:c>
      <x:c r="G6" s="400" t="n">
        <x:v>9.008130204739091</x:v>
      </x:c>
      <x:c r="H6" s="36" t="n">
        <x:v>0.9174072063882379</x:v>
      </x:c>
      <x:c r="I6" s="36" t="n">
        <x:v>0.08395294278860092</x:v>
      </x:c>
      <x:c r="J6" s="35" t="n">
        <x:v>66592</x:v>
      </x:c>
      <x:c r="K6" s="35" t="n">
        <x:v>11914</x:v>
      </x:c>
      <x:c r="L6" s="35" t="n">
        <x:v>54678</x:v>
      </x:c>
      <x:c r="M6" s="35" t="n">
        <x:v>5119</x:v>
      </x:c>
      <x:c r="N6" s="36" t="n">
        <x:v>0.1789103796251802</x:v>
      </x:c>
      <x:c r="O6" s="36" t="n">
        <x:v>0.6994657429695298</x:v>
      </x:c>
      <x:c r="P6" s="36" t="n">
        <x:v>0.44216323743356784</x:v>
      </x:c>
      <x:c r="Q6" s="36" t="n">
        <x:v>0.02326800487935543</x:v>
      </x:c>
      <x:c r="R6" s="36" t="n">
        <x:v>0.003619609956390067</x:v>
      </x:c>
    </x:row>
    <x:row r="7">
      <x:c r="A7" s="34" t="str">
        <x:v>滿柱</x:v>
      </x:c>
      <x:c r="B7" s="34" t="str">
        <x:v>LightGBM</x:v>
      </x:c>
      <x:c r="C7" s="34" t="str">
        <x:v>正式主方案</x:v>
      </x:c>
      <x:c r="D7" s="35" t="n">
        <x:v>2878</x:v>
      </x:c>
      <x:c r="E7" s="36" t="n">
        <x:v>0.004704589999395171</x:v>
      </x:c>
      <x:c r="F7" s="36" t="n">
        <x:v>0.1400511138035712</x:v>
      </x:c>
      <x:c r="G7" s="400" t="n">
        <x:v>29.76903700887354</x:v>
      </x:c>
      <x:c r="H7" s="36" t="n">
        <x:v>0.956774593532058</x:v>
      </x:c>
      <x:c r="I7" s="36" t="n">
        <x:v>0.04853849348425863</x:v>
      </x:c>
      <x:c r="J7" s="35" t="n">
        <x:v>16600</x:v>
      </x:c>
      <x:c r="K7" s="35" t="n">
        <x:v>1691</x:v>
      </x:c>
      <x:c r="L7" s="35" t="n">
        <x:v>14909</x:v>
      </x:c>
      <x:c r="M7" s="35" t="n">
        <x:v>1187</x:v>
      </x:c>
      <x:c r="N7" s="36" t="n">
        <x:v>0.10186746987951807</x:v>
      </x:c>
      <x:c r="O7" s="36" t="n">
        <x:v>0.5875608061153579</x:v>
      </x:c>
      <x:c r="P7" s="36" t="n">
        <x:v>0.30076124075128063</x:v>
      </x:c>
      <x:c r="Q7" s="36" t="n">
        <x:v>0.004299237858504057</x:v>
      </x:c>
      <x:c r="R7" s="36" t="n">
        <x:v>0.000602390435436958</x:v>
      </x:c>
    </x:row>
    <x:row r="8">
      <x:c r="A8" s="34" t="str">
        <x:v>滿柱</x:v>
      </x:c>
      <x:c r="B8" s="34" t="str">
        <x:v>XGBoost</x:v>
      </x:c>
      <x:c r="C8" s="34" t="str">
        <x:v>挑戰組（不重新選模）</x:v>
      </x:c>
      <x:c r="D8" s="35" t="n">
        <x:v>2878</x:v>
      </x:c>
      <x:c r="E8" s="36" t="n">
        <x:v>0.004704589999395171</x:v>
      </x:c>
      <x:c r="F8" s="36" t="n">
        <x:v>0.14208836839046762</x:v>
      </x:c>
      <x:c r="G8" s="400" t="n">
        <x:v>30.202072531024957</x:v>
      </x:c>
      <x:c r="H8" s="36" t="n">
        <x:v>0.9557211441740501</x:v>
      </x:c>
      <x:c r="I8" s="36" t="n">
        <x:v>0.051293542683124346</x:v>
      </x:c>
      <x:c r="J8" s="35" t="n">
        <x:v>14904</x:v>
      </x:c>
      <x:c r="K8" s="35" t="n">
        <x:v>1605</x:v>
      </x:c>
      <x:c r="L8" s="35" t="n">
        <x:v>13299</x:v>
      </x:c>
      <x:c r="M8" s="35" t="n">
        <x:v>1273</x:v>
      </x:c>
      <x:c r="N8" s="36" t="n">
        <x:v>0.10768921095008052</x:v>
      </x:c>
      <x:c r="O8" s="36" t="n">
        <x:v>0.5576789437109103</x:v>
      </x:c>
      <x:c r="P8" s="36" t="n">
        <x:v>0.30379315566323445</x:v>
      </x:c>
      <x:c r="Q8" s="36" t="n">
        <x:v>0.004296836908906698</x:v>
      </x:c>
      <x:c r="R8" s="36" t="n">
        <x:v>0.0005834418881966763</x:v>
      </x:c>
    </x:row>
    <x:row r="9">
      <x:c r="A9" s="37" t="str">
        <x:v>滿柱</x:v>
      </x:c>
      <x:c r="B9" s="37" t="str">
        <x:v>Hybrid</x:v>
      </x:c>
      <x:c r="C9" s="37" t="str">
        <x:v>挑戰組（不重新選模）</x:v>
      </x:c>
      <x:c r="D9" s="401" t="n">
        <x:v>2878</x:v>
      </x:c>
      <x:c r="E9" s="402" t="n">
        <x:v>0.004704589999395171</x:v>
      </x:c>
      <x:c r="F9" s="402" t="n">
        <x:v>0.14208836839046762</x:v>
      </x:c>
      <x:c r="G9" s="403" t="n">
        <x:v>30.202072531024957</x:v>
      </x:c>
      <x:c r="H9" s="402" t="n">
        <x:v>0.9557211441740501</x:v>
      </x:c>
      <x:c r="I9" s="402" t="n">
        <x:v>0.051293542683124346</x:v>
      </x:c>
      <x:c r="J9" s="401" t="n">
        <x:v>14904</x:v>
      </x:c>
      <x:c r="K9" s="401" t="n">
        <x:v>1605</x:v>
      </x:c>
      <x:c r="L9" s="401" t="n">
        <x:v>13299</x:v>
      </x:c>
      <x:c r="M9" s="401" t="n">
        <x:v>1273</x:v>
      </x:c>
      <x:c r="N9" s="402" t="n">
        <x:v>0.10768921095008052</x:v>
      </x:c>
      <x:c r="O9" s="402" t="n">
        <x:v>0.5576789437109103</x:v>
      </x:c>
      <x:c r="P9" s="402" t="n">
        <x:v>0.30379315566323445</x:v>
      </x:c>
      <x:c r="Q9" s="402" t="n">
        <x:v>0.004296836908906698</x:v>
      </x:c>
      <x:c r="R9" s="402" t="n">
        <x:v>0.0005834418881966763</x:v>
      </x:c>
    </x:row>
  </x:sheetData>
  <x:mergeCells>
    <x:mergeCell ref="A1:R1"/>
    <x:mergeCell ref="A2:R2"/>
  </x:mergeCells>
  <x:conditionalFormatting sqref="A4:R9">
    <x:cfRule type="expression" dxfId="0" priority="1">
      <x:formula>$C4="正式主方案"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98b526deb0244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34" customHeight="1">
      <x:c r="A1" s="32" t="str">
        <x:v>六月Top-K行動層完整指標</x:v>
      </x:c>
      <x:c r="B1" s="32" t="str">
        <x:v>六月Top-K行動層完整指標</x:v>
      </x:c>
      <x:c r="C1" s="32" t="str">
        <x:v>六月Top-K行動層完整指標</x:v>
      </x:c>
      <x:c r="D1" s="32" t="str">
        <x:v>六月Top-K行動層完整指標</x:v>
      </x:c>
      <x:c r="E1" s="32" t="str">
        <x:v>六月Top-K行動層完整指標</x:v>
      </x:c>
      <x:c r="F1" s="32" t="str">
        <x:v>六月Top-K行動層完整指標</x:v>
      </x:c>
      <x:c r="G1" s="32" t="str">
        <x:v>六月Top-K行動層完整指標</x:v>
      </x:c>
      <x:c r="H1" s="32" t="str">
        <x:v>六月Top-K行動層完整指標</x:v>
      </x:c>
      <x:c r="I1" s="32" t="str">
        <x:v>六月Top-K行動層完整指標</x:v>
      </x:c>
      <x:c r="J1" s="32" t="str">
        <x:v>六月Top-K行動層完整指標</x:v>
      </x:c>
      <x:c r="K1" s="32" t="str">
        <x:v>六月Top-K行動層完整指標</x:v>
      </x:c>
      <x:c r="L1" s="32" t="str">
        <x:v>六月Top-K行動層完整指標</x:v>
      </x:c>
      <x:c r="M1" s="32" t="str">
        <x:v>六月Top-K行動層完整指標</x:v>
      </x:c>
      <x:c r="N1" s="32" t="str">
        <x:v>六月Top-K行動層完整指標</x:v>
      </x:c>
      <x:c r="O1" s="32" t="str">
        <x:v>六月Top-K行動層完整指標</x:v>
      </x:c>
      <x:c r="P1" s="32" t="str">
        <x:v>六月Top-K行動層完整指標</x:v>
      </x:c>
      <x:c r="Q1" s="32" t="str">
        <x:v>六月Top-K行動層完整指標</x:v>
      </x:c>
      <x:c r="R1" s="32" t="str">
        <x:v>六月Top-K行動層完整指標</x:v>
      </x:c>
    </x:row>
    <x:row r="2">
      <x:c r="A2" s="8" t="str">
        <x:v>K是每個30分鐘決策時點的最多顯示站數；最低風險門檻仍可能讓清單少於K。 </x:v>
      </x:c>
      <x:c r="B2" s="8" t="str">
        <x:v>K是每個30分鐘決策時點的最多顯示站數；最低風險門檻仍可能讓清單少於K。 </x:v>
      </x:c>
      <x:c r="C2" s="8" t="str">
        <x:v>K是每個30分鐘決策時點的最多顯示站數；最低風險門檻仍可能讓清單少於K。 </x:v>
      </x:c>
      <x:c r="D2" s="8" t="str">
        <x:v>K是每個30分鐘決策時點的最多顯示站數；最低風險門檻仍可能讓清單少於K。 </x:v>
      </x:c>
      <x:c r="E2" s="8" t="str">
        <x:v>K是每個30分鐘決策時點的最多顯示站數；最低風險門檻仍可能讓清單少於K。 </x:v>
      </x:c>
      <x:c r="F2" s="8" t="str">
        <x:v>K是每個30分鐘決策時點的最多顯示站數；最低風險門檻仍可能讓清單少於K。 </x:v>
      </x:c>
      <x:c r="G2" s="8" t="str">
        <x:v>K是每個30分鐘決策時點的最多顯示站數；最低風險門檻仍可能讓清單少於K。 </x:v>
      </x:c>
      <x:c r="H2" s="8" t="str">
        <x:v>K是每個30分鐘決策時點的最多顯示站數；最低風險門檻仍可能讓清單少於K。 </x:v>
      </x:c>
      <x:c r="I2" s="8" t="str">
        <x:v>K是每個30分鐘決策時點的最多顯示站數；最低風險門檻仍可能讓清單少於K。 </x:v>
      </x:c>
      <x:c r="J2" s="8" t="str">
        <x:v>K是每個30分鐘決策時點的最多顯示站數；最低風險門檻仍可能讓清單少於K。 </x:v>
      </x:c>
      <x:c r="K2" s="8" t="str">
        <x:v>K是每個30分鐘決策時點的最多顯示站數；最低風險門檻仍可能讓清單少於K。 </x:v>
      </x:c>
      <x:c r="L2" s="8" t="str">
        <x:v>K是每個30分鐘決策時點的最多顯示站數；最低風險門檻仍可能讓清單少於K。 </x:v>
      </x:c>
      <x:c r="M2" s="8" t="str">
        <x:v>K是每個30分鐘決策時點的最多顯示站數；最低風險門檻仍可能讓清單少於K。 </x:v>
      </x:c>
      <x:c r="N2" s="8" t="str">
        <x:v>K是每個30分鐘決策時點的最多顯示站數；最低風險門檻仍可能讓清單少於K。 </x:v>
      </x:c>
      <x:c r="O2" s="8" t="str">
        <x:v>K是每個30分鐘決策時點的最多顯示站數；最低風險門檻仍可能讓清單少於K。 </x:v>
      </x:c>
      <x:c r="P2" s="8" t="str">
        <x:v>K是每個30分鐘決策時點的最多顯示站數；最低風險門檻仍可能讓清單少於K。 </x:v>
      </x:c>
      <x:c r="Q2" s="8" t="str">
        <x:v>K是每個30分鐘決策時點的最多顯示站數；最低風險門檻仍可能讓清單少於K。 </x:v>
      </x:c>
      <x:c r="R2" s="8" t="str">
        <x:v>K是每個30分鐘決策時點的最多顯示站數；最低風險門檻仍可能讓清單少於K。 </x:v>
      </x:c>
    </x:row>
    <x:row r="3">
      <x:c r="A3" s="20" t="str">
        <x:v>模型</x:v>
      </x:c>
      <x:c r="B3" s="21" t="str">
        <x:v>角色</x:v>
      </x:c>
      <x:c r="C3" s="21" t="str">
        <x:v>K</x:v>
      </x:c>
      <x:c r="D3" s="21" t="str">
        <x:v>平均候選站</x:v>
      </x:c>
      <x:c r="E3" s="21" t="str">
        <x:v>平均顯示站</x:v>
      </x:c>
      <x:c r="F3" s="21" t="str">
        <x:v>快照命中率</x:v>
      </x:c>
      <x:c r="G3" s="21" t="str">
        <x:v>Episode命中率</x:v>
      </x:c>
      <x:c r="H3" s="21" t="str">
        <x:v>Episodes</x:v>
      </x:c>
      <x:c r="I3" s="21" t="str">
        <x:v>命中Episodes</x:v>
      </x:c>
      <x:c r="J3" s="21" t="str">
        <x:v>Episodes/日</x:v>
      </x:c>
      <x:c r="K3" s="21" t="str">
        <x:v>未命中/日</x:v>
      </x:c>
      <x:c r="L3" s="21" t="str">
        <x:v>缺車召回</x:v>
      </x:c>
      <x:c r="M3" s="21" t="str">
        <x:v>滿柱召回</x:v>
      </x:c>
      <x:c r="N3" s="21" t="str">
        <x:v>Macro召回</x:v>
      </x:c>
      <x:c r="O3" s="21" t="str">
        <x:v>Micro召回</x:v>
      </x:c>
      <x:c r="P3" s="21" t="str">
        <x:v>去重率</x:v>
      </x:c>
      <x:c r="Q3" s="21" t="str">
        <x:v>K滿載率</x:v>
      </x:c>
      <x:c r="R3" s="22" t="str">
        <x:v>清單未滿率</x:v>
      </x:c>
    </x:row>
    <x:row r="4">
      <x:c r="A4" s="33" t="str">
        <x:v>LightGBM</x:v>
      </x:c>
      <x:c r="B4" s="33" t="str">
        <x:v>正式主方案</x:v>
      </x:c>
      <x:c r="C4" s="404" t="n">
        <x:v>10</x:v>
      </x:c>
      <x:c r="D4" s="405" t="n">
        <x:v>13.892857142857142</x:v>
      </x:c>
      <x:c r="E4" s="405" t="n">
        <x:v>6.180952380952381</x:v>
      </x:c>
      <x:c r="F4" s="398" t="n">
        <x:v>0.3825115562403698</x:v>
      </x:c>
      <x:c r="G4" s="398" t="n">
        <x:v>0.4353353792196405</x:v>
      </x:c>
      <x:c r="H4" s="397" t="n">
        <x:v>2281</x:v>
      </x:c>
      <x:c r="I4" s="397" t="n">
        <x:v>993</x:v>
      </x:c>
      <x:c r="J4" s="405" t="n">
        <x:v>76.03333333333333</x:v>
      </x:c>
      <x:c r="K4" s="405" t="n">
        <x:v>42.93333333333333</x:v>
      </x:c>
      <x:c r="L4" s="398" t="n">
        <x:v>0.04579345975459402</x:v>
      </x:c>
      <x:c r="M4" s="398" t="n">
        <x:v>0.07400972897845726</x:v>
      </x:c>
      <x:c r="N4" s="398" t="n">
        <x:v>0.05990159436652564</x:v>
      </x:c>
      <x:c r="O4" s="398" t="n">
        <x:v>0.04987193008889559</x:v>
      </x:c>
      <x:c r="P4" s="398" t="n">
        <x:v>0.12134052388289673</x:v>
      </x:c>
      <x:c r="Q4" s="398" t="n">
        <x:v>0.3547619047619048</x:v>
      </x:c>
      <x:c r="R4" s="398" t="n">
        <x:v>0.6047619047619047</x:v>
      </x:c>
    </x:row>
    <x:row r="5">
      <x:c r="A5" s="34" t="str">
        <x:v>LightGBM</x:v>
      </x:c>
      <x:c r="B5" s="34" t="str">
        <x:v>正式主方案</x:v>
      </x:c>
      <x:c r="C5" s="406" t="n">
        <x:v>15</x:v>
      </x:c>
      <x:c r="D5" s="407" t="n">
        <x:v>13.892857142857142</x:v>
      </x:c>
      <x:c r="E5" s="407" t="n">
        <x:v>7.716666666666667</x:v>
      </x:c>
      <x:c r="F5" s="36" t="n">
        <x:v>0.3782783091638383</x:v>
      </x:c>
      <x:c r="G5" s="36" t="n">
        <x:v>0.4344436569808646</x:v>
      </x:c>
      <x:c r="H5" s="35" t="n">
        <x:v>2822</x:v>
      </x:c>
      <x:c r="I5" s="35" t="n">
        <x:v>1226</x:v>
      </x:c>
      <x:c r="J5" s="407" t="n">
        <x:v>94.06666666666666</x:v>
      </x:c>
      <x:c r="K5" s="407" t="n">
        <x:v>53.2</x:v>
      </x:c>
      <x:c r="L5" s="36" t="n">
        <x:v>0.057300534257030473</x:v>
      </x:c>
      <x:c r="M5" s="36" t="n">
        <x:v>0.08686587908269632</x:v>
      </x:c>
      <x:c r="N5" s="36" t="n">
        <x:v>0.0720832066698634</x:v>
      </x:c>
      <x:c r="O5" s="36" t="n">
        <x:v>0.061574004319220534</x:v>
      </x:c>
      <x:c r="P5" s="36" t="n">
        <x:v>0.1292810860845418</x:v>
      </x:c>
      <x:c r="Q5" s="36" t="n">
        <x:v>0.25476190476190474</x:v>
      </x:c>
      <x:c r="R5" s="36" t="n">
        <x:v>0.7380952380952381</x:v>
      </x:c>
    </x:row>
    <x:row r="6">
      <x:c r="A6" s="34" t="str">
        <x:v>LightGBM</x:v>
      </x:c>
      <x:c r="B6" s="34" t="str">
        <x:v>正式主方案</x:v>
      </x:c>
      <x:c r="C6" s="406" t="n">
        <x:v>20</x:v>
      </x:c>
      <x:c r="D6" s="407" t="n">
        <x:v>13.892857142857142</x:v>
      </x:c>
      <x:c r="E6" s="407" t="n">
        <x:v>8.854761904761904</x:v>
      </x:c>
      <x:c r="F6" s="36" t="n">
        <x:v>0.38262973917719817</x:v>
      </x:c>
      <x:c r="G6" s="36" t="n">
        <x:v>0.44110353378797273</x:v>
      </x:c>
      <x:c r="H6" s="35" t="n">
        <x:v>3226</x:v>
      </x:c>
      <x:c r="I6" s="35" t="n">
        <x:v>1423</x:v>
      </x:c>
      <x:c r="J6" s="407" t="n">
        <x:v>107.53333333333333</x:v>
      </x:c>
      <x:c r="K6" s="407" t="n">
        <x:v>60.1</x:v>
      </x:c>
      <x:c r="L6" s="36" t="n">
        <x:v>0.06780954617507191</x:v>
      </x:c>
      <x:c r="M6" s="36" t="n">
        <x:v>0.09312022237665045</x:v>
      </x:c>
      <x:c r="N6" s="36" t="n">
        <x:v>0.08046488427586118</x:v>
      </x:c>
      <x:c r="O6" s="36" t="n">
        <x:v>0.07146803274571845</x:v>
      </x:c>
      <x:c r="P6" s="36" t="n">
        <x:v>0.13256251680559294</x:v>
      </x:c>
      <x:c r="Q6" s="36" t="n">
        <x:v>0.20238095238095238</x:v>
      </x:c>
      <x:c r="R6" s="36" t="n">
        <x:v>0.7880952380952381</x:v>
      </x:c>
    </x:row>
    <x:row r="7">
      <x:c r="A7" s="34" t="str">
        <x:v>LightGBM</x:v>
      </x:c>
      <x:c r="B7" s="34" t="str">
        <x:v>正式主方案</x:v>
      </x:c>
      <x:c r="C7" s="406" t="n">
        <x:v>25</x:v>
      </x:c>
      <x:c r="D7" s="407" t="n">
        <x:v>13.892857142857142</x:v>
      </x:c>
      <x:c r="E7" s="407" t="n">
        <x:v>9.816666666666666</x:v>
      </x:c>
      <x:c r="F7" s="36" t="n">
        <x:v>0.38345864661654133</x:v>
      </x:c>
      <x:c r="G7" s="36" t="n">
        <x:v>0.44410112359550563</x:v>
      </x:c>
      <x:c r="H7" s="35" t="n">
        <x:v>3560</x:v>
      </x:c>
      <x:c r="I7" s="35" t="n">
        <x:v>1581</x:v>
      </x:c>
      <x:c r="J7" s="407" t="n">
        <x:v>118.66666666666667</x:v>
      </x:c>
      <x:c r="K7" s="407" t="n">
        <x:v>65.96666666666667</x:v>
      </x:c>
      <x:c r="L7" s="36" t="n">
        <x:v>0.07667469030705101</x:v>
      </x:c>
      <x:c r="M7" s="36" t="n">
        <x:v>0.09555246699096595</x:v>
      </x:c>
      <x:c r="N7" s="36" t="n">
        <x:v>0.08611357864900848</x:v>
      </x:c>
      <x:c r="O7" s="36" t="n">
        <x:v>0.07940334488473708</x:v>
      </x:c>
      <x:c r="P7" s="36" t="n">
        <x:v>0.13655105505699738</x:v>
      </x:c>
      <x:c r="Q7" s="36" t="n">
        <x:v>0.18571428571428572</x:v>
      </x:c>
      <x:c r="R7" s="36" t="n">
        <x:v>0.8142857142857143</x:v>
      </x:c>
    </x:row>
    <x:row r="8">
      <x:c r="A8" s="34" t="str">
        <x:v>XGBoost</x:v>
      </x:c>
      <x:c r="B8" s="34" t="str">
        <x:v>挑戰組（不重新選模）</x:v>
      </x:c>
      <x:c r="C8" s="406" t="n">
        <x:v>10</x:v>
      </x:c>
      <x:c r="D8" s="407" t="n">
        <x:v>13.8</x:v>
      </x:c>
      <x:c r="E8" s="407" t="n">
        <x:v>6.033333333333333</x:v>
      </x:c>
      <x:c r="F8" s="36" t="n">
        <x:v>0.372533543804262</x:v>
      </x:c>
      <x:c r="G8" s="36" t="n">
        <x:v>0.4294813466787989</x:v>
      </x:c>
      <x:c r="H8" s="35" t="n">
        <x:v>2198</x:v>
      </x:c>
      <x:c r="I8" s="35" t="n">
        <x:v>944</x:v>
      </x:c>
      <x:c r="J8" s="407" t="n">
        <x:v>73.26666666666667</x:v>
      </x:c>
      <x:c r="K8" s="407" t="n">
        <x:v>41.8</x:v>
      </x:c>
      <x:c r="L8" s="36" t="n">
        <x:v>0.04115540421534668</x:v>
      </x:c>
      <x:c r="M8" s="36" t="n">
        <x:v>0.08443363446838081</x:v>
      </x:c>
      <x:c r="N8" s="36" t="n">
        <x:v>0.06279451934186375</x:v>
      </x:c>
      <x:c r="O8" s="36" t="n">
        <x:v>0.047410978855908795</x:v>
      </x:c>
      <x:c r="P8" s="36" t="n">
        <x:v>0.13259668508287292</x:v>
      </x:c>
      <x:c r="Q8" s="36" t="n">
        <x:v>0.3547619047619048</x:v>
      </x:c>
      <x:c r="R8" s="36" t="n">
        <x:v>0.6214285714285714</x:v>
      </x:c>
    </x:row>
    <x:row r="9">
      <x:c r="A9" s="34" t="str">
        <x:v>XGBoost</x:v>
      </x:c>
      <x:c r="B9" s="34" t="str">
        <x:v>挑戰組（不重新選模）</x:v>
      </x:c>
      <x:c r="C9" s="406" t="n">
        <x:v>15</x:v>
      </x:c>
      <x:c r="D9" s="407" t="n">
        <x:v>13.8</x:v>
      </x:c>
      <x:c r="E9" s="407" t="n">
        <x:v>7.559523809523809</x:v>
      </x:c>
      <x:c r="F9" s="36" t="n">
        <x:v>0.37291338582677164</x:v>
      </x:c>
      <x:c r="G9" s="36" t="n">
        <x:v>0.43577475156422524</x:v>
      </x:c>
      <x:c r="H9" s="35" t="n">
        <x:v>2717</x:v>
      </x:c>
      <x:c r="I9" s="35" t="n">
        <x:v>1184</x:v>
      </x:c>
      <x:c r="J9" s="407" t="n">
        <x:v>90.56666666666666</x:v>
      </x:c>
      <x:c r="K9" s="407" t="n">
        <x:v>51.1</x:v>
      </x:c>
      <x:c r="L9" s="36" t="n">
        <x:v>0.05295602653672283</x:v>
      </x:c>
      <x:c r="M9" s="36" t="n">
        <x:v>0.09798471160528145</x:v>
      </x:c>
      <x:c r="N9" s="36" t="n">
        <x:v>0.07547036907100214</x:v>
      </x:c>
      <x:c r="O9" s="36" t="n">
        <x:v>0.059464617548088995</x:v>
      </x:c>
      <x:c r="P9" s="36" t="n">
        <x:v>0.14425196850393696</x:v>
      </x:c>
      <x:c r="Q9" s="36" t="n">
        <x:v>0.2523809523809524</x:v>
      </x:c>
      <x:c r="R9" s="36" t="n">
        <x:v>0.7404761904761905</x:v>
      </x:c>
    </x:row>
    <x:row r="10">
      <x:c r="A10" s="34" t="str">
        <x:v>XGBoost</x:v>
      </x:c>
      <x:c r="B10" s="34" t="str">
        <x:v>挑戰組（不重新選模）</x:v>
      </x:c>
      <x:c r="C10" s="406" t="n">
        <x:v>20</x:v>
      </x:c>
      <x:c r="D10" s="407" t="n">
        <x:v>13.8</x:v>
      </x:c>
      <x:c r="E10" s="407" t="n">
        <x:v>8.704761904761904</x:v>
      </x:c>
      <x:c r="F10" s="36" t="n">
        <x:v>0.3774617067833698</x:v>
      </x:c>
      <x:c r="G10" s="36" t="n">
        <x:v>0.4411764705882353</x:v>
      </x:c>
      <x:c r="H10" s="35" t="n">
        <x:v>3128</x:v>
      </x:c>
      <x:c r="I10" s="35" t="n">
        <x:v>1380</x:v>
      </x:c>
      <x:c r="J10" s="407" t="n">
        <x:v>104.26666666666667</x:v>
      </x:c>
      <x:c r="K10" s="407" t="n">
        <x:v>58.266666666666666</x:v>
      </x:c>
      <x:c r="L10" s="36" t="n">
        <x:v>0.06399342452885574</x:v>
      </x:c>
      <x:c r="M10" s="36" t="n">
        <x:v>0.10076441973592773</x:v>
      </x:c>
      <x:c r="N10" s="36" t="n">
        <x:v>0.08237892213239173</x:v>
      </x:c>
      <x:c r="O10" s="36" t="n">
        <x:v>0.06930842248003616</x:v>
      </x:c>
      <x:c r="P10" s="36" t="n">
        <x:v>0.1444201312910285</x:v>
      </x:c>
      <x:c r="Q10" s="36" t="n">
        <x:v>0.20238095238095238</x:v>
      </x:c>
      <x:c r="R10" s="36" t="n">
        <x:v>0.7928571428571428</x:v>
      </x:c>
    </x:row>
    <x:row r="11">
      <x:c r="A11" s="34" t="str">
        <x:v>XGBoost</x:v>
      </x:c>
      <x:c r="B11" s="34" t="str">
        <x:v>挑戰組（不重新選模）</x:v>
      </x:c>
      <x:c r="C11" s="406" t="n">
        <x:v>25</x:v>
      </x:c>
      <x:c r="D11" s="407" t="n">
        <x:v>13.8</x:v>
      </x:c>
      <x:c r="E11" s="407" t="n">
        <x:v>9.673809523809524</x:v>
      </x:c>
      <x:c r="F11" s="36" t="n">
        <x:v>0.38026089096726556</x:v>
      </x:c>
      <x:c r="G11" s="36" t="n">
        <x:v>0.44640277376480786</x:v>
      </x:c>
      <x:c r="H11" s="35" t="n">
        <x:v>3461</x:v>
      </x:c>
      <x:c r="I11" s="35" t="n">
        <x:v>1545</x:v>
      </x:c>
      <x:c r="J11" s="407" t="n">
        <x:v>115.36666666666666</x:v>
      </x:c>
      <x:c r="K11" s="407" t="n">
        <x:v>63.86666666666667</x:v>
      </x:c>
      <x:c r="L11" s="36" t="n">
        <x:v>0.07344566429871426</x:v>
      </x:c>
      <x:c r="M11" s="36" t="n">
        <x:v>0.10215427380125087</x:v>
      </x:c>
      <x:c r="N11" s="36" t="n">
        <x:v>0.08779996904998257</x:v>
      </x:c>
      <x:c r="O11" s="36" t="n">
        <x:v>0.07759529908091005</x:v>
      </x:c>
      <x:c r="P11" s="36" t="n">
        <x:v>0.14816637952252032</x:v>
      </x:c>
      <x:c r="Q11" s="36" t="n">
        <x:v>0.18095238095238095</x:v>
      </x:c>
      <x:c r="R11" s="36" t="n">
        <x:v>0.8142857142857143</x:v>
      </x:c>
    </x:row>
    <x:row r="12">
      <x:c r="A12" s="34" t="str">
        <x:v>Hybrid</x:v>
      </x:c>
      <x:c r="B12" s="34" t="str">
        <x:v>挑戰組（不重新選模）</x:v>
      </x:c>
      <x:c r="C12" s="406" t="n">
        <x:v>10</x:v>
      </x:c>
      <x:c r="D12" s="407" t="n">
        <x:v>13.997619047619047</x:v>
      </x:c>
      <x:c r="E12" s="407" t="n">
        <x:v>6.257142857142857</x:v>
      </x:c>
      <x:c r="F12" s="36" t="n">
        <x:v>0.3843226788432268</x:v>
      </x:c>
      <x:c r="G12" s="36" t="n">
        <x:v>0.44670499778858913</x:v>
      </x:c>
      <x:c r="H12" s="35" t="n">
        <x:v>2261</x:v>
      </x:c>
      <x:c r="I12" s="35" t="n">
        <x:v>1010</x:v>
      </x:c>
      <x:c r="J12" s="407" t="n">
        <x:v>75.36666666666666</x:v>
      </x:c>
      <x:c r="K12" s="407" t="n">
        <x:v>41.7</x:v>
      </x:c>
      <x:c r="L12" s="36" t="n">
        <x:v>0.0453237832442905</x:v>
      </x:c>
      <x:c r="M12" s="36" t="n">
        <x:v>0.08269631688672689</x:v>
      </x:c>
      <x:c r="N12" s="36" t="n">
        <x:v>0.0640100500655087</x:v>
      </x:c>
      <x:c r="O12" s="36" t="n">
        <x:v>0.05072572949625835</x:v>
      </x:c>
      <x:c r="P12" s="36" t="n">
        <x:v>0.13964992389649922</x:v>
      </x:c>
      <x:c r="Q12" s="36" t="n">
        <x:v>0.3880952380952381</x:v>
      </x:c>
      <x:c r="R12" s="36" t="n">
        <x:v>0.5880952380952381</x:v>
      </x:c>
    </x:row>
    <x:row r="13">
      <x:c r="A13" s="34" t="str">
        <x:v>Hybrid</x:v>
      </x:c>
      <x:c r="B13" s="34" t="str">
        <x:v>挑戰組（不重新選模）</x:v>
      </x:c>
      <x:c r="C13" s="406" t="n">
        <x:v>15</x:v>
      </x:c>
      <x:c r="D13" s="407" t="n">
        <x:v>13.997619047619047</x:v>
      </x:c>
      <x:c r="E13" s="407" t="n">
        <x:v>7.873809523809523</x:v>
      </x:c>
      <x:c r="F13" s="36" t="n">
        <x:v>0.37949803447233144</x:v>
      </x:c>
      <x:c r="G13" s="36" t="n">
        <x:v>0.44440509915014165</x:v>
      </x:c>
      <x:c r="H13" s="35" t="n">
        <x:v>2824</x:v>
      </x:c>
      <x:c r="I13" s="35" t="n">
        <x:v>1255</x:v>
      </x:c>
      <x:c r="J13" s="407" t="n">
        <x:v>94.13333333333334</x:v>
      </x:c>
      <x:c r="K13" s="407" t="n">
        <x:v>52.3</x:v>
      </x:c>
      <x:c r="L13" s="36" t="n">
        <x:v>0.057183115129454586</x:v>
      </x:c>
      <x:c r="M13" s="36" t="n">
        <x:v>0.09763724808895066</x:v>
      </x:c>
      <x:c r="N13" s="36" t="n">
        <x:v>0.07741018160920263</x:v>
      </x:c>
      <x:c r="O13" s="36" t="n">
        <x:v>0.0630304856611923</x:v>
      </x:c>
      <x:c r="P13" s="36" t="n">
        <x:v>0.14605382521923194</x:v>
      </x:c>
      <x:c r="Q13" s="36" t="n">
        <x:v>0.2571428571428571</x:v>
      </x:c>
      <x:c r="R13" s="36" t="n">
        <x:v>0.7238095238095238</x:v>
      </x:c>
    </x:row>
    <x:row r="14">
      <x:c r="A14" s="34" t="str">
        <x:v>Hybrid</x:v>
      </x:c>
      <x:c r="B14" s="34" t="str">
        <x:v>挑戰組（不重新選模）</x:v>
      </x:c>
      <x:c r="C14" s="406" t="n">
        <x:v>20</x:v>
      </x:c>
      <x:c r="D14" s="407" t="n">
        <x:v>13.997619047619047</x:v>
      </x:c>
      <x:c r="E14" s="407" t="n">
        <x:v>9.014285714285714</x:v>
      </x:c>
      <x:c r="F14" s="36" t="n">
        <x:v>0.3808769149498151</x:v>
      </x:c>
      <x:c r="G14" s="36" t="n">
        <x:v>0.44630145465800064</x:v>
      </x:c>
      <x:c r="H14" s="35" t="n">
        <x:v>3231</x:v>
      </x:c>
      <x:c r="I14" s="35" t="n">
        <x:v>1442</x:v>
      </x:c>
      <x:c r="J14" s="407" t="n">
        <x:v>107.7</x:v>
      </x:c>
      <x:c r="K14" s="407" t="n">
        <x:v>59.63333333333333</x:v>
      </x:c>
      <x:c r="L14" s="36" t="n">
        <x:v>0.0676334174837081</x:v>
      </x:c>
      <x:c r="M14" s="36" t="n">
        <x:v>0.10076441973592773</x:v>
      </x:c>
      <x:c r="N14" s="36" t="n">
        <x:v>0.08419891860981792</x:v>
      </x:c>
      <x:c r="O14" s="36" t="n">
        <x:v>0.07242227914218272</x:v>
      </x:c>
      <x:c r="P14" s="36" t="n">
        <x:v>0.1465927099841522</x:v>
      </x:c>
      <x:c r="Q14" s="36" t="n">
        <x:v>0.1976190476190476</x:v>
      </x:c>
      <x:c r="R14" s="36" t="n">
        <x:v>0.7928571428571428</x:v>
      </x:c>
    </x:row>
    <x:row r="15">
      <x:c r="A15" s="37" t="str">
        <x:v>Hybrid</x:v>
      </x:c>
      <x:c r="B15" s="37" t="str">
        <x:v>挑戰組（不重新選模）</x:v>
      </x:c>
      <x:c r="C15" s="408" t="n">
        <x:v>25</x:v>
      </x:c>
      <x:c r="D15" s="409" t="n">
        <x:v>13.997619047619047</x:v>
      </x:c>
      <x:c r="E15" s="409" t="n">
        <x:v>9.969047619047618</x:v>
      </x:c>
      <x:c r="F15" s="402" t="n">
        <x:v>0.38332935275853836</x:v>
      </x:c>
      <x:c r="G15" s="402" t="n">
        <x:v>0.45147679324894513</x:v>
      </x:c>
      <x:c r="H15" s="401" t="n">
        <x:v>3555</x:v>
      </x:c>
      <x:c r="I15" s="401" t="n">
        <x:v>1605</x:v>
      </x:c>
      <x:c r="J15" s="409" t="n">
        <x:v>118.5</x:v>
      </x:c>
      <x:c r="K15" s="409" t="n">
        <x:v>65</x:v>
      </x:c>
      <x:c r="L15" s="402" t="n">
        <x:v>0.07696823812599073</x:v>
      </x:c>
      <x:c r="M15" s="402" t="n">
        <x:v>0.10215427380125087</x:v>
      </x:c>
      <x:c r="N15" s="402" t="n">
        <x:v>0.0895612559636208</x:v>
      </x:c>
      <x:c r="O15" s="402" t="n">
        <x:v>0.0806087087539551</x:v>
      </x:c>
      <x:c r="P15" s="402" t="n">
        <x:v>0.15094339622641506</x:v>
      </x:c>
      <x:c r="Q15" s="402" t="n">
        <x:v>0.18333333333333332</x:v>
      </x:c>
      <x:c r="R15" s="402" t="n">
        <x:v>0.8142857142857143</x:v>
      </x:c>
    </x:row>
  </x:sheetData>
  <x:mergeCells>
    <x:mergeCell ref="A1:R1"/>
    <x:mergeCell ref="A2:R2"/>
  </x:mergeCells>
  <x:conditionalFormatting sqref="A4:R15">
    <x:cfRule type="expression" dxfId="1" priority="1">
      <x:formula>$B4="正式主方案"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8b821162554e7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2" t="str">
        <x:v>報告口徑與使用提醒</x:v>
      </x:c>
      <x:c r="B1" s="32" t="str">
        <x:v>報告口徑與使用提醒</x:v>
      </x:c>
      <x:c r="C1" s="32" t="str">
        <x:v>報告口徑與使用提醒</x:v>
      </x:c>
      <x:c r="D1" s="32" t="str">
        <x:v>報告口徑與使用提醒</x:v>
      </x:c>
      <x:c r="E1" s="32" t="str">
        <x:v>報告口徑與使用提醒</x:v>
      </x:c>
      <x:c r="F1" s="32" t="str">
        <x:v>報告口徑與使用提醒</x:v>
      </x:c>
      <x:c r="G1" s="32" t="str">
        <x:v>報告口徑與使用提醒</x:v>
      </x:c>
      <x:c r="H1" s="32" t="str">
        <x:v>報告口徑與使用提醒</x:v>
      </x:c>
    </x:row>
    <x:row r="2" ht="34" customHeight="1">
      <x:c r="A2" s="32" t="str">
        <x:v>報告口徑與使用提醒</x:v>
      </x:c>
      <x:c r="B2" s="32" t="str">
        <x:v>報告口徑與使用提醒</x:v>
      </x:c>
      <x:c r="C2" s="32" t="str">
        <x:v>報告口徑與使用提醒</x:v>
      </x:c>
      <x:c r="D2" s="32" t="str">
        <x:v>報告口徑與使用提醒</x:v>
      </x:c>
      <x:c r="E2" s="32" t="str">
        <x:v>報告口徑與使用提醒</x:v>
      </x:c>
      <x:c r="F2" s="32" t="str">
        <x:v>報告口徑與使用提醒</x:v>
      </x:c>
      <x:c r="G2" s="32" t="str">
        <x:v>報告口徑與使用提醒</x:v>
      </x:c>
      <x:c r="H2" s="32" t="str">
        <x:v>報告口徑與使用提醒</x:v>
      </x:c>
    </x:row>
    <x:row r="3">
      <x:c r="A3" s="8" t="str">
        <x:v>報告組員時先講模型層，再講Top-K行動層；兩者的Recall分母與用途不同。 </x:v>
      </x:c>
      <x:c r="B3" s="8" t="str">
        <x:v>報告組員時先講模型層，再講Top-K行動層；兩者的Recall分母與用途不同。 </x:v>
      </x:c>
      <x:c r="C3" s="8" t="str">
        <x:v>報告組員時先講模型層，再講Top-K行動層；兩者的Recall分母與用途不同。 </x:v>
      </x:c>
      <x:c r="D3" s="8" t="str">
        <x:v>報告組員時先講模型層，再講Top-K行動層；兩者的Recall分母與用途不同。 </x:v>
      </x:c>
      <x:c r="E3" s="8" t="str">
        <x:v>報告組員時先講模型層，再講Top-K行動層；兩者的Recall分母與用途不同。 </x:v>
      </x:c>
      <x:c r="F3" s="8" t="str">
        <x:v>報告組員時先講模型層，再講Top-K行動層；兩者的Recall分母與用途不同。 </x:v>
      </x:c>
      <x:c r="G3" s="8" t="str">
        <x:v>報告組員時先講模型層，再講Top-K行動層；兩者的Recall分母與用途不同。 </x:v>
      </x:c>
      <x:c r="H3" s="8" t="str">
        <x:v>報告組員時先講模型層，再講Top-K行動層；兩者的Recall分母與用途不同。 </x:v>
      </x:c>
    </x:row>
    <x:row r="4">
      <x:c r="A4" s="410"/>
      <x:c r="B4" s="410"/>
      <x:c r="C4" s="410"/>
      <x:c r="D4" s="410"/>
      <x:c r="E4" s="410"/>
      <x:c r="F4" s="410"/>
      <x:c r="G4" s="410"/>
      <x:c r="H4" s="410"/>
    </x:row>
    <x:row r="5">
      <x:c r="A5" s="20" t="str">
        <x:v>核心定義</x:v>
      </x:c>
      <x:c r="B5" s="21" t="str">
        <x:v>核心定義</x:v>
      </x:c>
      <x:c r="C5" s="21" t="str">
        <x:v>核心定義</x:v>
      </x:c>
      <x:c r="D5" s="21" t="str">
        <x:v>核心定義</x:v>
      </x:c>
      <x:c r="E5" s="21" t="str">
        <x:v>核心定義</x:v>
      </x:c>
      <x:c r="F5" s="21" t="str">
        <x:v>核心定義</x:v>
      </x:c>
      <x:c r="G5" s="21" t="str">
        <x:v>核心定義</x:v>
      </x:c>
      <x:c r="H5" s="22" t="str">
        <x:v>核心定義</x:v>
      </x:c>
    </x:row>
    <x:row r="6">
      <x:c r="A6" s="33" t="str">
        <x:v>新缺車</x:v>
      </x:c>
      <x:c r="B6" s="33" t="str">
        <x:v>目前可正常借還且不是缺車，30分鐘後精確成為0台可借。</x:v>
      </x:c>
      <x:c r="C6" s="410"/>
      <x:c r="D6" s="410"/>
      <x:c r="E6" s="410"/>
      <x:c r="F6" s="410"/>
      <x:c r="G6" s="410"/>
      <x:c r="H6" s="410"/>
    </x:row>
    <x:row r="7">
      <x:c r="A7" s="34" t="str">
        <x:v>新滿柱</x:v>
      </x:c>
      <x:c r="B7" s="34" t="str">
        <x:v>目前可正常借還且不是滿柱，30分鐘後精確成為0個可還車位。</x:v>
      </x:c>
      <x:c r="C7" s="410"/>
      <x:c r="D7" s="410"/>
      <x:c r="E7" s="410"/>
      <x:c r="F7" s="410"/>
      <x:c r="G7" s="410"/>
      <x:c r="H7" s="410"/>
    </x:row>
    <x:row r="8">
      <x:c r="A8" s="34" t="str">
        <x:v>PR-AUC</x:v>
      </x:c>
      <x:c r="B8" s="34" t="str">
        <x:v>稀少事件下的排序能力；隨機模型的期望值約等於事件發生率。</x:v>
      </x:c>
      <x:c r="C8" s="410"/>
      <x:c r="D8" s="410"/>
      <x:c r="E8" s="410"/>
      <x:c r="F8" s="410"/>
      <x:c r="G8" s="410"/>
      <x:c r="H8" s="410"/>
    </x:row>
    <x:row r="9">
      <x:c r="A9" s="34" t="str">
        <x:v>Precision</x:v>
      </x:c>
      <x:c r="B9" s="34" t="str">
        <x:v>發出的警示中，實際在30分鐘後失衡的比例。</x:v>
      </x:c>
      <x:c r="C9" s="410"/>
      <x:c r="D9" s="410"/>
      <x:c r="E9" s="410"/>
      <x:c r="F9" s="410"/>
      <x:c r="G9" s="410"/>
      <x:c r="H9" s="410"/>
    </x:row>
    <x:row r="10">
      <x:c r="A10" s="34" t="str">
        <x:v>Recall</x:v>
      </x:c>
      <x:c r="B10" s="34" t="str">
        <x:v>所有實際失衡事件中，被模型警示抓到的比例。</x:v>
      </x:c>
      <x:c r="C10" s="410"/>
      <x:c r="D10" s="410"/>
      <x:c r="E10" s="410"/>
      <x:c r="F10" s="410"/>
      <x:c r="G10" s="410"/>
      <x:c r="H10" s="410"/>
    </x:row>
    <x:row r="11">
      <x:c r="A11" s="34" t="str">
        <x:v>F2</x:v>
      </x:c>
      <x:c r="B11" s="34" t="str">
        <x:v>比Precision更重視Recall，適合不希望漏掉風險的情境。</x:v>
      </x:c>
      <x:c r="C11" s="410"/>
      <x:c r="D11" s="410"/>
      <x:c r="E11" s="410"/>
      <x:c r="F11" s="410"/>
      <x:c r="G11" s="410"/>
      <x:c r="H11" s="410"/>
    </x:row>
    <x:row r="12">
      <x:c r="A12" s="34" t="str">
        <x:v>Episode</x:v>
      </x:c>
      <x:c r="B12" s="34" t="str">
        <x:v>同一站、同一事件每30分鐘連續警示合併為一件，避免重複計數。</x:v>
      </x:c>
      <x:c r="C12" s="410"/>
      <x:c r="D12" s="410"/>
      <x:c r="E12" s="410"/>
      <x:c r="F12" s="410"/>
      <x:c r="G12" s="410"/>
      <x:c r="H12" s="410"/>
    </x:row>
    <x:row r="13">
      <x:c r="A13" s="37" t="str">
        <x:v>Top-K</x:v>
      </x:c>
      <x:c r="B13" s="37" t="str">
        <x:v>每個決策時點最多顯示K站；另有缺車40%、滿柱25%的風險下限。</x:v>
      </x:c>
      <x:c r="C13" s="410"/>
      <x:c r="D13" s="410"/>
      <x:c r="E13" s="410"/>
      <x:c r="F13" s="410"/>
      <x:c r="G13" s="410"/>
      <x:c r="H13" s="410"/>
    </x:row>
    <x:row r="14">
      <x:c r="A14" s="410"/>
      <x:c r="B14" s="410"/>
      <x:c r="C14" s="410"/>
      <x:c r="D14" s="410"/>
      <x:c r="E14" s="410"/>
      <x:c r="F14" s="410"/>
      <x:c r="G14" s="410"/>
      <x:c r="H14" s="410"/>
    </x:row>
    <x:row r="15">
      <x:c r="A15" s="373" t="str">
        <x:v>測試限制</x:v>
      </x:c>
      <x:c r="B15" s="374" t="str">
        <x:v>測試限制</x:v>
      </x:c>
      <x:c r="C15" s="374" t="str">
        <x:v>測試限制</x:v>
      </x:c>
      <x:c r="D15" s="374" t="str">
        <x:v>測試限制</x:v>
      </x:c>
      <x:c r="E15" s="374" t="str">
        <x:v>測試限制</x:v>
      </x:c>
      <x:c r="F15" s="374" t="str">
        <x:v>測試限制</x:v>
      </x:c>
      <x:c r="G15" s="374" t="str">
        <x:v>測試限制</x:v>
      </x:c>
      <x:c r="H15" s="375" t="str">
        <x:v>測試限制</x:v>
      </x:c>
    </x:row>
    <x:row r="16">
      <x:c r="A16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B16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C16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D16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E16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F16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G16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H16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</x:row>
    <x:row r="17">
      <x:c r="A17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B17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C17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D17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E17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F17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G17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H17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</x:row>
    <x:row r="18">
      <x:c r="A18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B18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C18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D18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E18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F18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G18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H18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</x:row>
    <x:row r="19">
      <x:c r="A19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B19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C19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D19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E19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F19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G19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H19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</x:row>
    <x:row r="20">
      <x:c r="A20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B20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C20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D20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E20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F20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G20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  <x:c r="H20" s="247" t="str">
        <x:v>六月是目前最佳的凍結跨月測試，但舊版實驗曾呈現少量六月彙總結果，因此不可宣稱為完全從未看過的外部測試集。Episode命中只代表警示曾對中，不代表營運介入一定成功避免失衡。</x:v>
      </x:c>
    </x:row>
    <x:row r="21">
      <x:c r="A21" s="410"/>
      <x:c r="B21" s="410"/>
      <x:c r="C21" s="410"/>
      <x:c r="D21" s="410"/>
      <x:c r="E21" s="410"/>
      <x:c r="F21" s="410"/>
      <x:c r="G21" s="410"/>
      <x:c r="H21" s="410"/>
    </x:row>
    <x:row r="22">
      <x:c r="A22" s="387" t="str">
        <x:v>來源檔案</x:v>
      </x:c>
      <x:c r="B22" s="388" t="str">
        <x:v>來源檔案</x:v>
      </x:c>
      <x:c r="C22" s="388" t="str">
        <x:v>來源檔案</x:v>
      </x:c>
      <x:c r="D22" s="388" t="str">
        <x:v>來源檔案</x:v>
      </x:c>
      <x:c r="E22" s="388" t="str">
        <x:v>來源檔案</x:v>
      </x:c>
      <x:c r="F22" s="388" t="str">
        <x:v>來源檔案</x:v>
      </x:c>
      <x:c r="G22" s="388" t="str">
        <x:v>來源檔案</x:v>
      </x:c>
      <x:c r="H22" s="389" t="str">
        <x:v>來源檔案</x:v>
      </x:c>
    </x:row>
    <x:row r="23">
      <x:c r="A23" s="394" t="str">
        <x:v>最終測試摘要</x:v>
      </x:c>
      <x:c r="B23" s="394" t="str">
        <x:v>C:/Users/a5140/OneDrive/桌面/hack2/outputs/youbike_june_final_test_20260831/config/run_complete.json</x:v>
      </x:c>
      <x:c r="C23" s="410"/>
      <x:c r="D23" s="410"/>
      <x:c r="E23" s="410"/>
      <x:c r="F23" s="410"/>
      <x:c r="G23" s="410"/>
      <x:c r="H23" s="410"/>
    </x:row>
    <x:row r="24">
      <x:c r="A24" s="395" t="str">
        <x:v>模型完整指標</x:v>
      </x:c>
      <x:c r="B24" s="395" t="str">
        <x:v>C:/Users/a5140/OneDrive/桌面/hack2/outputs/youbike_june_final_test_20260831/metrics/june_evaluation_metrics.csv</x:v>
      </x:c>
      <x:c r="C24" s="410"/>
      <x:c r="D24" s="410"/>
      <x:c r="E24" s="410"/>
      <x:c r="F24" s="410"/>
      <x:c r="G24" s="410"/>
      <x:c r="H24" s="410"/>
    </x:row>
    <x:row r="25">
      <x:c r="A25" s="395" t="str">
        <x:v>Top-K完整指標</x:v>
      </x:c>
      <x:c r="B25" s="395" t="str">
        <x:v>C:/Users/a5140/OneDrive/桌面/hack2/outputs/youbike_june_final_test_20260831/metrics/june_shared_topk_policy.csv</x:v>
      </x:c>
      <x:c r="C25" s="410"/>
      <x:c r="D25" s="410"/>
      <x:c r="E25" s="410"/>
      <x:c r="F25" s="410"/>
      <x:c r="G25" s="410"/>
      <x:c r="H25" s="410"/>
    </x:row>
    <x:row r="26">
      <x:c r="A26" s="396" t="str">
        <x:v>六月預測凍結證據</x:v>
      </x:c>
      <x:c r="B26" s="396" t="str">
        <x:v>C:/Users/a5140/OneDrive/桌面/hack2/outputs/youbike_june_final_test_20260831/config/june_pretest_freeze.json</x:v>
      </x:c>
      <x:c r="C26" s="410"/>
      <x:c r="D26" s="410"/>
      <x:c r="E26" s="410"/>
      <x:c r="F26" s="410"/>
      <x:c r="G26" s="410"/>
      <x:c r="H26" s="410"/>
    </x:row>
  </x:sheetData>
  <x:mergeCells>
    <x:mergeCell ref="A1:H2"/>
    <x:mergeCell ref="A3:H3"/>
    <x:mergeCell ref="A5:H5"/>
    <x:mergeCell ref="A15:H15"/>
    <x:mergeCell ref="A16:H20"/>
    <x:mergeCell ref="A22:H22"/>
  </x:mergeCells>
  <x:pageMargins left="0.7" right="0.7" top="0.75" bottom="0.75" header="0.3" footer="0.3"/>
</x:worksheet>
</file>
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9.xml" ContentType="application/vnd.openxmlformats-officedocument.drawingml.char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069f38f434c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結論總覽" sheetId="1" r:id="R6e1a5a7e4bdc4765"/>
    <x:sheet xmlns:r="http://schemas.openxmlformats.org/officeDocument/2006/relationships" name="模型比較" sheetId="2" r:id="R47dbd28fdfc6443e"/>
    <x:sheet xmlns:r="http://schemas.openxmlformats.org/officeDocument/2006/relationships" name="TopK警示" sheetId="3" r:id="Rb9fdb15d4f9e4473"/>
    <x:sheet xmlns:r="http://schemas.openxmlformats.org/officeDocument/2006/relationships" name="分群表現" sheetId="4" r:id="Rf3a6f1ee0b0042b3"/>
    <x:sheet xmlns:r="http://schemas.openxmlformats.org/officeDocument/2006/relationships" name="特徵重要性" sheetId="5" r:id="R8175cab945ed4bcb"/>
    <x:sheet xmlns:r="http://schemas.openxmlformats.org/officeDocument/2006/relationships" name="校準與門檻" sheetId="6" r:id="R2f1edc322e914789"/>
    <x:sheet xmlns:r="http://schemas.openxmlformats.org/officeDocument/2006/relationships" name="資料與方法" sheetId="7" r:id="R6efb33962a7f4813"/>
    <x:sheet xmlns:r="http://schemas.openxmlformats.org/officeDocument/2006/relationships" name="解讀與限制" sheetId="8" r:id="R322a3ac628064f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%"/>
    <x:numFmt numFmtId="202" formatCode="0.0"/>
    <x:numFmt numFmtId="203" formatCode="0.0000"/>
    <x:numFmt numFmtId="204" formatCode="#,##0.0"/>
    <x:numFmt numFmtId="205" formatCode="0.000"/>
    <x:numFmt numFmtId="206" formatCode="0.00%"/>
    <x:numFmt numFmtId="207" formatCode="0.0x"/>
  </x:numFmts>
  <x:fonts count="16">
    <x:font>
      <x:sz val="11"/>
      <x:name val="Carlito"/>
    </x:font>
    <x:font>
      <x:sz val="10"/>
      <x:color rgb="FF1F2933"/>
      <x:name val="Microsoft JhengHei"/>
    </x:font>
    <x:font>
      <x:b/>
      <x:sz val="20"/>
      <x:color rgb="FFFFFFFF"/>
      <x:name val="Microsoft JhengHei"/>
    </x:font>
    <x:font>
      <x:sz val="10"/>
      <x:color rgb="FF5B6573"/>
      <x:name val="Microsoft JhengHei"/>
    </x:font>
    <x:font>
      <x:b/>
      <x:sz val="10"/>
      <x:color rgb="FFFFFFFF"/>
      <x:name val="Microsoft JhengHei"/>
    </x:font>
    <x:font>
      <x:b/>
      <x:sz val="10"/>
      <x:color rgb="FFC84747"/>
      <x:name val="Microsoft JhengHei"/>
    </x:font>
    <x:font>
      <x:i/>
      <x:sz val="9"/>
      <x:color rgb="FF5B6573"/>
      <x:name val="Microsoft JhengHei"/>
    </x:font>
    <x:font>
      <x:b/>
      <x:sz val="12"/>
      <x:color rgb="FFFFFFFF"/>
      <x:name val="Microsoft JhengHei"/>
    </x:font>
    <x:font>
      <x:b/>
      <x:sz val="10"/>
      <x:color rgb="FF2A9D8F"/>
      <x:name val="Microsoft JhengHei"/>
    </x:font>
    <x:font>
      <x:sz val="9"/>
      <x:color rgb="FF5B6573"/>
      <x:name val="Microsoft JhengHei"/>
    </x:font>
    <x:font>
      <x:b/>
      <x:sz val="12"/>
      <x:color rgb="FF17324D"/>
      <x:name val="Microsoft JhengHei"/>
    </x:font>
    <x:font>
      <x:b/>
      <x:sz val="13"/>
      <x:color rgb="FF17324D"/>
      <x:name val="Microsoft JhengHei"/>
    </x:font>
    <x:font>
      <x:b/>
      <x:sz val="10"/>
      <x:color rgb="FF5B6573"/>
      <x:name val="Microsoft JhengHei"/>
    </x:font>
    <x:font>
      <x:b/>
      <x:sz val="20"/>
      <x:color rgb="FF17324D"/>
      <x:name val="Microsoft JhengHei"/>
    </x:font>
    <x:font>
      <x:b/>
      <x:sz val="11"/>
      <x:color rgb="FFFFFFFF"/>
      <x:name val="Microsoft JhengHei"/>
    </x:font>
    <x:font>
      <x:sz val="11"/>
      <x:color rgb="FF1F2933"/>
      <x:name val="Microsoft JhengHei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34B6E"/>
      </x:patternFill>
    </x:fill>
    <x:fill>
      <x:patternFill patternType="solid">
        <x:fgColor rgb="FFE7F5F2"/>
      </x:patternFill>
    </x:fill>
    <x:fill>
      <x:patternFill patternType="solid">
        <x:fgColor rgb="FFF7F9FB"/>
      </x:patternFill>
    </x:fill>
    <x:fill>
      <x:patternFill patternType="solid">
        <x:fgColor rgb="FFFFF1E6"/>
      </x:patternFill>
    </x:fill>
    <x:fill>
      <x:patternFill patternType="solid">
        <x:fgColor rgb="FF2A9D8F"/>
      </x:patternFill>
    </x:fill>
    <x:fill>
      <x:patternFill patternType="solid">
        <x:fgColor rgb="FFC84747"/>
      </x:patternFill>
    </x:fill>
    <x:fill>
      <x:patternFill patternType="solid">
        <x:fgColor rgb="FFFCEBEC"/>
      </x:patternFill>
    </x:fill>
    <x:fill>
      <x:patternFill patternType="solid">
        <x:fgColor rgb="FFFFFFFF"/>
      </x:patternFill>
    </x:fill>
  </x:fills>
  <x:borders count="4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right style="thin">
        <x:color rgb="FFD7E0E8"/>
      </x:right>
      <x:top style="thin">
        <x:color rgb="FFD7E0E8"/>
      </x:top>
    </x:border>
    <x:border>
      <x:left style="thin">
        <x:color rgb="FFD7E0E8"/>
      </x:left>
      <x:top style="thin">
        <x:color rgb="FFD7E0E8"/>
      </x:top>
    </x:border>
    <x:border>
      <x:top style="thin">
        <x:color rgb="FFD7E0E8"/>
      </x:top>
    </x:border>
    <x:border>
      <x:bottom style="thin">
        <x:color rgb="FFD7E0E8"/>
      </x:bottom>
    </x:border>
    <x:border>
      <x:left style="thin">
        <x:color rgb="FFD7E0E8"/>
      </x:left>
    </x:border>
    <x:border>
      <x:right style="thin">
        <x:color rgb="FFD7E0E8"/>
      </x:right>
    </x:border>
    <x:border>
      <x:left style="medium">
        <x:color rgb="FF234B6E"/>
      </x:left>
      <x:top style="medium">
        <x:color rgb="FF234B6E"/>
      </x:top>
    </x:border>
    <x:border>
      <x:top style="medium">
        <x:color rgb="FF234B6E"/>
      </x:top>
    </x:border>
    <x:border>
      <x:right style="medium">
        <x:color rgb="FF234B6E"/>
      </x:right>
      <x:top style="medium">
        <x:color rgb="FF234B6E"/>
      </x:top>
    </x:border>
    <x:border>
      <x:left style="medium">
        <x:color rgb="FF234B6E"/>
      </x:left>
    </x:border>
    <x:border>
      <x:right style="medium">
        <x:color rgb="FF234B6E"/>
      </x:right>
    </x:border>
    <x:border>
      <x:left style="medium">
        <x:color rgb="FF234B6E"/>
      </x:left>
      <x:bottom style="medium">
        <x:color rgb="FF234B6E"/>
      </x:bottom>
    </x:border>
    <x:border>
      <x:bottom style="medium">
        <x:color rgb="FF234B6E"/>
      </x:bottom>
    </x:border>
    <x:border>
      <x:right style="medium">
        <x:color rgb="FF234B6E"/>
      </x:right>
      <x:bottom style="medium">
        <x:color rgb="FF234B6E"/>
      </x:bottom>
    </x:border>
    <x:border>
      <x:left style="medium">
        <x:color rgb="FF2A9D8F"/>
      </x:left>
      <x:top style="medium">
        <x:color rgb="FF2A9D8F"/>
      </x:top>
    </x:border>
    <x:border>
      <x:top style="medium">
        <x:color rgb="FF2A9D8F"/>
      </x:top>
    </x:border>
    <x:border>
      <x:right style="medium">
        <x:color rgb="FF2A9D8F"/>
      </x:right>
      <x:top style="medium">
        <x:color rgb="FF2A9D8F"/>
      </x:top>
    </x:border>
    <x:border>
      <x:left style="medium">
        <x:color rgb="FF2A9D8F"/>
      </x:left>
      <x:bottom style="medium">
        <x:color rgb="FF2A9D8F"/>
      </x:bottom>
    </x:border>
    <x:border>
      <x:bottom style="medium">
        <x:color rgb="FF2A9D8F"/>
      </x:bottom>
    </x:border>
    <x:border>
      <x:right style="medium">
        <x:color rgb="FF2A9D8F"/>
      </x:right>
      <x:bottom style="medium">
        <x:color rgb="FF2A9D8F"/>
      </x:bottom>
    </x:border>
    <x:border>
      <x:top style="thin">
        <x:color rgb="FFD7E0E8"/>
      </x:top>
      <x:bottom style="thin">
        <x:color rgb="FFD7E0E8"/>
      </x:bottom>
    </x:border>
    <x:border>
      <x:left style="medium">
        <x:color rgb="FF17324D"/>
      </x:left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84747"/>
      </x:left>
      <x:top style="thin">
        <x:color rgb="FFC84747"/>
      </x:top>
    </x:border>
    <x:border>
      <x:top style="thin">
        <x:color rgb="FFC84747"/>
      </x:top>
    </x:border>
    <x:border>
      <x:right style="thin">
        <x:color rgb="FFC84747"/>
      </x:right>
      <x:top style="thin">
        <x:color rgb="FFC84747"/>
      </x:top>
    </x:border>
    <x:border>
      <x:left style="thin">
        <x:color rgb="FFC84747"/>
      </x:left>
    </x:border>
    <x:border>
      <x:right style="thin">
        <x:color rgb="FFC84747"/>
      </x:right>
    </x:border>
    <x:border>
      <x:left style="thin">
        <x:color rgb="FFC84747"/>
      </x:left>
      <x:bottom style="thin">
        <x:color rgb="FFC84747"/>
      </x:bottom>
    </x:border>
    <x:border>
      <x:bottom style="thin">
        <x:color rgb="FFC84747"/>
      </x:bottom>
    </x:border>
    <x:border>
      <x:right style="thin">
        <x:color rgb="FFC84747"/>
      </x:right>
      <x:bottom style="thin">
        <x:color rgb="FFC84747"/>
      </x:bottom>
    </x:border>
  </x:borders>
  <x:cellStyleXfs count="1">
    <x:xf numFmtId="0" fontId="0" fillId="0" borderId="0"/>
  </x:cellStyleXfs>
  <x:cellXfs count="5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200" fontId="1" fillId="0" borderId="5" xfId="0" applyNumberFormat="1" applyFont="1" applyFill="1" applyBorder="1"/>
    <x:xf numFmtId="201" fontId="1" fillId="0" borderId="5" xfId="0" applyNumberFormat="1" applyFont="1" applyFill="1" applyBorder="1"/>
    <x:xf numFmtId="202" fontId="1" fillId="0" borderId="5" xfId="0" applyNumberFormat="1" applyFont="1" applyFill="1" applyBorder="1"/>
    <x:xf numFmtId="203" fontId="1" fillId="0" borderId="5" xfId="0" applyNumberFormat="1" applyFont="1" applyFill="1" applyBorder="1"/>
    <x:xf numFmtId="203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200" fontId="1" fillId="0" borderId="8" xfId="0" applyNumberFormat="1" applyFont="1" applyFill="1" applyBorder="1"/>
    <x:xf numFmtId="201" fontId="1" fillId="0" borderId="8" xfId="0" applyNumberFormat="1" applyFont="1" applyFill="1" applyBorder="1"/>
    <x:xf numFmtId="202" fontId="1" fillId="0" borderId="8" xfId="0" applyNumberFormat="1" applyFont="1" applyFill="1" applyBorder="1"/>
    <x:xf numFmtId="203" fontId="1" fillId="0" borderId="8" xfId="0" applyNumberFormat="1" applyFont="1" applyFill="1" applyBorder="1"/>
    <x:xf numFmtId="203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200" fontId="1" fillId="0" borderId="11" xfId="0" applyNumberFormat="1" applyFont="1" applyFill="1" applyBorder="1"/>
    <x:xf numFmtId="201" fontId="1" fillId="0" borderId="11" xfId="0" applyNumberFormat="1" applyFont="1" applyFill="1" applyBorder="1"/>
    <x:xf numFmtId="202" fontId="1" fillId="0" borderId="11" xfId="0" applyNumberFormat="1" applyFont="1" applyFill="1" applyBorder="1"/>
    <x:xf numFmtId="203" fontId="1" fillId="0" borderId="11" xfId="0" applyNumberFormat="1" applyFont="1" applyFill="1" applyBorder="1"/>
    <x:xf numFmtId="203" fontId="1" fillId="0" borderId="12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200" fontId="1" fillId="5" borderId="8" xfId="0" applyNumberFormat="1" applyFont="1" applyFill="1" applyBorder="1"/>
    <x:xf numFmtId="201" fontId="1" fillId="5" borderId="8" xfId="0" applyNumberFormat="1" applyFont="1" applyFill="1" applyBorder="1"/>
    <x:xf numFmtId="202" fontId="1" fillId="5" borderId="8" xfId="0" applyNumberFormat="1" applyFont="1" applyFill="1" applyBorder="1"/>
    <x:xf numFmtId="203" fontId="1" fillId="5" borderId="8" xfId="0" applyNumberFormat="1" applyFont="1" applyFill="1" applyBorder="1"/>
    <x:xf numFmtId="203" fontId="1" fillId="5" borderId="9" xfId="0" applyNumberFormat="1" applyFont="1" applyFill="1" applyBorder="1"/>
    <x:xf numFmtId="0" fontId="5" fillId="0" borderId="8" xfId="0" applyNumberFormat="1" applyFont="1" applyFill="1" applyBorder="1"/>
    <x:xf numFmtId="0" fontId="5" fillId="5" borderId="8" xfId="0" applyNumberFormat="1" applyFont="1" applyFill="1" applyBorder="1"/>
    <x:xf numFmtId="0" fontId="1" fillId="5" borderId="10" xfId="0" applyNumberFormat="1" applyFont="1" applyFill="1" applyBorder="1"/>
    <x:xf numFmtId="0" fontId="1" fillId="5" borderId="11" xfId="0" applyNumberFormat="1" applyFont="1" applyFill="1" applyBorder="1"/>
    <x:xf numFmtId="200" fontId="1" fillId="5" borderId="11" xfId="0" applyNumberFormat="1" applyFont="1" applyFill="1" applyBorder="1"/>
    <x:xf numFmtId="201" fontId="1" fillId="5" borderId="11" xfId="0" applyNumberFormat="1" applyFont="1" applyFill="1" applyBorder="1"/>
    <x:xf numFmtId="202" fontId="1" fillId="5" borderId="11" xfId="0" applyNumberFormat="1" applyFont="1" applyFill="1" applyBorder="1"/>
    <x:xf numFmtId="203" fontId="1" fillId="5" borderId="11" xfId="0" applyNumberFormat="1" applyFont="1" applyFill="1" applyBorder="1"/>
    <x:xf numFmtId="203" fontId="1" fillId="5" borderId="12" xfId="0" applyNumberFormat="1" applyFont="1" applyFill="1" applyBorder="1"/>
    <x:xf numFmtId="0" fontId="5" fillId="5" borderId="11" xfId="0" applyNumberFormat="1" applyFont="1" applyFill="1" applyBorder="1"/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0" xfId="0" applyNumberFormat="1" applyFont="1" applyFill="1" applyBorder="1"/>
    <x:xf numFmtId="0" fontId="6" fillId="6" borderId="6" xfId="0" applyNumberFormat="1" applyFont="1" applyFill="1" applyBorder="1"/>
    <x:xf numFmtId="0" fontId="6" fillId="6" borderId="14" xfId="0" applyNumberFormat="1" applyFont="1" applyFill="1" applyBorder="1"/>
    <x:xf numFmtId="0" fontId="6" fillId="6" borderId="4" xfId="0" applyNumberFormat="1" applyFont="1" applyFill="1" applyBorder="1"/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vertical="center" wrapText="1"/>
    </x:xf>
    <x:xf numFmtId="0" fontId="6" fillId="6" borderId="13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14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201" fontId="1" fillId="5" borderId="0" xfId="0" applyNumberFormat="1" applyFont="1" applyFill="1" applyBorder="1"/>
    <x:xf numFmtId="202" fontId="1" fillId="5" borderId="0" xfId="0" applyNumberFormat="1" applyFont="1" applyFill="1" applyBorder="1"/>
    <x:xf numFmtId="0" fontId="1" fillId="7" borderId="0" xfId="0" applyNumberFormat="1" applyFont="1" applyFill="1" applyBorder="1"/>
    <x:xf numFmtId="200" fontId="1" fillId="7" borderId="0" xfId="0" applyNumberFormat="1" applyFont="1" applyFill="1" applyBorder="1"/>
    <x:xf numFmtId="201" fontId="1" fillId="7" borderId="0" xfId="0" applyNumberFormat="1" applyFont="1" applyFill="1" applyBorder="1"/>
    <x:xf numFmtId="202" fontId="1" fillId="7" borderId="0" xfId="0" applyNumberFormat="1" applyFont="1" applyFill="1" applyBorder="1"/>
    <x:xf numFmtId="0" fontId="1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5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6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1" fillId="0" borderId="6" xfId="0" applyNumberFormat="1" applyFont="1" applyFill="1" applyBorder="1"/>
    <x:xf numFmtId="0" fontId="1" fillId="0" borderId="9" xfId="0" applyNumberFormat="1" applyFont="1" applyFill="1" applyBorder="1"/>
    <x:xf numFmtId="0" fontId="1" fillId="0" borderId="12" xfId="0" applyNumberFormat="1" applyFont="1" applyFill="1" applyBorder="1"/>
    <x:xf numFmtId="0" fontId="1" fillId="5" borderId="12" xfId="0" applyNumberFormat="1" applyFont="1" applyFill="1" applyBorder="1"/>
    <x:xf numFmtId="0" fontId="8" fillId="5" borderId="12" xfId="0" applyNumberFormat="1" applyFont="1" applyFill="1" applyBorder="1"/>
    <x:xf numFmtId="206" fontId="1" fillId="0" borderId="0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6" xfId="0" applyNumberFormat="1" applyFont="1" applyFill="1" applyBorder="1"/>
    <x:xf numFmtId="0" fontId="1" fillId="6" borderId="7" xfId="0" applyNumberFormat="1" applyFont="1" applyFill="1" applyBorder="1"/>
    <x:xf numFmtId="0" fontId="1" fillId="6" borderId="8" xfId="0" applyNumberFormat="1" applyFont="1" applyFill="1" applyBorder="1"/>
    <x:xf numFmtId="0" fontId="1" fillId="6" borderId="9" xfId="0" applyNumberFormat="1" applyFont="1" applyFill="1" applyBorder="1"/>
    <x:xf numFmtId="0" fontId="1" fillId="6" borderId="10" xfId="0" applyNumberFormat="1" applyFont="1" applyFill="1" applyBorder="1"/>
    <x:xf numFmtId="0" fontId="1" fillId="6" borderId="11" xfId="0" applyNumberFormat="1" applyFont="1" applyFill="1" applyBorder="1"/>
    <x:xf numFmtId="0" fontId="1" fillId="6" borderId="12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6" xfId="0" applyNumberFormat="1" applyFont="1" applyFill="1" applyBorder="1" applyAlignment="1">
      <x:alignment wrapText="1"/>
    </x:xf>
    <x:xf numFmtId="0" fontId="1" fillId="6" borderId="7" xfId="0" applyNumberFormat="1" applyFont="1" applyFill="1" applyBorder="1" applyAlignment="1">
      <x:alignment wrapText="1"/>
    </x:xf>
    <x:xf numFmtId="0" fontId="1" fillId="6" borderId="8" xfId="0" applyNumberFormat="1" applyFont="1" applyFill="1" applyBorder="1" applyAlignment="1">
      <x:alignment wrapText="1"/>
    </x:xf>
    <x:xf numFmtId="0" fontId="1" fillId="6" borderId="9" xfId="0" applyNumberFormat="1" applyFont="1" applyFill="1" applyBorder="1" applyAlignment="1">
      <x:alignment wrapText="1"/>
    </x:xf>
    <x:xf numFmtId="0" fontId="1" fillId="6" borderId="10" xfId="0" applyNumberFormat="1" applyFont="1" applyFill="1" applyBorder="1" applyAlignment="1">
      <x:alignment wrapText="1"/>
    </x:xf>
    <x:xf numFmtId="0" fontId="1" fillId="6" borderId="11" xfId="0" applyNumberFormat="1" applyFont="1" applyFill="1" applyBorder="1" applyAlignment="1">
      <x:alignment wrapText="1"/>
    </x:xf>
    <x:xf numFmtId="0" fontId="1" fillId="6" borderId="12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vertical="center" wrapText="1"/>
    </x:xf>
    <x:xf numFmtId="0" fontId="1" fillId="6" borderId="5" xfId="0" applyNumberFormat="1" applyFont="1" applyFill="1" applyBorder="1" applyAlignment="1">
      <x:alignment vertical="center" wrapText="1"/>
    </x:xf>
    <x:xf numFmtId="0" fontId="1" fillId="6" borderId="6" xfId="0" applyNumberFormat="1" applyFont="1" applyFill="1" applyBorder="1" applyAlignment="1">
      <x:alignment vertical="center" wrapText="1"/>
    </x:xf>
    <x:xf numFmtId="0" fontId="1" fillId="6" borderId="7" xfId="0" applyNumberFormat="1" applyFont="1" applyFill="1" applyBorder="1" applyAlignment="1">
      <x:alignment vertical="center" wrapText="1"/>
    </x:xf>
    <x:xf numFmtId="0" fontId="1" fillId="6" borderId="8" xfId="0" applyNumberFormat="1" applyFont="1" applyFill="1" applyBorder="1" applyAlignment="1">
      <x:alignment vertical="center" wrapText="1"/>
    </x:xf>
    <x:xf numFmtId="0" fontId="1" fillId="6" borderId="9" xfId="0" applyNumberFormat="1" applyFont="1" applyFill="1" applyBorder="1" applyAlignment="1">
      <x:alignment vertical="center" wrapText="1"/>
    </x:xf>
    <x:xf numFmtId="0" fontId="1" fillId="6" borderId="10" xfId="0" applyNumberFormat="1" applyFont="1" applyFill="1" applyBorder="1" applyAlignment="1">
      <x:alignment vertical="center" wrapText="1"/>
    </x:xf>
    <x:xf numFmtId="0" fontId="1" fillId="6" borderId="11" xfId="0" applyNumberFormat="1" applyFont="1" applyFill="1" applyBorder="1" applyAlignment="1">
      <x:alignment vertical="center" wrapText="1"/>
    </x:xf>
    <x:xf numFmtId="0" fontId="1" fillId="6" borderId="12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9" fillId="3" borderId="4" xfId="0" applyNumberFormat="1" applyFont="1" applyFill="1" applyBorder="1"/>
    <x:xf numFmtId="0" fontId="9" fillId="3" borderId="5" xfId="0" applyNumberFormat="1" applyFont="1" applyFill="1" applyBorder="1"/>
    <x:xf numFmtId="0" fontId="9" fillId="3" borderId="6" xfId="0" applyNumberFormat="1" applyFont="1" applyFill="1" applyBorder="1"/>
    <x:xf numFmtId="0" fontId="9" fillId="3" borderId="7" xfId="0" applyNumberFormat="1" applyFont="1" applyFill="1" applyBorder="1"/>
    <x:xf numFmtId="0" fontId="9" fillId="3" borderId="8" xfId="0" applyNumberFormat="1" applyFont="1" applyFill="1" applyBorder="1"/>
    <x:xf numFmtId="0" fontId="9" fillId="3" borderId="9" xfId="0" applyNumberFormat="1" applyFont="1" applyFill="1" applyBorder="1"/>
    <x:xf numFmtId="0" fontId="9" fillId="3" borderId="10" xfId="0" applyNumberFormat="1" applyFont="1" applyFill="1" applyBorder="1"/>
    <x:xf numFmtId="0" fontId="9" fillId="3" borderId="11" xfId="0" applyNumberFormat="1" applyFont="1" applyFill="1" applyBorder="1"/>
    <x:xf numFmtId="0" fontId="9" fillId="3" borderId="12" xfId="0" applyNumberFormat="1" applyFont="1" applyFill="1" applyBorder="1"/>
    <x:xf numFmtId="0" fontId="9" fillId="3" borderId="4" xfId="0" applyNumberFormat="1" applyFont="1" applyFill="1" applyBorder="1" applyAlignment="1">
      <x:alignment wrapText="1"/>
    </x:xf>
    <x:xf numFmtId="0" fontId="9" fillId="3" borderId="5" xfId="0" applyNumberFormat="1" applyFont="1" applyFill="1" applyBorder="1" applyAlignment="1">
      <x:alignment wrapText="1"/>
    </x:xf>
    <x:xf numFmtId="0" fontId="9" fillId="3" borderId="6" xfId="0" applyNumberFormat="1" applyFont="1" applyFill="1" applyBorder="1" applyAlignment="1">
      <x:alignment wrapText="1"/>
    </x:xf>
    <x:xf numFmtId="0" fontId="9" fillId="3" borderId="7" xfId="0" applyNumberFormat="1" applyFont="1" applyFill="1" applyBorder="1" applyAlignment="1">
      <x:alignment wrapText="1"/>
    </x:xf>
    <x:xf numFmtId="0" fontId="9" fillId="3" borderId="8" xfId="0" applyNumberFormat="1" applyFont="1" applyFill="1" applyBorder="1" applyAlignment="1">
      <x:alignment wrapText="1"/>
    </x:xf>
    <x:xf numFmtId="0" fontId="9" fillId="3" borderId="9" xfId="0" applyNumberFormat="1" applyFont="1" applyFill="1" applyBorder="1" applyAlignment="1">
      <x:alignment wrapText="1"/>
    </x:xf>
    <x:xf numFmtId="0" fontId="9" fillId="3" borderId="10" xfId="0" applyNumberFormat="1" applyFont="1" applyFill="1" applyBorder="1" applyAlignment="1">
      <x:alignment wrapText="1"/>
    </x:xf>
    <x:xf numFmtId="0" fontId="9" fillId="3" borderId="11" xfId="0" applyNumberFormat="1" applyFont="1" applyFill="1" applyBorder="1" applyAlignment="1">
      <x:alignment wrapText="1"/>
    </x:xf>
    <x:xf numFmtId="0" fontId="9" fillId="3" borderId="12" xfId="0" applyNumberFormat="1" applyFont="1" applyFill="1" applyBorder="1" applyAlignment="1">
      <x:alignment wrapText="1"/>
    </x:xf>
    <x:xf numFmtId="0" fontId="9" fillId="3" borderId="4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9" fillId="3" borderId="7" xfId="0" applyNumberFormat="1" applyFont="1" applyFill="1" applyBorder="1" applyAlignment="1">
      <x:alignment vertical="center" wrapText="1"/>
    </x:xf>
    <x:xf numFmtId="0" fontId="9" fillId="3" borderId="8" xfId="0" applyNumberFormat="1" applyFont="1" applyFill="1" applyBorder="1" applyAlignment="1">
      <x:alignment vertical="center" wrapText="1"/>
    </x:xf>
    <x:xf numFmtId="0" fontId="9" fillId="3" borderId="9" xfId="0" applyNumberFormat="1" applyFont="1" applyFill="1" applyBorder="1" applyAlignment="1">
      <x:alignment vertical="center" wrapText="1"/>
    </x:xf>
    <x:xf numFmtId="0" fontId="9" fillId="3" borderId="10" xfId="0" applyNumberFormat="1" applyFont="1" applyFill="1" applyBorder="1" applyAlignment="1">
      <x:alignment vertical="center" wrapText="1"/>
    </x:xf>
    <x:xf numFmtId="0" fontId="9" fillId="3" borderId="11" xfId="0" applyNumberFormat="1" applyFont="1" applyFill="1" applyBorder="1" applyAlignment="1">
      <x:alignment vertical="center" wrapText="1"/>
    </x:xf>
    <x:xf numFmtId="0" fontId="9" fillId="3" borderId="12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9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5" borderId="9" xfId="0" applyNumberFormat="1" applyFont="1" applyFill="1" applyBorder="1" applyAlignment="1">
      <x:alignment wrapText="1"/>
    </x:xf>
    <x:xf numFmtId="0" fontId="1" fillId="5" borderId="10" xfId="0" applyNumberFormat="1" applyFont="1" applyFill="1" applyBorder="1" applyAlignment="1">
      <x:alignment wrapText="1"/>
    </x:xf>
    <x:xf numFmtId="0" fontId="1" fillId="5" borderId="11" xfId="0" applyNumberFormat="1" applyFont="1" applyFill="1" applyBorder="1" applyAlignment="1">
      <x:alignment wrapText="1"/>
    </x:xf>
    <x:xf numFmtId="0" fontId="1" fillId="5" borderId="12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/>
    <x:xf numFmtId="0" fontId="1" fillId="10" borderId="4" xfId="0" applyNumberFormat="1" applyFont="1" applyFill="1" applyBorder="1"/>
    <x:xf numFmtId="0" fontId="1" fillId="10" borderId="5" xfId="0" applyNumberFormat="1" applyFont="1" applyFill="1" applyBorder="1"/>
    <x:xf numFmtId="0" fontId="1" fillId="10" borderId="6" xfId="0" applyNumberFormat="1" applyFont="1" applyFill="1" applyBorder="1"/>
    <x:xf numFmtId="0" fontId="1" fillId="10" borderId="7" xfId="0" applyNumberFormat="1" applyFont="1" applyFill="1" applyBorder="1"/>
    <x:xf numFmtId="0" fontId="1" fillId="10" borderId="8" xfId="0" applyNumberFormat="1" applyFont="1" applyFill="1" applyBorder="1"/>
    <x:xf numFmtId="0" fontId="1" fillId="10" borderId="9" xfId="0" applyNumberFormat="1" applyFont="1" applyFill="1" applyBorder="1"/>
    <x:xf numFmtId="0" fontId="1" fillId="10" borderId="10" xfId="0" applyNumberFormat="1" applyFont="1" applyFill="1" applyBorder="1"/>
    <x:xf numFmtId="0" fontId="1" fillId="10" borderId="11" xfId="0" applyNumberFormat="1" applyFont="1" applyFill="1" applyBorder="1"/>
    <x:xf numFmtId="0" fontId="1" fillId="10" borderId="12" xfId="0" applyNumberFormat="1" applyFont="1" applyFill="1" applyBorder="1"/>
    <x:xf numFmtId="0" fontId="1" fillId="10" borderId="4" xfId="0" applyNumberFormat="1" applyFont="1" applyFill="1" applyBorder="1" applyAlignment="1">
      <x:alignment wrapText="1"/>
    </x:xf>
    <x:xf numFmtId="0" fontId="1" fillId="10" borderId="5" xfId="0" applyNumberFormat="1" applyFont="1" applyFill="1" applyBorder="1" applyAlignment="1">
      <x:alignment wrapText="1"/>
    </x:xf>
    <x:xf numFmtId="0" fontId="1" fillId="10" borderId="6" xfId="0" applyNumberFormat="1" applyFont="1" applyFill="1" applyBorder="1" applyAlignment="1">
      <x:alignment wrapText="1"/>
    </x:xf>
    <x:xf numFmtId="0" fontId="1" fillId="10" borderId="7" xfId="0" applyNumberFormat="1" applyFont="1" applyFill="1" applyBorder="1" applyAlignment="1">
      <x:alignment wrapText="1"/>
    </x:xf>
    <x:xf numFmtId="0" fontId="1" fillId="10" borderId="8" xfId="0" applyNumberFormat="1" applyFont="1" applyFill="1" applyBorder="1" applyAlignment="1">
      <x:alignment wrapText="1"/>
    </x:xf>
    <x:xf numFmtId="0" fontId="1" fillId="10" borderId="9" xfId="0" applyNumberFormat="1" applyFont="1" applyFill="1" applyBorder="1" applyAlignment="1">
      <x:alignment wrapText="1"/>
    </x:xf>
    <x:xf numFmtId="0" fontId="1" fillId="10" borderId="10" xfId="0" applyNumberFormat="1" applyFont="1" applyFill="1" applyBorder="1" applyAlignment="1">
      <x:alignment wrapText="1"/>
    </x:xf>
    <x:xf numFmtId="0" fontId="1" fillId="10" borderId="11" xfId="0" applyNumberFormat="1" applyFont="1" applyFill="1" applyBorder="1" applyAlignment="1">
      <x:alignment wrapText="1"/>
    </x:xf>
    <x:xf numFmtId="0" fontId="1" fillId="10" borderId="12" xfId="0" applyNumberFormat="1" applyFont="1" applyFill="1" applyBorder="1" applyAlignment="1">
      <x:alignment wrapText="1"/>
    </x:xf>
    <x:xf numFmtId="0" fontId="1" fillId="10" borderId="4" xfId="0" applyNumberFormat="1" applyFont="1" applyFill="1" applyBorder="1" applyAlignment="1">
      <x:alignment vertical="center" wrapText="1"/>
    </x:xf>
    <x:xf numFmtId="0" fontId="1" fillId="10" borderId="5" xfId="0" applyNumberFormat="1" applyFont="1" applyFill="1" applyBorder="1" applyAlignment="1">
      <x:alignment vertical="center" wrapText="1"/>
    </x:xf>
    <x:xf numFmtId="0" fontId="1" fillId="10" borderId="6" xfId="0" applyNumberFormat="1" applyFont="1" applyFill="1" applyBorder="1" applyAlignment="1">
      <x:alignment vertical="center" wrapText="1"/>
    </x:xf>
    <x:xf numFmtId="0" fontId="1" fillId="10" borderId="7" xfId="0" applyNumberFormat="1" applyFont="1" applyFill="1" applyBorder="1" applyAlignment="1">
      <x:alignment vertical="center" wrapText="1"/>
    </x:xf>
    <x:xf numFmtId="0" fontId="1" fillId="10" borderId="8" xfId="0" applyNumberFormat="1" applyFont="1" applyFill="1" applyBorder="1" applyAlignment="1">
      <x:alignment vertical="center" wrapText="1"/>
    </x:xf>
    <x:xf numFmtId="0" fontId="1" fillId="10" borderId="9" xfId="0" applyNumberFormat="1" applyFont="1" applyFill="1" applyBorder="1" applyAlignment="1">
      <x:alignment vertical="center" wrapText="1"/>
    </x:xf>
    <x:xf numFmtId="0" fontId="1" fillId="10" borderId="10" xfId="0" applyNumberFormat="1" applyFont="1" applyFill="1" applyBorder="1" applyAlignment="1">
      <x:alignment vertical="center" wrapText="1"/>
    </x:xf>
    <x:xf numFmtId="0" fontId="1" fillId="10" borderId="11" xfId="0" applyNumberFormat="1" applyFont="1" applyFill="1" applyBorder="1" applyAlignment="1">
      <x:alignment vertical="center" wrapText="1"/>
    </x:xf>
    <x:xf numFmtId="0" fontId="1" fillId="10" borderId="12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17" xfId="0" applyNumberFormat="1" applyFont="1" applyFill="1" applyBorder="1"/>
    <x:xf numFmtId="0" fontId="10" fillId="3" borderId="18" xfId="0" applyNumberFormat="1" applyFont="1" applyFill="1" applyBorder="1"/>
    <x:xf numFmtId="0" fontId="10" fillId="3" borderId="19" xfId="0" applyNumberFormat="1" applyFont="1" applyFill="1" applyBorder="1"/>
    <x:xf numFmtId="0" fontId="10" fillId="3" borderId="20" xfId="0" applyNumberFormat="1" applyFont="1" applyFill="1" applyBorder="1"/>
    <x:xf numFmtId="0" fontId="10" fillId="3" borderId="21" xfId="0" applyNumberFormat="1" applyFont="1" applyFill="1" applyBorder="1"/>
    <x:xf numFmtId="0" fontId="10" fillId="3" borderId="22" xfId="0" applyNumberFormat="1" applyFont="1" applyFill="1" applyBorder="1"/>
    <x:xf numFmtId="0" fontId="10" fillId="3" borderId="23" xfId="0" applyNumberFormat="1" applyFont="1" applyFill="1" applyBorder="1"/>
    <x:xf numFmtId="0" fontId="10" fillId="3" borderId="24" xfId="0" applyNumberFormat="1" applyFont="1" applyFill="1" applyBorder="1"/>
    <x:xf numFmtId="0" fontId="10" fillId="3" borderId="17" xfId="0" applyNumberFormat="1" applyFont="1" applyFill="1" applyBorder="1" applyAlignment="1">
      <x:alignment wrapText="1"/>
    </x:xf>
    <x:xf numFmtId="0" fontId="10" fillId="3" borderId="18" xfId="0" applyNumberFormat="1" applyFont="1" applyFill="1" applyBorder="1" applyAlignment="1">
      <x:alignment wrapText="1"/>
    </x:xf>
    <x:xf numFmtId="0" fontId="10" fillId="3" borderId="19" xfId="0" applyNumberFormat="1" applyFont="1" applyFill="1" applyBorder="1" applyAlignment="1">
      <x:alignment wrapText="1"/>
    </x:xf>
    <x:xf numFmtId="0" fontId="10" fillId="3" borderId="2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0" fontId="10" fillId="3" borderId="21" xfId="0" applyNumberFormat="1" applyFont="1" applyFill="1" applyBorder="1" applyAlignment="1">
      <x:alignment wrapText="1"/>
    </x:xf>
    <x:xf numFmtId="0" fontId="10" fillId="3" borderId="22" xfId="0" applyNumberFormat="1" applyFont="1" applyFill="1" applyBorder="1" applyAlignment="1">
      <x:alignment wrapText="1"/>
    </x:xf>
    <x:xf numFmtId="0" fontId="10" fillId="3" borderId="23" xfId="0" applyNumberFormat="1" applyFont="1" applyFill="1" applyBorder="1" applyAlignment="1">
      <x:alignment wrapText="1"/>
    </x:xf>
    <x:xf numFmtId="0" fontId="10" fillId="3" borderId="24" xfId="0" applyNumberFormat="1" applyFont="1" applyFill="1" applyBorder="1" applyAlignment="1">
      <x:alignment wrapText="1"/>
    </x:xf>
    <x:xf numFmtId="0" fontId="10" fillId="3" borderId="17" xfId="0" applyNumberFormat="1" applyFont="1" applyFill="1" applyBorder="1" applyAlignment="1">
      <x:alignment horizontal="left" wrapText="1"/>
    </x:xf>
    <x:xf numFmtId="0" fontId="10" fillId="3" borderId="18" xfId="0" applyNumberFormat="1" applyFont="1" applyFill="1" applyBorder="1" applyAlignment="1">
      <x:alignment horizontal="left" wrapText="1"/>
    </x:xf>
    <x:xf numFmtId="0" fontId="10" fillId="3" borderId="19" xfId="0" applyNumberFormat="1" applyFont="1" applyFill="1" applyBorder="1" applyAlignment="1">
      <x:alignment horizontal="left" wrapText="1"/>
    </x:xf>
    <x:xf numFmtId="0" fontId="10" fillId="3" borderId="20" xfId="0" applyNumberFormat="1" applyFont="1" applyFill="1" applyBorder="1" applyAlignment="1">
      <x:alignment horizontal="left" wrapText="1"/>
    </x:xf>
    <x:xf numFmtId="0" fontId="10" fillId="3" borderId="0" xfId="0" applyNumberFormat="1" applyFont="1" applyFill="1" applyBorder="1" applyAlignment="1">
      <x:alignment horizontal="left" wrapText="1"/>
    </x:xf>
    <x:xf numFmtId="0" fontId="10" fillId="3" borderId="21" xfId="0" applyNumberFormat="1" applyFont="1" applyFill="1" applyBorder="1" applyAlignment="1">
      <x:alignment horizontal="left" wrapText="1"/>
    </x:xf>
    <x:xf numFmtId="0" fontId="10" fillId="3" borderId="22" xfId="0" applyNumberFormat="1" applyFont="1" applyFill="1" applyBorder="1" applyAlignment="1">
      <x:alignment horizontal="left" wrapText="1"/>
    </x:xf>
    <x:xf numFmtId="0" fontId="10" fillId="3" borderId="23" xfId="0" applyNumberFormat="1" applyFont="1" applyFill="1" applyBorder="1" applyAlignment="1">
      <x:alignment horizontal="left" wrapText="1"/>
    </x:xf>
    <x:xf numFmtId="0" fontId="10" fillId="3" borderId="24" xfId="0" applyNumberFormat="1" applyFont="1" applyFill="1" applyBorder="1" applyAlignment="1">
      <x:alignment horizontal="left" wrapText="1"/>
    </x:xf>
    <x:xf numFmtId="0" fontId="10" fillId="3" borderId="17" xfId="0" applyNumberFormat="1" applyFont="1" applyFill="1" applyBorder="1" applyAlignment="1">
      <x:alignment horizontal="left" vertical="center" wrapText="1"/>
    </x:xf>
    <x:xf numFmtId="0" fontId="10" fillId="3" borderId="18" xfId="0" applyNumberFormat="1" applyFont="1" applyFill="1" applyBorder="1" applyAlignment="1">
      <x:alignment horizontal="left" vertical="center" wrapText="1"/>
    </x:xf>
    <x:xf numFmtId="0" fontId="10" fillId="3" borderId="19" xfId="0" applyNumberFormat="1" applyFont="1" applyFill="1" applyBorder="1" applyAlignment="1">
      <x:alignment horizontal="left" vertical="center" wrapText="1"/>
    </x:xf>
    <x:xf numFmtId="0" fontId="10" fillId="3" borderId="20" xfId="0" applyNumberFormat="1" applyFont="1" applyFill="1" applyBorder="1" applyAlignment="1">
      <x:alignment horizontal="left" vertical="center" wrapText="1"/>
    </x:xf>
    <x:xf numFmtId="0" fontId="10" fillId="3" borderId="0" xfId="0" applyNumberFormat="1" applyFont="1" applyFill="1" applyBorder="1" applyAlignment="1">
      <x:alignment horizontal="left" vertical="center" wrapText="1"/>
    </x:xf>
    <x:xf numFmtId="0" fontId="10" fillId="3" borderId="21" xfId="0" applyNumberFormat="1" applyFont="1" applyFill="1" applyBorder="1" applyAlignment="1">
      <x:alignment horizontal="left" vertical="center" wrapText="1"/>
    </x:xf>
    <x:xf numFmtId="0" fontId="10" fillId="3" borderId="22" xfId="0" applyNumberFormat="1" applyFont="1" applyFill="1" applyBorder="1" applyAlignment="1">
      <x:alignment horizontal="left" vertical="center" wrapText="1"/>
    </x:xf>
    <x:xf numFmtId="0" fontId="10" fillId="3" borderId="23" xfId="0" applyNumberFormat="1" applyFont="1" applyFill="1" applyBorder="1" applyAlignment="1">
      <x:alignment horizontal="left" vertical="center" wrapText="1"/>
    </x:xf>
    <x:xf numFmtId="0" fontId="10" fillId="3" borderId="24" xfId="0" applyNumberFormat="1" applyFont="1" applyFill="1" applyBorder="1" applyAlignment="1">
      <x:alignment horizontal="left" vertical="center" wrapText="1"/>
    </x:xf>
    <x:xf numFmtId="0" fontId="11" fillId="5" borderId="0" xfId="0" applyNumberFormat="1" applyFont="1" applyFill="1" applyBorder="1"/>
    <x:xf numFmtId="0" fontId="11" fillId="5" borderId="25" xfId="0" applyNumberFormat="1" applyFont="1" applyFill="1" applyBorder="1"/>
    <x:xf numFmtId="0" fontId="11" fillId="5" borderId="26" xfId="0" applyNumberFormat="1" applyFont="1" applyFill="1" applyBorder="1"/>
    <x:xf numFmtId="0" fontId="11" fillId="5" borderId="27" xfId="0" applyNumberFormat="1" applyFont="1" applyFill="1" applyBorder="1"/>
    <x:xf numFmtId="0" fontId="11" fillId="5" borderId="28" xfId="0" applyNumberFormat="1" applyFont="1" applyFill="1" applyBorder="1"/>
    <x:xf numFmtId="0" fontId="11" fillId="5" borderId="29" xfId="0" applyNumberFormat="1" applyFont="1" applyFill="1" applyBorder="1"/>
    <x:xf numFmtId="0" fontId="11" fillId="5" borderId="30" xfId="0" applyNumberFormat="1" applyFont="1" applyFill="1" applyBorder="1"/>
    <x:xf numFmtId="0" fontId="11" fillId="5" borderId="25" xfId="0" applyNumberFormat="1" applyFont="1" applyFill="1" applyBorder="1" applyAlignment="1">
      <x:alignment wrapText="1"/>
    </x:xf>
    <x:xf numFmtId="0" fontId="11" fillId="5" borderId="26" xfId="0" applyNumberFormat="1" applyFont="1" applyFill="1" applyBorder="1" applyAlignment="1">
      <x:alignment wrapText="1"/>
    </x:xf>
    <x:xf numFmtId="0" fontId="11" fillId="5" borderId="27" xfId="0" applyNumberFormat="1" applyFont="1" applyFill="1" applyBorder="1" applyAlignment="1">
      <x:alignment wrapText="1"/>
    </x:xf>
    <x:xf numFmtId="0" fontId="11" fillId="5" borderId="28" xfId="0" applyNumberFormat="1" applyFont="1" applyFill="1" applyBorder="1" applyAlignment="1">
      <x:alignment wrapText="1"/>
    </x:xf>
    <x:xf numFmtId="0" fontId="11" fillId="5" borderId="29" xfId="0" applyNumberFormat="1" applyFont="1" applyFill="1" applyBorder="1" applyAlignment="1">
      <x:alignment wrapText="1"/>
    </x:xf>
    <x:xf numFmtId="0" fontId="11" fillId="5" borderId="30" xfId="0" applyNumberFormat="1" applyFont="1" applyFill="1" applyBorder="1" applyAlignment="1">
      <x:alignment wrapText="1"/>
    </x:xf>
    <x:xf numFmtId="0" fontId="11" fillId="5" borderId="25" xfId="0" applyNumberFormat="1" applyFont="1" applyFill="1" applyBorder="1" applyAlignment="1">
      <x:alignment vertical="center" wrapText="1"/>
    </x:xf>
    <x:xf numFmtId="0" fontId="11" fillId="5" borderId="26" xfId="0" applyNumberFormat="1" applyFont="1" applyFill="1" applyBorder="1" applyAlignment="1">
      <x:alignment vertical="center" wrapText="1"/>
    </x:xf>
    <x:xf numFmtId="0" fontId="11" fillId="5" borderId="27" xfId="0" applyNumberFormat="1" applyFont="1" applyFill="1" applyBorder="1" applyAlignment="1">
      <x:alignment vertical="center" wrapText="1"/>
    </x:xf>
    <x:xf numFmtId="0" fontId="11" fillId="5" borderId="28" xfId="0" applyNumberFormat="1" applyFont="1" applyFill="1" applyBorder="1" applyAlignment="1">
      <x:alignment vertical="center" wrapText="1"/>
    </x:xf>
    <x:xf numFmtId="0" fontId="11" fillId="5" borderId="29" xfId="0" applyNumberFormat="1" applyFont="1" applyFill="1" applyBorder="1" applyAlignment="1">
      <x:alignment vertical="center" wrapText="1"/>
    </x:xf>
    <x:xf numFmtId="0" fontId="11" fillId="5" borderId="30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/>
    <x:xf numFmtId="0" fontId="12" fillId="5" borderId="9" xfId="0" applyNumberFormat="1" applyFont="1" applyFill="1" applyBorder="1"/>
    <x:xf numFmtId="0" fontId="12" fillId="5" borderId="31" xfId="0" applyNumberFormat="1" applyFont="1" applyFill="1" applyBorder="1"/>
    <x:xf numFmtId="0" fontId="12" fillId="5" borderId="7" xfId="0" applyNumberFormat="1" applyFont="1" applyFill="1" applyBorder="1"/>
    <x:xf numFmtId="0" fontId="12" fillId="5" borderId="9" xfId="0" applyNumberFormat="1" applyFont="1" applyFill="1" applyBorder="1" applyAlignment="1">
      <x:alignment horizontal="center"/>
    </x:xf>
    <x:xf numFmtId="0" fontId="12" fillId="5" borderId="31" xfId="0" applyNumberFormat="1" applyFont="1" applyFill="1" applyBorder="1" applyAlignment="1">
      <x:alignment horizontal="center"/>
    </x:xf>
    <x:xf numFmtId="0" fontId="12" fillId="5" borderId="7" xfId="0" applyNumberFormat="1" applyFont="1" applyFill="1" applyBorder="1" applyAlignment="1">
      <x:alignment horizontal="center"/>
    </x:xf>
    <x:xf numFmtId="0" fontId="12" fillId="5" borderId="9" xfId="0" applyNumberFormat="1" applyFont="1" applyFill="1" applyBorder="1" applyAlignment="1">
      <x:alignment horizontal="center" vertical="center"/>
    </x:xf>
    <x:xf numFmtId="0" fontId="12" fillId="5" borderId="31" xfId="0" applyNumberFormat="1" applyFont="1" applyFill="1" applyBorder="1" applyAlignment="1">
      <x:alignment horizontal="center" vertical="center"/>
    </x:xf>
    <x:xf numFmtId="0" fontId="12" fillId="5" borderId="7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12" xfId="0" applyNumberFormat="1" applyFont="1" applyFill="1" applyBorder="1"/>
    <x:xf numFmtId="0" fontId="13" fillId="11" borderId="13" xfId="0" applyNumberFormat="1" applyFont="1" applyFill="1" applyBorder="1"/>
    <x:xf numFmtId="0" fontId="13" fillId="11" borderId="10" xfId="0" applyNumberFormat="1" applyFont="1" applyFill="1" applyBorder="1"/>
    <x:xf numFmtId="0" fontId="13" fillId="11" borderId="15" xfId="0" applyNumberFormat="1" applyFont="1" applyFill="1" applyBorder="1"/>
    <x:xf numFmtId="0" fontId="13" fillId="11" borderId="16" xfId="0" applyNumberFormat="1" applyFont="1" applyFill="1" applyBorder="1"/>
    <x:xf numFmtId="0" fontId="13" fillId="11" borderId="6" xfId="0" applyNumberFormat="1" applyFont="1" applyFill="1" applyBorder="1"/>
    <x:xf numFmtId="0" fontId="13" fillId="11" borderId="14" xfId="0" applyNumberFormat="1" applyFont="1" applyFill="1" applyBorder="1"/>
    <x:xf numFmtId="0" fontId="13" fillId="11" borderId="4" xfId="0" applyNumberFormat="1" applyFont="1" applyFill="1" applyBorder="1"/>
    <x:xf numFmtId="205" fontId="13" fillId="11" borderId="12" xfId="0" applyNumberFormat="1" applyFont="1" applyFill="1" applyBorder="1"/>
    <x:xf numFmtId="205" fontId="13" fillId="11" borderId="13" xfId="0" applyNumberFormat="1" applyFont="1" applyFill="1" applyBorder="1"/>
    <x:xf numFmtId="205" fontId="13" fillId="11" borderId="10" xfId="0" applyNumberFormat="1" applyFont="1" applyFill="1" applyBorder="1"/>
    <x:xf numFmtId="205" fontId="13" fillId="11" borderId="15" xfId="0" applyNumberFormat="1" applyFont="1" applyFill="1" applyBorder="1"/>
    <x:xf numFmtId="205" fontId="13" fillId="11" borderId="0" xfId="0" applyNumberFormat="1" applyFont="1" applyFill="1" applyBorder="1"/>
    <x:xf numFmtId="205" fontId="13" fillId="11" borderId="16" xfId="0" applyNumberFormat="1" applyFont="1" applyFill="1" applyBorder="1"/>
    <x:xf numFmtId="205" fontId="13" fillId="11" borderId="6" xfId="0" applyNumberFormat="1" applyFont="1" applyFill="1" applyBorder="1"/>
    <x:xf numFmtId="205" fontId="13" fillId="11" borderId="14" xfId="0" applyNumberFormat="1" applyFont="1" applyFill="1" applyBorder="1"/>
    <x:xf numFmtId="205" fontId="13" fillId="11" borderId="4" xfId="0" applyNumberFormat="1" applyFont="1" applyFill="1" applyBorder="1"/>
    <x:xf numFmtId="205" fontId="13" fillId="11" borderId="12" xfId="0" applyNumberFormat="1" applyFont="1" applyFill="1" applyBorder="1" applyAlignment="1">
      <x:alignment horizontal="center"/>
    </x:xf>
    <x:xf numFmtId="205" fontId="13" fillId="11" borderId="13" xfId="0" applyNumberFormat="1" applyFont="1" applyFill="1" applyBorder="1" applyAlignment="1">
      <x:alignment horizontal="center"/>
    </x:xf>
    <x:xf numFmtId="205" fontId="13" fillId="11" borderId="10" xfId="0" applyNumberFormat="1" applyFont="1" applyFill="1" applyBorder="1" applyAlignment="1">
      <x:alignment horizontal="center"/>
    </x:xf>
    <x:xf numFmtId="205" fontId="13" fillId="11" borderId="15" xfId="0" applyNumberFormat="1" applyFont="1" applyFill="1" applyBorder="1" applyAlignment="1">
      <x:alignment horizontal="center"/>
    </x:xf>
    <x:xf numFmtId="205" fontId="13" fillId="11" borderId="0" xfId="0" applyNumberFormat="1" applyFont="1" applyFill="1" applyBorder="1" applyAlignment="1">
      <x:alignment horizontal="center"/>
    </x:xf>
    <x:xf numFmtId="205" fontId="13" fillId="11" borderId="16" xfId="0" applyNumberFormat="1" applyFont="1" applyFill="1" applyBorder="1" applyAlignment="1">
      <x:alignment horizontal="center"/>
    </x:xf>
    <x:xf numFmtId="205" fontId="13" fillId="11" borderId="6" xfId="0" applyNumberFormat="1" applyFont="1" applyFill="1" applyBorder="1" applyAlignment="1">
      <x:alignment horizontal="center"/>
    </x:xf>
    <x:xf numFmtId="205" fontId="13" fillId="11" borderId="14" xfId="0" applyNumberFormat="1" applyFont="1" applyFill="1" applyBorder="1" applyAlignment="1">
      <x:alignment horizontal="center"/>
    </x:xf>
    <x:xf numFmtId="205" fontId="13" fillId="11" borderId="4" xfId="0" applyNumberFormat="1" applyFont="1" applyFill="1" applyBorder="1" applyAlignment="1">
      <x:alignment horizontal="center"/>
    </x:xf>
    <x:xf numFmtId="205" fontId="13" fillId="11" borderId="12" xfId="0" applyNumberFormat="1" applyFont="1" applyFill="1" applyBorder="1" applyAlignment="1">
      <x:alignment horizontal="center" vertical="center"/>
    </x:xf>
    <x:xf numFmtId="205" fontId="13" fillId="11" borderId="13" xfId="0" applyNumberFormat="1" applyFont="1" applyFill="1" applyBorder="1" applyAlignment="1">
      <x:alignment horizontal="center" vertical="center"/>
    </x:xf>
    <x:xf numFmtId="205" fontId="13" fillId="11" borderId="10" xfId="0" applyNumberFormat="1" applyFont="1" applyFill="1" applyBorder="1" applyAlignment="1">
      <x:alignment horizontal="center" vertical="center"/>
    </x:xf>
    <x:xf numFmtId="205" fontId="13" fillId="11" borderId="15" xfId="0" applyNumberFormat="1" applyFont="1" applyFill="1" applyBorder="1" applyAlignment="1">
      <x:alignment horizontal="center" vertical="center"/>
    </x:xf>
    <x:xf numFmtId="205" fontId="13" fillId="11" borderId="0" xfId="0" applyNumberFormat="1" applyFont="1" applyFill="1" applyBorder="1" applyAlignment="1">
      <x:alignment horizontal="center" vertical="center"/>
    </x:xf>
    <x:xf numFmtId="205" fontId="13" fillId="11" borderId="16" xfId="0" applyNumberFormat="1" applyFont="1" applyFill="1" applyBorder="1" applyAlignment="1">
      <x:alignment horizontal="center" vertical="center"/>
    </x:xf>
    <x:xf numFmtId="205" fontId="13" fillId="11" borderId="6" xfId="0" applyNumberFormat="1" applyFont="1" applyFill="1" applyBorder="1" applyAlignment="1">
      <x:alignment horizontal="center" vertical="center"/>
    </x:xf>
    <x:xf numFmtId="205" fontId="13" fillId="11" borderId="14" xfId="0" applyNumberFormat="1" applyFont="1" applyFill="1" applyBorder="1" applyAlignment="1">
      <x:alignment horizontal="center" vertical="center"/>
    </x:xf>
    <x:xf numFmtId="205" fontId="13" fillId="11" borderId="4" xfId="0" applyNumberFormat="1" applyFont="1" applyFill="1" applyBorder="1" applyAlignment="1">
      <x:alignment horizontal="center" vertical="center"/>
    </x:xf>
    <x:xf numFmtId="201" fontId="13" fillId="11" borderId="12" xfId="0" applyNumberFormat="1" applyFont="1" applyFill="1" applyBorder="1"/>
    <x:xf numFmtId="201" fontId="13" fillId="11" borderId="13" xfId="0" applyNumberFormat="1" applyFont="1" applyFill="1" applyBorder="1"/>
    <x:xf numFmtId="201" fontId="13" fillId="11" borderId="10" xfId="0" applyNumberFormat="1" applyFont="1" applyFill="1" applyBorder="1"/>
    <x:xf numFmtId="201" fontId="13" fillId="11" borderId="15" xfId="0" applyNumberFormat="1" applyFont="1" applyFill="1" applyBorder="1"/>
    <x:xf numFmtId="201" fontId="13" fillId="11" borderId="0" xfId="0" applyNumberFormat="1" applyFont="1" applyFill="1" applyBorder="1"/>
    <x:xf numFmtId="201" fontId="13" fillId="11" borderId="16" xfId="0" applyNumberFormat="1" applyFont="1" applyFill="1" applyBorder="1"/>
    <x:xf numFmtId="201" fontId="13" fillId="11" borderId="6" xfId="0" applyNumberFormat="1" applyFont="1" applyFill="1" applyBorder="1"/>
    <x:xf numFmtId="201" fontId="13" fillId="11" borderId="14" xfId="0" applyNumberFormat="1" applyFont="1" applyFill="1" applyBorder="1"/>
    <x:xf numFmtId="201" fontId="13" fillId="11" borderId="4" xfId="0" applyNumberFormat="1" applyFont="1" applyFill="1" applyBorder="1"/>
    <x:xf numFmtId="201" fontId="13" fillId="11" borderId="12" xfId="0" applyNumberFormat="1" applyFont="1" applyFill="1" applyBorder="1" applyAlignment="1">
      <x:alignment horizontal="center"/>
    </x:xf>
    <x:xf numFmtId="201" fontId="13" fillId="11" borderId="13" xfId="0" applyNumberFormat="1" applyFont="1" applyFill="1" applyBorder="1" applyAlignment="1">
      <x:alignment horizontal="center"/>
    </x:xf>
    <x:xf numFmtId="201" fontId="13" fillId="11" borderId="10" xfId="0" applyNumberFormat="1" applyFont="1" applyFill="1" applyBorder="1" applyAlignment="1">
      <x:alignment horizontal="center"/>
    </x:xf>
    <x:xf numFmtId="201" fontId="13" fillId="11" borderId="15" xfId="0" applyNumberFormat="1" applyFont="1" applyFill="1" applyBorder="1" applyAlignment="1">
      <x:alignment horizontal="center"/>
    </x:xf>
    <x:xf numFmtId="201" fontId="13" fillId="11" borderId="0" xfId="0" applyNumberFormat="1" applyFont="1" applyFill="1" applyBorder="1" applyAlignment="1">
      <x:alignment horizontal="center"/>
    </x:xf>
    <x:xf numFmtId="201" fontId="13" fillId="11" borderId="16" xfId="0" applyNumberFormat="1" applyFont="1" applyFill="1" applyBorder="1" applyAlignment="1">
      <x:alignment horizontal="center"/>
    </x:xf>
    <x:xf numFmtId="201" fontId="13" fillId="11" borderId="6" xfId="0" applyNumberFormat="1" applyFont="1" applyFill="1" applyBorder="1" applyAlignment="1">
      <x:alignment horizontal="center"/>
    </x:xf>
    <x:xf numFmtId="201" fontId="13" fillId="11" borderId="14" xfId="0" applyNumberFormat="1" applyFont="1" applyFill="1" applyBorder="1" applyAlignment="1">
      <x:alignment horizontal="center"/>
    </x:xf>
    <x:xf numFmtId="201" fontId="13" fillId="11" borderId="4" xfId="0" applyNumberFormat="1" applyFont="1" applyFill="1" applyBorder="1" applyAlignment="1">
      <x:alignment horizontal="center"/>
    </x:xf>
    <x:xf numFmtId="201" fontId="13" fillId="11" borderId="12" xfId="0" applyNumberFormat="1" applyFont="1" applyFill="1" applyBorder="1" applyAlignment="1">
      <x:alignment horizontal="center" vertical="center"/>
    </x:xf>
    <x:xf numFmtId="201" fontId="13" fillId="11" borderId="13" xfId="0" applyNumberFormat="1" applyFont="1" applyFill="1" applyBorder="1" applyAlignment="1">
      <x:alignment horizontal="center" vertical="center"/>
    </x:xf>
    <x:xf numFmtId="201" fontId="13" fillId="11" borderId="10" xfId="0" applyNumberFormat="1" applyFont="1" applyFill="1" applyBorder="1" applyAlignment="1">
      <x:alignment horizontal="center" vertical="center"/>
    </x:xf>
    <x:xf numFmtId="201" fontId="13" fillId="11" borderId="15" xfId="0" applyNumberFormat="1" applyFont="1" applyFill="1" applyBorder="1" applyAlignment="1">
      <x:alignment horizontal="center" vertical="center"/>
    </x:xf>
    <x:xf numFmtId="201" fontId="13" fillId="11" borderId="0" xfId="0" applyNumberFormat="1" applyFont="1" applyFill="1" applyBorder="1" applyAlignment="1">
      <x:alignment horizontal="center" vertical="center"/>
    </x:xf>
    <x:xf numFmtId="201" fontId="13" fillId="11" borderId="16" xfId="0" applyNumberFormat="1" applyFont="1" applyFill="1" applyBorder="1" applyAlignment="1">
      <x:alignment horizontal="center" vertical="center"/>
    </x:xf>
    <x:xf numFmtId="201" fontId="13" fillId="11" borderId="6" xfId="0" applyNumberFormat="1" applyFont="1" applyFill="1" applyBorder="1" applyAlignment="1">
      <x:alignment horizontal="center" vertical="center"/>
    </x:xf>
    <x:xf numFmtId="201" fontId="13" fillId="11" borderId="14" xfId="0" applyNumberFormat="1" applyFont="1" applyFill="1" applyBorder="1" applyAlignment="1">
      <x:alignment horizontal="center" vertical="center"/>
    </x:xf>
    <x:xf numFmtId="201" fontId="13" fillId="11" borderId="4" xfId="0" applyNumberFormat="1" applyFont="1" applyFill="1" applyBorder="1" applyAlignment="1">
      <x:alignment horizontal="center" vertical="center"/>
    </x:xf>
    <x:xf numFmtId="207" fontId="13" fillId="11" borderId="12" xfId="0" applyNumberFormat="1" applyFont="1" applyFill="1" applyBorder="1"/>
    <x:xf numFmtId="207" fontId="13" fillId="11" borderId="13" xfId="0" applyNumberFormat="1" applyFont="1" applyFill="1" applyBorder="1"/>
    <x:xf numFmtId="207" fontId="13" fillId="11" borderId="10" xfId="0" applyNumberFormat="1" applyFont="1" applyFill="1" applyBorder="1"/>
    <x:xf numFmtId="207" fontId="13" fillId="11" borderId="15" xfId="0" applyNumberFormat="1" applyFont="1" applyFill="1" applyBorder="1"/>
    <x:xf numFmtId="207" fontId="13" fillId="11" borderId="0" xfId="0" applyNumberFormat="1" applyFont="1" applyFill="1" applyBorder="1"/>
    <x:xf numFmtId="207" fontId="13" fillId="11" borderId="16" xfId="0" applyNumberFormat="1" applyFont="1" applyFill="1" applyBorder="1"/>
    <x:xf numFmtId="207" fontId="13" fillId="11" borderId="6" xfId="0" applyNumberFormat="1" applyFont="1" applyFill="1" applyBorder="1"/>
    <x:xf numFmtId="207" fontId="13" fillId="11" borderId="14" xfId="0" applyNumberFormat="1" applyFont="1" applyFill="1" applyBorder="1"/>
    <x:xf numFmtId="207" fontId="13" fillId="11" borderId="4" xfId="0" applyNumberFormat="1" applyFont="1" applyFill="1" applyBorder="1"/>
    <x:xf numFmtId="207" fontId="13" fillId="11" borderId="12" xfId="0" applyNumberFormat="1" applyFont="1" applyFill="1" applyBorder="1" applyAlignment="1">
      <x:alignment horizontal="center"/>
    </x:xf>
    <x:xf numFmtId="207" fontId="13" fillId="11" borderId="13" xfId="0" applyNumberFormat="1" applyFont="1" applyFill="1" applyBorder="1" applyAlignment="1">
      <x:alignment horizontal="center"/>
    </x:xf>
    <x:xf numFmtId="207" fontId="13" fillId="11" borderId="10" xfId="0" applyNumberFormat="1" applyFont="1" applyFill="1" applyBorder="1" applyAlignment="1">
      <x:alignment horizontal="center"/>
    </x:xf>
    <x:xf numFmtId="207" fontId="13" fillId="11" borderId="15" xfId="0" applyNumberFormat="1" applyFont="1" applyFill="1" applyBorder="1" applyAlignment="1">
      <x:alignment horizontal="center"/>
    </x:xf>
    <x:xf numFmtId="207" fontId="13" fillId="11" borderId="0" xfId="0" applyNumberFormat="1" applyFont="1" applyFill="1" applyBorder="1" applyAlignment="1">
      <x:alignment horizontal="center"/>
    </x:xf>
    <x:xf numFmtId="207" fontId="13" fillId="11" borderId="16" xfId="0" applyNumberFormat="1" applyFont="1" applyFill="1" applyBorder="1" applyAlignment="1">
      <x:alignment horizontal="center"/>
    </x:xf>
    <x:xf numFmtId="207" fontId="13" fillId="11" borderId="6" xfId="0" applyNumberFormat="1" applyFont="1" applyFill="1" applyBorder="1" applyAlignment="1">
      <x:alignment horizontal="center"/>
    </x:xf>
    <x:xf numFmtId="207" fontId="13" fillId="11" borderId="14" xfId="0" applyNumberFormat="1" applyFont="1" applyFill="1" applyBorder="1" applyAlignment="1">
      <x:alignment horizontal="center"/>
    </x:xf>
    <x:xf numFmtId="207" fontId="13" fillId="11" borderId="4" xfId="0" applyNumberFormat="1" applyFont="1" applyFill="1" applyBorder="1" applyAlignment="1">
      <x:alignment horizontal="center"/>
    </x:xf>
    <x:xf numFmtId="207" fontId="13" fillId="11" borderId="12" xfId="0" applyNumberFormat="1" applyFont="1" applyFill="1" applyBorder="1" applyAlignment="1">
      <x:alignment horizontal="center" vertical="center"/>
    </x:xf>
    <x:xf numFmtId="207" fontId="13" fillId="11" borderId="13" xfId="0" applyNumberFormat="1" applyFont="1" applyFill="1" applyBorder="1" applyAlignment="1">
      <x:alignment horizontal="center" vertical="center"/>
    </x:xf>
    <x:xf numFmtId="207" fontId="13" fillId="11" borderId="10" xfId="0" applyNumberFormat="1" applyFont="1" applyFill="1" applyBorder="1" applyAlignment="1">
      <x:alignment horizontal="center" vertical="center"/>
    </x:xf>
    <x:xf numFmtId="207" fontId="13" fillId="11" borderId="15" xfId="0" applyNumberFormat="1" applyFont="1" applyFill="1" applyBorder="1" applyAlignment="1">
      <x:alignment horizontal="center" vertical="center"/>
    </x:xf>
    <x:xf numFmtId="207" fontId="13" fillId="11" borderId="0" xfId="0" applyNumberFormat="1" applyFont="1" applyFill="1" applyBorder="1" applyAlignment="1">
      <x:alignment horizontal="center" vertical="center"/>
    </x:xf>
    <x:xf numFmtId="207" fontId="13" fillId="11" borderId="16" xfId="0" applyNumberFormat="1" applyFont="1" applyFill="1" applyBorder="1" applyAlignment="1">
      <x:alignment horizontal="center" vertical="center"/>
    </x:xf>
    <x:xf numFmtId="207" fontId="13" fillId="11" borderId="6" xfId="0" applyNumberFormat="1" applyFont="1" applyFill="1" applyBorder="1" applyAlignment="1">
      <x:alignment horizontal="center" vertical="center"/>
    </x:xf>
    <x:xf numFmtId="207" fontId="13" fillId="11" borderId="14" xfId="0" applyNumberFormat="1" applyFont="1" applyFill="1" applyBorder="1" applyAlignment="1">
      <x:alignment horizontal="center" vertical="center"/>
    </x:xf>
    <x:xf numFmtId="207" fontId="13" fillId="11" borderId="4" xfId="0" applyNumberFormat="1" applyFont="1" applyFill="1" applyBorder="1" applyAlignment="1">
      <x:alignment horizontal="center" vertical="center"/>
    </x:xf>
    <x:xf numFmtId="0" fontId="12" fillId="7" borderId="0" xfId="0" applyNumberFormat="1" applyFont="1" applyFill="1" applyBorder="1"/>
    <x:xf numFmtId="0" fontId="12" fillId="7" borderId="9" xfId="0" applyNumberFormat="1" applyFont="1" applyFill="1" applyBorder="1"/>
    <x:xf numFmtId="0" fontId="12" fillId="7" borderId="31" xfId="0" applyNumberFormat="1" applyFont="1" applyFill="1" applyBorder="1"/>
    <x:xf numFmtId="0" fontId="12" fillId="7" borderId="7" xfId="0" applyNumberFormat="1" applyFont="1" applyFill="1" applyBorder="1"/>
    <x:xf numFmtId="0" fontId="12" fillId="7" borderId="9" xfId="0" applyNumberFormat="1" applyFont="1" applyFill="1" applyBorder="1" applyAlignment="1">
      <x:alignment horizontal="center"/>
    </x:xf>
    <x:xf numFmtId="0" fontId="12" fillId="7" borderId="31" xfId="0" applyNumberFormat="1" applyFont="1" applyFill="1" applyBorder="1" applyAlignment="1">
      <x:alignment horizontal="center"/>
    </x:xf>
    <x:xf numFmtId="0" fontId="12" fillId="7" borderId="7" xfId="0" applyNumberFormat="1" applyFont="1" applyFill="1" applyBorder="1" applyAlignment="1">
      <x:alignment horizontal="center"/>
    </x:xf>
    <x:xf numFmtId="0" fontId="12" fillId="7" borderId="9" xfId="0" applyNumberFormat="1" applyFont="1" applyFill="1" applyBorder="1" applyAlignment="1">
      <x:alignment horizontal="center" vertical="center"/>
    </x:xf>
    <x:xf numFmtId="0" fontId="12" fillId="7" borderId="31" xfId="0" applyNumberFormat="1" applyFont="1" applyFill="1" applyBorder="1" applyAlignment="1">
      <x:alignment horizontal="center" vertical="center"/>
    </x:xf>
    <x:xf numFmtId="0" fontId="12" fillId="7" borderId="7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/>
    <x:xf numFmtId="0" fontId="14" fillId="2" borderId="32" xfId="0" applyNumberFormat="1" applyFont="1" applyFill="1" applyBorder="1"/>
    <x:xf numFmtId="0" fontId="14" fillId="2" borderId="33" xfId="0" applyNumberFormat="1" applyFont="1" applyFill="1" applyBorder="1"/>
    <x:xf numFmtId="0" fontId="14" fillId="2" borderId="34" xfId="0" applyNumberFormat="1" applyFont="1" applyFill="1" applyBorder="1"/>
    <x:xf numFmtId="0" fontId="14" fillId="2" borderId="35" xfId="0" applyNumberFormat="1" applyFont="1" applyFill="1" applyBorder="1"/>
    <x:xf numFmtId="0" fontId="14" fillId="2" borderId="36" xfId="0" applyNumberFormat="1" applyFont="1" applyFill="1" applyBorder="1"/>
    <x:xf numFmtId="0" fontId="14" fillId="2" borderId="37" xfId="0" applyNumberFormat="1" applyFont="1" applyFill="1" applyBorder="1"/>
    <x:xf numFmtId="0" fontId="14" fillId="2" borderId="32" xfId="0" applyNumberFormat="1" applyFont="1" applyFill="1" applyBorder="1" applyAlignment="1">
      <x:alignment wrapText="1"/>
    </x:xf>
    <x:xf numFmtId="0" fontId="14" fillId="2" borderId="33" xfId="0" applyNumberFormat="1" applyFont="1" applyFill="1" applyBorder="1" applyAlignment="1">
      <x:alignment wrapText="1"/>
    </x:xf>
    <x:xf numFmtId="0" fontId="14" fillId="2" borderId="34" xfId="0" applyNumberFormat="1" applyFont="1" applyFill="1" applyBorder="1" applyAlignment="1">
      <x:alignment wrapText="1"/>
    </x:xf>
    <x:xf numFmtId="0" fontId="14" fillId="2" borderId="35" xfId="0" applyNumberFormat="1" applyFont="1" applyFill="1" applyBorder="1" applyAlignment="1">
      <x:alignment wrapText="1"/>
    </x:xf>
    <x:xf numFmtId="0" fontId="14" fillId="2" borderId="36" xfId="0" applyNumberFormat="1" applyFont="1" applyFill="1" applyBorder="1" applyAlignment="1">
      <x:alignment wrapText="1"/>
    </x:xf>
    <x:xf numFmtId="0" fontId="14" fillId="2" borderId="37" xfId="0" applyNumberFormat="1" applyFont="1" applyFill="1" applyBorder="1" applyAlignment="1">
      <x:alignment wrapText="1"/>
    </x:xf>
    <x:xf numFmtId="0" fontId="14" fillId="2" borderId="32" xfId="0" applyNumberFormat="1" applyFont="1" applyFill="1" applyBorder="1" applyAlignment="1">
      <x:alignment horizontal="center" wrapText="1"/>
    </x:xf>
    <x:xf numFmtId="0" fontId="14" fillId="2" borderId="33" xfId="0" applyNumberFormat="1" applyFont="1" applyFill="1" applyBorder="1" applyAlignment="1">
      <x:alignment horizontal="center" wrapText="1"/>
    </x:xf>
    <x:xf numFmtId="0" fontId="14" fillId="2" borderId="34" xfId="0" applyNumberFormat="1" applyFont="1" applyFill="1" applyBorder="1" applyAlignment="1">
      <x:alignment horizontal="center" wrapText="1"/>
    </x:xf>
    <x:xf numFmtId="0" fontId="14" fillId="2" borderId="35" xfId="0" applyNumberFormat="1" applyFont="1" applyFill="1" applyBorder="1" applyAlignment="1">
      <x:alignment horizontal="center" wrapText="1"/>
    </x:xf>
    <x:xf numFmtId="0" fontId="14" fillId="2" borderId="36" xfId="0" applyNumberFormat="1" applyFont="1" applyFill="1" applyBorder="1" applyAlignment="1">
      <x:alignment horizontal="center" wrapText="1"/>
    </x:xf>
    <x:xf numFmtId="0" fontId="14" fillId="2" borderId="37" xfId="0" applyNumberFormat="1" applyFont="1" applyFill="1" applyBorder="1" applyAlignment="1">
      <x:alignment horizontal="center" wrapText="1"/>
    </x:xf>
    <x:xf numFmtId="0" fontId="14" fillId="2" borderId="32" xfId="0" applyNumberFormat="1" applyFont="1" applyFill="1" applyBorder="1" applyAlignment="1">
      <x:alignment horizontal="center" vertical="center" wrapText="1"/>
    </x:xf>
    <x:xf numFmtId="0" fontId="14" fillId="2" borderId="33" xfId="0" applyNumberFormat="1" applyFont="1" applyFill="1" applyBorder="1" applyAlignment="1">
      <x:alignment horizontal="center" vertical="center" wrapText="1"/>
    </x:xf>
    <x:xf numFmtId="0" fontId="14" fillId="2" borderId="34" xfId="0" applyNumberFormat="1" applyFont="1" applyFill="1" applyBorder="1" applyAlignment="1">
      <x:alignment horizontal="center" vertical="center" wrapText="1"/>
    </x:xf>
    <x:xf numFmtId="0" fontId="14" fillId="2" borderId="35" xfId="0" applyNumberFormat="1" applyFont="1" applyFill="1" applyBorder="1" applyAlignment="1">
      <x:alignment horizontal="center" vertical="center" wrapText="1"/>
    </x:xf>
    <x:xf numFmtId="0" fontId="14" fillId="2" borderId="36" xfId="0" applyNumberFormat="1" applyFont="1" applyFill="1" applyBorder="1" applyAlignment="1">
      <x:alignment horizontal="center" vertical="center" wrapText="1"/>
    </x:xf>
    <x:xf numFmtId="0" fontId="14" fillId="2" borderId="37" xfId="0" applyNumberFormat="1" applyFont="1" applyFill="1" applyBorder="1" applyAlignment="1">
      <x:alignment horizontal="center" vertical="center" wrapText="1"/>
    </x:xf>
    <x:xf numFmtId="0" fontId="15" fillId="6" borderId="0" xfId="0" applyNumberFormat="1" applyFont="1" applyFill="1" applyBorder="1"/>
    <x:xf numFmtId="0" fontId="15" fillId="6" borderId="12" xfId="0" applyNumberFormat="1" applyFont="1" applyFill="1" applyBorder="1"/>
    <x:xf numFmtId="0" fontId="15" fillId="6" borderId="13" xfId="0" applyNumberFormat="1" applyFont="1" applyFill="1" applyBorder="1"/>
    <x:xf numFmtId="0" fontId="15" fillId="6" borderId="10" xfId="0" applyNumberFormat="1" applyFont="1" applyFill="1" applyBorder="1"/>
    <x:xf numFmtId="0" fontId="15" fillId="6" borderId="15" xfId="0" applyNumberFormat="1" applyFont="1" applyFill="1" applyBorder="1"/>
    <x:xf numFmtId="0" fontId="15" fillId="6" borderId="16" xfId="0" applyNumberFormat="1" applyFont="1" applyFill="1" applyBorder="1"/>
    <x:xf numFmtId="0" fontId="15" fillId="6" borderId="6" xfId="0" applyNumberFormat="1" applyFont="1" applyFill="1" applyBorder="1"/>
    <x:xf numFmtId="0" fontId="15" fillId="6" borderId="14" xfId="0" applyNumberFormat="1" applyFont="1" applyFill="1" applyBorder="1"/>
    <x:xf numFmtId="0" fontId="15" fillId="6" borderId="4" xfId="0" applyNumberFormat="1" applyFont="1" applyFill="1" applyBorder="1"/>
    <x:xf numFmtId="0" fontId="15" fillId="6" borderId="12" xfId="0" applyNumberFormat="1" applyFont="1" applyFill="1" applyBorder="1" applyAlignment="1">
      <x:alignment wrapText="1"/>
    </x:xf>
    <x:xf numFmtId="0" fontId="15" fillId="6" borderId="13" xfId="0" applyNumberFormat="1" applyFont="1" applyFill="1" applyBorder="1" applyAlignment="1">
      <x:alignment wrapText="1"/>
    </x:xf>
    <x:xf numFmtId="0" fontId="15" fillId="6" borderId="10" xfId="0" applyNumberFormat="1" applyFont="1" applyFill="1" applyBorder="1" applyAlignment="1">
      <x:alignment wrapText="1"/>
    </x:xf>
    <x:xf numFmtId="0" fontId="15" fillId="6" borderId="15" xfId="0" applyNumberFormat="1" applyFont="1" applyFill="1" applyBorder="1" applyAlignment="1">
      <x:alignment wrapText="1"/>
    </x:xf>
    <x:xf numFmtId="0" fontId="15" fillId="6" borderId="0" xfId="0" applyNumberFormat="1" applyFont="1" applyFill="1" applyBorder="1" applyAlignment="1">
      <x:alignment wrapText="1"/>
    </x:xf>
    <x:xf numFmtId="0" fontId="15" fillId="6" borderId="16" xfId="0" applyNumberFormat="1" applyFont="1" applyFill="1" applyBorder="1" applyAlignment="1">
      <x:alignment wrapText="1"/>
    </x:xf>
    <x:xf numFmtId="0" fontId="15" fillId="6" borderId="6" xfId="0" applyNumberFormat="1" applyFont="1" applyFill="1" applyBorder="1" applyAlignment="1">
      <x:alignment wrapText="1"/>
    </x:xf>
    <x:xf numFmtId="0" fontId="15" fillId="6" borderId="14" xfId="0" applyNumberFormat="1" applyFont="1" applyFill="1" applyBorder="1" applyAlignment="1">
      <x:alignment wrapText="1"/>
    </x:xf>
    <x:xf numFmtId="0" fontId="15" fillId="6" borderId="4" xfId="0" applyNumberFormat="1" applyFont="1" applyFill="1" applyBorder="1" applyAlignment="1">
      <x:alignment wrapText="1"/>
    </x:xf>
    <x:xf numFmtId="0" fontId="15" fillId="6" borderId="12" xfId="0" applyNumberFormat="1" applyFont="1" applyFill="1" applyBorder="1" applyAlignment="1">
      <x:alignment vertical="center" wrapText="1"/>
    </x:xf>
    <x:xf numFmtId="0" fontId="15" fillId="6" borderId="13" xfId="0" applyNumberFormat="1" applyFont="1" applyFill="1" applyBorder="1" applyAlignment="1">
      <x:alignment vertical="center" wrapText="1"/>
    </x:xf>
    <x:xf numFmtId="0" fontId="15" fillId="6" borderId="10" xfId="0" applyNumberFormat="1" applyFont="1" applyFill="1" applyBorder="1" applyAlignment="1">
      <x:alignment vertical="center" wrapText="1"/>
    </x:xf>
    <x:xf numFmtId="0" fontId="15" fillId="6" borderId="15" xfId="0" applyNumberFormat="1" applyFont="1" applyFill="1" applyBorder="1" applyAlignment="1">
      <x:alignment vertical="center" wrapText="1"/>
    </x:xf>
    <x:xf numFmtId="0" fontId="15" fillId="6" borderId="0" xfId="0" applyNumberFormat="1" applyFont="1" applyFill="1" applyBorder="1" applyAlignment="1">
      <x:alignment vertical="center" wrapText="1"/>
    </x:xf>
    <x:xf numFmtId="0" fontId="15" fillId="6" borderId="16" xfId="0" applyNumberFormat="1" applyFont="1" applyFill="1" applyBorder="1" applyAlignment="1">
      <x:alignment vertical="center" wrapText="1"/>
    </x:xf>
    <x:xf numFmtId="0" fontId="15" fillId="6" borderId="6" xfId="0" applyNumberFormat="1" applyFont="1" applyFill="1" applyBorder="1" applyAlignment="1">
      <x:alignment vertical="center" wrapText="1"/>
    </x:xf>
    <x:xf numFmtId="0" fontId="15" fillId="6" borderId="14" xfId="0" applyNumberFormat="1" applyFont="1" applyFill="1" applyBorder="1" applyAlignment="1">
      <x:alignment vertical="center" wrapText="1"/>
    </x:xf>
    <x:xf numFmtId="0" fontId="15" fillId="6" borderId="4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/>
    <x:xf numFmtId="0" fontId="5" fillId="10" borderId="38" xfId="0" applyNumberFormat="1" applyFont="1" applyFill="1" applyBorder="1"/>
    <x:xf numFmtId="0" fontId="5" fillId="10" borderId="39" xfId="0" applyNumberFormat="1" applyFont="1" applyFill="1" applyBorder="1"/>
    <x:xf numFmtId="0" fontId="5" fillId="10" borderId="40" xfId="0" applyNumberFormat="1" applyFont="1" applyFill="1" applyBorder="1"/>
    <x:xf numFmtId="0" fontId="5" fillId="10" borderId="41" xfId="0" applyNumberFormat="1" applyFont="1" applyFill="1" applyBorder="1"/>
    <x:xf numFmtId="0" fontId="5" fillId="10" borderId="42" xfId="0" applyNumberFormat="1" applyFont="1" applyFill="1" applyBorder="1"/>
    <x:xf numFmtId="0" fontId="5" fillId="10" borderId="43" xfId="0" applyNumberFormat="1" applyFont="1" applyFill="1" applyBorder="1"/>
    <x:xf numFmtId="0" fontId="5" fillId="10" borderId="44" xfId="0" applyNumberFormat="1" applyFont="1" applyFill="1" applyBorder="1"/>
    <x:xf numFmtId="0" fontId="5" fillId="10" borderId="45" xfId="0" applyNumberFormat="1" applyFont="1" applyFill="1" applyBorder="1"/>
    <x:xf numFmtId="0" fontId="5" fillId="10" borderId="38" xfId="0" applyNumberFormat="1" applyFont="1" applyFill="1" applyBorder="1" applyAlignment="1">
      <x:alignment wrapText="1"/>
    </x:xf>
    <x:xf numFmtId="0" fontId="5" fillId="10" borderId="39" xfId="0" applyNumberFormat="1" applyFont="1" applyFill="1" applyBorder="1" applyAlignment="1">
      <x:alignment wrapText="1"/>
    </x:xf>
    <x:xf numFmtId="0" fontId="5" fillId="10" borderId="40" xfId="0" applyNumberFormat="1" applyFont="1" applyFill="1" applyBorder="1" applyAlignment="1">
      <x:alignment wrapText="1"/>
    </x:xf>
    <x:xf numFmtId="0" fontId="5" fillId="10" borderId="41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42" xfId="0" applyNumberFormat="1" applyFont="1" applyFill="1" applyBorder="1" applyAlignment="1">
      <x:alignment wrapText="1"/>
    </x:xf>
    <x:xf numFmtId="0" fontId="5" fillId="10" borderId="43" xfId="0" applyNumberFormat="1" applyFont="1" applyFill="1" applyBorder="1" applyAlignment="1">
      <x:alignment wrapText="1"/>
    </x:xf>
    <x:xf numFmtId="0" fontId="5" fillId="10" borderId="44" xfId="0" applyNumberFormat="1" applyFont="1" applyFill="1" applyBorder="1" applyAlignment="1">
      <x:alignment wrapText="1"/>
    </x:xf>
    <x:xf numFmtId="0" fontId="5" fillId="10" borderId="45" xfId="0" applyNumberFormat="1" applyFont="1" applyFill="1" applyBorder="1" applyAlignment="1">
      <x:alignment wrapText="1"/>
    </x:xf>
    <x:xf numFmtId="0" fontId="5" fillId="10" borderId="38" xfId="0" applyNumberFormat="1" applyFont="1" applyFill="1" applyBorder="1" applyAlignment="1">
      <x:alignment vertical="center" wrapText="1"/>
    </x:xf>
    <x:xf numFmtId="0" fontId="5" fillId="10" borderId="39" xfId="0" applyNumberFormat="1" applyFont="1" applyFill="1" applyBorder="1" applyAlignment="1">
      <x:alignment vertical="center" wrapText="1"/>
    </x:xf>
    <x:xf numFmtId="0" fontId="5" fillId="10" borderId="40" xfId="0" applyNumberFormat="1" applyFont="1" applyFill="1" applyBorder="1" applyAlignment="1">
      <x:alignment vertical="center" wrapText="1"/>
    </x:xf>
    <x:xf numFmtId="0" fontId="5" fillId="10" borderId="41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5" fillId="10" borderId="42" xfId="0" applyNumberFormat="1" applyFont="1" applyFill="1" applyBorder="1" applyAlignment="1">
      <x:alignment vertical="center" wrapText="1"/>
    </x:xf>
    <x:xf numFmtId="0" fontId="5" fillId="10" borderId="43" xfId="0" applyNumberFormat="1" applyFont="1" applyFill="1" applyBorder="1" applyAlignment="1">
      <x:alignment vertical="center" wrapText="1"/>
    </x:xf>
    <x:xf numFmtId="0" fontId="5" fillId="10" borderId="44" xfId="0" applyNumberFormat="1" applyFont="1" applyFill="1" applyBorder="1" applyAlignment="1">
      <x:alignment vertical="center" wrapText="1"/>
    </x:xf>
    <x:xf numFmtId="0" fontId="5" fillId="10" borderId="45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203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200" fontId="1" fillId="0" borderId="8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3" fontId="1" fillId="0" borderId="8" xfId="0" applyNumberFormat="1" applyFont="1" applyFill="1" applyBorder="1" applyAlignment="1">
      <x:alignment vertical="center"/>
    </x:xf>
    <x:xf numFmtId="203" fontId="1" fillId="0" borderId="9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200" fontId="1" fillId="5" borderId="8" xfId="0" applyNumberFormat="1" applyFont="1" applyFill="1" applyBorder="1" applyAlignment="1">
      <x:alignment vertical="center"/>
    </x:xf>
    <x:xf numFmtId="201" fontId="1" fillId="5" borderId="8" xfId="0" applyNumberFormat="1" applyFont="1" applyFill="1" applyBorder="1" applyAlignment="1">
      <x:alignment vertical="center"/>
    </x:xf>
    <x:xf numFmtId="202" fontId="1" fillId="5" borderId="8" xfId="0" applyNumberFormat="1" applyFont="1" applyFill="1" applyBorder="1" applyAlignment="1">
      <x:alignment vertical="center"/>
    </x:xf>
    <x:xf numFmtId="203" fontId="1" fillId="5" borderId="8" xfId="0" applyNumberFormat="1" applyFont="1" applyFill="1" applyBorder="1" applyAlignment="1">
      <x:alignment vertical="center"/>
    </x:xf>
    <x:xf numFmtId="203" fontId="1" fillId="5" borderId="9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center"/>
    </x:xf>
    <x:xf numFmtId="0" fontId="5" fillId="5" borderId="11" xfId="0" applyNumberFormat="1" applyFont="1" applyFill="1" applyBorder="1" applyAlignment="1">
      <x:alignment vertical="center"/>
    </x:xf>
    <x:xf numFmtId="200" fontId="1" fillId="5" borderId="11" xfId="0" applyNumberFormat="1" applyFont="1" applyFill="1" applyBorder="1" applyAlignment="1">
      <x:alignment vertical="center"/>
    </x:xf>
    <x:xf numFmtId="201" fontId="1" fillId="5" borderId="11" xfId="0" applyNumberFormat="1" applyFont="1" applyFill="1" applyBorder="1" applyAlignment="1">
      <x:alignment vertical="center"/>
    </x:xf>
    <x:xf numFmtId="202" fontId="1" fillId="5" borderId="11" xfId="0" applyNumberFormat="1" applyFont="1" applyFill="1" applyBorder="1" applyAlignment="1">
      <x:alignment vertical="center"/>
    </x:xf>
    <x:xf numFmtId="203" fontId="1" fillId="5" borderId="11" xfId="0" applyNumberFormat="1" applyFont="1" applyFill="1" applyBorder="1" applyAlignment="1">
      <x:alignment vertical="center"/>
    </x:xf>
    <x:xf numFmtId="203" fontId="1" fillId="5" borderId="12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200" fontId="1" fillId="7" borderId="0" xfId="0" applyNumberFormat="1" applyFont="1" applyFill="1" applyBorder="1" applyAlignment="1">
      <x:alignment vertical="center"/>
    </x:xf>
    <x:xf numFmtId="201" fontId="1" fillId="7" borderId="0" xfId="0" applyNumberFormat="1" applyFont="1" applyFill="1" applyBorder="1" applyAlignment="1">
      <x:alignment vertical="center"/>
    </x:xf>
    <x:xf numFmtId="202" fontId="1" fillId="7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8" fillId="5" borderId="12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9ad4ebca42438b" /><Relationship Type="http://schemas.openxmlformats.org/officeDocument/2006/relationships/theme" Target="/xl/theme/theme1.xml" Id="R7e4e72a0e3ac4e6c" /><Relationship Type="http://schemas.openxmlformats.org/officeDocument/2006/relationships/sharedStrings" Target="/xl/sharedStrings.xml" Id="Rf721ed5d27264cdf" /><Relationship Type="http://schemas.openxmlformats.org/officeDocument/2006/relationships/worksheet" Target="/xl/worksheets/sheet1.xml" Id="R6e1a5a7e4bdc4765" /><Relationship Type="http://schemas.openxmlformats.org/officeDocument/2006/relationships/worksheet" Target="/xl/worksheets/sheet2.xml" Id="R47dbd28fdfc6443e" /><Relationship Type="http://schemas.openxmlformats.org/officeDocument/2006/relationships/worksheet" Target="/xl/worksheets/sheet3.xml" Id="Rb9fdb15d4f9e4473" /><Relationship Type="http://schemas.openxmlformats.org/officeDocument/2006/relationships/worksheet" Target="/xl/worksheets/sheet4.xml" Id="Rf3a6f1ee0b0042b3" /><Relationship Type="http://schemas.openxmlformats.org/officeDocument/2006/relationships/worksheet" Target="/xl/worksheets/sheet5.xml" Id="R8175cab945ed4bcb" /><Relationship Type="http://schemas.openxmlformats.org/officeDocument/2006/relationships/worksheet" Target="/xl/worksheets/sheet6.xml" Id="R2f1edc322e914789" /><Relationship Type="http://schemas.openxmlformats.org/officeDocument/2006/relationships/worksheet" Target="/xl/worksheets/sheet7.xml" Id="R6efb33962a7f4813" /><Relationship Type="http://schemas.openxmlformats.org/officeDocument/2006/relationships/worksheet" Target="/xl/worksheets/sheet8.xml" Id="R322a3ac628064f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4fc100a0b14529" /><Relationship Type="http://schemas.openxmlformats.org/officeDocument/2006/relationships/chart" Target="/xl/drawings/charts/chart2.xml" Id="R926f195d56054a2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b80148f7074247c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cdab25bc4bf430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199d0acb296b4000" /><Relationship Type="http://schemas.openxmlformats.org/officeDocument/2006/relationships/chart" Target="/xl/drawings/charts/chart6.xml" Id="Rc9e63b9bf6b4440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461934bd61ef4e51" /><Relationship Type="http://schemas.openxmlformats.org/officeDocument/2006/relationships/chart" Target="/xl/drawings/charts/chart8.xml" Id="R8f87fd12736244bd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607b61f4180b4a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尖峰 PR-AUC：LightGBM 優於三個 Baseline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缺車 PR-AUC</c:v>
          </c:tx>
          <c:cat>
            <c:strRef>
              <c:f>'結論總覽'!$A$26:$A$29</c:f>
              <c:strCache>
                <c:ptCount val="0"/>
              </c:strCache>
            </c:strRef>
          </c:cat>
          <c:val>
            <c:numRef>
              <c:f>'結論總覽'!$B$26:$B$29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滿柱 PR-AUC</c:v>
          </c:tx>
          <c:cat>
            <c:strRef>
              <c:f>'結論總覽'!$A$26:$A$29</c:f>
              <c:strCache>
                <c:ptCount val="0"/>
              </c:strCache>
            </c:strRef>
          </c:cat>
          <c:val>
            <c:numRef>
              <c:f>'結論總覽'!$C$26:$C$29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3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每時點只看 5 站：命中率近乎倍增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比例規則 Top-5</c:v>
          </c:tx>
          <c:cat>
            <c:strRef>
              <c:f>'結論總覽'!$E$26:$E$27</c:f>
              <c:strCache>
                <c:ptCount val="0"/>
              </c:strCache>
            </c:strRef>
          </c:cat>
          <c:val>
            <c:numRef>
              <c:f>'結論總覽'!$F$26:$F$27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LightGBM Top-5</c:v>
          </c:tx>
          <c:cat>
            <c:strRef>
              <c:f>'結論總覽'!$E$26:$E$27</c:f>
              <c:strCache>
                <c:ptCount val="0"/>
              </c:strCache>
            </c:strRef>
          </c:cat>
          <c:val>
            <c:numRef>
              <c:f>'結論總覽'!$G$26:$G$27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4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同樣每時點只看 5 站，LightGBM 命中率更高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比例規則 Top-5</c:v>
          </c:tx>
          <c:cat>
            <c:strRef>
              <c:f>'TopK警示'!$A$57:$A$58</c:f>
              <c:strCache>
                <c:ptCount val="0"/>
              </c:strCache>
            </c:strRef>
          </c:cat>
          <c:val>
            <c:numRef>
              <c:f>'TopK警示'!$B$57:$B$58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LightGBM Top-5</c:v>
          </c:tx>
          <c:cat>
            <c:strRef>
              <c:f>'TopK警示'!$A$57:$A$58</c:f>
              <c:strCache>
                <c:ptCount val="0"/>
              </c:strCache>
            </c:strRef>
          </c:cat>
          <c:val>
            <c:numRef>
              <c:f>'TopK警示'!$C$57:$C$58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4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高價值核心與僅高失衡站的風險密度較高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缺車率</c:v>
          </c:tx>
          <c:cat>
            <c:strRef>
              <c:f>'分群表現'!$A$17:$A$20</c:f>
              <c:strCache>
                <c:ptCount val="0"/>
              </c:strCache>
            </c:strRef>
          </c:cat>
          <c:val>
            <c:numRef>
              <c:f>'分群表現'!$B$17:$B$20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滿柱率</c:v>
          </c:tx>
          <c:cat>
            <c:strRef>
              <c:f>'分群表現'!$A$17:$A$20</c:f>
              <c:strCache>
                <c:ptCount val="0"/>
              </c:strCache>
            </c:strRef>
          </c:cat>
          <c:val>
            <c:numRef>
              <c:f>'分群表現'!$C$17:$C$20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07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缺車：目前庫存、站點與時段最重要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Gain占比</c:v>
          </c:tx>
          <c:cat>
            <c:strRef>
              <c:f>'特徵重要性'!$H$5:$H$14</c:f>
              <c:strCache>
                <c:ptCount val="0"/>
              </c:strCache>
            </c:strRef>
          </c:cat>
          <c:val>
            <c:numRef>
              <c:f>'特徵重要性'!$I$5:$I$14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滿柱：目前庫存、站點與時段最重要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Gain占比</c:v>
          </c:tx>
          <c:cat>
            <c:strRef>
              <c:f>'特徵重要性'!$H$23:$H$32</c:f>
              <c:strCache>
                <c:ptCount val="0"/>
              </c:strCache>
            </c:strRef>
          </c:cat>
          <c:val>
            <c:numRef>
              <c:f>'特徵重要性'!$I$23:$I$32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缺車：預測機率 vs 實際發生率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平均預測機率</c:v>
          </c:tx>
          <c:marker>
            <c:symbol val="none"/>
          </c:marker>
          <c:cat>
            <c:strRef>
              <c:f>'校準與門檻'!$A$24:$A$33</c:f>
              <c:strCache>
                <c:ptCount val="0"/>
              </c:strCache>
            </c:strRef>
          </c:cat>
          <c:val>
            <c:numRef>
              <c:f>'校準與門檻'!$B$24:$B$33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實際發生率</c:v>
          </c:tx>
          <c:marker>
            <c:symbol val="none"/>
          </c:marker>
          <c:cat>
            <c:strRef>
              <c:f>'校準與門檻'!$A$24:$A$33</c:f>
              <c:strCache>
                <c:ptCount val="0"/>
              </c:strCache>
            </c:strRef>
          </c:cat>
          <c:val>
            <c:numRef>
              <c:f>'校準與門檻'!$C$24:$C$33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滿柱：預測機率 vs 實際發生率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平均預測機率</c:v>
          </c:tx>
          <c:marker>
            <c:symbol val="none"/>
          </c:marker>
          <c:cat>
            <c:strRef>
              <c:f>'校準與門檻'!$F$24:$F$33</c:f>
              <c:strCache>
                <c:ptCount val="0"/>
              </c:strCache>
            </c:strRef>
          </c:cat>
          <c:val>
            <c:numRef>
              <c:f>'校準與門檻'!$G$24:$G$33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實際發生率</c:v>
          </c:tx>
          <c:marker>
            <c:symbol val="none"/>
          </c:marker>
          <c:cat>
            <c:strRef>
              <c:f>'校準與門檻'!$F$24:$F$33</c:f>
              <c:strCache>
                <c:ptCount val="0"/>
              </c:strCache>
            </c:strRef>
          </c:cat>
          <c:val>
            <c:numRef>
              <c:f>'校準與門檻'!$H$24:$H$33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每月失衡正例率（圖表只看缺車率與滿柱率）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缺車率</c:v>
          </c:tx>
          <c:marker>
            <c:symbol val="none"/>
          </c:marker>
          <c:cat>
            <c:strRef>
              <c:f>'資料與方法'!$J$13:$J$18</c:f>
              <c:strCache>
                <c:ptCount val="0"/>
              </c:strCache>
            </c:strRef>
          </c:cat>
          <c:val>
            <c:numRef>
              <c:f>'資料與方法'!$K$13:$K$18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滿柱率</c:v>
          </c:tx>
          <c:marker>
            <c:symbol val="none"/>
          </c:marker>
          <c:cat>
            <c:strRef>
              <c:f>'資料與方法'!$J$13:$J$18</c:f>
              <c:strCache>
                <c:ptCount val="0"/>
              </c:strCache>
            </c:strRef>
          </c:cat>
          <c:val>
            <c:numRef>
              <c:f>'資料與方法'!$L$13:$L$18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31</xdr:row>
      <xdr:rowOff>0</xdr:rowOff>
    </xdr:from>
    <xdr:to>
      <xdr:col>7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4fc100a0b14529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14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26f195d56054a2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55</xdr:row>
      <xdr:rowOff>0</xdr:rowOff>
    </xdr:from>
    <xdr:to>
      <xdr:col>12</xdr:col>
      <xdr:colOff>0</xdr:colOff>
      <xdr:row>71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0148f7074247c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14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dab25bc4bf430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99d0acb296b4000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19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e63b9bf6b4440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35</xdr:row>
      <xdr:rowOff>0</xdr:rowOff>
    </xdr:from>
    <xdr:to>
      <xdr:col>5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1934bd61ef4e51"/>
        </a:graphicData>
      </a:graphic>
    </xdr:graphicFrame>
    <xdr:clientData/>
  </xdr:twoCellAnchor>
  <xdr:twoCellAnchor>
    <xdr:from>
      <xdr:col>5</xdr:col>
      <xdr:colOff>0</xdr:colOff>
      <xdr:row>35</xdr:row>
      <xdr:rowOff>0</xdr:rowOff>
    </xdr:from>
    <xdr:to>
      <xdr:col>10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87fd12736244bd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12</xdr:col>
      <xdr:colOff>0</xdr:colOff>
      <xdr:row>11</xdr:row>
      <xdr:rowOff>0</xdr:rowOff>
    </xdr:from>
    <xdr:to>
      <xdr:col>18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7b61f4180b4a2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delPerformanceTable" displayName="ModelPerformanceTable" ref="A4:N20" headerRowCount="1" totalsRowCount="0" totalsRowShown="0">
  <x:tableColumns count="14">
    <x:tableColumn id="1" name="事件"/>
    <x:tableColumn id="2" name="模型"/>
    <x:tableColumn id="3" name="時段"/>
    <x:tableColumn id="4" name="觀測筆數"/>
    <x:tableColumn id="5" name="正例數"/>
    <x:tableColumn id="6" name="正例率"/>
    <x:tableColumn id="7" name="PR-AUC"/>
    <x:tableColumn id="8" name="Precision"/>
    <x:tableColumn id="9" name="Recall"/>
    <x:tableColumn id="10" name="F2"/>
    <x:tableColumn id="11" name="警示數"/>
    <x:tableColumn id="12" name="每100站日誤警報"/>
    <x:tableColumn id="13" name="Brier"/>
    <x:tableColumn id="14" name="Log Lo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pKTable" displayName="TopKTable" ref="A4:L52" headerRowCount="1" totalsRowCount="0" totalsRowShown="0">
  <x:tableColumns count="12">
    <x:tableColumn id="1" name="事件"/>
    <x:tableColumn id="2" name="模型"/>
    <x:tableColumn id="3" name="時段"/>
    <x:tableColumn id="4" name="K"/>
    <x:tableColumn id="5" name="決策時點"/>
    <x:tableColumn id="6" name="警示筆數"/>
    <x:tableColumn id="7" name="命中筆數"/>
    <x:tableColumn id="8" name="誤警報"/>
    <x:tableColumn id="9" name="Recall"/>
    <x:tableColumn id="10" name="Precision"/>
    <x:tableColumn id="11" name="每日警示"/>
    <x:tableColumn id="12" name="每100站日誤警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bgroupTable" displayName="SubgroupTable" ref="A4:K12" headerRowCount="1" totalsRowCount="0" totalsRowShown="0">
  <x:tableColumns count="11">
    <x:tableColumn id="1" name="事件"/>
    <x:tableColumn id="2" name="站點分群"/>
    <x:tableColumn id="3" name="觀測筆數"/>
    <x:tableColumn id="4" name="正例數"/>
    <x:tableColumn id="5" name="正例率"/>
    <x:tableColumn id="6" name="PR-AUC"/>
    <x:tableColumn id="7" name="Precision"/>
    <x:tableColumn id="8" name="Recall"/>
    <x:tableColumn id="9" name="F2"/>
    <x:tableColumn id="10" name="警示數"/>
    <x:tableColumn id="11" name="每100站日誤警報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eatureImportanceTable" displayName="FeatureImportanceTable" ref="A4:F116" headerRowCount="1" totalsRowCount="0" totalsRowShown="0">
  <x:tableColumns count="6">
    <x:tableColumn id="1" name="事件"/>
    <x:tableColumn id="2" name="特徵"/>
    <x:tableColumn id="3" name="Gain"/>
    <x:tableColumn id="4" name="分裂次數"/>
    <x:tableColumn id="5" name="事件總Gain"/>
    <x:tableColumn id="6" name="Gain占比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onthlyDataTable" displayName="MonthlyDataTable" ref="A13:H19" headerRowCount="1" totalsRowCount="0" totalsRowShown="0">
  <x:tableColumns count="8">
    <x:tableColumn id="1" name="月份"/>
    <x:tableColumn id="2" name="原始快照"/>
    <x:tableColumn id="3" name="可用樣本"/>
    <x:tableColumn id="4" name="可用率"/>
    <x:tableColumn id="5" name="缺車正例"/>
    <x:tableColumn id="6" name="缺車率"/>
    <x:tableColumn id="7" name="滿柱正例"/>
    <x:tableColumn id="8" name="滿柱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cc934cda3ea45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4979b778c142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f3497a3bc25c423e" /><Relationship Type="http://schemas.openxmlformats.org/officeDocument/2006/relationships/table" Target="/xl/tables/table2.xml" Id="Rf075cade199747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d53b3d09736b4485" /><Relationship Type="http://schemas.openxmlformats.org/officeDocument/2006/relationships/table" Target="/xl/tables/table3.xml" Id="R1289e173ae84463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2b8e3138c32a4194" /><Relationship Type="http://schemas.openxmlformats.org/officeDocument/2006/relationships/table" Target="/xl/tables/table4.xml" Id="R0885be7e48c540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28f0cca52f9e41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0679de3049274e5c" /><Relationship Type="http://schemas.openxmlformats.org/officeDocument/2006/relationships/table" Target="/xl/tables/table5.xml" Id="R391d237d91ae40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5" t="str">
        <x:v>YouBike 2.0｜30 分鐘供需失衡預測 第一版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6" customHeight="1">
      <x:c r="A3" s="8" t="str">
        <x:v>目標：在官方即時紅燈出現前，先排序下一個 30 分鐘快照可能新發生缺車／滿柱的站點，協助尖峰時段集中注意力。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8" customHeight="1">
      <x:c r="A5" s="269" t="str">
        <x:v>核心結論：LightGBM 在六月封存測試的尖峰缺車與滿柱排序，均明顯優於庫存比例、線性外推與 Logistic；營運呈現應以 Top-5／Top-10 清單為主。</x:v>
      </x:c>
      <x:c r="B5" s="270"/>
      <x:c r="C5" s="270"/>
      <x:c r="D5" s="270"/>
      <x:c r="E5" s="270"/>
      <x:c r="F5" s="270"/>
      <x:c r="G5" s="270"/>
      <x:c r="H5" s="270"/>
      <x:c r="I5" s="270"/>
      <x:c r="J5" s="270"/>
      <x:c r="K5" s="270"/>
      <x:c r="L5" s="270"/>
      <x:c r="M5" s="270"/>
      <x:c r="N5" s="27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 ht="28" customHeight="1">
      <x:c r="A6" s="272"/>
      <x:c r="B6" s="273"/>
      <x:c r="C6" s="273"/>
      <x:c r="D6" s="273"/>
      <x:c r="E6" s="273"/>
      <x:c r="F6" s="273"/>
      <x:c r="G6" s="273"/>
      <x:c r="H6" s="273"/>
      <x:c r="I6" s="273"/>
      <x:c r="J6" s="273"/>
      <x:c r="K6" s="273"/>
      <x:c r="L6" s="273"/>
      <x:c r="M6" s="273"/>
      <x:c r="N6" s="274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282" t="str">
        <x:v>尖峰缺車 PR-AUC</x:v>
      </x:c>
      <x:c r="B8" s="283"/>
      <x:c r="C8" s="284"/>
      <x:c r="D8" s="282" t="str">
        <x:v>尖峰缺車 Recall</x:v>
      </x:c>
      <x:c r="E8" s="283"/>
      <x:c r="F8" s="284"/>
      <x:c r="G8" s="282" t="str">
        <x:v>缺車 Top-5 命中率</x:v>
      </x:c>
      <x:c r="H8" s="283"/>
      <x:c r="I8" s="284"/>
      <x:c r="J8" s="282" t="str">
        <x:v>Top-5 相對比例規則</x:v>
      </x:c>
      <x:c r="K8" s="283"/>
      <x:c r="L8" s="284"/>
      <x:c r="M8" s="405" t="str">
        <x:v>定位
離線回測證明的是『更好的 30 分鐘風險排序』。
尚未證明實際調度可降低失衡。</x:v>
      </x:c>
      <x:c r="N8" s="406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313" t="n">
        <x:f>'模型比較'!G12</x:f>
        <x:v>0.2503672930402292</x:v>
      </x:c>
      <x:c r="B9" s="314"/>
      <x:c r="C9" s="315"/>
      <x:c r="D9" s="340" t="n">
        <x:f>'模型比較'!I12</x:f>
        <x:v>0.7183115129454588</x:v>
      </x:c>
      <x:c r="E9" s="341"/>
      <x:c r="F9" s="342"/>
      <x:c r="G9" s="340" t="n">
        <x:f>'TopK警示'!J26</x:f>
        <x:v>0.3504761904761905</x:v>
      </x:c>
      <x:c r="H9" s="341"/>
      <x:c r="I9" s="342"/>
      <x:c r="J9" s="367" t="n">
        <x:f>G9/'TopK警示'!J17</x:f>
        <x:v>1.8969072164948455</x:v>
      </x:c>
      <x:c r="K9" s="368"/>
      <x:c r="L9" s="369"/>
      <x:c r="M9" s="407"/>
      <x:c r="N9" s="408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316"/>
      <x:c r="B10" s="317"/>
      <x:c r="C10" s="318"/>
      <x:c r="D10" s="343"/>
      <x:c r="E10" s="344"/>
      <x:c r="F10" s="345"/>
      <x:c r="G10" s="343"/>
      <x:c r="H10" s="344"/>
      <x:c r="I10" s="345"/>
      <x:c r="J10" s="370"/>
      <x:c r="K10" s="371"/>
      <x:c r="L10" s="372"/>
      <x:c r="M10" s="407"/>
      <x:c r="N10" s="408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319"/>
      <x:c r="B11" s="320"/>
      <x:c r="C11" s="321"/>
      <x:c r="D11" s="346"/>
      <x:c r="E11" s="347"/>
      <x:c r="F11" s="348"/>
      <x:c r="G11" s="346"/>
      <x:c r="H11" s="347"/>
      <x:c r="I11" s="348"/>
      <x:c r="J11" s="373"/>
      <x:c r="K11" s="374"/>
      <x:c r="L11" s="375"/>
      <x:c r="M11" s="407"/>
      <x:c r="N11" s="408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407"/>
      <x:c r="N12" s="408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383" t="str">
        <x:v>尖峰滿柱 PR-AUC</x:v>
      </x:c>
      <x:c r="B13" s="384"/>
      <x:c r="C13" s="385"/>
      <x:c r="D13" s="383" t="str">
        <x:v>尖峰滿柱 Recall</x:v>
      </x:c>
      <x:c r="E13" s="384"/>
      <x:c r="F13" s="385"/>
      <x:c r="G13" s="383" t="str">
        <x:v>滿柱 Top-5 命中率</x:v>
      </x:c>
      <x:c r="H13" s="384"/>
      <x:c r="I13" s="385"/>
      <x:c r="J13" s="383" t="str">
        <x:v>Top-5 相對比例規則</x:v>
      </x:c>
      <x:c r="K13" s="384"/>
      <x:c r="L13" s="385"/>
      <x:c r="M13" s="407"/>
      <x:c r="N13" s="408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313" t="n">
        <x:f>'模型比較'!G20</x:f>
        <x:v>0.14279156529036985</x:v>
      </x:c>
      <x:c r="B14" s="314"/>
      <x:c r="C14" s="315"/>
      <x:c r="D14" s="340" t="n">
        <x:f>'模型比較'!I20</x:f>
        <x:v>0.588950660180681</x:v>
      </x:c>
      <x:c r="E14" s="341"/>
      <x:c r="F14" s="342"/>
      <x:c r="G14" s="340" t="n">
        <x:f>'TopK警示'!J50</x:f>
        <x:v>0.2057142857142857</x:v>
      </x:c>
      <x:c r="H14" s="341"/>
      <x:c r="I14" s="342"/>
      <x:c r="J14" s="367" t="n">
        <x:f>G14/'TopK警示'!J41</x:f>
        <x:v>2.215384615384615</x:v>
      </x:c>
      <x:c r="K14" s="368"/>
      <x:c r="L14" s="369"/>
      <x:c r="M14" s="407"/>
      <x:c r="N14" s="408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316"/>
      <x:c r="B15" s="317"/>
      <x:c r="C15" s="318"/>
      <x:c r="D15" s="343"/>
      <x:c r="E15" s="344"/>
      <x:c r="F15" s="345"/>
      <x:c r="G15" s="343"/>
      <x:c r="H15" s="344"/>
      <x:c r="I15" s="345"/>
      <x:c r="J15" s="370"/>
      <x:c r="K15" s="371"/>
      <x:c r="L15" s="372"/>
      <x:c r="M15" s="407"/>
      <x:c r="N15" s="408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319"/>
      <x:c r="B16" s="320"/>
      <x:c r="C16" s="321"/>
      <x:c r="D16" s="346"/>
      <x:c r="E16" s="347"/>
      <x:c r="F16" s="348"/>
      <x:c r="G16" s="346"/>
      <x:c r="H16" s="347"/>
      <x:c r="I16" s="348"/>
      <x:c r="J16" s="373"/>
      <x:c r="K16" s="374"/>
      <x:c r="L16" s="375"/>
      <x:c r="M16" s="409"/>
      <x:c r="N16" s="410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 ht="24" customHeight="1">
      <x:c r="A19" s="95" t="str">
        <x:v>建議營運介面：最低風險門檻＋最多 Top-K</x:v>
      </x:c>
      <x:c r="B19" s="95" t="str">
        <x:v>建議營運介面：最低風險門檻＋最多 Top-K</x:v>
      </x:c>
      <x:c r="C19" s="95" t="str">
        <x:v>建議營運介面：最低風險門檻＋最多 Top-K</x:v>
      </x:c>
      <x:c r="D19" s="95" t="str">
        <x:v>建議營運介面：最低風險門檻＋最多 Top-K</x:v>
      </x:c>
      <x:c r="E19" s="95" t="str">
        <x:v>建議營運介面：最低風險門檻＋最多 Top-K</x:v>
      </x:c>
      <x:c r="F19" s="95" t="str">
        <x:v>建議營運介面：最低風險門檻＋最多 Top-K</x:v>
      </x:c>
      <x:c r="G19" s="95" t="str">
        <x:v>建議營運介面：最低風險門檻＋最多 Top-K</x:v>
      </x:c>
      <x:c r="H19" s="95" t="str">
        <x:v>建議營運介面：最低風險門檻＋最多 Top-K</x:v>
      </x:c>
      <x:c r="I19" s="95" t="str">
        <x:v>建議營運介面：最低風險門檻＋最多 Top-K</x:v>
      </x:c>
      <x:c r="J19" s="95" t="str">
        <x:v>建議營運介面：最低風險門檻＋最多 Top-K</x:v>
      </x:c>
      <x:c r="K19" s="95" t="str">
        <x:v>建議營運介面：最低風險門檻＋最多 Top-K</x:v>
      </x:c>
      <x:c r="L19" s="95" t="str">
        <x:v>建議營運介面：最低風險門檻＋最多 Top-K</x:v>
      </x:c>
      <x:c r="M19" s="95" t="str">
        <x:v>建議營運介面：最低風險門檻＋最多 Top-K</x:v>
      </x:c>
      <x:c r="N19" s="95" t="str">
        <x:v>建議營運介面：最低風險門檻＋最多 Top-K</x:v>
      </x:c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429" t="str">
        <x:v>每 30 分鐘先計算全站風險，分別輸出缺車與滿柱 Top-5／Top-10；再用雙優先順序標示『高價值核心站』與『僅高失衡站』。F2 最佳門檻的警示量過大，不適合直接當派車清單。</x:v>
      </x:c>
      <x:c r="B20" s="430"/>
      <x:c r="C20" s="430"/>
      <x:c r="D20" s="430"/>
      <x:c r="E20" s="430"/>
      <x:c r="F20" s="430"/>
      <x:c r="G20" s="430"/>
      <x:c r="H20" s="430"/>
      <x:c r="I20" s="430"/>
      <x:c r="J20" s="430"/>
      <x:c r="K20" s="430"/>
      <x:c r="L20" s="430"/>
      <x:c r="M20" s="430"/>
      <x:c r="N20" s="43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432"/>
      <x:c r="B21" s="433"/>
      <x:c r="C21" s="433"/>
      <x:c r="D21" s="433"/>
      <x:c r="E21" s="433"/>
      <x:c r="F21" s="433"/>
      <x:c r="G21" s="433"/>
      <x:c r="H21" s="433"/>
      <x:c r="I21" s="433"/>
      <x:c r="J21" s="433"/>
      <x:c r="K21" s="433"/>
      <x:c r="L21" s="433"/>
      <x:c r="M21" s="433"/>
      <x:c r="N21" s="434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435"/>
      <x:c r="B22" s="436"/>
      <x:c r="C22" s="436"/>
      <x:c r="D22" s="436"/>
      <x:c r="E22" s="436"/>
      <x:c r="F22" s="436"/>
      <x:c r="G22" s="436"/>
      <x:c r="H22" s="436"/>
      <x:c r="I22" s="436"/>
      <x:c r="J22" s="436"/>
      <x:c r="K22" s="436"/>
      <x:c r="L22" s="436"/>
      <x:c r="M22" s="436"/>
      <x:c r="N22" s="437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 ht="30" customHeight="1">
      <x:c r="A25" s="20" t="str">
        <x:v>模型</x:v>
      </x:c>
      <x:c r="B25" s="21" t="str">
        <x:v>缺車 PR-AUC</x:v>
      </x:c>
      <x:c r="C25" s="22" t="str">
        <x:v>滿柱 PR-AUC</x:v>
      </x:c>
      <x:c r="D25" s="1"/>
      <x:c r="E25" s="20" t="str">
        <x:v>事件</x:v>
      </x:c>
      <x:c r="F25" s="21" t="str">
        <x:v>比例規則 Top-5</x:v>
      </x:c>
      <x:c r="G25" s="22" t="str">
        <x:v>LightGBM Top-5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 t="str">
        <x:v>庫存比例規則</x:v>
      </x:c>
      <x:c r="B26" s="105" t="n">
        <x:f>'模型比較'!G9</x:f>
        <x:v>0.1401167091867674</x:v>
      </x:c>
      <x:c r="C26" s="105" t="n">
        <x:f>'模型比較'!G17</x:f>
        <x:v>0.058269096942376544</x:v>
      </x:c>
      <x:c r="D26" s="1"/>
      <x:c r="E26" s="1" t="str">
        <x:v>缺車</x:v>
      </x:c>
      <x:c r="F26" s="24" t="n">
        <x:f>'TopK警示'!J17</x:f>
        <x:v>0.18476190476190477</x:v>
      </x:c>
      <x:c r="G26" s="24" t="n">
        <x:f>'TopK警示'!J26</x:f>
        <x:v>0.3504761904761905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 t="str">
        <x:v>30分鐘線性外推</x:v>
      </x:c>
      <x:c r="B27" s="105" t="n">
        <x:f>'模型比較'!G10</x:f>
        <x:v>0.11301954015920411</x:v>
      </x:c>
      <x:c r="C27" s="105" t="n">
        <x:f>'模型比較'!G18</x:f>
        <x:v>0.047753572656922955</x:v>
      </x:c>
      <x:c r="D27" s="1"/>
      <x:c r="E27" s="1" t="str">
        <x:v>滿柱</x:v>
      </x:c>
      <x:c r="F27" s="24" t="n">
        <x:f>'TopK警示'!J41</x:f>
        <x:v>0.09285714285714286</x:v>
      </x:c>
      <x:c r="G27" s="24" t="n">
        <x:f>'TopK警示'!J50</x:f>
        <x:v>0.2057142857142857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 t="str">
        <x:v>Logistic</x:v>
      </x:c>
      <x:c r="B28" s="105" t="n">
        <x:f>'模型比較'!G11</x:f>
        <x:v>0.1722222694425092</x:v>
      </x:c>
      <x:c r="C28" s="105" t="n">
        <x:f>'模型比較'!G19</x:f>
        <x:v>0.07866823858719235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 t="str">
        <x:v>LightGBM</x:v>
      </x:c>
      <x:c r="B29" s="105" t="n">
        <x:f>'模型比較'!G12</x:f>
        <x:v>0.2503672930402292</x:v>
      </x:c>
      <x:c r="C29" s="105" t="n">
        <x:f>'模型比較'!G20</x:f>
        <x:v>0.14279156529036985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456" t="str">
        <x:v>重要限制：本版是站點—30分鐘快照預測，尚未把連續快照去重成事件，也沒有加入天氣、活動、實際運補紀錄或調度成本。站點 ID 重要性高，新站與跨季節泛化需另做測試。</x:v>
      </x:c>
      <x:c r="B49" s="457"/>
      <x:c r="C49" s="457"/>
      <x:c r="D49" s="457"/>
      <x:c r="E49" s="457"/>
      <x:c r="F49" s="457"/>
      <x:c r="G49" s="457"/>
      <x:c r="H49" s="457"/>
      <x:c r="I49" s="457"/>
      <x:c r="J49" s="457"/>
      <x:c r="K49" s="457"/>
      <x:c r="L49" s="457"/>
      <x:c r="M49" s="457"/>
      <x:c r="N49" s="458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459"/>
      <x:c r="B50" s="460"/>
      <x:c r="C50" s="460"/>
      <x:c r="D50" s="460"/>
      <x:c r="E50" s="460"/>
      <x:c r="F50" s="460"/>
      <x:c r="G50" s="460"/>
      <x:c r="H50" s="460"/>
      <x:c r="I50" s="460"/>
      <x:c r="J50" s="460"/>
      <x:c r="K50" s="460"/>
      <x:c r="L50" s="460"/>
      <x:c r="M50" s="460"/>
      <x:c r="N50" s="46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459"/>
      <x:c r="B51" s="460"/>
      <x:c r="C51" s="460"/>
      <x:c r="D51" s="460"/>
      <x:c r="E51" s="460"/>
      <x:c r="F51" s="460"/>
      <x:c r="G51" s="460"/>
      <x:c r="H51" s="460"/>
      <x:c r="I51" s="460"/>
      <x:c r="J51" s="460"/>
      <x:c r="K51" s="460"/>
      <x:c r="L51" s="460"/>
      <x:c r="M51" s="460"/>
      <x:c r="N51" s="46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462"/>
      <x:c r="B52" s="463"/>
      <x:c r="C52" s="463"/>
      <x:c r="D52" s="463"/>
      <x:c r="E52" s="463"/>
      <x:c r="F52" s="463"/>
      <x:c r="G52" s="463"/>
      <x:c r="H52" s="463"/>
      <x:c r="I52" s="463"/>
      <x:c r="J52" s="463"/>
      <x:c r="K52" s="463"/>
      <x:c r="L52" s="463"/>
      <x:c r="M52" s="463"/>
      <x:c r="N52" s="464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79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B54" s="80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C54" s="80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D54" s="80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E54" s="80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F54" s="80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G54" s="80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H54" s="80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I54" s="80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J54" s="80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K54" s="80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L54" s="80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M54" s="80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N54" s="81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01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B55" s="102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C55" s="102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D55" s="102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E55" s="102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F55" s="102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G55" s="102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H55" s="102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I55" s="102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J55" s="102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K55" s="102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L55" s="102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M55" s="102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N55" s="103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82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B56" s="83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C56" s="83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D56" s="83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E56" s="83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F56" s="83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G56" s="83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H56" s="83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I56" s="83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J56" s="83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K56" s="83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L56" s="83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M56" s="83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N56" s="84" t="str">
        <x:v>資料切分：1–4月訓練、5/1–20校準、5/21–31尖峰選門檻、6月封存測試。主要來源：data/test_performance.csv、data/test_topk.csv、data/test_subgroup_performance.csv。完整定義與限制請見『資料與方法』及『解讀與限制』。</x:v>
      </x:c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N2"/>
    <x:mergeCell ref="A3:N3"/>
    <x:mergeCell ref="A5:N6"/>
    <x:mergeCell ref="A8:C8"/>
    <x:mergeCell ref="A9:C11"/>
    <x:mergeCell ref="D8:F8"/>
    <x:mergeCell ref="D9:F11"/>
    <x:mergeCell ref="G8:I8"/>
    <x:mergeCell ref="G9:I11"/>
    <x:mergeCell ref="J8:L8"/>
    <x:mergeCell ref="J9:L11"/>
    <x:mergeCell ref="A13:C13"/>
    <x:mergeCell ref="A14:C16"/>
    <x:mergeCell ref="D13:F13"/>
    <x:mergeCell ref="D14:F16"/>
    <x:mergeCell ref="G13:I13"/>
    <x:mergeCell ref="G14:I16"/>
    <x:mergeCell ref="J13:L13"/>
    <x:mergeCell ref="J14:L16"/>
    <x:mergeCell ref="M8:N16"/>
    <x:mergeCell ref="A19:N19"/>
    <x:mergeCell ref="A20:N22"/>
    <x:mergeCell ref="A49:N52"/>
    <x:mergeCell ref="A54:N56"/>
  </x:mergeCells>
  <x:pageMargins left="0.7" right="0.7" top="0.75" bottom="0.75" header="0.3" footer="0.3"/>
  <x:drawing xmlns:r="http://schemas.openxmlformats.org/officeDocument/2006/relationships" r:id="Rccc934cda3ea453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0" hidden="0" customWidth="1"/>
    <x:col min="4" max="4" width="13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3" hidden="0" customWidth="1"/>
    <x:col min="12" max="12" width="18" hidden="0" customWidth="1"/>
    <x:col min="13" max="13" width="12" hidden="0" customWidth="1"/>
    <x:col min="14" max="14" width="12" hidden="0" customWidth="1"/>
  </x:cols>
  <x:sheetData>
    <x:row r="1" ht="28" customHeight="1">
      <x:c r="A1" s="5" t="str">
        <x:v>六月封存測試｜模型比較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465"/>
      <x:c r="P1" s="465"/>
      <x:c r="Q1" s="465"/>
      <x:c r="R1" s="465"/>
      <x:c r="S1" s="465"/>
      <x:c r="T1" s="465"/>
      <x:c r="U1" s="465"/>
      <x:c r="V1" s="465"/>
      <x:c r="W1" s="465"/>
      <x:c r="X1" s="465"/>
      <x:c r="Y1" s="465"/>
      <x:c r="Z1" s="465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465"/>
      <x:c r="P2" s="465"/>
      <x:c r="Q2" s="465"/>
      <x:c r="R2" s="465"/>
      <x:c r="S2" s="465"/>
      <x:c r="T2" s="465"/>
      <x:c r="U2" s="465"/>
      <x:c r="V2" s="465"/>
      <x:c r="W2" s="465"/>
      <x:c r="X2" s="465"/>
      <x:c r="Y2" s="465"/>
      <x:c r="Z2" s="465"/>
    </x:row>
    <x:row r="3" ht="24" customHeight="1">
      <x:c r="A3" s="8" t="str">
        <x:v>所有門檻均在五月選定；六月僅評估一次。PR-AUC 是主要排序指標，Accuracy 不適合此類極度不平衡問題。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465"/>
      <x:c r="P3" s="465"/>
      <x:c r="Q3" s="465"/>
      <x:c r="R3" s="465"/>
      <x:c r="S3" s="465"/>
      <x:c r="T3" s="465"/>
      <x:c r="U3" s="465"/>
      <x:c r="V3" s="465"/>
      <x:c r="W3" s="465"/>
      <x:c r="X3" s="465"/>
      <x:c r="Y3" s="465"/>
      <x:c r="Z3" s="465"/>
    </x:row>
    <x:row r="4" ht="30" customHeight="1">
      <x:c r="A4" s="20" t="str">
        <x:v>事件</x:v>
      </x:c>
      <x:c r="B4" s="21" t="str">
        <x:v>模型</x:v>
      </x:c>
      <x:c r="C4" s="21" t="str">
        <x:v>時段</x:v>
      </x:c>
      <x:c r="D4" s="21" t="str">
        <x:v>觀測筆數</x:v>
      </x:c>
      <x:c r="E4" s="21" t="str">
        <x:v>正例數</x:v>
      </x:c>
      <x:c r="F4" s="21" t="str">
        <x:v>正例率</x:v>
      </x:c>
      <x:c r="G4" s="21" t="str">
        <x:v>PR-AUC</x:v>
      </x:c>
      <x:c r="H4" s="21" t="str">
        <x:v>Precision</x:v>
      </x:c>
      <x:c r="I4" s="21" t="str">
        <x:v>Recall</x:v>
      </x:c>
      <x:c r="J4" s="21" t="str">
        <x:v>F2</x:v>
      </x:c>
      <x:c r="K4" s="21" t="str">
        <x:v>警示數</x:v>
      </x:c>
      <x:c r="L4" s="21" t="str">
        <x:v>每100站日誤警報</x:v>
      </x:c>
      <x:c r="M4" s="21" t="str">
        <x:v>Brier</x:v>
      </x:c>
      <x:c r="N4" s="22" t="str">
        <x:v>Log Loss</x:v>
      </x:c>
      <x:c r="O4" s="465"/>
      <x:c r="P4" s="465"/>
      <x:c r="Q4" s="465"/>
      <x:c r="R4" s="465"/>
      <x:c r="S4" s="465"/>
      <x:c r="T4" s="465"/>
      <x:c r="U4" s="465"/>
      <x:c r="V4" s="465"/>
      <x:c r="W4" s="465"/>
      <x:c r="X4" s="465"/>
      <x:c r="Y4" s="465"/>
      <x:c r="Z4" s="465"/>
    </x:row>
    <x:row r="5">
      <x:c r="A5" s="466" t="str">
        <x:v>缺車</x:v>
      </x:c>
      <x:c r="B5" s="467" t="str">
        <x:v>庫存比例規則</x:v>
      </x:c>
      <x:c r="C5" s="467" t="str">
        <x:v>全日</x:v>
      </x:c>
      <x:c r="D5" s="468" t="n">
        <x:v>2101268</x:v>
      </x:c>
      <x:c r="E5" s="468" t="n">
        <x:v>39669</x:v>
      </x:c>
      <x:c r="F5" s="469" t="n">
        <x:v>0.01887860092096772</x:v>
      </x:c>
      <x:c r="G5" s="469" t="n">
        <x:v>0.1315953303893216</x:v>
      </x:c>
      <x:c r="H5" s="469" t="n">
        <x:v>0.11513303453684354</x:v>
      </x:c>
      <x:c r="I5" s="469" t="n">
        <x:v>0.6624568302704883</x:v>
      </x:c>
      <x:c r="J5" s="469" t="n">
        <x:v>0.3395877754086709</x:v>
      </x:c>
      <x:c r="K5" s="468" t="n">
        <x:v>228249</x:v>
      </x:c>
      <x:c r="L5" s="470" t="n">
        <x:v>432.1138211382114</x:v>
      </x:c>
      <x:c r="M5" s="471"/>
      <x:c r="N5" s="472"/>
      <x:c r="O5" s="465"/>
      <x:c r="P5" s="465"/>
      <x:c r="Q5" s="465"/>
      <x:c r="R5" s="465"/>
      <x:c r="S5" s="465"/>
      <x:c r="T5" s="465"/>
      <x:c r="U5" s="465"/>
      <x:c r="V5" s="465"/>
      <x:c r="W5" s="465"/>
      <x:c r="X5" s="465"/>
      <x:c r="Y5" s="465"/>
      <x:c r="Z5" s="465"/>
    </x:row>
    <x:row r="6">
      <x:c r="A6" s="473" t="str">
        <x:v>缺車</x:v>
      </x:c>
      <x:c r="B6" s="474" t="str">
        <x:v>30分鐘線性外推</x:v>
      </x:c>
      <x:c r="C6" s="474" t="str">
        <x:v>全日</x:v>
      </x:c>
      <x:c r="D6" s="475" t="n">
        <x:v>2101268</x:v>
      </x:c>
      <x:c r="E6" s="475" t="n">
        <x:v>39669</x:v>
      </x:c>
      <x:c r="F6" s="476" t="n">
        <x:v>0.01887860092096772</x:v>
      </x:c>
      <x:c r="G6" s="476" t="n">
        <x:v>0.10029596126165859</x:v>
      </x:c>
      <x:c r="H6" s="476" t="n">
        <x:v>0.1166984505363528</x:v>
      </x:c>
      <x:c r="I6" s="476" t="n">
        <x:v>0.493634828203383</x:v>
      </x:c>
      <x:c r="J6" s="476" t="n">
        <x:v>0.2998995331969272</x:v>
      </x:c>
      <x:c r="K6" s="475" t="n">
        <x:v>167800</x:v>
      </x:c>
      <x:c r="L6" s="477" t="n">
        <x:v>317.1116816431322</x:v>
      </x:c>
      <x:c r="M6" s="478"/>
      <x:c r="N6" s="479"/>
      <x:c r="O6" s="465"/>
      <x:c r="P6" s="465"/>
      <x:c r="Q6" s="465"/>
      <x:c r="R6" s="465"/>
      <x:c r="S6" s="465"/>
      <x:c r="T6" s="465"/>
      <x:c r="U6" s="465"/>
      <x:c r="V6" s="465"/>
      <x:c r="W6" s="465"/>
      <x:c r="X6" s="465"/>
      <x:c r="Y6" s="465"/>
      <x:c r="Z6" s="465"/>
    </x:row>
    <x:row r="7">
      <x:c r="A7" s="473" t="str">
        <x:v>缺車</x:v>
      </x:c>
      <x:c r="B7" s="474" t="str">
        <x:v>Logistic</x:v>
      </x:c>
      <x:c r="C7" s="474" t="str">
        <x:v>全日</x:v>
      </x:c>
      <x:c r="D7" s="475" t="n">
        <x:v>2101268</x:v>
      </x:c>
      <x:c r="E7" s="475" t="n">
        <x:v>39669</x:v>
      </x:c>
      <x:c r="F7" s="476" t="n">
        <x:v>0.01887860092096772</x:v>
      </x:c>
      <x:c r="G7" s="476" t="n">
        <x:v>0.15493137088869538</x:v>
      </x:c>
      <x:c r="H7" s="476" t="n">
        <x:v>0.14246966722046014</x:v>
      </x:c>
      <x:c r="I7" s="476" t="n">
        <x:v>0.5706975219945045</x:v>
      </x:c>
      <x:c r="J7" s="476" t="n">
        <x:v>0.35642987593677183</x:v>
      </x:c>
      <x:c r="K7" s="475" t="n">
        <x:v>158904</x:v>
      </x:c>
      <x:c r="L7" s="477" t="n">
        <x:v>291.538296961917</x:v>
      </x:c>
      <x:c r="M7" s="478" t="n">
        <x:v>0.016927126795053482</x:v>
      </x:c>
      <x:c r="N7" s="479" t="n">
        <x:v>0.06839290261268616</x:v>
      </x:c>
      <x:c r="O7" s="465"/>
      <x:c r="P7" s="465"/>
      <x:c r="Q7" s="465"/>
      <x:c r="R7" s="465"/>
      <x:c r="S7" s="465"/>
      <x:c r="T7" s="465"/>
      <x:c r="U7" s="465"/>
      <x:c r="V7" s="465"/>
      <x:c r="W7" s="465"/>
      <x:c r="X7" s="465"/>
      <x:c r="Y7" s="465"/>
      <x:c r="Z7" s="465"/>
    </x:row>
    <x:row r="8">
      <x:c r="A8" s="480" t="str">
        <x:v>缺車</x:v>
      </x:c>
      <x:c r="B8" s="481" t="str">
        <x:v>LightGBM</x:v>
      </x:c>
      <x:c r="C8" s="481" t="str">
        <x:v>全日</x:v>
      </x:c>
      <x:c r="D8" s="482" t="n">
        <x:v>2101268</x:v>
      </x:c>
      <x:c r="E8" s="482" t="n">
        <x:v>39669</x:v>
      </x:c>
      <x:c r="F8" s="483" t="n">
        <x:v>0.01887860092096772</x:v>
      </x:c>
      <x:c r="G8" s="483" t="n">
        <x:v>0.26003856433455497</x:v>
      </x:c>
      <x:c r="H8" s="483" t="n">
        <x:v>0.17361594470436567</x:v>
      </x:c>
      <x:c r="I8" s="483" t="n">
        <x:v>0.7231087246968666</x:v>
      </x:c>
      <x:c r="J8" s="483" t="n">
        <x:v>0.4428105230983925</x:v>
      </x:c>
      <x:c r="K8" s="482" t="n">
        <x:v>165221</x:v>
      </x:c>
      <x:c r="L8" s="484" t="n">
        <x:v>292.1181001283697</x:v>
      </x:c>
      <x:c r="M8" s="485" t="n">
        <x:v>0.01569373346865177</x:v>
      </x:c>
      <x:c r="N8" s="486" t="n">
        <x:v>0.05915354937314987</x:v>
      </x:c>
      <x:c r="O8" s="465"/>
      <x:c r="P8" s="465"/>
      <x:c r="Q8" s="465"/>
      <x:c r="R8" s="465"/>
      <x:c r="S8" s="465"/>
      <x:c r="T8" s="465"/>
      <x:c r="U8" s="465"/>
      <x:c r="V8" s="465"/>
      <x:c r="W8" s="465"/>
      <x:c r="X8" s="465"/>
      <x:c r="Y8" s="465"/>
      <x:c r="Z8" s="465"/>
    </x:row>
    <x:row r="9">
      <x:c r="A9" s="473" t="str">
        <x:v>缺車</x:v>
      </x:c>
      <x:c r="B9" s="474" t="str">
        <x:v>庫存比例規則</x:v>
      </x:c>
      <x:c r="C9" s="487" t="str">
        <x:v>尖峰</x:v>
      </x:c>
      <x:c r="D9" s="475" t="n">
        <x:v>611743</x:v>
      </x:c>
      <x:c r="E9" s="475" t="n">
        <x:v>17033</x:v>
      </x:c>
      <x:c r="F9" s="476" t="n">
        <x:v>0.02784339175111117</x:v>
      </x:c>
      <x:c r="G9" s="476" t="n">
        <x:v>0.1401167091867674</x:v>
      </x:c>
      <x:c r="H9" s="476" t="n">
        <x:v>0.13953948577324835</x:v>
      </x:c>
      <x:c r="I9" s="476" t="n">
        <x:v>0.579580813714554</x:v>
      </x:c>
      <x:c r="J9" s="476" t="n">
        <x:v>0.35541730571216673</x:v>
      </x:c>
      <x:c r="K9" s="475" t="n">
        <x:v>70747</x:v>
      </x:c>
      <x:c r="L9" s="477" t="n">
        <x:v>130.24176294394522</x:v>
      </x:c>
      <x:c r="M9" s="478"/>
      <x:c r="N9" s="479"/>
      <x:c r="O9" s="465"/>
      <x:c r="P9" s="465"/>
      <x:c r="Q9" s="465"/>
      <x:c r="R9" s="465"/>
      <x:c r="S9" s="465"/>
      <x:c r="T9" s="465"/>
      <x:c r="U9" s="465"/>
      <x:c r="V9" s="465"/>
      <x:c r="W9" s="465"/>
      <x:c r="X9" s="465"/>
      <x:c r="Y9" s="465"/>
      <x:c r="Z9" s="465"/>
    </x:row>
    <x:row r="10">
      <x:c r="A10" s="473" t="str">
        <x:v>缺車</x:v>
      </x:c>
      <x:c r="B10" s="474" t="str">
        <x:v>30分鐘線性外推</x:v>
      </x:c>
      <x:c r="C10" s="487" t="str">
        <x:v>尖峰</x:v>
      </x:c>
      <x:c r="D10" s="475" t="n">
        <x:v>611743</x:v>
      </x:c>
      <x:c r="E10" s="475" t="n">
        <x:v>17033</x:v>
      </x:c>
      <x:c r="F10" s="476" t="n">
        <x:v>0.02784339175111117</x:v>
      </x:c>
      <x:c r="G10" s="476" t="n">
        <x:v>0.11301954015920411</x:v>
      </x:c>
      <x:c r="H10" s="476" t="n">
        <x:v>0.13034118032479994</x:v>
      </x:c>
      <x:c r="I10" s="476" t="n">
        <x:v>0.49051840544824754</x:v>
      </x:c>
      <x:c r="J10" s="476" t="n">
        <x:v>0.31591962671950274</x:v>
      </x:c>
      <x:c r="K10" s="475" t="n">
        <x:v>64101</x:v>
      </x:c>
      <x:c r="L10" s="477" t="n">
        <x:v>119.26829268292683</x:v>
      </x:c>
      <x:c r="M10" s="478"/>
      <x:c r="N10" s="479"/>
      <x:c r="O10" s="465"/>
      <x:c r="P10" s="465"/>
      <x:c r="Q10" s="465"/>
      <x:c r="R10" s="465"/>
      <x:c r="S10" s="465"/>
      <x:c r="T10" s="465"/>
      <x:c r="U10" s="465"/>
      <x:c r="V10" s="465"/>
      <x:c r="W10" s="465"/>
      <x:c r="X10" s="465"/>
      <x:c r="Y10" s="465"/>
      <x:c r="Z10" s="465"/>
    </x:row>
    <x:row r="11">
      <x:c r="A11" s="473" t="str">
        <x:v>缺車</x:v>
      </x:c>
      <x:c r="B11" s="474" t="str">
        <x:v>Logistic</x:v>
      </x:c>
      <x:c r="C11" s="487" t="str">
        <x:v>尖峰</x:v>
      </x:c>
      <x:c r="D11" s="475" t="n">
        <x:v>611743</x:v>
      </x:c>
      <x:c r="E11" s="475" t="n">
        <x:v>17033</x:v>
      </x:c>
      <x:c r="F11" s="476" t="n">
        <x:v>0.02784339175111117</x:v>
      </x:c>
      <x:c r="G11" s="476" t="n">
        <x:v>0.1722222694425092</x:v>
      </x:c>
      <x:c r="H11" s="476" t="n">
        <x:v>0.1454194943403108</x:v>
      </x:c>
      <x:c r="I11" s="476" t="n">
        <x:v>0.655433570128574</x:v>
      </x:c>
      <x:c r="J11" s="476" t="n">
        <x:v>0.38522321829085665</x:v>
      </x:c>
      <x:c r="K11" s="475" t="n">
        <x:v>76771</x:v>
      </x:c>
      <x:c r="L11" s="477" t="n">
        <x:v>140.3658536585366</x:v>
      </x:c>
      <x:c r="M11" s="478" t="n">
        <x:v>0.024701548740267754</x:v>
      </x:c>
      <x:c r="N11" s="479" t="n">
        <x:v>0.09877368062734604</x:v>
      </x:c>
      <x:c r="O11" s="465"/>
      <x:c r="P11" s="465"/>
      <x:c r="Q11" s="465"/>
      <x:c r="R11" s="465"/>
      <x:c r="S11" s="465"/>
      <x:c r="T11" s="465"/>
      <x:c r="U11" s="465"/>
      <x:c r="V11" s="465"/>
      <x:c r="W11" s="465"/>
      <x:c r="X11" s="465"/>
      <x:c r="Y11" s="465"/>
      <x:c r="Z11" s="465"/>
    </x:row>
    <x:row r="12">
      <x:c r="A12" s="480" t="str">
        <x:v>缺車</x:v>
      </x:c>
      <x:c r="B12" s="481" t="str">
        <x:v>LightGBM</x:v>
      </x:c>
      <x:c r="C12" s="488" t="str">
        <x:v>尖峰</x:v>
      </x:c>
      <x:c r="D12" s="482" t="n">
        <x:v>611743</x:v>
      </x:c>
      <x:c r="E12" s="482" t="n">
        <x:v>17033</x:v>
      </x:c>
      <x:c r="F12" s="483" t="n">
        <x:v>0.02784339175111117</x:v>
      </x:c>
      <x:c r="G12" s="483" t="n">
        <x:v>0.2503672930402292</x:v>
      </x:c>
      <x:c r="H12" s="483" t="n">
        <x:v>0.17153873116018226</x:v>
      </x:c>
      <x:c r="I12" s="483" t="n">
        <x:v>0.7183115129454588</x:v>
      </x:c>
      <x:c r="J12" s="483" t="n">
        <x:v>0.4386656818947775</x:v>
      </x:c>
      <x:c r="K12" s="482" t="n">
        <x:v>71325</x:v>
      </x:c>
      <x:c r="L12" s="484" t="n">
        <x:v>126.42276422764228</x:v>
      </x:c>
      <x:c r="M12" s="485" t="n">
        <x:v>0.023288678377866745</x:v>
      </x:c>
      <x:c r="N12" s="486" t="n">
        <x:v>0.08758269250392914</x:v>
      </x:c>
      <x:c r="O12" s="465"/>
      <x:c r="P12" s="465"/>
      <x:c r="Q12" s="465"/>
      <x:c r="R12" s="465"/>
      <x:c r="S12" s="465"/>
      <x:c r="T12" s="465"/>
      <x:c r="U12" s="465"/>
      <x:c r="V12" s="465"/>
      <x:c r="W12" s="465"/>
      <x:c r="X12" s="465"/>
      <x:c r="Y12" s="465"/>
      <x:c r="Z12" s="465"/>
    </x:row>
    <x:row r="13">
      <x:c r="A13" s="473" t="str">
        <x:v>滿柱</x:v>
      </x:c>
      <x:c r="B13" s="474" t="str">
        <x:v>庫存比例規則</x:v>
      </x:c>
      <x:c r="C13" s="474" t="str">
        <x:v>全日</x:v>
      </x:c>
      <x:c r="D13" s="475" t="n">
        <x:v>2101268</x:v>
      </x:c>
      <x:c r="E13" s="475" t="n">
        <x:v>6517</x:v>
      </x:c>
      <x:c r="F13" s="476" t="n">
        <x:v>0.0031014606418600576</x:v>
      </x:c>
      <x:c r="G13" s="476" t="n">
        <x:v>0.057803291093646625</x:v>
      </x:c>
      <x:c r="H13" s="476" t="n">
        <x:v>0.059372644517887166</x:v>
      </x:c>
      <x:c r="I13" s="476" t="n">
        <x:v>0.47138253797759705</x:v>
      </x:c>
      <x:c r="J13" s="476" t="n">
        <x:v>0.1974064696885964</x:v>
      </x:c>
      <x:c r="K13" s="475" t="n">
        <x:v>51741</x:v>
      </x:c>
      <x:c r="L13" s="477" t="n">
        <x:v>104.12708600770219</x:v>
      </x:c>
      <x:c r="M13" s="478"/>
      <x:c r="N13" s="479"/>
      <x:c r="O13" s="465"/>
      <x:c r="P13" s="465"/>
      <x:c r="Q13" s="465"/>
      <x:c r="R13" s="465"/>
      <x:c r="S13" s="465"/>
      <x:c r="T13" s="465"/>
      <x:c r="U13" s="465"/>
      <x:c r="V13" s="465"/>
      <x:c r="W13" s="465"/>
      <x:c r="X13" s="465"/>
      <x:c r="Y13" s="465"/>
      <x:c r="Z13" s="465"/>
    </x:row>
    <x:row r="14">
      <x:c r="A14" s="473" t="str">
        <x:v>滿柱</x:v>
      </x:c>
      <x:c r="B14" s="474" t="str">
        <x:v>30分鐘線性外推</x:v>
      </x:c>
      <x:c r="C14" s="474" t="str">
        <x:v>全日</x:v>
      </x:c>
      <x:c r="D14" s="475" t="n">
        <x:v>2101268</x:v>
      </x:c>
      <x:c r="E14" s="475" t="n">
        <x:v>6517</x:v>
      </x:c>
      <x:c r="F14" s="476" t="n">
        <x:v>0.0031014606418600576</x:v>
      </x:c>
      <x:c r="G14" s="476" t="n">
        <x:v>0.047726921579283384</x:v>
      </x:c>
      <x:c r="H14" s="476" t="n">
        <x:v>0.06769681477439182</x:v>
      </x:c>
      <x:c r="I14" s="476" t="n">
        <x:v>0.361669479822004</x:v>
      </x:c>
      <x:c r="J14" s="476" t="n">
        <x:v>0.19356163258602282</x:v>
      </x:c>
      <x:c r="K14" s="475" t="n">
        <x:v>34817</x:v>
      </x:c>
      <x:c r="L14" s="477" t="n">
        <x:v>69.44801026957639</x:v>
      </x:c>
      <x:c r="M14" s="478"/>
      <x:c r="N14" s="479"/>
      <x:c r="O14" s="465"/>
      <x:c r="P14" s="465"/>
      <x:c r="Q14" s="465"/>
      <x:c r="R14" s="465"/>
      <x:c r="S14" s="465"/>
      <x:c r="T14" s="465"/>
      <x:c r="U14" s="465"/>
      <x:c r="V14" s="465"/>
      <x:c r="W14" s="465"/>
      <x:c r="X14" s="465"/>
      <x:c r="Y14" s="465"/>
      <x:c r="Z14" s="465"/>
    </x:row>
    <x:row r="15">
      <x:c r="A15" s="473" t="str">
        <x:v>滿柱</x:v>
      </x:c>
      <x:c r="B15" s="474" t="str">
        <x:v>Logistic</x:v>
      </x:c>
      <x:c r="C15" s="474" t="str">
        <x:v>全日</x:v>
      </x:c>
      <x:c r="D15" s="475" t="n">
        <x:v>2101268</x:v>
      </x:c>
      <x:c r="E15" s="475" t="n">
        <x:v>6517</x:v>
      </x:c>
      <x:c r="F15" s="476" t="n">
        <x:v>0.0031014606418600576</x:v>
      </x:c>
      <x:c r="G15" s="476" t="n">
        <x:v>0.07801213262474659</x:v>
      </x:c>
      <x:c r="H15" s="476" t="n">
        <x:v>0.09866520958551245</x:v>
      </x:c>
      <x:c r="I15" s="476" t="n">
        <x:v>0.38790854687739756</x:v>
      </x:c>
      <x:c r="J15" s="476" t="n">
        <x:v>0.2445347262526601</x:v>
      </x:c>
      <x:c r="K15" s="475" t="n">
        <x:v>25622</x:v>
      </x:c>
      <x:c r="L15" s="477" t="n">
        <x:v>49.40949935815148</x:v>
      </x:c>
      <x:c r="M15" s="478" t="n">
        <x:v>0.0029566579032689333</x:v>
      </x:c>
      <x:c r="N15" s="479" t="n">
        <x:v>0.01542753353714943</x:v>
      </x:c>
      <x:c r="O15" s="465"/>
      <x:c r="P15" s="465"/>
      <x:c r="Q15" s="465"/>
      <x:c r="R15" s="465"/>
      <x:c r="S15" s="465"/>
      <x:c r="T15" s="465"/>
      <x:c r="U15" s="465"/>
      <x:c r="V15" s="465"/>
      <x:c r="W15" s="465"/>
      <x:c r="X15" s="465"/>
      <x:c r="Y15" s="465"/>
      <x:c r="Z15" s="465"/>
    </x:row>
    <x:row r="16">
      <x:c r="A16" s="480" t="str">
        <x:v>滿柱</x:v>
      </x:c>
      <x:c r="B16" s="481" t="str">
        <x:v>LightGBM</x:v>
      </x:c>
      <x:c r="C16" s="481" t="str">
        <x:v>全日</x:v>
      </x:c>
      <x:c r="D16" s="482" t="n">
        <x:v>2101268</x:v>
      </x:c>
      <x:c r="E16" s="482" t="n">
        <x:v>6517</x:v>
      </x:c>
      <x:c r="F16" s="483" t="n">
        <x:v>0.0031014606418600576</x:v>
      </x:c>
      <x:c r="G16" s="483" t="n">
        <x:v>0.13831784579165315</x:v>
      </x:c>
      <x:c r="H16" s="483" t="n">
        <x:v>0.11052786788557947</x:v>
      </x:c>
      <x:c r="I16" s="483" t="n">
        <x:v>0.5751112475065214</x:v>
      </x:c>
      <x:c r="J16" s="483" t="n">
        <x:v>0.3124478975624395</x:v>
      </x:c>
      <x:c r="K16" s="482" t="n">
        <x:v>33910</x:v>
      </x:c>
      <x:c r="L16" s="484" t="n">
        <x:v>64.53145057766368</x:v>
      </x:c>
      <x:c r="M16" s="485" t="n">
        <x:v>0.002846464514732361</x:v>
      </x:c>
      <x:c r="N16" s="486" t="n">
        <x:v>0.01268607098609209</x:v>
      </x:c>
      <x:c r="O16" s="465"/>
      <x:c r="P16" s="465"/>
      <x:c r="Q16" s="465"/>
      <x:c r="R16" s="465"/>
      <x:c r="S16" s="465"/>
      <x:c r="T16" s="465"/>
      <x:c r="U16" s="465"/>
      <x:c r="V16" s="465"/>
      <x:c r="W16" s="465"/>
      <x:c r="X16" s="465"/>
      <x:c r="Y16" s="465"/>
      <x:c r="Z16" s="465"/>
    </x:row>
    <x:row r="17">
      <x:c r="A17" s="473" t="str">
        <x:v>滿柱</x:v>
      </x:c>
      <x:c r="B17" s="474" t="str">
        <x:v>庫存比例規則</x:v>
      </x:c>
      <x:c r="C17" s="487" t="str">
        <x:v>尖峰</x:v>
      </x:c>
      <x:c r="D17" s="475" t="n">
        <x:v>611743</x:v>
      </x:c>
      <x:c r="E17" s="475" t="n">
        <x:v>2878</x:v>
      </x:c>
      <x:c r="F17" s="476" t="n">
        <x:v>0.004704589999395171</x:v>
      </x:c>
      <x:c r="G17" s="476" t="n">
        <x:v>0.058269096942376544</x:v>
      </x:c>
      <x:c r="H17" s="476" t="n">
        <x:v>0.07414843070333936</x:v>
      </x:c>
      <x:c r="I17" s="476" t="n">
        <x:v>0.38498957609451007</x:v>
      </x:c>
      <x:c r="J17" s="476" t="n">
        <x:v>0.20941220941220942</x:v>
      </x:c>
      <x:c r="K17" s="475" t="n">
        <x:v>14943</x:v>
      </x:c>
      <x:c r="L17" s="477" t="n">
        <x:v>29.599914420196832</x:v>
      </x:c>
      <x:c r="M17" s="478"/>
      <x:c r="N17" s="479"/>
      <x:c r="O17" s="465"/>
      <x:c r="P17" s="465"/>
      <x:c r="Q17" s="465"/>
      <x:c r="R17" s="465"/>
      <x:c r="S17" s="465"/>
      <x:c r="T17" s="465"/>
      <x:c r="U17" s="465"/>
      <x:c r="V17" s="465"/>
      <x:c r="W17" s="465"/>
      <x:c r="X17" s="465"/>
      <x:c r="Y17" s="465"/>
      <x:c r="Z17" s="465"/>
    </x:row>
    <x:row r="18">
      <x:c r="A18" s="473" t="str">
        <x:v>滿柱</x:v>
      </x:c>
      <x:c r="B18" s="474" t="str">
        <x:v>30分鐘線性外推</x:v>
      </x:c>
      <x:c r="C18" s="487" t="str">
        <x:v>尖峰</x:v>
      </x:c>
      <x:c r="D18" s="475" t="n">
        <x:v>611743</x:v>
      </x:c>
      <x:c r="E18" s="475" t="n">
        <x:v>2878</x:v>
      </x:c>
      <x:c r="F18" s="476" t="n">
        <x:v>0.004704589999395171</x:v>
      </x:c>
      <x:c r="G18" s="476" t="n">
        <x:v>0.047753572656922955</x:v>
      </x:c>
      <x:c r="H18" s="476" t="n">
        <x:v>0.06576999806937384</x:v>
      </x:c>
      <x:c r="I18" s="476" t="n">
        <x:v>0.35510771369006255</x:v>
      </x:c>
      <x:c r="J18" s="476" t="n">
        <x:v>0.1889024435325866</x:v>
      </x:c>
      <x:c r="K18" s="475" t="n">
        <x:v>15539</x:v>
      </x:c>
      <x:c r="L18" s="477" t="n">
        <x:v>31.059050064184852</x:v>
      </x:c>
      <x:c r="M18" s="478"/>
      <x:c r="N18" s="479"/>
      <x:c r="O18" s="465"/>
      <x:c r="P18" s="465"/>
      <x:c r="Q18" s="465"/>
      <x:c r="R18" s="465"/>
      <x:c r="S18" s="465"/>
      <x:c r="T18" s="465"/>
      <x:c r="U18" s="465"/>
      <x:c r="V18" s="465"/>
      <x:c r="W18" s="465"/>
      <x:c r="X18" s="465"/>
      <x:c r="Y18" s="465"/>
      <x:c r="Z18" s="465"/>
    </x:row>
    <x:row r="19">
      <x:c r="A19" s="473" t="str">
        <x:v>滿柱</x:v>
      </x:c>
      <x:c r="B19" s="474" t="str">
        <x:v>Logistic</x:v>
      </x:c>
      <x:c r="C19" s="487" t="str">
        <x:v>尖峰</x:v>
      </x:c>
      <x:c r="D19" s="475" t="n">
        <x:v>611743</x:v>
      </x:c>
      <x:c r="E19" s="475" t="n">
        <x:v>2878</x:v>
      </x:c>
      <x:c r="F19" s="476" t="n">
        <x:v>0.004704589999395171</x:v>
      </x:c>
      <x:c r="G19" s="476" t="n">
        <x:v>0.07866823858719235</x:v>
      </x:c>
      <x:c r="H19" s="476" t="n">
        <x:v>0.08917060593038247</x:v>
      </x:c>
      <x:c r="I19" s="476" t="n">
        <x:v>0.4325920778318277</x:v>
      </x:c>
      <x:c r="J19" s="476" t="n">
        <x:v>0.24436680537018138</x:v>
      </x:c>
      <x:c r="K19" s="475" t="n">
        <x:v>13962</x:v>
      </x:c>
      <x:c r="L19" s="477" t="n">
        <x:v>27.20795892169448</x:v>
      </x:c>
      <x:c r="M19" s="478" t="n">
        <x:v>0.004471472464501858</x:v>
      </x:c>
      <x:c r="N19" s="479" t="n">
        <x:v>0.02313130721449852</x:v>
      </x:c>
      <x:c r="O19" s="465"/>
      <x:c r="P19" s="465"/>
      <x:c r="Q19" s="465"/>
      <x:c r="R19" s="465"/>
      <x:c r="S19" s="465"/>
      <x:c r="T19" s="465"/>
      <x:c r="U19" s="465"/>
      <x:c r="V19" s="465"/>
      <x:c r="W19" s="465"/>
      <x:c r="X19" s="465"/>
      <x:c r="Y19" s="465"/>
      <x:c r="Z19" s="465"/>
    </x:row>
    <x:row r="20">
      <x:c r="A20" s="489" t="str">
        <x:v>滿柱</x:v>
      </x:c>
      <x:c r="B20" s="490" t="str">
        <x:v>LightGBM</x:v>
      </x:c>
      <x:c r="C20" s="491" t="str">
        <x:v>尖峰</x:v>
      </x:c>
      <x:c r="D20" s="492" t="n">
        <x:v>611743</x:v>
      </x:c>
      <x:c r="E20" s="492" t="n">
        <x:v>2878</x:v>
      </x:c>
      <x:c r="F20" s="493" t="n">
        <x:v>0.004704589999395171</x:v>
      </x:c>
      <x:c r="G20" s="493" t="n">
        <x:v>0.14279156529036985</x:v>
      </x:c>
      <x:c r="H20" s="493" t="n">
        <x:v>0.10292688851105174</x:v>
      </x:c>
      <x:c r="I20" s="493" t="n">
        <x:v>0.588950660180681</x:v>
      </x:c>
      <x:c r="J20" s="493" t="n">
        <x:v>0.30289492494639025</x:v>
      </x:c>
      <x:c r="K20" s="492" t="n">
        <x:v>16468</x:v>
      </x:c>
      <x:c r="L20" s="494" t="n">
        <x:v>31.60676080445015</x:v>
      </x:c>
      <x:c r="M20" s="495" t="n">
        <x:v>0.004332323558628559</x:v>
      </x:c>
      <x:c r="N20" s="496" t="n">
        <x:v>0.019403455778956413</x:v>
      </x:c>
      <x:c r="O20" s="465"/>
      <x:c r="P20" s="465"/>
      <x:c r="Q20" s="465"/>
      <x:c r="R20" s="465"/>
      <x:c r="S20" s="465"/>
      <x:c r="T20" s="465"/>
      <x:c r="U20" s="465"/>
      <x:c r="V20" s="465"/>
      <x:c r="W20" s="465"/>
      <x:c r="X20" s="465"/>
      <x:c r="Y20" s="465"/>
      <x:c r="Z20" s="465"/>
    </x:row>
    <x:row r="21">
      <x:c r="A21" s="465"/>
      <x:c r="B21" s="465"/>
      <x:c r="C21" s="465"/>
      <x:c r="D21" s="465"/>
      <x:c r="E21" s="465"/>
      <x:c r="F21" s="465"/>
      <x:c r="G21" s="465"/>
      <x:c r="H21" s="465"/>
      <x:c r="I21" s="465"/>
      <x:c r="J21" s="465"/>
      <x:c r="K21" s="465"/>
      <x:c r="L21" s="465"/>
      <x:c r="M21" s="465"/>
      <x:c r="N21" s="465"/>
      <x:c r="O21" s="465"/>
      <x:c r="P21" s="465"/>
      <x:c r="Q21" s="465"/>
      <x:c r="R21" s="465"/>
      <x:c r="S21" s="465"/>
      <x:c r="T21" s="465"/>
      <x:c r="U21" s="465"/>
      <x:c r="V21" s="465"/>
      <x:c r="W21" s="465"/>
      <x:c r="X21" s="465"/>
      <x:c r="Y21" s="465"/>
      <x:c r="Z21" s="465"/>
    </x:row>
    <x:row r="22">
      <x:c r="A22" s="79" t="str">
        <x:v>來源：data/test_performance.csv。比例規則是自建的即時庫存門檻代理，不代表官方內部警示規則。F2 門檻用於模型比較，不等於實際營運應全部出勤處理。</x:v>
      </x:c>
      <x:c r="B22" s="80" t="str">
        <x:v>來源：data/test_performance.csv。比例規則是自建的即時庫存門檻代理，不代表官方內部警示規則。F2 門檻用於模型比較，不等於實際營運應全部出勤處理。</x:v>
      </x:c>
      <x:c r="C22" s="80" t="str">
        <x:v>來源：data/test_performance.csv。比例規則是自建的即時庫存門檻代理，不代表官方內部警示規則。F2 門檻用於模型比較，不等於實際營運應全部出勤處理。</x:v>
      </x:c>
      <x:c r="D22" s="80" t="str">
        <x:v>來源：data/test_performance.csv。比例規則是自建的即時庫存門檻代理，不代表官方內部警示規則。F2 門檻用於模型比較，不等於實際營運應全部出勤處理。</x:v>
      </x:c>
      <x:c r="E22" s="80" t="str">
        <x:v>來源：data/test_performance.csv。比例規則是自建的即時庫存門檻代理，不代表官方內部警示規則。F2 門檻用於模型比較，不等於實際營運應全部出勤處理。</x:v>
      </x:c>
      <x:c r="F22" s="80" t="str">
        <x:v>來源：data/test_performance.csv。比例規則是自建的即時庫存門檻代理，不代表官方內部警示規則。F2 門檻用於模型比較，不等於實際營運應全部出勤處理。</x:v>
      </x:c>
      <x:c r="G22" s="80" t="str">
        <x:v>來源：data/test_performance.csv。比例規則是自建的即時庫存門檻代理，不代表官方內部警示規則。F2 門檻用於模型比較，不等於實際營運應全部出勤處理。</x:v>
      </x:c>
      <x:c r="H22" s="80" t="str">
        <x:v>來源：data/test_performance.csv。比例規則是自建的即時庫存門檻代理，不代表官方內部警示規則。F2 門檻用於模型比較，不等於實際營運應全部出勤處理。</x:v>
      </x:c>
      <x:c r="I22" s="80" t="str">
        <x:v>來源：data/test_performance.csv。比例規則是自建的即時庫存門檻代理，不代表官方內部警示規則。F2 門檻用於模型比較，不等於實際營運應全部出勤處理。</x:v>
      </x:c>
      <x:c r="J22" s="80" t="str">
        <x:v>來源：data/test_performance.csv。比例規則是自建的即時庫存門檻代理，不代表官方內部警示規則。F2 門檻用於模型比較，不等於實際營運應全部出勤處理。</x:v>
      </x:c>
      <x:c r="K22" s="80" t="str">
        <x:v>來源：data/test_performance.csv。比例規則是自建的即時庫存門檻代理，不代表官方內部警示規則。F2 門檻用於模型比較，不等於實際營運應全部出勤處理。</x:v>
      </x:c>
      <x:c r="L22" s="80" t="str">
        <x:v>來源：data/test_performance.csv。比例規則是自建的即時庫存門檻代理，不代表官方內部警示規則。F2 門檻用於模型比較，不等於實際營運應全部出勤處理。</x:v>
      </x:c>
      <x:c r="M22" s="80" t="str">
        <x:v>來源：data/test_performance.csv。比例規則是自建的即時庫存門檻代理，不代表官方內部警示規則。F2 門檻用於模型比較，不等於實際營運應全部出勤處理。</x:v>
      </x:c>
      <x:c r="N22" s="81" t="str">
        <x:v>來源：data/test_performance.csv。比例規則是自建的即時庫存門檻代理，不代表官方內部警示規則。F2 門檻用於模型比較，不等於實際營運應全部出勤處理。</x:v>
      </x:c>
      <x:c r="O22" s="465"/>
      <x:c r="P22" s="465"/>
      <x:c r="Q22" s="465"/>
      <x:c r="R22" s="465"/>
      <x:c r="S22" s="465"/>
      <x:c r="T22" s="465"/>
      <x:c r="U22" s="465"/>
      <x:c r="V22" s="465"/>
      <x:c r="W22" s="465"/>
      <x:c r="X22" s="465"/>
      <x:c r="Y22" s="465"/>
      <x:c r="Z22" s="465"/>
    </x:row>
    <x:row r="23">
      <x:c r="A23" s="82" t="str">
        <x:v>來源：data/test_performance.csv。比例規則是自建的即時庫存門檻代理，不代表官方內部警示規則。F2 門檻用於模型比較，不等於實際營運應全部出勤處理。</x:v>
      </x:c>
      <x:c r="B23" s="83" t="str">
        <x:v>來源：data/test_performance.csv。比例規則是自建的即時庫存門檻代理，不代表官方內部警示規則。F2 門檻用於模型比較，不等於實際營運應全部出勤處理。</x:v>
      </x:c>
      <x:c r="C23" s="83" t="str">
        <x:v>來源：data/test_performance.csv。比例規則是自建的即時庫存門檻代理，不代表官方內部警示規則。F2 門檻用於模型比較，不等於實際營運應全部出勤處理。</x:v>
      </x:c>
      <x:c r="D23" s="83" t="str">
        <x:v>來源：data/test_performance.csv。比例規則是自建的即時庫存門檻代理，不代表官方內部警示規則。F2 門檻用於模型比較，不等於實際營運應全部出勤處理。</x:v>
      </x:c>
      <x:c r="E23" s="83" t="str">
        <x:v>來源：data/test_performance.csv。比例規則是自建的即時庫存門檻代理，不代表官方內部警示規則。F2 門檻用於模型比較，不等於實際營運應全部出勤處理。</x:v>
      </x:c>
      <x:c r="F23" s="83" t="str">
        <x:v>來源：data/test_performance.csv。比例規則是自建的即時庫存門檻代理，不代表官方內部警示規則。F2 門檻用於模型比較，不等於實際營運應全部出勤處理。</x:v>
      </x:c>
      <x:c r="G23" s="83" t="str">
        <x:v>來源：data/test_performance.csv。比例規則是自建的即時庫存門檻代理，不代表官方內部警示規則。F2 門檻用於模型比較，不等於實際營運應全部出勤處理。</x:v>
      </x:c>
      <x:c r="H23" s="83" t="str">
        <x:v>來源：data/test_performance.csv。比例規則是自建的即時庫存門檻代理，不代表官方內部警示規則。F2 門檻用於模型比較，不等於實際營運應全部出勤處理。</x:v>
      </x:c>
      <x:c r="I23" s="83" t="str">
        <x:v>來源：data/test_performance.csv。比例規則是自建的即時庫存門檻代理，不代表官方內部警示規則。F2 門檻用於模型比較，不等於實際營運應全部出勤處理。</x:v>
      </x:c>
      <x:c r="J23" s="83" t="str">
        <x:v>來源：data/test_performance.csv。比例規則是自建的即時庫存門檻代理，不代表官方內部警示規則。F2 門檻用於模型比較，不等於實際營運應全部出勤處理。</x:v>
      </x:c>
      <x:c r="K23" s="83" t="str">
        <x:v>來源：data/test_performance.csv。比例規則是自建的即時庫存門檻代理，不代表官方內部警示規則。F2 門檻用於模型比較，不等於實際營運應全部出勤處理。</x:v>
      </x:c>
      <x:c r="L23" s="83" t="str">
        <x:v>來源：data/test_performance.csv。比例規則是自建的即時庫存門檻代理，不代表官方內部警示規則。F2 門檻用於模型比較，不等於實際營運應全部出勤處理。</x:v>
      </x:c>
      <x:c r="M23" s="83" t="str">
        <x:v>來源：data/test_performance.csv。比例規則是自建的即時庫存門檻代理，不代表官方內部警示規則。F2 門檻用於模型比較，不等於實際營運應全部出勤處理。</x:v>
      </x:c>
      <x:c r="N23" s="84" t="str">
        <x:v>來源：data/test_performance.csv。比例規則是自建的即時庫存門檻代理，不代表官方內部警示規則。F2 門檻用於模型比較，不等於實際營運應全部出勤處理。</x:v>
      </x:c>
      <x:c r="O23" s="465"/>
      <x:c r="P23" s="465"/>
      <x:c r="Q23" s="465"/>
      <x:c r="R23" s="465"/>
      <x:c r="S23" s="465"/>
      <x:c r="T23" s="465"/>
      <x:c r="U23" s="465"/>
      <x:c r="V23" s="465"/>
      <x:c r="W23" s="465"/>
      <x:c r="X23" s="465"/>
      <x:c r="Y23" s="465"/>
      <x:c r="Z23" s="465"/>
    </x:row>
    <x:row r="24">
      <x:c r="A24" s="465"/>
      <x:c r="B24" s="465"/>
      <x:c r="C24" s="465"/>
      <x:c r="D24" s="465"/>
      <x:c r="E24" s="465"/>
      <x:c r="F24" s="465"/>
      <x:c r="G24" s="465"/>
      <x:c r="H24" s="465"/>
      <x:c r="I24" s="465"/>
      <x:c r="J24" s="465"/>
      <x:c r="K24" s="465"/>
      <x:c r="L24" s="465"/>
      <x:c r="M24" s="465"/>
      <x:c r="N24" s="465"/>
      <x:c r="O24" s="465"/>
      <x:c r="P24" s="465"/>
      <x:c r="Q24" s="465"/>
      <x:c r="R24" s="465"/>
      <x:c r="S24" s="465"/>
      <x:c r="T24" s="465"/>
      <x:c r="U24" s="465"/>
      <x:c r="V24" s="465"/>
      <x:c r="W24" s="465"/>
      <x:c r="X24" s="465"/>
      <x:c r="Y24" s="465"/>
      <x:c r="Z24" s="465"/>
    </x:row>
    <x:row r="25">
      <x:c r="A25" s="465"/>
      <x:c r="B25" s="465"/>
      <x:c r="C25" s="465"/>
      <x:c r="D25" s="465"/>
      <x:c r="E25" s="465"/>
      <x:c r="F25" s="465"/>
      <x:c r="G25" s="465"/>
      <x:c r="H25" s="465"/>
      <x:c r="I25" s="465"/>
      <x:c r="J25" s="465"/>
      <x:c r="K25" s="465"/>
      <x:c r="L25" s="465"/>
      <x:c r="M25" s="465"/>
      <x:c r="N25" s="465"/>
      <x:c r="O25" s="465"/>
      <x:c r="P25" s="465"/>
      <x:c r="Q25" s="465"/>
      <x:c r="R25" s="465"/>
      <x:c r="S25" s="465"/>
      <x:c r="T25" s="465"/>
      <x:c r="U25" s="465"/>
      <x:c r="V25" s="465"/>
      <x:c r="W25" s="465"/>
      <x:c r="X25" s="465"/>
      <x:c r="Y25" s="465"/>
      <x:c r="Z25" s="465"/>
    </x:row>
    <x:row r="26">
      <x:c r="A26" s="465"/>
      <x:c r="B26" s="465"/>
      <x:c r="C26" s="465"/>
      <x:c r="D26" s="465"/>
      <x:c r="E26" s="465"/>
      <x:c r="F26" s="465"/>
      <x:c r="G26" s="465"/>
      <x:c r="H26" s="465"/>
      <x:c r="I26" s="465"/>
      <x:c r="J26" s="465"/>
      <x:c r="K26" s="465"/>
      <x:c r="L26" s="465"/>
      <x:c r="M26" s="465"/>
      <x:c r="N26" s="465"/>
      <x:c r="O26" s="465"/>
      <x:c r="P26" s="465"/>
      <x:c r="Q26" s="465"/>
      <x:c r="R26" s="465"/>
      <x:c r="S26" s="465"/>
      <x:c r="T26" s="465"/>
      <x:c r="U26" s="465"/>
      <x:c r="V26" s="465"/>
      <x:c r="W26" s="465"/>
      <x:c r="X26" s="465"/>
      <x:c r="Y26" s="465"/>
      <x:c r="Z26" s="465"/>
    </x:row>
    <x:row r="27">
      <x:c r="A27" s="465"/>
      <x:c r="B27" s="465"/>
      <x:c r="C27" s="465"/>
      <x:c r="D27" s="465"/>
      <x:c r="E27" s="465"/>
      <x:c r="F27" s="465"/>
      <x:c r="G27" s="465"/>
      <x:c r="H27" s="465"/>
      <x:c r="I27" s="465"/>
      <x:c r="J27" s="465"/>
      <x:c r="K27" s="465"/>
      <x:c r="L27" s="465"/>
      <x:c r="M27" s="465"/>
      <x:c r="N27" s="465"/>
      <x:c r="O27" s="465"/>
      <x:c r="P27" s="465"/>
      <x:c r="Q27" s="465"/>
      <x:c r="R27" s="465"/>
      <x:c r="S27" s="465"/>
      <x:c r="T27" s="465"/>
      <x:c r="U27" s="465"/>
      <x:c r="V27" s="465"/>
      <x:c r="W27" s="465"/>
      <x:c r="X27" s="465"/>
      <x:c r="Y27" s="465"/>
      <x:c r="Z27" s="465"/>
    </x:row>
    <x:row r="28">
      <x:c r="A28" s="465"/>
      <x:c r="B28" s="465"/>
      <x:c r="C28" s="465"/>
      <x:c r="D28" s="465"/>
      <x:c r="E28" s="465"/>
      <x:c r="F28" s="465"/>
      <x:c r="G28" s="465"/>
      <x:c r="H28" s="465"/>
      <x:c r="I28" s="465"/>
      <x:c r="J28" s="465"/>
      <x:c r="K28" s="465"/>
      <x:c r="L28" s="465"/>
      <x:c r="M28" s="465"/>
      <x:c r="N28" s="465"/>
      <x:c r="O28" s="465"/>
      <x:c r="P28" s="465"/>
      <x:c r="Q28" s="465"/>
      <x:c r="R28" s="465"/>
      <x:c r="S28" s="465"/>
      <x:c r="T28" s="465"/>
      <x:c r="U28" s="465"/>
      <x:c r="V28" s="465"/>
      <x:c r="W28" s="465"/>
      <x:c r="X28" s="465"/>
      <x:c r="Y28" s="465"/>
      <x:c r="Z28" s="465"/>
    </x:row>
    <x:row r="29">
      <x:c r="A29" s="465"/>
      <x:c r="B29" s="465"/>
      <x:c r="C29" s="465"/>
      <x:c r="D29" s="465"/>
      <x:c r="E29" s="465"/>
      <x:c r="F29" s="465"/>
      <x:c r="G29" s="465"/>
      <x:c r="H29" s="465"/>
      <x:c r="I29" s="465"/>
      <x:c r="J29" s="465"/>
      <x:c r="K29" s="465"/>
      <x:c r="L29" s="465"/>
      <x:c r="M29" s="465"/>
      <x:c r="N29" s="465"/>
      <x:c r="O29" s="465"/>
      <x:c r="P29" s="465"/>
      <x:c r="Q29" s="465"/>
      <x:c r="R29" s="465"/>
      <x:c r="S29" s="465"/>
      <x:c r="T29" s="465"/>
      <x:c r="U29" s="465"/>
      <x:c r="V29" s="465"/>
      <x:c r="W29" s="465"/>
      <x:c r="X29" s="465"/>
      <x:c r="Y29" s="465"/>
      <x:c r="Z29" s="465"/>
    </x:row>
    <x:row r="30">
      <x:c r="A30" s="465"/>
      <x:c r="B30" s="465"/>
      <x:c r="C30" s="465"/>
      <x:c r="D30" s="465"/>
      <x:c r="E30" s="465"/>
      <x:c r="F30" s="465"/>
      <x:c r="G30" s="465"/>
      <x:c r="H30" s="465"/>
      <x:c r="I30" s="465"/>
      <x:c r="J30" s="465"/>
      <x:c r="K30" s="465"/>
      <x:c r="L30" s="465"/>
      <x:c r="M30" s="465"/>
      <x:c r="N30" s="465"/>
      <x:c r="O30" s="465"/>
      <x:c r="P30" s="465"/>
      <x:c r="Q30" s="465"/>
      <x:c r="R30" s="465"/>
      <x:c r="S30" s="465"/>
      <x:c r="T30" s="465"/>
      <x:c r="U30" s="465"/>
      <x:c r="V30" s="465"/>
      <x:c r="W30" s="465"/>
      <x:c r="X30" s="465"/>
      <x:c r="Y30" s="465"/>
      <x:c r="Z30" s="465"/>
    </x:row>
    <x:row r="31">
      <x:c r="A31" s="465"/>
      <x:c r="B31" s="465"/>
      <x:c r="C31" s="465"/>
      <x:c r="D31" s="465"/>
      <x:c r="E31" s="465"/>
      <x:c r="F31" s="465"/>
      <x:c r="G31" s="465"/>
      <x:c r="H31" s="465"/>
      <x:c r="I31" s="465"/>
      <x:c r="J31" s="465"/>
      <x:c r="K31" s="465"/>
      <x:c r="L31" s="465"/>
      <x:c r="M31" s="465"/>
      <x:c r="N31" s="465"/>
      <x:c r="O31" s="465"/>
      <x:c r="P31" s="465"/>
      <x:c r="Q31" s="465"/>
      <x:c r="R31" s="465"/>
      <x:c r="S31" s="465"/>
      <x:c r="T31" s="465"/>
      <x:c r="U31" s="465"/>
      <x:c r="V31" s="465"/>
      <x:c r="W31" s="465"/>
      <x:c r="X31" s="465"/>
      <x:c r="Y31" s="465"/>
      <x:c r="Z31" s="465"/>
    </x:row>
    <x:row r="32">
      <x:c r="A32" s="465"/>
      <x:c r="B32" s="465"/>
      <x:c r="C32" s="465"/>
      <x:c r="D32" s="465"/>
      <x:c r="E32" s="465"/>
      <x:c r="F32" s="465"/>
      <x:c r="G32" s="465"/>
      <x:c r="H32" s="465"/>
      <x:c r="I32" s="465"/>
      <x:c r="J32" s="465"/>
      <x:c r="K32" s="465"/>
      <x:c r="L32" s="465"/>
      <x:c r="M32" s="465"/>
      <x:c r="N32" s="465"/>
      <x:c r="O32" s="465"/>
      <x:c r="P32" s="465"/>
      <x:c r="Q32" s="465"/>
      <x:c r="R32" s="465"/>
      <x:c r="S32" s="465"/>
      <x:c r="T32" s="465"/>
      <x:c r="U32" s="465"/>
      <x:c r="V32" s="465"/>
      <x:c r="W32" s="465"/>
      <x:c r="X32" s="465"/>
      <x:c r="Y32" s="465"/>
      <x:c r="Z32" s="465"/>
    </x:row>
    <x:row r="33">
      <x:c r="A33" s="465"/>
      <x:c r="B33" s="465"/>
      <x:c r="C33" s="465"/>
      <x:c r="D33" s="465"/>
      <x:c r="E33" s="465"/>
      <x:c r="F33" s="465"/>
      <x:c r="G33" s="465"/>
      <x:c r="H33" s="465"/>
      <x:c r="I33" s="465"/>
      <x:c r="J33" s="465"/>
      <x:c r="K33" s="465"/>
      <x:c r="L33" s="465"/>
      <x:c r="M33" s="465"/>
      <x:c r="N33" s="465"/>
      <x:c r="O33" s="465"/>
      <x:c r="P33" s="465"/>
      <x:c r="Q33" s="465"/>
      <x:c r="R33" s="465"/>
      <x:c r="S33" s="465"/>
      <x:c r="T33" s="465"/>
      <x:c r="U33" s="465"/>
      <x:c r="V33" s="465"/>
      <x:c r="W33" s="465"/>
      <x:c r="X33" s="465"/>
      <x:c r="Y33" s="465"/>
      <x:c r="Z33" s="465"/>
    </x:row>
    <x:row r="34">
      <x:c r="A34" s="465"/>
      <x:c r="B34" s="465"/>
      <x:c r="C34" s="465"/>
      <x:c r="D34" s="465"/>
      <x:c r="E34" s="465"/>
      <x:c r="F34" s="465"/>
      <x:c r="G34" s="465"/>
      <x:c r="H34" s="465"/>
      <x:c r="I34" s="465"/>
      <x:c r="J34" s="465"/>
      <x:c r="K34" s="465"/>
      <x:c r="L34" s="465"/>
      <x:c r="M34" s="465"/>
      <x:c r="N34" s="465"/>
      <x:c r="O34" s="465"/>
      <x:c r="P34" s="465"/>
      <x:c r="Q34" s="465"/>
      <x:c r="R34" s="465"/>
      <x:c r="S34" s="465"/>
      <x:c r="T34" s="465"/>
      <x:c r="U34" s="465"/>
      <x:c r="V34" s="465"/>
      <x:c r="W34" s="465"/>
      <x:c r="X34" s="465"/>
      <x:c r="Y34" s="465"/>
      <x:c r="Z34" s="465"/>
    </x:row>
    <x:row r="35">
      <x:c r="A35" s="465"/>
      <x:c r="B35" s="465"/>
      <x:c r="C35" s="465"/>
      <x:c r="D35" s="465"/>
      <x:c r="E35" s="465"/>
      <x:c r="F35" s="465"/>
      <x:c r="G35" s="465"/>
      <x:c r="H35" s="465"/>
      <x:c r="I35" s="465"/>
      <x:c r="J35" s="465"/>
      <x:c r="K35" s="465"/>
      <x:c r="L35" s="465"/>
      <x:c r="M35" s="465"/>
      <x:c r="N35" s="465"/>
      <x:c r="O35" s="465"/>
      <x:c r="P35" s="465"/>
      <x:c r="Q35" s="465"/>
      <x:c r="R35" s="465"/>
      <x:c r="S35" s="465"/>
      <x:c r="T35" s="465"/>
      <x:c r="U35" s="465"/>
      <x:c r="V35" s="465"/>
      <x:c r="W35" s="465"/>
      <x:c r="X35" s="465"/>
      <x:c r="Y35" s="465"/>
      <x:c r="Z35" s="465"/>
    </x:row>
    <x:row r="36">
      <x:c r="A36" s="465"/>
      <x:c r="B36" s="465"/>
      <x:c r="C36" s="465"/>
      <x:c r="D36" s="465"/>
      <x:c r="E36" s="465"/>
      <x:c r="F36" s="465"/>
      <x:c r="G36" s="465"/>
      <x:c r="H36" s="465"/>
      <x:c r="I36" s="465"/>
      <x:c r="J36" s="465"/>
      <x:c r="K36" s="465"/>
      <x:c r="L36" s="465"/>
      <x:c r="M36" s="465"/>
      <x:c r="N36" s="465"/>
      <x:c r="O36" s="465"/>
      <x:c r="P36" s="465"/>
      <x:c r="Q36" s="465"/>
      <x:c r="R36" s="465"/>
      <x:c r="S36" s="465"/>
      <x:c r="T36" s="465"/>
      <x:c r="U36" s="465"/>
      <x:c r="V36" s="465"/>
      <x:c r="W36" s="465"/>
      <x:c r="X36" s="465"/>
      <x:c r="Y36" s="465"/>
      <x:c r="Z36" s="465"/>
    </x:row>
    <x:row r="37">
      <x:c r="A37" s="465"/>
      <x:c r="B37" s="465"/>
      <x:c r="C37" s="465"/>
      <x:c r="D37" s="465"/>
      <x:c r="E37" s="465"/>
      <x:c r="F37" s="465"/>
      <x:c r="G37" s="465"/>
      <x:c r="H37" s="465"/>
      <x:c r="I37" s="465"/>
      <x:c r="J37" s="465"/>
      <x:c r="K37" s="465"/>
      <x:c r="L37" s="465"/>
      <x:c r="M37" s="465"/>
      <x:c r="N37" s="465"/>
      <x:c r="O37" s="465"/>
      <x:c r="P37" s="465"/>
      <x:c r="Q37" s="465"/>
      <x:c r="R37" s="465"/>
      <x:c r="S37" s="465"/>
      <x:c r="T37" s="465"/>
      <x:c r="U37" s="465"/>
      <x:c r="V37" s="465"/>
      <x:c r="W37" s="465"/>
      <x:c r="X37" s="465"/>
      <x:c r="Y37" s="465"/>
      <x:c r="Z37" s="465"/>
    </x:row>
    <x:row r="38">
      <x:c r="A38" s="465"/>
      <x:c r="B38" s="465"/>
      <x:c r="C38" s="465"/>
      <x:c r="D38" s="465"/>
      <x:c r="E38" s="465"/>
      <x:c r="F38" s="465"/>
      <x:c r="G38" s="465"/>
      <x:c r="H38" s="465"/>
      <x:c r="I38" s="465"/>
      <x:c r="J38" s="465"/>
      <x:c r="K38" s="465"/>
      <x:c r="L38" s="465"/>
      <x:c r="M38" s="465"/>
      <x:c r="N38" s="465"/>
      <x:c r="O38" s="465"/>
      <x:c r="P38" s="465"/>
      <x:c r="Q38" s="465"/>
      <x:c r="R38" s="465"/>
      <x:c r="S38" s="465"/>
      <x:c r="T38" s="465"/>
      <x:c r="U38" s="465"/>
      <x:c r="V38" s="465"/>
      <x:c r="W38" s="465"/>
      <x:c r="X38" s="465"/>
      <x:c r="Y38" s="465"/>
      <x:c r="Z38" s="465"/>
    </x:row>
    <x:row r="39">
      <x:c r="A39" s="465"/>
      <x:c r="B39" s="465"/>
      <x:c r="C39" s="465"/>
      <x:c r="D39" s="465"/>
      <x:c r="E39" s="465"/>
      <x:c r="F39" s="465"/>
      <x:c r="G39" s="465"/>
      <x:c r="H39" s="465"/>
      <x:c r="I39" s="465"/>
      <x:c r="J39" s="465"/>
      <x:c r="K39" s="465"/>
      <x:c r="L39" s="465"/>
      <x:c r="M39" s="465"/>
      <x:c r="N39" s="465"/>
      <x:c r="O39" s="465"/>
      <x:c r="P39" s="465"/>
      <x:c r="Q39" s="465"/>
      <x:c r="R39" s="465"/>
      <x:c r="S39" s="465"/>
      <x:c r="T39" s="465"/>
      <x:c r="U39" s="465"/>
      <x:c r="V39" s="465"/>
      <x:c r="W39" s="465"/>
      <x:c r="X39" s="465"/>
      <x:c r="Y39" s="465"/>
      <x:c r="Z39" s="465"/>
    </x:row>
    <x:row r="40">
      <x:c r="A40" s="465"/>
      <x:c r="B40" s="465"/>
      <x:c r="C40" s="465"/>
      <x:c r="D40" s="465"/>
      <x:c r="E40" s="465"/>
      <x:c r="F40" s="465"/>
      <x:c r="G40" s="465"/>
      <x:c r="H40" s="465"/>
      <x:c r="I40" s="465"/>
      <x:c r="J40" s="465"/>
      <x:c r="K40" s="465"/>
      <x:c r="L40" s="465"/>
      <x:c r="M40" s="465"/>
      <x:c r="N40" s="465"/>
      <x:c r="O40" s="465"/>
      <x:c r="P40" s="465"/>
      <x:c r="Q40" s="465"/>
      <x:c r="R40" s="465"/>
      <x:c r="S40" s="465"/>
      <x:c r="T40" s="465"/>
      <x:c r="U40" s="465"/>
      <x:c r="V40" s="465"/>
      <x:c r="W40" s="465"/>
      <x:c r="X40" s="465"/>
      <x:c r="Y40" s="465"/>
      <x:c r="Z40" s="465"/>
    </x:row>
    <x:row r="41">
      <x:c r="A41" s="465"/>
      <x:c r="B41" s="465"/>
      <x:c r="C41" s="465"/>
      <x:c r="D41" s="465"/>
      <x:c r="E41" s="465"/>
      <x:c r="F41" s="465"/>
      <x:c r="G41" s="465"/>
      <x:c r="H41" s="465"/>
      <x:c r="I41" s="465"/>
      <x:c r="J41" s="465"/>
      <x:c r="K41" s="465"/>
      <x:c r="L41" s="465"/>
      <x:c r="M41" s="465"/>
      <x:c r="N41" s="465"/>
      <x:c r="O41" s="465"/>
      <x:c r="P41" s="465"/>
      <x:c r="Q41" s="465"/>
      <x:c r="R41" s="465"/>
      <x:c r="S41" s="465"/>
      <x:c r="T41" s="465"/>
      <x:c r="U41" s="465"/>
      <x:c r="V41" s="465"/>
      <x:c r="W41" s="465"/>
      <x:c r="X41" s="465"/>
      <x:c r="Y41" s="465"/>
      <x:c r="Z41" s="465"/>
    </x:row>
    <x:row r="42">
      <x:c r="A42" s="465"/>
      <x:c r="B42" s="465"/>
      <x:c r="C42" s="465"/>
      <x:c r="D42" s="465"/>
      <x:c r="E42" s="465"/>
      <x:c r="F42" s="465"/>
      <x:c r="G42" s="465"/>
      <x:c r="H42" s="465"/>
      <x:c r="I42" s="465"/>
      <x:c r="J42" s="465"/>
      <x:c r="K42" s="465"/>
      <x:c r="L42" s="465"/>
      <x:c r="M42" s="465"/>
      <x:c r="N42" s="465"/>
      <x:c r="O42" s="465"/>
      <x:c r="P42" s="465"/>
      <x:c r="Q42" s="465"/>
      <x:c r="R42" s="465"/>
      <x:c r="S42" s="465"/>
      <x:c r="T42" s="465"/>
      <x:c r="U42" s="465"/>
      <x:c r="V42" s="465"/>
      <x:c r="W42" s="465"/>
      <x:c r="X42" s="465"/>
      <x:c r="Y42" s="465"/>
      <x:c r="Z42" s="465"/>
    </x:row>
    <x:row r="43">
      <x:c r="A43" s="465"/>
      <x:c r="B43" s="465"/>
      <x:c r="C43" s="465"/>
      <x:c r="D43" s="465"/>
      <x:c r="E43" s="465"/>
      <x:c r="F43" s="465"/>
      <x:c r="G43" s="465"/>
      <x:c r="H43" s="465"/>
      <x:c r="I43" s="465"/>
      <x:c r="J43" s="465"/>
      <x:c r="K43" s="465"/>
      <x:c r="L43" s="465"/>
      <x:c r="M43" s="465"/>
      <x:c r="N43" s="465"/>
      <x:c r="O43" s="465"/>
      <x:c r="P43" s="465"/>
      <x:c r="Q43" s="465"/>
      <x:c r="R43" s="465"/>
      <x:c r="S43" s="465"/>
      <x:c r="T43" s="465"/>
      <x:c r="U43" s="465"/>
      <x:c r="V43" s="465"/>
      <x:c r="W43" s="465"/>
      <x:c r="X43" s="465"/>
      <x:c r="Y43" s="465"/>
      <x:c r="Z43" s="465"/>
    </x:row>
    <x:row r="44">
      <x:c r="A44" s="465"/>
      <x:c r="B44" s="465"/>
      <x:c r="C44" s="465"/>
      <x:c r="D44" s="465"/>
      <x:c r="E44" s="465"/>
      <x:c r="F44" s="465"/>
      <x:c r="G44" s="465"/>
      <x:c r="H44" s="465"/>
      <x:c r="I44" s="465"/>
      <x:c r="J44" s="465"/>
      <x:c r="K44" s="465"/>
      <x:c r="L44" s="465"/>
      <x:c r="M44" s="465"/>
      <x:c r="N44" s="465"/>
      <x:c r="O44" s="465"/>
      <x:c r="P44" s="465"/>
      <x:c r="Q44" s="465"/>
      <x:c r="R44" s="465"/>
      <x:c r="S44" s="465"/>
      <x:c r="T44" s="465"/>
      <x:c r="U44" s="465"/>
      <x:c r="V44" s="465"/>
      <x:c r="W44" s="465"/>
      <x:c r="X44" s="465"/>
      <x:c r="Y44" s="465"/>
      <x:c r="Z44" s="465"/>
    </x:row>
    <x:row r="45">
      <x:c r="A45" s="465"/>
      <x:c r="B45" s="465"/>
      <x:c r="C45" s="465"/>
      <x:c r="D45" s="465"/>
      <x:c r="E45" s="465"/>
      <x:c r="F45" s="465"/>
      <x:c r="G45" s="465"/>
      <x:c r="H45" s="465"/>
      <x:c r="I45" s="465"/>
      <x:c r="J45" s="465"/>
      <x:c r="K45" s="465"/>
      <x:c r="L45" s="465"/>
      <x:c r="M45" s="465"/>
      <x:c r="N45" s="465"/>
      <x:c r="O45" s="465"/>
      <x:c r="P45" s="465"/>
      <x:c r="Q45" s="465"/>
      <x:c r="R45" s="465"/>
      <x:c r="S45" s="465"/>
      <x:c r="T45" s="465"/>
      <x:c r="U45" s="465"/>
      <x:c r="V45" s="465"/>
      <x:c r="W45" s="465"/>
      <x:c r="X45" s="465"/>
      <x:c r="Y45" s="465"/>
      <x:c r="Z45" s="465"/>
    </x:row>
    <x:row r="46">
      <x:c r="A46" s="465"/>
      <x:c r="B46" s="465"/>
      <x:c r="C46" s="465"/>
      <x:c r="D46" s="465"/>
      <x:c r="E46" s="465"/>
      <x:c r="F46" s="465"/>
      <x:c r="G46" s="465"/>
      <x:c r="H46" s="465"/>
      <x:c r="I46" s="465"/>
      <x:c r="J46" s="465"/>
      <x:c r="K46" s="465"/>
      <x:c r="L46" s="465"/>
      <x:c r="M46" s="465"/>
      <x:c r="N46" s="465"/>
      <x:c r="O46" s="465"/>
      <x:c r="P46" s="465"/>
      <x:c r="Q46" s="465"/>
      <x:c r="R46" s="465"/>
      <x:c r="S46" s="465"/>
      <x:c r="T46" s="465"/>
      <x:c r="U46" s="465"/>
      <x:c r="V46" s="465"/>
      <x:c r="W46" s="465"/>
      <x:c r="X46" s="465"/>
      <x:c r="Y46" s="465"/>
      <x:c r="Z46" s="465"/>
    </x:row>
    <x:row r="47">
      <x:c r="A47" s="465"/>
      <x:c r="B47" s="465"/>
      <x:c r="C47" s="465"/>
      <x:c r="D47" s="465"/>
      <x:c r="E47" s="465"/>
      <x:c r="F47" s="465"/>
      <x:c r="G47" s="465"/>
      <x:c r="H47" s="465"/>
      <x:c r="I47" s="465"/>
      <x:c r="J47" s="465"/>
      <x:c r="K47" s="465"/>
      <x:c r="L47" s="465"/>
      <x:c r="M47" s="465"/>
      <x:c r="N47" s="465"/>
      <x:c r="O47" s="465"/>
      <x:c r="P47" s="465"/>
      <x:c r="Q47" s="465"/>
      <x:c r="R47" s="465"/>
      <x:c r="S47" s="465"/>
      <x:c r="T47" s="465"/>
      <x:c r="U47" s="465"/>
      <x:c r="V47" s="465"/>
      <x:c r="W47" s="465"/>
      <x:c r="X47" s="465"/>
      <x:c r="Y47" s="465"/>
      <x:c r="Z47" s="465"/>
    </x:row>
    <x:row r="48">
      <x:c r="A48" s="465"/>
      <x:c r="B48" s="465"/>
      <x:c r="C48" s="465"/>
      <x:c r="D48" s="465"/>
      <x:c r="E48" s="465"/>
      <x:c r="F48" s="465"/>
      <x:c r="G48" s="465"/>
      <x:c r="H48" s="465"/>
      <x:c r="I48" s="465"/>
      <x:c r="J48" s="465"/>
      <x:c r="K48" s="465"/>
      <x:c r="L48" s="465"/>
      <x:c r="M48" s="465"/>
      <x:c r="N48" s="465"/>
      <x:c r="O48" s="465"/>
      <x:c r="P48" s="465"/>
      <x:c r="Q48" s="465"/>
      <x:c r="R48" s="465"/>
      <x:c r="S48" s="465"/>
      <x:c r="T48" s="465"/>
      <x:c r="U48" s="465"/>
      <x:c r="V48" s="465"/>
      <x:c r="W48" s="465"/>
      <x:c r="X48" s="465"/>
      <x:c r="Y48" s="465"/>
      <x:c r="Z48" s="465"/>
    </x:row>
    <x:row r="49">
      <x:c r="A49" s="465"/>
      <x:c r="B49" s="465"/>
      <x:c r="C49" s="465"/>
      <x:c r="D49" s="465"/>
      <x:c r="E49" s="465"/>
      <x:c r="F49" s="465"/>
      <x:c r="G49" s="465"/>
      <x:c r="H49" s="465"/>
      <x:c r="I49" s="465"/>
      <x:c r="J49" s="465"/>
      <x:c r="K49" s="465"/>
      <x:c r="L49" s="465"/>
      <x:c r="M49" s="465"/>
      <x:c r="N49" s="465"/>
      <x:c r="O49" s="465"/>
      <x:c r="P49" s="465"/>
      <x:c r="Q49" s="465"/>
      <x:c r="R49" s="465"/>
      <x:c r="S49" s="465"/>
      <x:c r="T49" s="465"/>
      <x:c r="U49" s="465"/>
      <x:c r="V49" s="465"/>
      <x:c r="W49" s="465"/>
      <x:c r="X49" s="465"/>
      <x:c r="Y49" s="465"/>
      <x:c r="Z49" s="465"/>
    </x:row>
    <x:row r="50">
      <x:c r="A50" s="465"/>
      <x:c r="B50" s="465"/>
      <x:c r="C50" s="465"/>
      <x:c r="D50" s="465"/>
      <x:c r="E50" s="465"/>
      <x:c r="F50" s="465"/>
      <x:c r="G50" s="465"/>
      <x:c r="H50" s="465"/>
      <x:c r="I50" s="465"/>
      <x:c r="J50" s="465"/>
      <x:c r="K50" s="465"/>
      <x:c r="L50" s="465"/>
      <x:c r="M50" s="465"/>
      <x:c r="N50" s="465"/>
      <x:c r="O50" s="465"/>
      <x:c r="P50" s="465"/>
      <x:c r="Q50" s="465"/>
      <x:c r="R50" s="465"/>
      <x:c r="S50" s="465"/>
      <x:c r="T50" s="465"/>
      <x:c r="U50" s="465"/>
      <x:c r="V50" s="465"/>
      <x:c r="W50" s="465"/>
      <x:c r="X50" s="465"/>
      <x:c r="Y50" s="465"/>
      <x:c r="Z50" s="465"/>
    </x:row>
    <x:row r="51">
      <x:c r="A51" s="465"/>
      <x:c r="B51" s="465"/>
      <x:c r="C51" s="465"/>
      <x:c r="D51" s="465"/>
      <x:c r="E51" s="465"/>
      <x:c r="F51" s="465"/>
      <x:c r="G51" s="465"/>
      <x:c r="H51" s="465"/>
      <x:c r="I51" s="465"/>
      <x:c r="J51" s="465"/>
      <x:c r="K51" s="465"/>
      <x:c r="L51" s="465"/>
      <x:c r="M51" s="465"/>
      <x:c r="N51" s="465"/>
      <x:c r="O51" s="465"/>
      <x:c r="P51" s="465"/>
      <x:c r="Q51" s="465"/>
      <x:c r="R51" s="465"/>
      <x:c r="S51" s="465"/>
      <x:c r="T51" s="465"/>
      <x:c r="U51" s="465"/>
      <x:c r="V51" s="465"/>
      <x:c r="W51" s="465"/>
      <x:c r="X51" s="465"/>
      <x:c r="Y51" s="465"/>
      <x:c r="Z51" s="465"/>
    </x:row>
    <x:row r="52">
      <x:c r="A52" s="465"/>
      <x:c r="B52" s="465"/>
      <x:c r="C52" s="465"/>
      <x:c r="D52" s="465"/>
      <x:c r="E52" s="465"/>
      <x:c r="F52" s="465"/>
      <x:c r="G52" s="465"/>
      <x:c r="H52" s="465"/>
      <x:c r="I52" s="465"/>
      <x:c r="J52" s="465"/>
      <x:c r="K52" s="465"/>
      <x:c r="L52" s="465"/>
      <x:c r="M52" s="465"/>
      <x:c r="N52" s="465"/>
      <x:c r="O52" s="465"/>
      <x:c r="P52" s="465"/>
      <x:c r="Q52" s="465"/>
      <x:c r="R52" s="465"/>
      <x:c r="S52" s="465"/>
      <x:c r="T52" s="465"/>
      <x:c r="U52" s="465"/>
      <x:c r="V52" s="465"/>
      <x:c r="W52" s="465"/>
      <x:c r="X52" s="465"/>
      <x:c r="Y52" s="465"/>
      <x:c r="Z52" s="465"/>
    </x:row>
    <x:row r="53">
      <x:c r="A53" s="465"/>
      <x:c r="B53" s="465"/>
      <x:c r="C53" s="465"/>
      <x:c r="D53" s="465"/>
      <x:c r="E53" s="465"/>
      <x:c r="F53" s="465"/>
      <x:c r="G53" s="465"/>
      <x:c r="H53" s="465"/>
      <x:c r="I53" s="465"/>
      <x:c r="J53" s="465"/>
      <x:c r="K53" s="465"/>
      <x:c r="L53" s="465"/>
      <x:c r="M53" s="465"/>
      <x:c r="N53" s="465"/>
      <x:c r="O53" s="465"/>
      <x:c r="P53" s="465"/>
      <x:c r="Q53" s="465"/>
      <x:c r="R53" s="465"/>
      <x:c r="S53" s="465"/>
      <x:c r="T53" s="465"/>
      <x:c r="U53" s="465"/>
      <x:c r="V53" s="465"/>
      <x:c r="W53" s="465"/>
      <x:c r="X53" s="465"/>
      <x:c r="Y53" s="465"/>
      <x:c r="Z53" s="465"/>
    </x:row>
    <x:row r="54">
      <x:c r="A54" s="465"/>
      <x:c r="B54" s="465"/>
      <x:c r="C54" s="465"/>
      <x:c r="D54" s="465"/>
      <x:c r="E54" s="465"/>
      <x:c r="F54" s="465"/>
      <x:c r="G54" s="465"/>
      <x:c r="H54" s="465"/>
      <x:c r="I54" s="465"/>
      <x:c r="J54" s="465"/>
      <x:c r="K54" s="465"/>
      <x:c r="L54" s="465"/>
      <x:c r="M54" s="465"/>
      <x:c r="N54" s="465"/>
      <x:c r="O54" s="465"/>
      <x:c r="P54" s="465"/>
      <x:c r="Q54" s="465"/>
      <x:c r="R54" s="465"/>
      <x:c r="S54" s="465"/>
      <x:c r="T54" s="465"/>
      <x:c r="U54" s="465"/>
      <x:c r="V54" s="465"/>
      <x:c r="W54" s="465"/>
      <x:c r="X54" s="465"/>
      <x:c r="Y54" s="465"/>
      <x:c r="Z54" s="465"/>
    </x:row>
    <x:row r="55">
      <x:c r="A55" s="465"/>
      <x:c r="B55" s="465"/>
      <x:c r="C55" s="465"/>
      <x:c r="D55" s="465"/>
      <x:c r="E55" s="465"/>
      <x:c r="F55" s="465"/>
      <x:c r="G55" s="465"/>
      <x:c r="H55" s="465"/>
      <x:c r="I55" s="465"/>
      <x:c r="J55" s="465"/>
      <x:c r="K55" s="465"/>
      <x:c r="L55" s="465"/>
      <x:c r="M55" s="465"/>
      <x:c r="N55" s="465"/>
      <x:c r="O55" s="465"/>
      <x:c r="P55" s="465"/>
      <x:c r="Q55" s="465"/>
      <x:c r="R55" s="465"/>
      <x:c r="S55" s="465"/>
      <x:c r="T55" s="465"/>
      <x:c r="U55" s="465"/>
      <x:c r="V55" s="465"/>
      <x:c r="W55" s="465"/>
      <x:c r="X55" s="465"/>
      <x:c r="Y55" s="465"/>
      <x:c r="Z55" s="465"/>
    </x:row>
    <x:row r="56">
      <x:c r="A56" s="465"/>
      <x:c r="B56" s="465"/>
      <x:c r="C56" s="465"/>
      <x:c r="D56" s="465"/>
      <x:c r="E56" s="465"/>
      <x:c r="F56" s="465"/>
      <x:c r="G56" s="465"/>
      <x:c r="H56" s="465"/>
      <x:c r="I56" s="465"/>
      <x:c r="J56" s="465"/>
      <x:c r="K56" s="465"/>
      <x:c r="L56" s="465"/>
      <x:c r="M56" s="465"/>
      <x:c r="N56" s="465"/>
      <x:c r="O56" s="465"/>
      <x:c r="P56" s="465"/>
      <x:c r="Q56" s="465"/>
      <x:c r="R56" s="465"/>
      <x:c r="S56" s="465"/>
      <x:c r="T56" s="465"/>
      <x:c r="U56" s="465"/>
      <x:c r="V56" s="465"/>
      <x:c r="W56" s="465"/>
      <x:c r="X56" s="465"/>
      <x:c r="Y56" s="465"/>
      <x:c r="Z56" s="465"/>
    </x:row>
    <x:row r="57">
      <x:c r="A57" s="465"/>
      <x:c r="B57" s="465"/>
      <x:c r="C57" s="465"/>
      <x:c r="D57" s="465"/>
      <x:c r="E57" s="465"/>
      <x:c r="F57" s="465"/>
      <x:c r="G57" s="465"/>
      <x:c r="H57" s="465"/>
      <x:c r="I57" s="465"/>
      <x:c r="J57" s="465"/>
      <x:c r="K57" s="465"/>
      <x:c r="L57" s="465"/>
      <x:c r="M57" s="465"/>
      <x:c r="N57" s="465"/>
      <x:c r="O57" s="465"/>
      <x:c r="P57" s="465"/>
      <x:c r="Q57" s="465"/>
      <x:c r="R57" s="465"/>
      <x:c r="S57" s="465"/>
      <x:c r="T57" s="465"/>
      <x:c r="U57" s="465"/>
      <x:c r="V57" s="465"/>
      <x:c r="W57" s="465"/>
      <x:c r="X57" s="465"/>
      <x:c r="Y57" s="465"/>
      <x:c r="Z57" s="465"/>
    </x:row>
    <x:row r="58">
      <x:c r="A58" s="465"/>
      <x:c r="B58" s="465"/>
      <x:c r="C58" s="465"/>
      <x:c r="D58" s="465"/>
      <x:c r="E58" s="465"/>
      <x:c r="F58" s="465"/>
      <x:c r="G58" s="465"/>
      <x:c r="H58" s="465"/>
      <x:c r="I58" s="465"/>
      <x:c r="J58" s="465"/>
      <x:c r="K58" s="465"/>
      <x:c r="L58" s="465"/>
      <x:c r="M58" s="465"/>
      <x:c r="N58" s="465"/>
      <x:c r="O58" s="465"/>
      <x:c r="P58" s="465"/>
      <x:c r="Q58" s="465"/>
      <x:c r="R58" s="465"/>
      <x:c r="S58" s="465"/>
      <x:c r="T58" s="465"/>
      <x:c r="U58" s="465"/>
      <x:c r="V58" s="465"/>
      <x:c r="W58" s="465"/>
      <x:c r="X58" s="465"/>
      <x:c r="Y58" s="465"/>
      <x:c r="Z58" s="465"/>
    </x:row>
    <x:row r="59">
      <x:c r="A59" s="465"/>
      <x:c r="B59" s="465"/>
      <x:c r="C59" s="465"/>
      <x:c r="D59" s="465"/>
      <x:c r="E59" s="465"/>
      <x:c r="F59" s="465"/>
      <x:c r="G59" s="465"/>
      <x:c r="H59" s="465"/>
      <x:c r="I59" s="465"/>
      <x:c r="J59" s="465"/>
      <x:c r="K59" s="465"/>
      <x:c r="L59" s="465"/>
      <x:c r="M59" s="465"/>
      <x:c r="N59" s="465"/>
      <x:c r="O59" s="465"/>
      <x:c r="P59" s="465"/>
      <x:c r="Q59" s="465"/>
      <x:c r="R59" s="465"/>
      <x:c r="S59" s="465"/>
      <x:c r="T59" s="465"/>
      <x:c r="U59" s="465"/>
      <x:c r="V59" s="465"/>
      <x:c r="W59" s="465"/>
      <x:c r="X59" s="465"/>
      <x:c r="Y59" s="465"/>
      <x:c r="Z59" s="465"/>
    </x:row>
    <x:row r="60">
      <x:c r="A60" s="465"/>
      <x:c r="B60" s="465"/>
      <x:c r="C60" s="465"/>
      <x:c r="D60" s="465"/>
      <x:c r="E60" s="465"/>
      <x:c r="F60" s="465"/>
      <x:c r="G60" s="465"/>
      <x:c r="H60" s="465"/>
      <x:c r="I60" s="465"/>
      <x:c r="J60" s="465"/>
      <x:c r="K60" s="465"/>
      <x:c r="L60" s="465"/>
      <x:c r="M60" s="465"/>
      <x:c r="N60" s="465"/>
      <x:c r="O60" s="465"/>
      <x:c r="P60" s="465"/>
      <x:c r="Q60" s="465"/>
      <x:c r="R60" s="465"/>
      <x:c r="S60" s="465"/>
      <x:c r="T60" s="465"/>
      <x:c r="U60" s="465"/>
      <x:c r="V60" s="465"/>
      <x:c r="W60" s="465"/>
      <x:c r="X60" s="465"/>
      <x:c r="Y60" s="465"/>
      <x:c r="Z60" s="465"/>
    </x:row>
    <x:row r="61">
      <x:c r="A61" s="465"/>
      <x:c r="B61" s="465"/>
      <x:c r="C61" s="465"/>
      <x:c r="D61" s="465"/>
      <x:c r="E61" s="465"/>
      <x:c r="F61" s="465"/>
      <x:c r="G61" s="465"/>
      <x:c r="H61" s="465"/>
      <x:c r="I61" s="465"/>
      <x:c r="J61" s="465"/>
      <x:c r="K61" s="465"/>
      <x:c r="L61" s="465"/>
      <x:c r="M61" s="465"/>
      <x:c r="N61" s="465"/>
      <x:c r="O61" s="465"/>
      <x:c r="P61" s="465"/>
      <x:c r="Q61" s="465"/>
      <x:c r="R61" s="465"/>
      <x:c r="S61" s="465"/>
      <x:c r="T61" s="465"/>
      <x:c r="U61" s="465"/>
      <x:c r="V61" s="465"/>
      <x:c r="W61" s="465"/>
      <x:c r="X61" s="465"/>
      <x:c r="Y61" s="465"/>
      <x:c r="Z61" s="465"/>
    </x:row>
    <x:row r="62">
      <x:c r="A62" s="465"/>
      <x:c r="B62" s="465"/>
      <x:c r="C62" s="465"/>
      <x:c r="D62" s="465"/>
      <x:c r="E62" s="465"/>
      <x:c r="F62" s="465"/>
      <x:c r="G62" s="465"/>
      <x:c r="H62" s="465"/>
      <x:c r="I62" s="465"/>
      <x:c r="J62" s="465"/>
      <x:c r="K62" s="465"/>
      <x:c r="L62" s="465"/>
      <x:c r="M62" s="465"/>
      <x:c r="N62" s="465"/>
      <x:c r="O62" s="465"/>
      <x:c r="P62" s="465"/>
      <x:c r="Q62" s="465"/>
      <x:c r="R62" s="465"/>
      <x:c r="S62" s="465"/>
      <x:c r="T62" s="465"/>
      <x:c r="U62" s="465"/>
      <x:c r="V62" s="465"/>
      <x:c r="W62" s="465"/>
      <x:c r="X62" s="465"/>
      <x:c r="Y62" s="465"/>
      <x:c r="Z62" s="465"/>
    </x:row>
    <x:row r="63">
      <x:c r="A63" s="465"/>
      <x:c r="B63" s="465"/>
      <x:c r="C63" s="465"/>
      <x:c r="D63" s="465"/>
      <x:c r="E63" s="465"/>
      <x:c r="F63" s="465"/>
      <x:c r="G63" s="465"/>
      <x:c r="H63" s="465"/>
      <x:c r="I63" s="465"/>
      <x:c r="J63" s="465"/>
      <x:c r="K63" s="465"/>
      <x:c r="L63" s="465"/>
      <x:c r="M63" s="465"/>
      <x:c r="N63" s="465"/>
      <x:c r="O63" s="465"/>
      <x:c r="P63" s="465"/>
      <x:c r="Q63" s="465"/>
      <x:c r="R63" s="465"/>
      <x:c r="S63" s="465"/>
      <x:c r="T63" s="465"/>
      <x:c r="U63" s="465"/>
      <x:c r="V63" s="465"/>
      <x:c r="W63" s="465"/>
      <x:c r="X63" s="465"/>
      <x:c r="Y63" s="465"/>
      <x:c r="Z63" s="465"/>
    </x:row>
    <x:row r="64">
      <x:c r="A64" s="465"/>
      <x:c r="B64" s="465"/>
      <x:c r="C64" s="465"/>
      <x:c r="D64" s="465"/>
      <x:c r="E64" s="465"/>
      <x:c r="F64" s="465"/>
      <x:c r="G64" s="465"/>
      <x:c r="H64" s="465"/>
      <x:c r="I64" s="465"/>
      <x:c r="J64" s="465"/>
      <x:c r="K64" s="465"/>
      <x:c r="L64" s="465"/>
      <x:c r="M64" s="465"/>
      <x:c r="N64" s="465"/>
      <x:c r="O64" s="465"/>
      <x:c r="P64" s="465"/>
      <x:c r="Q64" s="465"/>
      <x:c r="R64" s="465"/>
      <x:c r="S64" s="465"/>
      <x:c r="T64" s="465"/>
      <x:c r="U64" s="465"/>
      <x:c r="V64" s="465"/>
      <x:c r="W64" s="465"/>
      <x:c r="X64" s="465"/>
      <x:c r="Y64" s="465"/>
      <x:c r="Z64" s="465"/>
    </x:row>
    <x:row r="65">
      <x:c r="A65" s="465"/>
      <x:c r="B65" s="465"/>
      <x:c r="C65" s="465"/>
      <x:c r="D65" s="465"/>
      <x:c r="E65" s="465"/>
      <x:c r="F65" s="465"/>
      <x:c r="G65" s="465"/>
      <x:c r="H65" s="465"/>
      <x:c r="I65" s="465"/>
      <x:c r="J65" s="465"/>
      <x:c r="K65" s="465"/>
      <x:c r="L65" s="465"/>
      <x:c r="M65" s="465"/>
      <x:c r="N65" s="465"/>
      <x:c r="O65" s="465"/>
      <x:c r="P65" s="465"/>
      <x:c r="Q65" s="465"/>
      <x:c r="R65" s="465"/>
      <x:c r="S65" s="465"/>
      <x:c r="T65" s="465"/>
      <x:c r="U65" s="465"/>
      <x:c r="V65" s="465"/>
      <x:c r="W65" s="465"/>
      <x:c r="X65" s="465"/>
      <x:c r="Y65" s="465"/>
      <x:c r="Z65" s="465"/>
    </x:row>
    <x:row r="66">
      <x:c r="A66" s="465"/>
      <x:c r="B66" s="465"/>
      <x:c r="C66" s="465"/>
      <x:c r="D66" s="465"/>
      <x:c r="E66" s="465"/>
      <x:c r="F66" s="465"/>
      <x:c r="G66" s="465"/>
      <x:c r="H66" s="465"/>
      <x:c r="I66" s="465"/>
      <x:c r="J66" s="465"/>
      <x:c r="K66" s="465"/>
      <x:c r="L66" s="465"/>
      <x:c r="M66" s="465"/>
      <x:c r="N66" s="465"/>
      <x:c r="O66" s="465"/>
      <x:c r="P66" s="465"/>
      <x:c r="Q66" s="465"/>
      <x:c r="R66" s="465"/>
      <x:c r="S66" s="465"/>
      <x:c r="T66" s="465"/>
      <x:c r="U66" s="465"/>
      <x:c r="V66" s="465"/>
      <x:c r="W66" s="465"/>
      <x:c r="X66" s="465"/>
      <x:c r="Y66" s="465"/>
      <x:c r="Z66" s="465"/>
    </x:row>
    <x:row r="67">
      <x:c r="A67" s="465"/>
      <x:c r="B67" s="465"/>
      <x:c r="C67" s="465"/>
      <x:c r="D67" s="465"/>
      <x:c r="E67" s="465"/>
      <x:c r="F67" s="465"/>
      <x:c r="G67" s="465"/>
      <x:c r="H67" s="465"/>
      <x:c r="I67" s="465"/>
      <x:c r="J67" s="465"/>
      <x:c r="K67" s="465"/>
      <x:c r="L67" s="465"/>
      <x:c r="M67" s="465"/>
      <x:c r="N67" s="465"/>
      <x:c r="O67" s="465"/>
      <x:c r="P67" s="465"/>
      <x:c r="Q67" s="465"/>
      <x:c r="R67" s="465"/>
      <x:c r="S67" s="465"/>
      <x:c r="T67" s="465"/>
      <x:c r="U67" s="465"/>
      <x:c r="V67" s="465"/>
      <x:c r="W67" s="465"/>
      <x:c r="X67" s="465"/>
      <x:c r="Y67" s="465"/>
      <x:c r="Z67" s="465"/>
    </x:row>
    <x:row r="68">
      <x:c r="A68" s="465"/>
      <x:c r="B68" s="465"/>
      <x:c r="C68" s="465"/>
      <x:c r="D68" s="465"/>
      <x:c r="E68" s="465"/>
      <x:c r="F68" s="465"/>
      <x:c r="G68" s="465"/>
      <x:c r="H68" s="465"/>
      <x:c r="I68" s="465"/>
      <x:c r="J68" s="465"/>
      <x:c r="K68" s="465"/>
      <x:c r="L68" s="465"/>
      <x:c r="M68" s="465"/>
      <x:c r="N68" s="465"/>
      <x:c r="O68" s="465"/>
      <x:c r="P68" s="465"/>
      <x:c r="Q68" s="465"/>
      <x:c r="R68" s="465"/>
      <x:c r="S68" s="465"/>
      <x:c r="T68" s="465"/>
      <x:c r="U68" s="465"/>
      <x:c r="V68" s="465"/>
      <x:c r="W68" s="465"/>
      <x:c r="X68" s="465"/>
      <x:c r="Y68" s="465"/>
      <x:c r="Z68" s="465"/>
    </x:row>
    <x:row r="69">
      <x:c r="A69" s="465"/>
      <x:c r="B69" s="465"/>
      <x:c r="C69" s="465"/>
      <x:c r="D69" s="465"/>
      <x:c r="E69" s="465"/>
      <x:c r="F69" s="465"/>
      <x:c r="G69" s="465"/>
      <x:c r="H69" s="465"/>
      <x:c r="I69" s="465"/>
      <x:c r="J69" s="465"/>
      <x:c r="K69" s="465"/>
      <x:c r="L69" s="465"/>
      <x:c r="M69" s="465"/>
      <x:c r="N69" s="465"/>
      <x:c r="O69" s="465"/>
      <x:c r="P69" s="465"/>
      <x:c r="Q69" s="465"/>
      <x:c r="R69" s="465"/>
      <x:c r="S69" s="465"/>
      <x:c r="T69" s="465"/>
      <x:c r="U69" s="465"/>
      <x:c r="V69" s="465"/>
      <x:c r="W69" s="465"/>
      <x:c r="X69" s="465"/>
      <x:c r="Y69" s="465"/>
      <x:c r="Z69" s="465"/>
    </x:row>
    <x:row r="70">
      <x:c r="A70" s="465"/>
      <x:c r="B70" s="465"/>
      <x:c r="C70" s="465"/>
      <x:c r="D70" s="465"/>
      <x:c r="E70" s="465"/>
      <x:c r="F70" s="465"/>
      <x:c r="G70" s="465"/>
      <x:c r="H70" s="465"/>
      <x:c r="I70" s="465"/>
      <x:c r="J70" s="465"/>
      <x:c r="K70" s="465"/>
      <x:c r="L70" s="465"/>
      <x:c r="M70" s="465"/>
      <x:c r="N70" s="465"/>
      <x:c r="O70" s="465"/>
      <x:c r="P70" s="465"/>
      <x:c r="Q70" s="465"/>
      <x:c r="R70" s="465"/>
      <x:c r="S70" s="465"/>
      <x:c r="T70" s="465"/>
      <x:c r="U70" s="465"/>
      <x:c r="V70" s="465"/>
      <x:c r="W70" s="465"/>
      <x:c r="X70" s="465"/>
      <x:c r="Y70" s="465"/>
      <x:c r="Z70" s="465"/>
    </x:row>
    <x:row r="71">
      <x:c r="A71" s="465"/>
      <x:c r="B71" s="465"/>
      <x:c r="C71" s="465"/>
      <x:c r="D71" s="465"/>
      <x:c r="E71" s="465"/>
      <x:c r="F71" s="465"/>
      <x:c r="G71" s="465"/>
      <x:c r="H71" s="465"/>
      <x:c r="I71" s="465"/>
      <x:c r="J71" s="465"/>
      <x:c r="K71" s="465"/>
      <x:c r="L71" s="465"/>
      <x:c r="M71" s="465"/>
      <x:c r="N71" s="465"/>
      <x:c r="O71" s="465"/>
      <x:c r="P71" s="465"/>
      <x:c r="Q71" s="465"/>
      <x:c r="R71" s="465"/>
      <x:c r="S71" s="465"/>
      <x:c r="T71" s="465"/>
      <x:c r="U71" s="465"/>
      <x:c r="V71" s="465"/>
      <x:c r="W71" s="465"/>
      <x:c r="X71" s="465"/>
      <x:c r="Y71" s="465"/>
      <x:c r="Z71" s="465"/>
    </x:row>
    <x:row r="72">
      <x:c r="A72" s="465"/>
      <x:c r="B72" s="465"/>
      <x:c r="C72" s="465"/>
      <x:c r="D72" s="465"/>
      <x:c r="E72" s="465"/>
      <x:c r="F72" s="465"/>
      <x:c r="G72" s="465"/>
      <x:c r="H72" s="465"/>
      <x:c r="I72" s="465"/>
      <x:c r="J72" s="465"/>
      <x:c r="K72" s="465"/>
      <x:c r="L72" s="465"/>
      <x:c r="M72" s="465"/>
      <x:c r="N72" s="465"/>
      <x:c r="O72" s="465"/>
      <x:c r="P72" s="465"/>
      <x:c r="Q72" s="465"/>
      <x:c r="R72" s="465"/>
      <x:c r="S72" s="465"/>
      <x:c r="T72" s="465"/>
      <x:c r="U72" s="465"/>
      <x:c r="V72" s="465"/>
      <x:c r="W72" s="465"/>
      <x:c r="X72" s="465"/>
      <x:c r="Y72" s="465"/>
      <x:c r="Z72" s="465"/>
    </x:row>
    <x:row r="73">
      <x:c r="A73" s="465"/>
      <x:c r="B73" s="465"/>
      <x:c r="C73" s="465"/>
      <x:c r="D73" s="465"/>
      <x:c r="E73" s="465"/>
      <x:c r="F73" s="465"/>
      <x:c r="G73" s="465"/>
      <x:c r="H73" s="465"/>
      <x:c r="I73" s="465"/>
      <x:c r="J73" s="465"/>
      <x:c r="K73" s="465"/>
      <x:c r="L73" s="465"/>
      <x:c r="M73" s="465"/>
      <x:c r="N73" s="465"/>
      <x:c r="O73" s="465"/>
      <x:c r="P73" s="465"/>
      <x:c r="Q73" s="465"/>
      <x:c r="R73" s="465"/>
      <x:c r="S73" s="465"/>
      <x:c r="T73" s="465"/>
      <x:c r="U73" s="465"/>
      <x:c r="V73" s="465"/>
      <x:c r="W73" s="465"/>
      <x:c r="X73" s="465"/>
      <x:c r="Y73" s="465"/>
      <x:c r="Z73" s="465"/>
    </x:row>
    <x:row r="74">
      <x:c r="A74" s="465"/>
      <x:c r="B74" s="465"/>
      <x:c r="C74" s="465"/>
      <x:c r="D74" s="465"/>
      <x:c r="E74" s="465"/>
      <x:c r="F74" s="465"/>
      <x:c r="G74" s="465"/>
      <x:c r="H74" s="465"/>
      <x:c r="I74" s="465"/>
      <x:c r="J74" s="465"/>
      <x:c r="K74" s="465"/>
      <x:c r="L74" s="465"/>
      <x:c r="M74" s="465"/>
      <x:c r="N74" s="465"/>
      <x:c r="O74" s="465"/>
      <x:c r="P74" s="465"/>
      <x:c r="Q74" s="465"/>
      <x:c r="R74" s="465"/>
      <x:c r="S74" s="465"/>
      <x:c r="T74" s="465"/>
      <x:c r="U74" s="465"/>
      <x:c r="V74" s="465"/>
      <x:c r="W74" s="465"/>
      <x:c r="X74" s="465"/>
      <x:c r="Y74" s="465"/>
      <x:c r="Z74" s="465"/>
    </x:row>
    <x:row r="75">
      <x:c r="A75" s="465"/>
      <x:c r="B75" s="465"/>
      <x:c r="C75" s="465"/>
      <x:c r="D75" s="465"/>
      <x:c r="E75" s="465"/>
      <x:c r="F75" s="465"/>
      <x:c r="G75" s="465"/>
      <x:c r="H75" s="465"/>
      <x:c r="I75" s="465"/>
      <x:c r="J75" s="465"/>
      <x:c r="K75" s="465"/>
      <x:c r="L75" s="465"/>
      <x:c r="M75" s="465"/>
      <x:c r="N75" s="465"/>
      <x:c r="O75" s="465"/>
      <x:c r="P75" s="465"/>
      <x:c r="Q75" s="465"/>
      <x:c r="R75" s="465"/>
      <x:c r="S75" s="465"/>
      <x:c r="T75" s="465"/>
      <x:c r="U75" s="465"/>
      <x:c r="V75" s="465"/>
      <x:c r="W75" s="465"/>
      <x:c r="X75" s="465"/>
      <x:c r="Y75" s="465"/>
      <x:c r="Z75" s="465"/>
    </x:row>
    <x:row r="76">
      <x:c r="A76" s="465"/>
      <x:c r="B76" s="465"/>
      <x:c r="C76" s="465"/>
      <x:c r="D76" s="465"/>
      <x:c r="E76" s="465"/>
      <x:c r="F76" s="465"/>
      <x:c r="G76" s="465"/>
      <x:c r="H76" s="465"/>
      <x:c r="I76" s="465"/>
      <x:c r="J76" s="465"/>
      <x:c r="K76" s="465"/>
      <x:c r="L76" s="465"/>
      <x:c r="M76" s="465"/>
      <x:c r="N76" s="465"/>
      <x:c r="O76" s="465"/>
      <x:c r="P76" s="465"/>
      <x:c r="Q76" s="465"/>
      <x:c r="R76" s="465"/>
      <x:c r="S76" s="465"/>
      <x:c r="T76" s="465"/>
      <x:c r="U76" s="465"/>
      <x:c r="V76" s="465"/>
      <x:c r="W76" s="465"/>
      <x:c r="X76" s="465"/>
      <x:c r="Y76" s="465"/>
      <x:c r="Z76" s="465"/>
    </x:row>
    <x:row r="77">
      <x:c r="A77" s="465"/>
      <x:c r="B77" s="465"/>
      <x:c r="C77" s="465"/>
      <x:c r="D77" s="465"/>
      <x:c r="E77" s="465"/>
      <x:c r="F77" s="465"/>
      <x:c r="G77" s="465"/>
      <x:c r="H77" s="465"/>
      <x:c r="I77" s="465"/>
      <x:c r="J77" s="465"/>
      <x:c r="K77" s="465"/>
      <x:c r="L77" s="465"/>
      <x:c r="M77" s="465"/>
      <x:c r="N77" s="465"/>
      <x:c r="O77" s="465"/>
      <x:c r="P77" s="465"/>
      <x:c r="Q77" s="465"/>
      <x:c r="R77" s="465"/>
      <x:c r="S77" s="465"/>
      <x:c r="T77" s="465"/>
      <x:c r="U77" s="465"/>
      <x:c r="V77" s="465"/>
      <x:c r="W77" s="465"/>
      <x:c r="X77" s="465"/>
      <x:c r="Y77" s="465"/>
      <x:c r="Z77" s="465"/>
    </x:row>
    <x:row r="78">
      <x:c r="A78" s="465"/>
      <x:c r="B78" s="465"/>
      <x:c r="C78" s="465"/>
      <x:c r="D78" s="465"/>
      <x:c r="E78" s="465"/>
      <x:c r="F78" s="465"/>
      <x:c r="G78" s="465"/>
      <x:c r="H78" s="465"/>
      <x:c r="I78" s="465"/>
      <x:c r="J78" s="465"/>
      <x:c r="K78" s="465"/>
      <x:c r="L78" s="465"/>
      <x:c r="M78" s="465"/>
      <x:c r="N78" s="465"/>
      <x:c r="O78" s="465"/>
      <x:c r="P78" s="465"/>
      <x:c r="Q78" s="465"/>
      <x:c r="R78" s="465"/>
      <x:c r="S78" s="465"/>
      <x:c r="T78" s="465"/>
      <x:c r="U78" s="465"/>
      <x:c r="V78" s="465"/>
      <x:c r="W78" s="465"/>
      <x:c r="X78" s="465"/>
      <x:c r="Y78" s="465"/>
      <x:c r="Z78" s="465"/>
    </x:row>
    <x:row r="79">
      <x:c r="A79" s="465"/>
      <x:c r="B79" s="465"/>
      <x:c r="C79" s="465"/>
      <x:c r="D79" s="465"/>
      <x:c r="E79" s="465"/>
      <x:c r="F79" s="465"/>
      <x:c r="G79" s="465"/>
      <x:c r="H79" s="465"/>
      <x:c r="I79" s="465"/>
      <x:c r="J79" s="465"/>
      <x:c r="K79" s="465"/>
      <x:c r="L79" s="465"/>
      <x:c r="M79" s="465"/>
      <x:c r="N79" s="465"/>
      <x:c r="O79" s="465"/>
      <x:c r="P79" s="465"/>
      <x:c r="Q79" s="465"/>
      <x:c r="R79" s="465"/>
      <x:c r="S79" s="465"/>
      <x:c r="T79" s="465"/>
      <x:c r="U79" s="465"/>
      <x:c r="V79" s="465"/>
      <x:c r="W79" s="465"/>
      <x:c r="X79" s="465"/>
      <x:c r="Y79" s="465"/>
      <x:c r="Z79" s="465"/>
    </x:row>
    <x:row r="80">
      <x:c r="A80" s="465"/>
      <x:c r="B80" s="465"/>
      <x:c r="C80" s="465"/>
      <x:c r="D80" s="465"/>
      <x:c r="E80" s="465"/>
      <x:c r="F80" s="465"/>
      <x:c r="G80" s="465"/>
      <x:c r="H80" s="465"/>
      <x:c r="I80" s="465"/>
      <x:c r="J80" s="465"/>
      <x:c r="K80" s="465"/>
      <x:c r="L80" s="465"/>
      <x:c r="M80" s="465"/>
      <x:c r="N80" s="465"/>
      <x:c r="O80" s="465"/>
      <x:c r="P80" s="465"/>
      <x:c r="Q80" s="465"/>
      <x:c r="R80" s="465"/>
      <x:c r="S80" s="465"/>
      <x:c r="T80" s="465"/>
      <x:c r="U80" s="465"/>
      <x:c r="V80" s="465"/>
      <x:c r="W80" s="465"/>
      <x:c r="X80" s="465"/>
      <x:c r="Y80" s="465"/>
      <x:c r="Z80" s="465"/>
    </x:row>
    <x:row r="81">
      <x:c r="A81" s="465"/>
      <x:c r="B81" s="465"/>
      <x:c r="C81" s="465"/>
      <x:c r="D81" s="465"/>
      <x:c r="E81" s="465"/>
      <x:c r="F81" s="465"/>
      <x:c r="G81" s="465"/>
      <x:c r="H81" s="465"/>
      <x:c r="I81" s="465"/>
      <x:c r="J81" s="465"/>
      <x:c r="K81" s="465"/>
      <x:c r="L81" s="465"/>
      <x:c r="M81" s="465"/>
      <x:c r="N81" s="465"/>
      <x:c r="O81" s="465"/>
      <x:c r="P81" s="465"/>
      <x:c r="Q81" s="465"/>
      <x:c r="R81" s="465"/>
      <x:c r="S81" s="465"/>
      <x:c r="T81" s="465"/>
      <x:c r="U81" s="465"/>
      <x:c r="V81" s="465"/>
      <x:c r="W81" s="465"/>
      <x:c r="X81" s="465"/>
      <x:c r="Y81" s="465"/>
      <x:c r="Z81" s="465"/>
    </x:row>
    <x:row r="82">
      <x:c r="A82" s="465"/>
      <x:c r="B82" s="465"/>
      <x:c r="C82" s="465"/>
      <x:c r="D82" s="465"/>
      <x:c r="E82" s="465"/>
      <x:c r="F82" s="465"/>
      <x:c r="G82" s="465"/>
      <x:c r="H82" s="465"/>
      <x:c r="I82" s="465"/>
      <x:c r="J82" s="465"/>
      <x:c r="K82" s="465"/>
      <x:c r="L82" s="465"/>
      <x:c r="M82" s="465"/>
      <x:c r="N82" s="465"/>
      <x:c r="O82" s="465"/>
      <x:c r="P82" s="465"/>
      <x:c r="Q82" s="465"/>
      <x:c r="R82" s="465"/>
      <x:c r="S82" s="465"/>
      <x:c r="T82" s="465"/>
      <x:c r="U82" s="465"/>
      <x:c r="V82" s="465"/>
      <x:c r="W82" s="465"/>
      <x:c r="X82" s="465"/>
      <x:c r="Y82" s="465"/>
      <x:c r="Z82" s="465"/>
    </x:row>
    <x:row r="83">
      <x:c r="A83" s="465"/>
      <x:c r="B83" s="465"/>
      <x:c r="C83" s="465"/>
      <x:c r="D83" s="465"/>
      <x:c r="E83" s="465"/>
      <x:c r="F83" s="465"/>
      <x:c r="G83" s="465"/>
      <x:c r="H83" s="465"/>
      <x:c r="I83" s="465"/>
      <x:c r="J83" s="465"/>
      <x:c r="K83" s="465"/>
      <x:c r="L83" s="465"/>
      <x:c r="M83" s="465"/>
      <x:c r="N83" s="465"/>
      <x:c r="O83" s="465"/>
      <x:c r="P83" s="465"/>
      <x:c r="Q83" s="465"/>
      <x:c r="R83" s="465"/>
      <x:c r="S83" s="465"/>
      <x:c r="T83" s="465"/>
      <x:c r="U83" s="465"/>
      <x:c r="V83" s="465"/>
      <x:c r="W83" s="465"/>
      <x:c r="X83" s="465"/>
      <x:c r="Y83" s="465"/>
      <x:c r="Z83" s="465"/>
    </x:row>
    <x:row r="84">
      <x:c r="A84" s="465"/>
      <x:c r="B84" s="465"/>
      <x:c r="C84" s="465"/>
      <x:c r="D84" s="465"/>
      <x:c r="E84" s="465"/>
      <x:c r="F84" s="465"/>
      <x:c r="G84" s="465"/>
      <x:c r="H84" s="465"/>
      <x:c r="I84" s="465"/>
      <x:c r="J84" s="465"/>
      <x:c r="K84" s="465"/>
      <x:c r="L84" s="465"/>
      <x:c r="M84" s="465"/>
      <x:c r="N84" s="465"/>
      <x:c r="O84" s="465"/>
      <x:c r="P84" s="465"/>
      <x:c r="Q84" s="465"/>
      <x:c r="R84" s="465"/>
      <x:c r="S84" s="465"/>
      <x:c r="T84" s="465"/>
      <x:c r="U84" s="465"/>
      <x:c r="V84" s="465"/>
      <x:c r="W84" s="465"/>
      <x:c r="X84" s="465"/>
      <x:c r="Y84" s="465"/>
      <x:c r="Z84" s="465"/>
    </x:row>
    <x:row r="85">
      <x:c r="A85" s="465"/>
      <x:c r="B85" s="465"/>
      <x:c r="C85" s="465"/>
      <x:c r="D85" s="465"/>
      <x:c r="E85" s="465"/>
      <x:c r="F85" s="465"/>
      <x:c r="G85" s="465"/>
      <x:c r="H85" s="465"/>
      <x:c r="I85" s="465"/>
      <x:c r="J85" s="465"/>
      <x:c r="K85" s="465"/>
      <x:c r="L85" s="465"/>
      <x:c r="M85" s="465"/>
      <x:c r="N85" s="465"/>
      <x:c r="O85" s="465"/>
      <x:c r="P85" s="465"/>
      <x:c r="Q85" s="465"/>
      <x:c r="R85" s="465"/>
      <x:c r="S85" s="465"/>
      <x:c r="T85" s="465"/>
      <x:c r="U85" s="465"/>
      <x:c r="V85" s="465"/>
      <x:c r="W85" s="465"/>
      <x:c r="X85" s="465"/>
      <x:c r="Y85" s="465"/>
      <x:c r="Z85" s="465"/>
    </x:row>
    <x:row r="86">
      <x:c r="A86" s="465"/>
      <x:c r="B86" s="465"/>
      <x:c r="C86" s="465"/>
      <x:c r="D86" s="465"/>
      <x:c r="E86" s="465"/>
      <x:c r="F86" s="465"/>
      <x:c r="G86" s="465"/>
      <x:c r="H86" s="465"/>
      <x:c r="I86" s="465"/>
      <x:c r="J86" s="465"/>
      <x:c r="K86" s="465"/>
      <x:c r="L86" s="465"/>
      <x:c r="M86" s="465"/>
      <x:c r="N86" s="465"/>
      <x:c r="O86" s="465"/>
      <x:c r="P86" s="465"/>
      <x:c r="Q86" s="465"/>
      <x:c r="R86" s="465"/>
      <x:c r="S86" s="465"/>
      <x:c r="T86" s="465"/>
      <x:c r="U86" s="465"/>
      <x:c r="V86" s="465"/>
      <x:c r="W86" s="465"/>
      <x:c r="X86" s="465"/>
      <x:c r="Y86" s="465"/>
      <x:c r="Z86" s="465"/>
    </x:row>
    <x:row r="87">
      <x:c r="A87" s="465"/>
      <x:c r="B87" s="465"/>
      <x:c r="C87" s="465"/>
      <x:c r="D87" s="465"/>
      <x:c r="E87" s="465"/>
      <x:c r="F87" s="465"/>
      <x:c r="G87" s="465"/>
      <x:c r="H87" s="465"/>
      <x:c r="I87" s="465"/>
      <x:c r="J87" s="465"/>
      <x:c r="K87" s="465"/>
      <x:c r="L87" s="465"/>
      <x:c r="M87" s="465"/>
      <x:c r="N87" s="465"/>
      <x:c r="O87" s="465"/>
      <x:c r="P87" s="465"/>
      <x:c r="Q87" s="465"/>
      <x:c r="R87" s="465"/>
      <x:c r="S87" s="465"/>
      <x:c r="T87" s="465"/>
      <x:c r="U87" s="465"/>
      <x:c r="V87" s="465"/>
      <x:c r="W87" s="465"/>
      <x:c r="X87" s="465"/>
      <x:c r="Y87" s="465"/>
      <x:c r="Z87" s="465"/>
    </x:row>
    <x:row r="88">
      <x:c r="A88" s="465"/>
      <x:c r="B88" s="465"/>
      <x:c r="C88" s="465"/>
      <x:c r="D88" s="465"/>
      <x:c r="E88" s="465"/>
      <x:c r="F88" s="465"/>
      <x:c r="G88" s="465"/>
      <x:c r="H88" s="465"/>
      <x:c r="I88" s="465"/>
      <x:c r="J88" s="465"/>
      <x:c r="K88" s="465"/>
      <x:c r="L88" s="465"/>
      <x:c r="M88" s="465"/>
      <x:c r="N88" s="465"/>
      <x:c r="O88" s="465"/>
      <x:c r="P88" s="465"/>
      <x:c r="Q88" s="465"/>
      <x:c r="R88" s="465"/>
      <x:c r="S88" s="465"/>
      <x:c r="T88" s="465"/>
      <x:c r="U88" s="465"/>
      <x:c r="V88" s="465"/>
      <x:c r="W88" s="465"/>
      <x:c r="X88" s="465"/>
      <x:c r="Y88" s="465"/>
      <x:c r="Z88" s="465"/>
    </x:row>
    <x:row r="89">
      <x:c r="A89" s="465"/>
      <x:c r="B89" s="465"/>
      <x:c r="C89" s="465"/>
      <x:c r="D89" s="465"/>
      <x:c r="E89" s="465"/>
      <x:c r="F89" s="465"/>
      <x:c r="G89" s="465"/>
      <x:c r="H89" s="465"/>
      <x:c r="I89" s="465"/>
      <x:c r="J89" s="465"/>
      <x:c r="K89" s="465"/>
      <x:c r="L89" s="465"/>
      <x:c r="M89" s="465"/>
      <x:c r="N89" s="465"/>
      <x:c r="O89" s="465"/>
      <x:c r="P89" s="465"/>
      <x:c r="Q89" s="465"/>
      <x:c r="R89" s="465"/>
      <x:c r="S89" s="465"/>
      <x:c r="T89" s="465"/>
      <x:c r="U89" s="465"/>
      <x:c r="V89" s="465"/>
      <x:c r="W89" s="465"/>
      <x:c r="X89" s="465"/>
      <x:c r="Y89" s="465"/>
      <x:c r="Z89" s="465"/>
    </x:row>
    <x:row r="90">
      <x:c r="A90" s="465"/>
      <x:c r="B90" s="465"/>
      <x:c r="C90" s="465"/>
      <x:c r="D90" s="465"/>
      <x:c r="E90" s="465"/>
      <x:c r="F90" s="465"/>
      <x:c r="G90" s="465"/>
      <x:c r="H90" s="465"/>
      <x:c r="I90" s="465"/>
      <x:c r="J90" s="465"/>
      <x:c r="K90" s="465"/>
      <x:c r="L90" s="465"/>
      <x:c r="M90" s="465"/>
      <x:c r="N90" s="465"/>
      <x:c r="O90" s="465"/>
      <x:c r="P90" s="465"/>
      <x:c r="Q90" s="465"/>
      <x:c r="R90" s="465"/>
      <x:c r="S90" s="465"/>
      <x:c r="T90" s="465"/>
      <x:c r="U90" s="465"/>
      <x:c r="V90" s="465"/>
      <x:c r="W90" s="465"/>
      <x:c r="X90" s="465"/>
      <x:c r="Y90" s="465"/>
      <x:c r="Z90" s="465"/>
    </x:row>
    <x:row r="91">
      <x:c r="A91" s="465"/>
      <x:c r="B91" s="465"/>
      <x:c r="C91" s="465"/>
      <x:c r="D91" s="465"/>
      <x:c r="E91" s="465"/>
      <x:c r="F91" s="465"/>
      <x:c r="G91" s="465"/>
      <x:c r="H91" s="465"/>
      <x:c r="I91" s="465"/>
      <x:c r="J91" s="465"/>
      <x:c r="K91" s="465"/>
      <x:c r="L91" s="465"/>
      <x:c r="M91" s="465"/>
      <x:c r="N91" s="465"/>
      <x:c r="O91" s="465"/>
      <x:c r="P91" s="465"/>
      <x:c r="Q91" s="465"/>
      <x:c r="R91" s="465"/>
      <x:c r="S91" s="465"/>
      <x:c r="T91" s="465"/>
      <x:c r="U91" s="465"/>
      <x:c r="V91" s="465"/>
      <x:c r="W91" s="465"/>
      <x:c r="X91" s="465"/>
      <x:c r="Y91" s="465"/>
      <x:c r="Z91" s="465"/>
    </x:row>
    <x:row r="92">
      <x:c r="A92" s="465"/>
      <x:c r="B92" s="465"/>
      <x:c r="C92" s="465"/>
      <x:c r="D92" s="465"/>
      <x:c r="E92" s="465"/>
      <x:c r="F92" s="465"/>
      <x:c r="G92" s="465"/>
      <x:c r="H92" s="465"/>
      <x:c r="I92" s="465"/>
      <x:c r="J92" s="465"/>
      <x:c r="K92" s="465"/>
      <x:c r="L92" s="465"/>
      <x:c r="M92" s="465"/>
      <x:c r="N92" s="465"/>
      <x:c r="O92" s="465"/>
      <x:c r="P92" s="465"/>
      <x:c r="Q92" s="465"/>
      <x:c r="R92" s="465"/>
      <x:c r="S92" s="465"/>
      <x:c r="T92" s="465"/>
      <x:c r="U92" s="465"/>
      <x:c r="V92" s="465"/>
      <x:c r="W92" s="465"/>
      <x:c r="X92" s="465"/>
      <x:c r="Y92" s="465"/>
      <x:c r="Z92" s="465"/>
    </x:row>
    <x:row r="93">
      <x:c r="A93" s="465"/>
      <x:c r="B93" s="465"/>
      <x:c r="C93" s="465"/>
      <x:c r="D93" s="465"/>
      <x:c r="E93" s="465"/>
      <x:c r="F93" s="465"/>
      <x:c r="G93" s="465"/>
      <x:c r="H93" s="465"/>
      <x:c r="I93" s="465"/>
      <x:c r="J93" s="465"/>
      <x:c r="K93" s="465"/>
      <x:c r="L93" s="465"/>
      <x:c r="M93" s="465"/>
      <x:c r="N93" s="465"/>
      <x:c r="O93" s="465"/>
      <x:c r="P93" s="465"/>
      <x:c r="Q93" s="465"/>
      <x:c r="R93" s="465"/>
      <x:c r="S93" s="465"/>
      <x:c r="T93" s="465"/>
      <x:c r="U93" s="465"/>
      <x:c r="V93" s="465"/>
      <x:c r="W93" s="465"/>
      <x:c r="X93" s="465"/>
      <x:c r="Y93" s="465"/>
      <x:c r="Z93" s="465"/>
    </x:row>
    <x:row r="94">
      <x:c r="A94" s="465"/>
      <x:c r="B94" s="465"/>
      <x:c r="C94" s="465"/>
      <x:c r="D94" s="465"/>
      <x:c r="E94" s="465"/>
      <x:c r="F94" s="465"/>
      <x:c r="G94" s="465"/>
      <x:c r="H94" s="465"/>
      <x:c r="I94" s="465"/>
      <x:c r="J94" s="465"/>
      <x:c r="K94" s="465"/>
      <x:c r="L94" s="465"/>
      <x:c r="M94" s="465"/>
      <x:c r="N94" s="465"/>
      <x:c r="O94" s="465"/>
      <x:c r="P94" s="465"/>
      <x:c r="Q94" s="465"/>
      <x:c r="R94" s="465"/>
      <x:c r="S94" s="465"/>
      <x:c r="T94" s="465"/>
      <x:c r="U94" s="465"/>
      <x:c r="V94" s="465"/>
      <x:c r="W94" s="465"/>
      <x:c r="X94" s="465"/>
      <x:c r="Y94" s="465"/>
      <x:c r="Z94" s="465"/>
    </x:row>
    <x:row r="95">
      <x:c r="A95" s="465"/>
      <x:c r="B95" s="465"/>
      <x:c r="C95" s="465"/>
      <x:c r="D95" s="465"/>
      <x:c r="E95" s="465"/>
      <x:c r="F95" s="465"/>
      <x:c r="G95" s="465"/>
      <x:c r="H95" s="465"/>
      <x:c r="I95" s="465"/>
      <x:c r="J95" s="465"/>
      <x:c r="K95" s="465"/>
      <x:c r="L95" s="465"/>
      <x:c r="M95" s="465"/>
      <x:c r="N95" s="465"/>
      <x:c r="O95" s="465"/>
      <x:c r="P95" s="465"/>
      <x:c r="Q95" s="465"/>
      <x:c r="R95" s="465"/>
      <x:c r="S95" s="465"/>
      <x:c r="T95" s="465"/>
      <x:c r="U95" s="465"/>
      <x:c r="V95" s="465"/>
      <x:c r="W95" s="465"/>
      <x:c r="X95" s="465"/>
      <x:c r="Y95" s="465"/>
      <x:c r="Z95" s="465"/>
    </x:row>
    <x:row r="96">
      <x:c r="A96" s="465"/>
      <x:c r="B96" s="465"/>
      <x:c r="C96" s="465"/>
      <x:c r="D96" s="465"/>
      <x:c r="E96" s="465"/>
      <x:c r="F96" s="465"/>
      <x:c r="G96" s="465"/>
      <x:c r="H96" s="465"/>
      <x:c r="I96" s="465"/>
      <x:c r="J96" s="465"/>
      <x:c r="K96" s="465"/>
      <x:c r="L96" s="465"/>
      <x:c r="M96" s="465"/>
      <x:c r="N96" s="465"/>
      <x:c r="O96" s="465"/>
      <x:c r="P96" s="465"/>
      <x:c r="Q96" s="465"/>
      <x:c r="R96" s="465"/>
      <x:c r="S96" s="465"/>
      <x:c r="T96" s="465"/>
      <x:c r="U96" s="465"/>
      <x:c r="V96" s="465"/>
      <x:c r="W96" s="465"/>
      <x:c r="X96" s="465"/>
      <x:c r="Y96" s="465"/>
      <x:c r="Z96" s="465"/>
    </x:row>
    <x:row r="97">
      <x:c r="A97" s="465"/>
      <x:c r="B97" s="465"/>
      <x:c r="C97" s="465"/>
      <x:c r="D97" s="465"/>
      <x:c r="E97" s="465"/>
      <x:c r="F97" s="465"/>
      <x:c r="G97" s="465"/>
      <x:c r="H97" s="465"/>
      <x:c r="I97" s="465"/>
      <x:c r="J97" s="465"/>
      <x:c r="K97" s="465"/>
      <x:c r="L97" s="465"/>
      <x:c r="M97" s="465"/>
      <x:c r="N97" s="465"/>
      <x:c r="O97" s="465"/>
      <x:c r="P97" s="465"/>
      <x:c r="Q97" s="465"/>
      <x:c r="R97" s="465"/>
      <x:c r="S97" s="465"/>
      <x:c r="T97" s="465"/>
      <x:c r="U97" s="465"/>
      <x:c r="V97" s="465"/>
      <x:c r="W97" s="465"/>
      <x:c r="X97" s="465"/>
      <x:c r="Y97" s="465"/>
      <x:c r="Z97" s="465"/>
    </x:row>
    <x:row r="98">
      <x:c r="A98" s="465"/>
      <x:c r="B98" s="465"/>
      <x:c r="C98" s="465"/>
      <x:c r="D98" s="465"/>
      <x:c r="E98" s="465"/>
      <x:c r="F98" s="465"/>
      <x:c r="G98" s="465"/>
      <x:c r="H98" s="465"/>
      <x:c r="I98" s="465"/>
      <x:c r="J98" s="465"/>
      <x:c r="K98" s="465"/>
      <x:c r="L98" s="465"/>
      <x:c r="M98" s="465"/>
      <x:c r="N98" s="465"/>
      <x:c r="O98" s="465"/>
      <x:c r="P98" s="465"/>
      <x:c r="Q98" s="465"/>
      <x:c r="R98" s="465"/>
      <x:c r="S98" s="465"/>
      <x:c r="T98" s="465"/>
      <x:c r="U98" s="465"/>
      <x:c r="V98" s="465"/>
      <x:c r="W98" s="465"/>
      <x:c r="X98" s="465"/>
      <x:c r="Y98" s="465"/>
      <x:c r="Z98" s="465"/>
    </x:row>
    <x:row r="99">
      <x:c r="A99" s="465"/>
      <x:c r="B99" s="465"/>
      <x:c r="C99" s="465"/>
      <x:c r="D99" s="465"/>
      <x:c r="E99" s="465"/>
      <x:c r="F99" s="465"/>
      <x:c r="G99" s="465"/>
      <x:c r="H99" s="465"/>
      <x:c r="I99" s="465"/>
      <x:c r="J99" s="465"/>
      <x:c r="K99" s="465"/>
      <x:c r="L99" s="465"/>
      <x:c r="M99" s="465"/>
      <x:c r="N99" s="465"/>
      <x:c r="O99" s="465"/>
      <x:c r="P99" s="465"/>
      <x:c r="Q99" s="465"/>
      <x:c r="R99" s="465"/>
      <x:c r="S99" s="465"/>
      <x:c r="T99" s="465"/>
      <x:c r="U99" s="465"/>
      <x:c r="V99" s="465"/>
      <x:c r="W99" s="465"/>
      <x:c r="X99" s="465"/>
      <x:c r="Y99" s="465"/>
      <x:c r="Z99" s="465"/>
    </x:row>
    <x:row r="100">
      <x:c r="A100" s="465"/>
      <x:c r="B100" s="465"/>
      <x:c r="C100" s="465"/>
      <x:c r="D100" s="465"/>
      <x:c r="E100" s="465"/>
      <x:c r="F100" s="465"/>
      <x:c r="G100" s="465"/>
      <x:c r="H100" s="465"/>
      <x:c r="I100" s="465"/>
      <x:c r="J100" s="465"/>
      <x:c r="K100" s="465"/>
      <x:c r="L100" s="465"/>
      <x:c r="M100" s="465"/>
      <x:c r="N100" s="465"/>
      <x:c r="O100" s="465"/>
      <x:c r="P100" s="465"/>
      <x:c r="Q100" s="465"/>
      <x:c r="R100" s="465"/>
      <x:c r="S100" s="465"/>
      <x:c r="T100" s="465"/>
      <x:c r="U100" s="465"/>
      <x:c r="V100" s="465"/>
      <x:c r="W100" s="465"/>
      <x:c r="X100" s="465"/>
      <x:c r="Y100" s="465"/>
      <x:c r="Z100" s="465"/>
    </x:row>
    <x:row r="101">
      <x:c r="A101" s="465"/>
      <x:c r="B101" s="465"/>
      <x:c r="C101" s="465"/>
      <x:c r="D101" s="465"/>
      <x:c r="E101" s="465"/>
      <x:c r="F101" s="465"/>
      <x:c r="G101" s="465"/>
      <x:c r="H101" s="465"/>
      <x:c r="I101" s="465"/>
      <x:c r="J101" s="465"/>
      <x:c r="K101" s="465"/>
      <x:c r="L101" s="465"/>
      <x:c r="M101" s="465"/>
      <x:c r="N101" s="465"/>
      <x:c r="O101" s="465"/>
      <x:c r="P101" s="465"/>
      <x:c r="Q101" s="465"/>
      <x:c r="R101" s="465"/>
      <x:c r="S101" s="465"/>
      <x:c r="T101" s="465"/>
      <x:c r="U101" s="465"/>
      <x:c r="V101" s="465"/>
      <x:c r="W101" s="465"/>
      <x:c r="X101" s="465"/>
      <x:c r="Y101" s="465"/>
      <x:c r="Z101" s="465"/>
    </x:row>
    <x:row r="102">
      <x:c r="A102" s="465"/>
      <x:c r="B102" s="465"/>
      <x:c r="C102" s="465"/>
      <x:c r="D102" s="465"/>
      <x:c r="E102" s="465"/>
      <x:c r="F102" s="465"/>
      <x:c r="G102" s="465"/>
      <x:c r="H102" s="465"/>
      <x:c r="I102" s="465"/>
      <x:c r="J102" s="465"/>
      <x:c r="K102" s="465"/>
      <x:c r="L102" s="465"/>
      <x:c r="M102" s="465"/>
      <x:c r="N102" s="465"/>
      <x:c r="O102" s="465"/>
      <x:c r="P102" s="465"/>
      <x:c r="Q102" s="465"/>
      <x:c r="R102" s="465"/>
      <x:c r="S102" s="465"/>
      <x:c r="T102" s="465"/>
      <x:c r="U102" s="465"/>
      <x:c r="V102" s="465"/>
      <x:c r="W102" s="465"/>
      <x:c r="X102" s="465"/>
      <x:c r="Y102" s="465"/>
      <x:c r="Z102" s="465"/>
    </x:row>
    <x:row r="103">
      <x:c r="A103" s="465"/>
      <x:c r="B103" s="465"/>
      <x:c r="C103" s="465"/>
      <x:c r="D103" s="465"/>
      <x:c r="E103" s="465"/>
      <x:c r="F103" s="465"/>
      <x:c r="G103" s="465"/>
      <x:c r="H103" s="465"/>
      <x:c r="I103" s="465"/>
      <x:c r="J103" s="465"/>
      <x:c r="K103" s="465"/>
      <x:c r="L103" s="465"/>
      <x:c r="M103" s="465"/>
      <x:c r="N103" s="465"/>
      <x:c r="O103" s="465"/>
      <x:c r="P103" s="465"/>
      <x:c r="Q103" s="465"/>
      <x:c r="R103" s="465"/>
      <x:c r="S103" s="465"/>
      <x:c r="T103" s="465"/>
      <x:c r="U103" s="465"/>
      <x:c r="V103" s="465"/>
      <x:c r="W103" s="465"/>
      <x:c r="X103" s="465"/>
      <x:c r="Y103" s="465"/>
      <x:c r="Z103" s="465"/>
    </x:row>
    <x:row r="104">
      <x:c r="A104" s="465"/>
      <x:c r="B104" s="465"/>
      <x:c r="C104" s="465"/>
      <x:c r="D104" s="465"/>
      <x:c r="E104" s="465"/>
      <x:c r="F104" s="465"/>
      <x:c r="G104" s="465"/>
      <x:c r="H104" s="465"/>
      <x:c r="I104" s="465"/>
      <x:c r="J104" s="465"/>
      <x:c r="K104" s="465"/>
      <x:c r="L104" s="465"/>
      <x:c r="M104" s="465"/>
      <x:c r="N104" s="465"/>
      <x:c r="O104" s="465"/>
      <x:c r="P104" s="465"/>
      <x:c r="Q104" s="465"/>
      <x:c r="R104" s="465"/>
      <x:c r="S104" s="465"/>
      <x:c r="T104" s="465"/>
      <x:c r="U104" s="465"/>
      <x:c r="V104" s="465"/>
      <x:c r="W104" s="465"/>
      <x:c r="X104" s="465"/>
      <x:c r="Y104" s="465"/>
      <x:c r="Z104" s="465"/>
    </x:row>
    <x:row r="105">
      <x:c r="A105" s="465"/>
      <x:c r="B105" s="465"/>
      <x:c r="C105" s="465"/>
      <x:c r="D105" s="465"/>
      <x:c r="E105" s="465"/>
      <x:c r="F105" s="465"/>
      <x:c r="G105" s="465"/>
      <x:c r="H105" s="465"/>
      <x:c r="I105" s="465"/>
      <x:c r="J105" s="465"/>
      <x:c r="K105" s="465"/>
      <x:c r="L105" s="465"/>
      <x:c r="M105" s="465"/>
      <x:c r="N105" s="465"/>
      <x:c r="O105" s="465"/>
      <x:c r="P105" s="465"/>
      <x:c r="Q105" s="465"/>
      <x:c r="R105" s="465"/>
      <x:c r="S105" s="465"/>
      <x:c r="T105" s="465"/>
      <x:c r="U105" s="465"/>
      <x:c r="V105" s="465"/>
      <x:c r="W105" s="465"/>
      <x:c r="X105" s="465"/>
      <x:c r="Y105" s="465"/>
      <x:c r="Z105" s="465"/>
    </x:row>
    <x:row r="106">
      <x:c r="A106" s="465"/>
      <x:c r="B106" s="465"/>
      <x:c r="C106" s="465"/>
      <x:c r="D106" s="465"/>
      <x:c r="E106" s="465"/>
      <x:c r="F106" s="465"/>
      <x:c r="G106" s="465"/>
      <x:c r="H106" s="465"/>
      <x:c r="I106" s="465"/>
      <x:c r="J106" s="465"/>
      <x:c r="K106" s="465"/>
      <x:c r="L106" s="465"/>
      <x:c r="M106" s="465"/>
      <x:c r="N106" s="465"/>
      <x:c r="O106" s="465"/>
      <x:c r="P106" s="465"/>
      <x:c r="Q106" s="465"/>
      <x:c r="R106" s="465"/>
      <x:c r="S106" s="465"/>
      <x:c r="T106" s="465"/>
      <x:c r="U106" s="465"/>
      <x:c r="V106" s="465"/>
      <x:c r="W106" s="465"/>
      <x:c r="X106" s="465"/>
      <x:c r="Y106" s="465"/>
      <x:c r="Z106" s="465"/>
    </x:row>
    <x:row r="107">
      <x:c r="A107" s="465"/>
      <x:c r="B107" s="465"/>
      <x:c r="C107" s="465"/>
      <x:c r="D107" s="465"/>
      <x:c r="E107" s="465"/>
      <x:c r="F107" s="465"/>
      <x:c r="G107" s="465"/>
      <x:c r="H107" s="465"/>
      <x:c r="I107" s="465"/>
      <x:c r="J107" s="465"/>
      <x:c r="K107" s="465"/>
      <x:c r="L107" s="465"/>
      <x:c r="M107" s="465"/>
      <x:c r="N107" s="465"/>
      <x:c r="O107" s="465"/>
      <x:c r="P107" s="465"/>
      <x:c r="Q107" s="465"/>
      <x:c r="R107" s="465"/>
      <x:c r="S107" s="465"/>
      <x:c r="T107" s="465"/>
      <x:c r="U107" s="465"/>
      <x:c r="V107" s="465"/>
      <x:c r="W107" s="465"/>
      <x:c r="X107" s="465"/>
      <x:c r="Y107" s="465"/>
      <x:c r="Z107" s="465"/>
    </x:row>
    <x:row r="108">
      <x:c r="A108" s="465"/>
      <x:c r="B108" s="465"/>
      <x:c r="C108" s="465"/>
      <x:c r="D108" s="465"/>
      <x:c r="E108" s="465"/>
      <x:c r="F108" s="465"/>
      <x:c r="G108" s="465"/>
      <x:c r="H108" s="465"/>
      <x:c r="I108" s="465"/>
      <x:c r="J108" s="465"/>
      <x:c r="K108" s="465"/>
      <x:c r="L108" s="465"/>
      <x:c r="M108" s="465"/>
      <x:c r="N108" s="465"/>
      <x:c r="O108" s="465"/>
      <x:c r="P108" s="465"/>
      <x:c r="Q108" s="465"/>
      <x:c r="R108" s="465"/>
      <x:c r="S108" s="465"/>
      <x:c r="T108" s="465"/>
      <x:c r="U108" s="465"/>
      <x:c r="V108" s="465"/>
      <x:c r="W108" s="465"/>
      <x:c r="X108" s="465"/>
      <x:c r="Y108" s="465"/>
      <x:c r="Z108" s="465"/>
    </x:row>
    <x:row r="109">
      <x:c r="A109" s="465"/>
      <x:c r="B109" s="465"/>
      <x:c r="C109" s="465"/>
      <x:c r="D109" s="465"/>
      <x:c r="E109" s="465"/>
      <x:c r="F109" s="465"/>
      <x:c r="G109" s="465"/>
      <x:c r="H109" s="465"/>
      <x:c r="I109" s="465"/>
      <x:c r="J109" s="465"/>
      <x:c r="K109" s="465"/>
      <x:c r="L109" s="465"/>
      <x:c r="M109" s="465"/>
      <x:c r="N109" s="465"/>
      <x:c r="O109" s="465"/>
      <x:c r="P109" s="465"/>
      <x:c r="Q109" s="465"/>
      <x:c r="R109" s="465"/>
      <x:c r="S109" s="465"/>
      <x:c r="T109" s="465"/>
      <x:c r="U109" s="465"/>
      <x:c r="V109" s="465"/>
      <x:c r="W109" s="465"/>
      <x:c r="X109" s="465"/>
      <x:c r="Y109" s="465"/>
      <x:c r="Z109" s="465"/>
    </x:row>
    <x:row r="110">
      <x:c r="A110" s="465"/>
      <x:c r="B110" s="465"/>
      <x:c r="C110" s="465"/>
      <x:c r="D110" s="465"/>
      <x:c r="E110" s="465"/>
      <x:c r="F110" s="465"/>
      <x:c r="G110" s="465"/>
      <x:c r="H110" s="465"/>
      <x:c r="I110" s="465"/>
      <x:c r="J110" s="465"/>
      <x:c r="K110" s="465"/>
      <x:c r="L110" s="465"/>
      <x:c r="M110" s="465"/>
      <x:c r="N110" s="465"/>
      <x:c r="O110" s="465"/>
      <x:c r="P110" s="465"/>
      <x:c r="Q110" s="465"/>
      <x:c r="R110" s="465"/>
      <x:c r="S110" s="465"/>
      <x:c r="T110" s="465"/>
      <x:c r="U110" s="465"/>
      <x:c r="V110" s="465"/>
      <x:c r="W110" s="465"/>
      <x:c r="X110" s="465"/>
      <x:c r="Y110" s="465"/>
      <x:c r="Z110" s="465"/>
    </x:row>
    <x:row r="111">
      <x:c r="A111" s="465"/>
      <x:c r="B111" s="465"/>
      <x:c r="C111" s="465"/>
      <x:c r="D111" s="465"/>
      <x:c r="E111" s="465"/>
      <x:c r="F111" s="465"/>
      <x:c r="G111" s="465"/>
      <x:c r="H111" s="465"/>
      <x:c r="I111" s="465"/>
      <x:c r="J111" s="465"/>
      <x:c r="K111" s="465"/>
      <x:c r="L111" s="465"/>
      <x:c r="M111" s="465"/>
      <x:c r="N111" s="465"/>
      <x:c r="O111" s="465"/>
      <x:c r="P111" s="465"/>
      <x:c r="Q111" s="465"/>
      <x:c r="R111" s="465"/>
      <x:c r="S111" s="465"/>
      <x:c r="T111" s="465"/>
      <x:c r="U111" s="465"/>
      <x:c r="V111" s="465"/>
      <x:c r="W111" s="465"/>
      <x:c r="X111" s="465"/>
      <x:c r="Y111" s="465"/>
      <x:c r="Z111" s="465"/>
    </x:row>
    <x:row r="112">
      <x:c r="A112" s="465"/>
      <x:c r="B112" s="465"/>
      <x:c r="C112" s="465"/>
      <x:c r="D112" s="465"/>
      <x:c r="E112" s="465"/>
      <x:c r="F112" s="465"/>
      <x:c r="G112" s="465"/>
      <x:c r="H112" s="465"/>
      <x:c r="I112" s="465"/>
      <x:c r="J112" s="465"/>
      <x:c r="K112" s="465"/>
      <x:c r="L112" s="465"/>
      <x:c r="M112" s="465"/>
      <x:c r="N112" s="465"/>
      <x:c r="O112" s="465"/>
      <x:c r="P112" s="465"/>
      <x:c r="Q112" s="465"/>
      <x:c r="R112" s="465"/>
      <x:c r="S112" s="465"/>
      <x:c r="T112" s="465"/>
      <x:c r="U112" s="465"/>
      <x:c r="V112" s="465"/>
      <x:c r="W112" s="465"/>
      <x:c r="X112" s="465"/>
      <x:c r="Y112" s="465"/>
      <x:c r="Z112" s="465"/>
    </x:row>
    <x:row r="113">
      <x:c r="A113" s="465"/>
      <x:c r="B113" s="465"/>
      <x:c r="C113" s="465"/>
      <x:c r="D113" s="465"/>
      <x:c r="E113" s="465"/>
      <x:c r="F113" s="465"/>
      <x:c r="G113" s="465"/>
      <x:c r="H113" s="465"/>
      <x:c r="I113" s="465"/>
      <x:c r="J113" s="465"/>
      <x:c r="K113" s="465"/>
      <x:c r="L113" s="465"/>
      <x:c r="M113" s="465"/>
      <x:c r="N113" s="465"/>
      <x:c r="O113" s="465"/>
      <x:c r="P113" s="465"/>
      <x:c r="Q113" s="465"/>
      <x:c r="R113" s="465"/>
      <x:c r="S113" s="465"/>
      <x:c r="T113" s="465"/>
      <x:c r="U113" s="465"/>
      <x:c r="V113" s="465"/>
      <x:c r="W113" s="465"/>
      <x:c r="X113" s="465"/>
      <x:c r="Y113" s="465"/>
      <x:c r="Z113" s="465"/>
    </x:row>
    <x:row r="114">
      <x:c r="A114" s="465"/>
      <x:c r="B114" s="465"/>
      <x:c r="C114" s="465"/>
      <x:c r="D114" s="465"/>
      <x:c r="E114" s="465"/>
      <x:c r="F114" s="465"/>
      <x:c r="G114" s="465"/>
      <x:c r="H114" s="465"/>
      <x:c r="I114" s="465"/>
      <x:c r="J114" s="465"/>
      <x:c r="K114" s="465"/>
      <x:c r="L114" s="465"/>
      <x:c r="M114" s="465"/>
      <x:c r="N114" s="465"/>
      <x:c r="O114" s="465"/>
      <x:c r="P114" s="465"/>
      <x:c r="Q114" s="465"/>
      <x:c r="R114" s="465"/>
      <x:c r="S114" s="465"/>
      <x:c r="T114" s="465"/>
      <x:c r="U114" s="465"/>
      <x:c r="V114" s="465"/>
      <x:c r="W114" s="465"/>
      <x:c r="X114" s="465"/>
      <x:c r="Y114" s="465"/>
      <x:c r="Z114" s="465"/>
    </x:row>
    <x:row r="115">
      <x:c r="A115" s="465"/>
      <x:c r="B115" s="465"/>
      <x:c r="C115" s="465"/>
      <x:c r="D115" s="465"/>
      <x:c r="E115" s="465"/>
      <x:c r="F115" s="465"/>
      <x:c r="G115" s="465"/>
      <x:c r="H115" s="465"/>
      <x:c r="I115" s="465"/>
      <x:c r="J115" s="465"/>
      <x:c r="K115" s="465"/>
      <x:c r="L115" s="465"/>
      <x:c r="M115" s="465"/>
      <x:c r="N115" s="465"/>
      <x:c r="O115" s="465"/>
      <x:c r="P115" s="465"/>
      <x:c r="Q115" s="465"/>
      <x:c r="R115" s="465"/>
      <x:c r="S115" s="465"/>
      <x:c r="T115" s="465"/>
      <x:c r="U115" s="465"/>
      <x:c r="V115" s="465"/>
      <x:c r="W115" s="465"/>
      <x:c r="X115" s="465"/>
      <x:c r="Y115" s="465"/>
      <x:c r="Z115" s="465"/>
    </x:row>
    <x:row r="116">
      <x:c r="A116" s="465"/>
      <x:c r="B116" s="465"/>
      <x:c r="C116" s="465"/>
      <x:c r="D116" s="465"/>
      <x:c r="E116" s="465"/>
      <x:c r="F116" s="465"/>
      <x:c r="G116" s="465"/>
      <x:c r="H116" s="465"/>
      <x:c r="I116" s="465"/>
      <x:c r="J116" s="465"/>
      <x:c r="K116" s="465"/>
      <x:c r="L116" s="465"/>
      <x:c r="M116" s="465"/>
      <x:c r="N116" s="465"/>
      <x:c r="O116" s="465"/>
      <x:c r="P116" s="465"/>
      <x:c r="Q116" s="465"/>
      <x:c r="R116" s="465"/>
      <x:c r="S116" s="465"/>
      <x:c r="T116" s="465"/>
      <x:c r="U116" s="465"/>
      <x:c r="V116" s="465"/>
      <x:c r="W116" s="465"/>
      <x:c r="X116" s="465"/>
      <x:c r="Y116" s="465"/>
      <x:c r="Z116" s="465"/>
    </x:row>
    <x:row r="117">
      <x:c r="A117" s="465"/>
      <x:c r="B117" s="465"/>
      <x:c r="C117" s="465"/>
      <x:c r="D117" s="465"/>
      <x:c r="E117" s="465"/>
      <x:c r="F117" s="465"/>
      <x:c r="G117" s="465"/>
      <x:c r="H117" s="465"/>
      <x:c r="I117" s="465"/>
      <x:c r="J117" s="465"/>
      <x:c r="K117" s="465"/>
      <x:c r="L117" s="465"/>
      <x:c r="M117" s="465"/>
      <x:c r="N117" s="465"/>
      <x:c r="O117" s="465"/>
      <x:c r="P117" s="465"/>
      <x:c r="Q117" s="465"/>
      <x:c r="R117" s="465"/>
      <x:c r="S117" s="465"/>
      <x:c r="T117" s="465"/>
      <x:c r="U117" s="465"/>
      <x:c r="V117" s="465"/>
      <x:c r="W117" s="465"/>
      <x:c r="X117" s="465"/>
      <x:c r="Y117" s="465"/>
      <x:c r="Z117" s="465"/>
    </x:row>
    <x:row r="118">
      <x:c r="A118" s="465"/>
      <x:c r="B118" s="465"/>
      <x:c r="C118" s="465"/>
      <x:c r="D118" s="465"/>
      <x:c r="E118" s="465"/>
      <x:c r="F118" s="465"/>
      <x:c r="G118" s="465"/>
      <x:c r="H118" s="465"/>
      <x:c r="I118" s="465"/>
      <x:c r="J118" s="465"/>
      <x:c r="K118" s="465"/>
      <x:c r="L118" s="465"/>
      <x:c r="M118" s="465"/>
      <x:c r="N118" s="465"/>
      <x:c r="O118" s="465"/>
      <x:c r="P118" s="465"/>
      <x:c r="Q118" s="465"/>
      <x:c r="R118" s="465"/>
      <x:c r="S118" s="465"/>
      <x:c r="T118" s="465"/>
      <x:c r="U118" s="465"/>
      <x:c r="V118" s="465"/>
      <x:c r="W118" s="465"/>
      <x:c r="X118" s="465"/>
      <x:c r="Y118" s="465"/>
      <x:c r="Z118" s="465"/>
    </x:row>
    <x:row r="119">
      <x:c r="A119" s="465"/>
      <x:c r="B119" s="465"/>
      <x:c r="C119" s="465"/>
      <x:c r="D119" s="465"/>
      <x:c r="E119" s="465"/>
      <x:c r="F119" s="465"/>
      <x:c r="G119" s="465"/>
      <x:c r="H119" s="465"/>
      <x:c r="I119" s="465"/>
      <x:c r="J119" s="465"/>
      <x:c r="K119" s="465"/>
      <x:c r="L119" s="465"/>
      <x:c r="M119" s="465"/>
      <x:c r="N119" s="465"/>
      <x:c r="O119" s="465"/>
      <x:c r="P119" s="465"/>
      <x:c r="Q119" s="465"/>
      <x:c r="R119" s="465"/>
      <x:c r="S119" s="465"/>
      <x:c r="T119" s="465"/>
      <x:c r="U119" s="465"/>
      <x:c r="V119" s="465"/>
      <x:c r="W119" s="465"/>
      <x:c r="X119" s="465"/>
      <x:c r="Y119" s="465"/>
      <x:c r="Z119" s="465"/>
    </x:row>
    <x:row r="120">
      <x:c r="A120" s="465"/>
      <x:c r="B120" s="465"/>
      <x:c r="C120" s="465"/>
      <x:c r="D120" s="465"/>
      <x:c r="E120" s="465"/>
      <x:c r="F120" s="465"/>
      <x:c r="G120" s="465"/>
      <x:c r="H120" s="465"/>
      <x:c r="I120" s="465"/>
      <x:c r="J120" s="465"/>
      <x:c r="K120" s="465"/>
      <x:c r="L120" s="465"/>
      <x:c r="M120" s="465"/>
      <x:c r="N120" s="465"/>
      <x:c r="O120" s="465"/>
      <x:c r="P120" s="465"/>
      <x:c r="Q120" s="465"/>
      <x:c r="R120" s="465"/>
      <x:c r="S120" s="465"/>
      <x:c r="T120" s="465"/>
      <x:c r="U120" s="465"/>
      <x:c r="V120" s="465"/>
      <x:c r="W120" s="465"/>
      <x:c r="X120" s="465"/>
      <x:c r="Y120" s="465"/>
      <x:c r="Z120" s="465"/>
    </x:row>
    <x:row r="121">
      <x:c r="A121" s="465"/>
      <x:c r="B121" s="465"/>
      <x:c r="C121" s="465"/>
      <x:c r="D121" s="465"/>
      <x:c r="E121" s="465"/>
      <x:c r="F121" s="465"/>
      <x:c r="G121" s="465"/>
      <x:c r="H121" s="465"/>
      <x:c r="I121" s="465"/>
      <x:c r="J121" s="465"/>
      <x:c r="K121" s="465"/>
      <x:c r="L121" s="465"/>
      <x:c r="M121" s="465"/>
      <x:c r="N121" s="465"/>
      <x:c r="O121" s="465"/>
      <x:c r="P121" s="465"/>
      <x:c r="Q121" s="465"/>
      <x:c r="R121" s="465"/>
      <x:c r="S121" s="465"/>
      <x:c r="T121" s="465"/>
      <x:c r="U121" s="465"/>
      <x:c r="V121" s="465"/>
      <x:c r="W121" s="465"/>
      <x:c r="X121" s="465"/>
      <x:c r="Y121" s="465"/>
      <x:c r="Z121" s="465"/>
    </x:row>
    <x:row r="122">
      <x:c r="A122" s="465"/>
      <x:c r="B122" s="465"/>
      <x:c r="C122" s="465"/>
      <x:c r="D122" s="465"/>
      <x:c r="E122" s="465"/>
      <x:c r="F122" s="465"/>
      <x:c r="G122" s="465"/>
      <x:c r="H122" s="465"/>
      <x:c r="I122" s="465"/>
      <x:c r="J122" s="465"/>
      <x:c r="K122" s="465"/>
      <x:c r="L122" s="465"/>
      <x:c r="M122" s="465"/>
      <x:c r="N122" s="465"/>
      <x:c r="O122" s="465"/>
      <x:c r="P122" s="465"/>
      <x:c r="Q122" s="465"/>
      <x:c r="R122" s="465"/>
      <x:c r="S122" s="465"/>
      <x:c r="T122" s="465"/>
      <x:c r="U122" s="465"/>
      <x:c r="V122" s="465"/>
      <x:c r="W122" s="465"/>
      <x:c r="X122" s="465"/>
      <x:c r="Y122" s="465"/>
      <x:c r="Z122" s="465"/>
    </x:row>
    <x:row r="123">
      <x:c r="A123" s="465"/>
      <x:c r="B123" s="465"/>
      <x:c r="C123" s="465"/>
      <x:c r="D123" s="465"/>
      <x:c r="E123" s="465"/>
      <x:c r="F123" s="465"/>
      <x:c r="G123" s="465"/>
      <x:c r="H123" s="465"/>
      <x:c r="I123" s="465"/>
      <x:c r="J123" s="465"/>
      <x:c r="K123" s="465"/>
      <x:c r="L123" s="465"/>
      <x:c r="M123" s="465"/>
      <x:c r="N123" s="465"/>
      <x:c r="O123" s="465"/>
      <x:c r="P123" s="465"/>
      <x:c r="Q123" s="465"/>
      <x:c r="R123" s="465"/>
      <x:c r="S123" s="465"/>
      <x:c r="T123" s="465"/>
      <x:c r="U123" s="465"/>
      <x:c r="V123" s="465"/>
      <x:c r="W123" s="465"/>
      <x:c r="X123" s="465"/>
      <x:c r="Y123" s="465"/>
      <x:c r="Z123" s="465"/>
    </x:row>
    <x:row r="124">
      <x:c r="A124" s="465"/>
      <x:c r="B124" s="465"/>
      <x:c r="C124" s="465"/>
      <x:c r="D124" s="465"/>
      <x:c r="E124" s="465"/>
      <x:c r="F124" s="465"/>
      <x:c r="G124" s="465"/>
      <x:c r="H124" s="465"/>
      <x:c r="I124" s="465"/>
      <x:c r="J124" s="465"/>
      <x:c r="K124" s="465"/>
      <x:c r="L124" s="465"/>
      <x:c r="M124" s="465"/>
      <x:c r="N124" s="465"/>
      <x:c r="O124" s="465"/>
      <x:c r="P124" s="465"/>
      <x:c r="Q124" s="465"/>
      <x:c r="R124" s="465"/>
      <x:c r="S124" s="465"/>
      <x:c r="T124" s="465"/>
      <x:c r="U124" s="465"/>
      <x:c r="V124" s="465"/>
      <x:c r="W124" s="465"/>
      <x:c r="X124" s="465"/>
      <x:c r="Y124" s="465"/>
      <x:c r="Z124" s="465"/>
    </x:row>
    <x:row r="125">
      <x:c r="A125" s="465"/>
      <x:c r="B125" s="465"/>
      <x:c r="C125" s="465"/>
      <x:c r="D125" s="465"/>
      <x:c r="E125" s="465"/>
      <x:c r="F125" s="465"/>
      <x:c r="G125" s="465"/>
      <x:c r="H125" s="465"/>
      <x:c r="I125" s="465"/>
      <x:c r="J125" s="465"/>
      <x:c r="K125" s="465"/>
      <x:c r="L125" s="465"/>
      <x:c r="M125" s="465"/>
      <x:c r="N125" s="465"/>
      <x:c r="O125" s="465"/>
      <x:c r="P125" s="465"/>
      <x:c r="Q125" s="465"/>
      <x:c r="R125" s="465"/>
      <x:c r="S125" s="465"/>
      <x:c r="T125" s="465"/>
      <x:c r="U125" s="465"/>
      <x:c r="V125" s="465"/>
      <x:c r="W125" s="465"/>
      <x:c r="X125" s="465"/>
      <x:c r="Y125" s="465"/>
      <x:c r="Z125" s="465"/>
    </x:row>
    <x:row r="126">
      <x:c r="A126" s="465"/>
      <x:c r="B126" s="465"/>
      <x:c r="C126" s="465"/>
      <x:c r="D126" s="465"/>
      <x:c r="E126" s="465"/>
      <x:c r="F126" s="465"/>
      <x:c r="G126" s="465"/>
      <x:c r="H126" s="465"/>
      <x:c r="I126" s="465"/>
      <x:c r="J126" s="465"/>
      <x:c r="K126" s="465"/>
      <x:c r="L126" s="465"/>
      <x:c r="M126" s="465"/>
      <x:c r="N126" s="465"/>
      <x:c r="O126" s="465"/>
      <x:c r="P126" s="465"/>
      <x:c r="Q126" s="465"/>
      <x:c r="R126" s="465"/>
      <x:c r="S126" s="465"/>
      <x:c r="T126" s="465"/>
      <x:c r="U126" s="465"/>
      <x:c r="V126" s="465"/>
      <x:c r="W126" s="465"/>
      <x:c r="X126" s="465"/>
      <x:c r="Y126" s="465"/>
      <x:c r="Z126" s="465"/>
    </x:row>
    <x:row r="127">
      <x:c r="A127" s="465"/>
      <x:c r="B127" s="465"/>
      <x:c r="C127" s="465"/>
      <x:c r="D127" s="465"/>
      <x:c r="E127" s="465"/>
      <x:c r="F127" s="465"/>
      <x:c r="G127" s="465"/>
      <x:c r="H127" s="465"/>
      <x:c r="I127" s="465"/>
      <x:c r="J127" s="465"/>
      <x:c r="K127" s="465"/>
      <x:c r="L127" s="465"/>
      <x:c r="M127" s="465"/>
      <x:c r="N127" s="465"/>
      <x:c r="O127" s="465"/>
      <x:c r="P127" s="465"/>
      <x:c r="Q127" s="465"/>
      <x:c r="R127" s="465"/>
      <x:c r="S127" s="465"/>
      <x:c r="T127" s="465"/>
      <x:c r="U127" s="465"/>
      <x:c r="V127" s="465"/>
      <x:c r="W127" s="465"/>
      <x:c r="X127" s="465"/>
      <x:c r="Y127" s="465"/>
      <x:c r="Z127" s="465"/>
    </x:row>
    <x:row r="128">
      <x:c r="A128" s="465"/>
      <x:c r="B128" s="465"/>
      <x:c r="C128" s="465"/>
      <x:c r="D128" s="465"/>
      <x:c r="E128" s="465"/>
      <x:c r="F128" s="465"/>
      <x:c r="G128" s="465"/>
      <x:c r="H128" s="465"/>
      <x:c r="I128" s="465"/>
      <x:c r="J128" s="465"/>
      <x:c r="K128" s="465"/>
      <x:c r="L128" s="465"/>
      <x:c r="M128" s="465"/>
      <x:c r="N128" s="465"/>
      <x:c r="O128" s="465"/>
      <x:c r="P128" s="465"/>
      <x:c r="Q128" s="465"/>
      <x:c r="R128" s="465"/>
      <x:c r="S128" s="465"/>
      <x:c r="T128" s="465"/>
      <x:c r="U128" s="465"/>
      <x:c r="V128" s="465"/>
      <x:c r="W128" s="465"/>
      <x:c r="X128" s="465"/>
      <x:c r="Y128" s="465"/>
      <x:c r="Z128" s="465"/>
    </x:row>
    <x:row r="129">
      <x:c r="A129" s="465"/>
      <x:c r="B129" s="465"/>
      <x:c r="C129" s="465"/>
      <x:c r="D129" s="465"/>
      <x:c r="E129" s="465"/>
      <x:c r="F129" s="465"/>
      <x:c r="G129" s="465"/>
      <x:c r="H129" s="465"/>
      <x:c r="I129" s="465"/>
      <x:c r="J129" s="465"/>
      <x:c r="K129" s="465"/>
      <x:c r="L129" s="465"/>
      <x:c r="M129" s="465"/>
      <x:c r="N129" s="465"/>
      <x:c r="O129" s="465"/>
      <x:c r="P129" s="465"/>
      <x:c r="Q129" s="465"/>
      <x:c r="R129" s="465"/>
      <x:c r="S129" s="465"/>
      <x:c r="T129" s="465"/>
      <x:c r="U129" s="465"/>
      <x:c r="V129" s="465"/>
      <x:c r="W129" s="465"/>
      <x:c r="X129" s="465"/>
      <x:c r="Y129" s="465"/>
      <x:c r="Z129" s="465"/>
    </x:row>
    <x:row r="130">
      <x:c r="A130" s="465"/>
      <x:c r="B130" s="465"/>
      <x:c r="C130" s="465"/>
      <x:c r="D130" s="465"/>
      <x:c r="E130" s="465"/>
      <x:c r="F130" s="465"/>
      <x:c r="G130" s="465"/>
      <x:c r="H130" s="465"/>
      <x:c r="I130" s="465"/>
      <x:c r="J130" s="465"/>
      <x:c r="K130" s="465"/>
      <x:c r="L130" s="465"/>
      <x:c r="M130" s="465"/>
      <x:c r="N130" s="465"/>
      <x:c r="O130" s="465"/>
      <x:c r="P130" s="465"/>
      <x:c r="Q130" s="465"/>
      <x:c r="R130" s="465"/>
      <x:c r="S130" s="465"/>
      <x:c r="T130" s="465"/>
      <x:c r="U130" s="465"/>
      <x:c r="V130" s="465"/>
      <x:c r="W130" s="465"/>
      <x:c r="X130" s="465"/>
      <x:c r="Y130" s="465"/>
      <x:c r="Z130" s="465"/>
    </x:row>
    <x:row r="131">
      <x:c r="A131" s="465"/>
      <x:c r="B131" s="465"/>
      <x:c r="C131" s="465"/>
      <x:c r="D131" s="465"/>
      <x:c r="E131" s="465"/>
      <x:c r="F131" s="465"/>
      <x:c r="G131" s="465"/>
      <x:c r="H131" s="465"/>
      <x:c r="I131" s="465"/>
      <x:c r="J131" s="465"/>
      <x:c r="K131" s="465"/>
      <x:c r="L131" s="465"/>
      <x:c r="M131" s="465"/>
      <x:c r="N131" s="465"/>
      <x:c r="O131" s="465"/>
      <x:c r="P131" s="465"/>
      <x:c r="Q131" s="465"/>
      <x:c r="R131" s="465"/>
      <x:c r="S131" s="465"/>
      <x:c r="T131" s="465"/>
      <x:c r="U131" s="465"/>
      <x:c r="V131" s="465"/>
      <x:c r="W131" s="465"/>
      <x:c r="X131" s="465"/>
      <x:c r="Y131" s="465"/>
      <x:c r="Z131" s="465"/>
    </x:row>
    <x:row r="132">
      <x:c r="A132" s="465"/>
      <x:c r="B132" s="465"/>
      <x:c r="C132" s="465"/>
      <x:c r="D132" s="465"/>
      <x:c r="E132" s="465"/>
      <x:c r="F132" s="465"/>
      <x:c r="G132" s="465"/>
      <x:c r="H132" s="465"/>
      <x:c r="I132" s="465"/>
      <x:c r="J132" s="465"/>
      <x:c r="K132" s="465"/>
      <x:c r="L132" s="465"/>
      <x:c r="M132" s="465"/>
      <x:c r="N132" s="465"/>
      <x:c r="O132" s="465"/>
      <x:c r="P132" s="465"/>
      <x:c r="Q132" s="465"/>
      <x:c r="R132" s="465"/>
      <x:c r="S132" s="465"/>
      <x:c r="T132" s="465"/>
      <x:c r="U132" s="465"/>
      <x:c r="V132" s="465"/>
      <x:c r="W132" s="465"/>
      <x:c r="X132" s="465"/>
      <x:c r="Y132" s="465"/>
      <x:c r="Z132" s="465"/>
    </x:row>
    <x:row r="133">
      <x:c r="A133" s="465"/>
      <x:c r="B133" s="465"/>
      <x:c r="C133" s="465"/>
      <x:c r="D133" s="465"/>
      <x:c r="E133" s="465"/>
      <x:c r="F133" s="465"/>
      <x:c r="G133" s="465"/>
      <x:c r="H133" s="465"/>
      <x:c r="I133" s="465"/>
      <x:c r="J133" s="465"/>
      <x:c r="K133" s="465"/>
      <x:c r="L133" s="465"/>
      <x:c r="M133" s="465"/>
      <x:c r="N133" s="465"/>
      <x:c r="O133" s="465"/>
      <x:c r="P133" s="465"/>
      <x:c r="Q133" s="465"/>
      <x:c r="R133" s="465"/>
      <x:c r="S133" s="465"/>
      <x:c r="T133" s="465"/>
      <x:c r="U133" s="465"/>
      <x:c r="V133" s="465"/>
      <x:c r="W133" s="465"/>
      <x:c r="X133" s="465"/>
      <x:c r="Y133" s="465"/>
      <x:c r="Z133" s="465"/>
    </x:row>
    <x:row r="134">
      <x:c r="A134" s="465"/>
      <x:c r="B134" s="465"/>
      <x:c r="C134" s="465"/>
      <x:c r="D134" s="465"/>
      <x:c r="E134" s="465"/>
      <x:c r="F134" s="465"/>
      <x:c r="G134" s="465"/>
      <x:c r="H134" s="465"/>
      <x:c r="I134" s="465"/>
      <x:c r="J134" s="465"/>
      <x:c r="K134" s="465"/>
      <x:c r="L134" s="465"/>
      <x:c r="M134" s="465"/>
      <x:c r="N134" s="465"/>
      <x:c r="O134" s="465"/>
      <x:c r="P134" s="465"/>
      <x:c r="Q134" s="465"/>
      <x:c r="R134" s="465"/>
      <x:c r="S134" s="465"/>
      <x:c r="T134" s="465"/>
      <x:c r="U134" s="465"/>
      <x:c r="V134" s="465"/>
      <x:c r="W134" s="465"/>
      <x:c r="X134" s="465"/>
      <x:c r="Y134" s="465"/>
      <x:c r="Z134" s="465"/>
    </x:row>
    <x:row r="135">
      <x:c r="A135" s="465"/>
      <x:c r="B135" s="465"/>
      <x:c r="C135" s="465"/>
      <x:c r="D135" s="465"/>
      <x:c r="E135" s="465"/>
      <x:c r="F135" s="465"/>
      <x:c r="G135" s="465"/>
      <x:c r="H135" s="465"/>
      <x:c r="I135" s="465"/>
      <x:c r="J135" s="465"/>
      <x:c r="K135" s="465"/>
      <x:c r="L135" s="465"/>
      <x:c r="M135" s="465"/>
      <x:c r="N135" s="465"/>
      <x:c r="O135" s="465"/>
      <x:c r="P135" s="465"/>
      <x:c r="Q135" s="465"/>
      <x:c r="R135" s="465"/>
      <x:c r="S135" s="465"/>
      <x:c r="T135" s="465"/>
      <x:c r="U135" s="465"/>
      <x:c r="V135" s="465"/>
      <x:c r="W135" s="465"/>
      <x:c r="X135" s="465"/>
      <x:c r="Y135" s="465"/>
      <x:c r="Z135" s="465"/>
    </x:row>
    <x:row r="136">
      <x:c r="A136" s="465"/>
      <x:c r="B136" s="465"/>
      <x:c r="C136" s="465"/>
      <x:c r="D136" s="465"/>
      <x:c r="E136" s="465"/>
      <x:c r="F136" s="465"/>
      <x:c r="G136" s="465"/>
      <x:c r="H136" s="465"/>
      <x:c r="I136" s="465"/>
      <x:c r="J136" s="465"/>
      <x:c r="K136" s="465"/>
      <x:c r="L136" s="465"/>
      <x:c r="M136" s="465"/>
      <x:c r="N136" s="465"/>
      <x:c r="O136" s="465"/>
      <x:c r="P136" s="465"/>
      <x:c r="Q136" s="465"/>
      <x:c r="R136" s="465"/>
      <x:c r="S136" s="465"/>
      <x:c r="T136" s="465"/>
      <x:c r="U136" s="465"/>
      <x:c r="V136" s="465"/>
      <x:c r="W136" s="465"/>
      <x:c r="X136" s="465"/>
      <x:c r="Y136" s="465"/>
      <x:c r="Z136" s="465"/>
    </x:row>
    <x:row r="137">
      <x:c r="A137" s="465"/>
      <x:c r="B137" s="465"/>
      <x:c r="C137" s="465"/>
      <x:c r="D137" s="465"/>
      <x:c r="E137" s="465"/>
      <x:c r="F137" s="465"/>
      <x:c r="G137" s="465"/>
      <x:c r="H137" s="465"/>
      <x:c r="I137" s="465"/>
      <x:c r="J137" s="465"/>
      <x:c r="K137" s="465"/>
      <x:c r="L137" s="465"/>
      <x:c r="M137" s="465"/>
      <x:c r="N137" s="465"/>
      <x:c r="O137" s="465"/>
      <x:c r="P137" s="465"/>
      <x:c r="Q137" s="465"/>
      <x:c r="R137" s="465"/>
      <x:c r="S137" s="465"/>
      <x:c r="T137" s="465"/>
      <x:c r="U137" s="465"/>
      <x:c r="V137" s="465"/>
      <x:c r="W137" s="465"/>
      <x:c r="X137" s="465"/>
      <x:c r="Y137" s="465"/>
      <x:c r="Z137" s="465"/>
    </x:row>
    <x:row r="138">
      <x:c r="A138" s="465"/>
      <x:c r="B138" s="465"/>
      <x:c r="C138" s="465"/>
      <x:c r="D138" s="465"/>
      <x:c r="E138" s="465"/>
      <x:c r="F138" s="465"/>
      <x:c r="G138" s="465"/>
      <x:c r="H138" s="465"/>
      <x:c r="I138" s="465"/>
      <x:c r="J138" s="465"/>
      <x:c r="K138" s="465"/>
      <x:c r="L138" s="465"/>
      <x:c r="M138" s="465"/>
      <x:c r="N138" s="465"/>
      <x:c r="O138" s="465"/>
      <x:c r="P138" s="465"/>
      <x:c r="Q138" s="465"/>
      <x:c r="R138" s="465"/>
      <x:c r="S138" s="465"/>
      <x:c r="T138" s="465"/>
      <x:c r="U138" s="465"/>
      <x:c r="V138" s="465"/>
      <x:c r="W138" s="465"/>
      <x:c r="X138" s="465"/>
      <x:c r="Y138" s="465"/>
      <x:c r="Z138" s="465"/>
    </x:row>
    <x:row r="139">
      <x:c r="A139" s="465"/>
      <x:c r="B139" s="465"/>
      <x:c r="C139" s="465"/>
      <x:c r="D139" s="465"/>
      <x:c r="E139" s="465"/>
      <x:c r="F139" s="465"/>
      <x:c r="G139" s="465"/>
      <x:c r="H139" s="465"/>
      <x:c r="I139" s="465"/>
      <x:c r="J139" s="465"/>
      <x:c r="K139" s="465"/>
      <x:c r="L139" s="465"/>
      <x:c r="M139" s="465"/>
      <x:c r="N139" s="465"/>
      <x:c r="O139" s="465"/>
      <x:c r="P139" s="465"/>
      <x:c r="Q139" s="465"/>
      <x:c r="R139" s="465"/>
      <x:c r="S139" s="465"/>
      <x:c r="T139" s="465"/>
      <x:c r="U139" s="465"/>
      <x:c r="V139" s="465"/>
      <x:c r="W139" s="465"/>
      <x:c r="X139" s="465"/>
      <x:c r="Y139" s="465"/>
      <x:c r="Z139" s="465"/>
    </x:row>
    <x:row r="140">
      <x:c r="A140" s="465"/>
      <x:c r="B140" s="465"/>
      <x:c r="C140" s="465"/>
      <x:c r="D140" s="465"/>
      <x:c r="E140" s="465"/>
      <x:c r="F140" s="465"/>
      <x:c r="G140" s="465"/>
      <x:c r="H140" s="465"/>
      <x:c r="I140" s="465"/>
      <x:c r="J140" s="465"/>
      <x:c r="K140" s="465"/>
      <x:c r="L140" s="465"/>
      <x:c r="M140" s="465"/>
      <x:c r="N140" s="465"/>
      <x:c r="O140" s="465"/>
      <x:c r="P140" s="465"/>
      <x:c r="Q140" s="465"/>
      <x:c r="R140" s="465"/>
      <x:c r="S140" s="465"/>
      <x:c r="T140" s="465"/>
      <x:c r="U140" s="465"/>
      <x:c r="V140" s="465"/>
      <x:c r="W140" s="465"/>
      <x:c r="X140" s="465"/>
      <x:c r="Y140" s="465"/>
      <x:c r="Z140" s="465"/>
    </x:row>
    <x:row r="141">
      <x:c r="A141" s="465"/>
      <x:c r="B141" s="465"/>
      <x:c r="C141" s="465"/>
      <x:c r="D141" s="465"/>
      <x:c r="E141" s="465"/>
      <x:c r="F141" s="465"/>
      <x:c r="G141" s="465"/>
      <x:c r="H141" s="465"/>
      <x:c r="I141" s="465"/>
      <x:c r="J141" s="465"/>
      <x:c r="K141" s="465"/>
      <x:c r="L141" s="465"/>
      <x:c r="M141" s="465"/>
      <x:c r="N141" s="465"/>
      <x:c r="O141" s="465"/>
      <x:c r="P141" s="465"/>
      <x:c r="Q141" s="465"/>
      <x:c r="R141" s="465"/>
      <x:c r="S141" s="465"/>
      <x:c r="T141" s="465"/>
      <x:c r="U141" s="465"/>
      <x:c r="V141" s="465"/>
      <x:c r="W141" s="465"/>
      <x:c r="X141" s="465"/>
      <x:c r="Y141" s="465"/>
      <x:c r="Z141" s="465"/>
    </x:row>
    <x:row r="142">
      <x:c r="A142" s="465"/>
      <x:c r="B142" s="465"/>
      <x:c r="C142" s="465"/>
      <x:c r="D142" s="465"/>
      <x:c r="E142" s="465"/>
      <x:c r="F142" s="465"/>
      <x:c r="G142" s="465"/>
      <x:c r="H142" s="465"/>
      <x:c r="I142" s="465"/>
      <x:c r="J142" s="465"/>
      <x:c r="K142" s="465"/>
      <x:c r="L142" s="465"/>
      <x:c r="M142" s="465"/>
      <x:c r="N142" s="465"/>
      <x:c r="O142" s="465"/>
      <x:c r="P142" s="465"/>
      <x:c r="Q142" s="465"/>
      <x:c r="R142" s="465"/>
      <x:c r="S142" s="465"/>
      <x:c r="T142" s="465"/>
      <x:c r="U142" s="465"/>
      <x:c r="V142" s="465"/>
      <x:c r="W142" s="465"/>
      <x:c r="X142" s="465"/>
      <x:c r="Y142" s="465"/>
      <x:c r="Z142" s="465"/>
    </x:row>
    <x:row r="143">
      <x:c r="A143" s="465"/>
      <x:c r="B143" s="465"/>
      <x:c r="C143" s="465"/>
      <x:c r="D143" s="465"/>
      <x:c r="E143" s="465"/>
      <x:c r="F143" s="465"/>
      <x:c r="G143" s="465"/>
      <x:c r="H143" s="465"/>
      <x:c r="I143" s="465"/>
      <x:c r="J143" s="465"/>
      <x:c r="K143" s="465"/>
      <x:c r="L143" s="465"/>
      <x:c r="M143" s="465"/>
      <x:c r="N143" s="465"/>
      <x:c r="O143" s="465"/>
      <x:c r="P143" s="465"/>
      <x:c r="Q143" s="465"/>
      <x:c r="R143" s="465"/>
      <x:c r="S143" s="465"/>
      <x:c r="T143" s="465"/>
      <x:c r="U143" s="465"/>
      <x:c r="V143" s="465"/>
      <x:c r="W143" s="465"/>
      <x:c r="X143" s="465"/>
      <x:c r="Y143" s="465"/>
      <x:c r="Z143" s="465"/>
    </x:row>
    <x:row r="144">
      <x:c r="A144" s="465"/>
      <x:c r="B144" s="465"/>
      <x:c r="C144" s="465"/>
      <x:c r="D144" s="465"/>
      <x:c r="E144" s="465"/>
      <x:c r="F144" s="465"/>
      <x:c r="G144" s="465"/>
      <x:c r="H144" s="465"/>
      <x:c r="I144" s="465"/>
      <x:c r="J144" s="465"/>
      <x:c r="K144" s="465"/>
      <x:c r="L144" s="465"/>
      <x:c r="M144" s="465"/>
      <x:c r="N144" s="465"/>
      <x:c r="O144" s="465"/>
      <x:c r="P144" s="465"/>
      <x:c r="Q144" s="465"/>
      <x:c r="R144" s="465"/>
      <x:c r="S144" s="465"/>
      <x:c r="T144" s="465"/>
      <x:c r="U144" s="465"/>
      <x:c r="V144" s="465"/>
      <x:c r="W144" s="465"/>
      <x:c r="X144" s="465"/>
      <x:c r="Y144" s="465"/>
      <x:c r="Z144" s="465"/>
    </x:row>
    <x:row r="145">
      <x:c r="A145" s="465"/>
      <x:c r="B145" s="465"/>
      <x:c r="C145" s="465"/>
      <x:c r="D145" s="465"/>
      <x:c r="E145" s="465"/>
      <x:c r="F145" s="465"/>
      <x:c r="G145" s="465"/>
      <x:c r="H145" s="465"/>
      <x:c r="I145" s="465"/>
      <x:c r="J145" s="465"/>
      <x:c r="K145" s="465"/>
      <x:c r="L145" s="465"/>
      <x:c r="M145" s="465"/>
      <x:c r="N145" s="465"/>
      <x:c r="O145" s="465"/>
      <x:c r="P145" s="465"/>
      <x:c r="Q145" s="465"/>
      <x:c r="R145" s="465"/>
      <x:c r="S145" s="465"/>
      <x:c r="T145" s="465"/>
      <x:c r="U145" s="465"/>
      <x:c r="V145" s="465"/>
      <x:c r="W145" s="465"/>
      <x:c r="X145" s="465"/>
      <x:c r="Y145" s="465"/>
      <x:c r="Z145" s="465"/>
    </x:row>
    <x:row r="146">
      <x:c r="A146" s="465"/>
      <x:c r="B146" s="465"/>
      <x:c r="C146" s="465"/>
      <x:c r="D146" s="465"/>
      <x:c r="E146" s="465"/>
      <x:c r="F146" s="465"/>
      <x:c r="G146" s="465"/>
      <x:c r="H146" s="465"/>
      <x:c r="I146" s="465"/>
      <x:c r="J146" s="465"/>
      <x:c r="K146" s="465"/>
      <x:c r="L146" s="465"/>
      <x:c r="M146" s="465"/>
      <x:c r="N146" s="465"/>
      <x:c r="O146" s="465"/>
      <x:c r="P146" s="465"/>
      <x:c r="Q146" s="465"/>
      <x:c r="R146" s="465"/>
      <x:c r="S146" s="465"/>
      <x:c r="T146" s="465"/>
      <x:c r="U146" s="465"/>
      <x:c r="V146" s="465"/>
      <x:c r="W146" s="465"/>
      <x:c r="X146" s="465"/>
      <x:c r="Y146" s="465"/>
      <x:c r="Z146" s="465"/>
    </x:row>
    <x:row r="147">
      <x:c r="A147" s="465"/>
      <x:c r="B147" s="465"/>
      <x:c r="C147" s="465"/>
      <x:c r="D147" s="465"/>
      <x:c r="E147" s="465"/>
      <x:c r="F147" s="465"/>
      <x:c r="G147" s="465"/>
      <x:c r="H147" s="465"/>
      <x:c r="I147" s="465"/>
      <x:c r="J147" s="465"/>
      <x:c r="K147" s="465"/>
      <x:c r="L147" s="465"/>
      <x:c r="M147" s="465"/>
      <x:c r="N147" s="465"/>
      <x:c r="O147" s="465"/>
      <x:c r="P147" s="465"/>
      <x:c r="Q147" s="465"/>
      <x:c r="R147" s="465"/>
      <x:c r="S147" s="465"/>
      <x:c r="T147" s="465"/>
      <x:c r="U147" s="465"/>
      <x:c r="V147" s="465"/>
      <x:c r="W147" s="465"/>
      <x:c r="X147" s="465"/>
      <x:c r="Y147" s="465"/>
      <x:c r="Z147" s="465"/>
    </x:row>
    <x:row r="148">
      <x:c r="A148" s="465"/>
      <x:c r="B148" s="465"/>
      <x:c r="C148" s="465"/>
      <x:c r="D148" s="465"/>
      <x:c r="E148" s="465"/>
      <x:c r="F148" s="465"/>
      <x:c r="G148" s="465"/>
      <x:c r="H148" s="465"/>
      <x:c r="I148" s="465"/>
      <x:c r="J148" s="465"/>
      <x:c r="K148" s="465"/>
      <x:c r="L148" s="465"/>
      <x:c r="M148" s="465"/>
      <x:c r="N148" s="465"/>
      <x:c r="O148" s="465"/>
      <x:c r="P148" s="465"/>
      <x:c r="Q148" s="465"/>
      <x:c r="R148" s="465"/>
      <x:c r="S148" s="465"/>
      <x:c r="T148" s="465"/>
      <x:c r="U148" s="465"/>
      <x:c r="V148" s="465"/>
      <x:c r="W148" s="465"/>
      <x:c r="X148" s="465"/>
      <x:c r="Y148" s="465"/>
      <x:c r="Z148" s="465"/>
    </x:row>
    <x:row r="149">
      <x:c r="A149" s="465"/>
      <x:c r="B149" s="465"/>
      <x:c r="C149" s="465"/>
      <x:c r="D149" s="465"/>
      <x:c r="E149" s="465"/>
      <x:c r="F149" s="465"/>
      <x:c r="G149" s="465"/>
      <x:c r="H149" s="465"/>
      <x:c r="I149" s="465"/>
      <x:c r="J149" s="465"/>
      <x:c r="K149" s="465"/>
      <x:c r="L149" s="465"/>
      <x:c r="M149" s="465"/>
      <x:c r="N149" s="465"/>
      <x:c r="O149" s="465"/>
      <x:c r="P149" s="465"/>
      <x:c r="Q149" s="465"/>
      <x:c r="R149" s="465"/>
      <x:c r="S149" s="465"/>
      <x:c r="T149" s="465"/>
      <x:c r="U149" s="465"/>
      <x:c r="V149" s="465"/>
      <x:c r="W149" s="465"/>
      <x:c r="X149" s="465"/>
      <x:c r="Y149" s="465"/>
      <x:c r="Z149" s="465"/>
    </x:row>
    <x:row r="150">
      <x:c r="A150" s="465"/>
      <x:c r="B150" s="465"/>
      <x:c r="C150" s="465"/>
      <x:c r="D150" s="465"/>
      <x:c r="E150" s="465"/>
      <x:c r="F150" s="465"/>
      <x:c r="G150" s="465"/>
      <x:c r="H150" s="465"/>
      <x:c r="I150" s="465"/>
      <x:c r="J150" s="465"/>
      <x:c r="K150" s="465"/>
      <x:c r="L150" s="465"/>
      <x:c r="M150" s="465"/>
      <x:c r="N150" s="465"/>
      <x:c r="O150" s="465"/>
      <x:c r="P150" s="465"/>
      <x:c r="Q150" s="465"/>
      <x:c r="R150" s="465"/>
      <x:c r="S150" s="465"/>
      <x:c r="T150" s="465"/>
      <x:c r="U150" s="465"/>
      <x:c r="V150" s="465"/>
      <x:c r="W150" s="465"/>
      <x:c r="X150" s="465"/>
      <x:c r="Y150" s="465"/>
      <x:c r="Z150" s="465"/>
    </x:row>
    <x:row r="151">
      <x:c r="A151" s="465"/>
      <x:c r="B151" s="465"/>
      <x:c r="C151" s="465"/>
      <x:c r="D151" s="465"/>
      <x:c r="E151" s="465"/>
      <x:c r="F151" s="465"/>
      <x:c r="G151" s="465"/>
      <x:c r="H151" s="465"/>
      <x:c r="I151" s="465"/>
      <x:c r="J151" s="465"/>
      <x:c r="K151" s="465"/>
      <x:c r="L151" s="465"/>
      <x:c r="M151" s="465"/>
      <x:c r="N151" s="465"/>
      <x:c r="O151" s="465"/>
      <x:c r="P151" s="465"/>
      <x:c r="Q151" s="465"/>
      <x:c r="R151" s="465"/>
      <x:c r="S151" s="465"/>
      <x:c r="T151" s="465"/>
      <x:c r="U151" s="465"/>
      <x:c r="V151" s="465"/>
      <x:c r="W151" s="465"/>
      <x:c r="X151" s="465"/>
      <x:c r="Y151" s="465"/>
      <x:c r="Z151" s="465"/>
    </x:row>
    <x:row r="152">
      <x:c r="A152" s="465"/>
      <x:c r="B152" s="465"/>
      <x:c r="C152" s="465"/>
      <x:c r="D152" s="465"/>
      <x:c r="E152" s="465"/>
      <x:c r="F152" s="465"/>
      <x:c r="G152" s="465"/>
      <x:c r="H152" s="465"/>
      <x:c r="I152" s="465"/>
      <x:c r="J152" s="465"/>
      <x:c r="K152" s="465"/>
      <x:c r="L152" s="465"/>
      <x:c r="M152" s="465"/>
      <x:c r="N152" s="465"/>
      <x:c r="O152" s="465"/>
      <x:c r="P152" s="465"/>
      <x:c r="Q152" s="465"/>
      <x:c r="R152" s="465"/>
      <x:c r="S152" s="465"/>
      <x:c r="T152" s="465"/>
      <x:c r="U152" s="465"/>
      <x:c r="V152" s="465"/>
      <x:c r="W152" s="465"/>
      <x:c r="X152" s="465"/>
      <x:c r="Y152" s="465"/>
      <x:c r="Z152" s="465"/>
    </x:row>
    <x:row r="153">
      <x:c r="A153" s="465"/>
      <x:c r="B153" s="465"/>
      <x:c r="C153" s="465"/>
      <x:c r="D153" s="465"/>
      <x:c r="E153" s="465"/>
      <x:c r="F153" s="465"/>
      <x:c r="G153" s="465"/>
      <x:c r="H153" s="465"/>
      <x:c r="I153" s="465"/>
      <x:c r="J153" s="465"/>
      <x:c r="K153" s="465"/>
      <x:c r="L153" s="465"/>
      <x:c r="M153" s="465"/>
      <x:c r="N153" s="465"/>
      <x:c r="O153" s="465"/>
      <x:c r="P153" s="465"/>
      <x:c r="Q153" s="465"/>
      <x:c r="R153" s="465"/>
      <x:c r="S153" s="465"/>
      <x:c r="T153" s="465"/>
      <x:c r="U153" s="465"/>
      <x:c r="V153" s="465"/>
      <x:c r="W153" s="465"/>
      <x:c r="X153" s="465"/>
      <x:c r="Y153" s="465"/>
      <x:c r="Z153" s="465"/>
    </x:row>
    <x:row r="154">
      <x:c r="A154" s="465"/>
      <x:c r="B154" s="465"/>
      <x:c r="C154" s="465"/>
      <x:c r="D154" s="465"/>
      <x:c r="E154" s="465"/>
      <x:c r="F154" s="465"/>
      <x:c r="G154" s="465"/>
      <x:c r="H154" s="465"/>
      <x:c r="I154" s="465"/>
      <x:c r="J154" s="465"/>
      <x:c r="K154" s="465"/>
      <x:c r="L154" s="465"/>
      <x:c r="M154" s="465"/>
      <x:c r="N154" s="465"/>
      <x:c r="O154" s="465"/>
      <x:c r="P154" s="465"/>
      <x:c r="Q154" s="465"/>
      <x:c r="R154" s="465"/>
      <x:c r="S154" s="465"/>
      <x:c r="T154" s="465"/>
      <x:c r="U154" s="465"/>
      <x:c r="V154" s="465"/>
      <x:c r="W154" s="465"/>
      <x:c r="X154" s="465"/>
      <x:c r="Y154" s="465"/>
      <x:c r="Z154" s="465"/>
    </x:row>
    <x:row r="155">
      <x:c r="A155" s="465"/>
      <x:c r="B155" s="465"/>
      <x:c r="C155" s="465"/>
      <x:c r="D155" s="465"/>
      <x:c r="E155" s="465"/>
      <x:c r="F155" s="465"/>
      <x:c r="G155" s="465"/>
      <x:c r="H155" s="465"/>
      <x:c r="I155" s="465"/>
      <x:c r="J155" s="465"/>
      <x:c r="K155" s="465"/>
      <x:c r="L155" s="465"/>
      <x:c r="M155" s="465"/>
      <x:c r="N155" s="465"/>
      <x:c r="O155" s="465"/>
      <x:c r="P155" s="465"/>
      <x:c r="Q155" s="465"/>
      <x:c r="R155" s="465"/>
      <x:c r="S155" s="465"/>
      <x:c r="T155" s="465"/>
      <x:c r="U155" s="465"/>
      <x:c r="V155" s="465"/>
      <x:c r="W155" s="465"/>
      <x:c r="X155" s="465"/>
      <x:c r="Y155" s="465"/>
      <x:c r="Z155" s="465"/>
    </x:row>
    <x:row r="156">
      <x:c r="A156" s="465"/>
      <x:c r="B156" s="465"/>
      <x:c r="C156" s="465"/>
      <x:c r="D156" s="465"/>
      <x:c r="E156" s="465"/>
      <x:c r="F156" s="465"/>
      <x:c r="G156" s="465"/>
      <x:c r="H156" s="465"/>
      <x:c r="I156" s="465"/>
      <x:c r="J156" s="465"/>
      <x:c r="K156" s="465"/>
      <x:c r="L156" s="465"/>
      <x:c r="M156" s="465"/>
      <x:c r="N156" s="465"/>
      <x:c r="O156" s="465"/>
      <x:c r="P156" s="465"/>
      <x:c r="Q156" s="465"/>
      <x:c r="R156" s="465"/>
      <x:c r="S156" s="465"/>
      <x:c r="T156" s="465"/>
      <x:c r="U156" s="465"/>
      <x:c r="V156" s="465"/>
      <x:c r="W156" s="465"/>
      <x:c r="X156" s="465"/>
      <x:c r="Y156" s="465"/>
      <x:c r="Z156" s="465"/>
    </x:row>
    <x:row r="157">
      <x:c r="A157" s="465"/>
      <x:c r="B157" s="465"/>
      <x:c r="C157" s="465"/>
      <x:c r="D157" s="465"/>
      <x:c r="E157" s="465"/>
      <x:c r="F157" s="465"/>
      <x:c r="G157" s="465"/>
      <x:c r="H157" s="465"/>
      <x:c r="I157" s="465"/>
      <x:c r="J157" s="465"/>
      <x:c r="K157" s="465"/>
      <x:c r="L157" s="465"/>
      <x:c r="M157" s="465"/>
      <x:c r="N157" s="465"/>
      <x:c r="O157" s="465"/>
      <x:c r="P157" s="465"/>
      <x:c r="Q157" s="465"/>
      <x:c r="R157" s="465"/>
      <x:c r="S157" s="465"/>
      <x:c r="T157" s="465"/>
      <x:c r="U157" s="465"/>
      <x:c r="V157" s="465"/>
      <x:c r="W157" s="465"/>
      <x:c r="X157" s="465"/>
      <x:c r="Y157" s="465"/>
      <x:c r="Z157" s="465"/>
    </x:row>
    <x:row r="158">
      <x:c r="A158" s="465"/>
      <x:c r="B158" s="465"/>
      <x:c r="C158" s="465"/>
      <x:c r="D158" s="465"/>
      <x:c r="E158" s="465"/>
      <x:c r="F158" s="465"/>
      <x:c r="G158" s="465"/>
      <x:c r="H158" s="465"/>
      <x:c r="I158" s="465"/>
      <x:c r="J158" s="465"/>
      <x:c r="K158" s="465"/>
      <x:c r="L158" s="465"/>
      <x:c r="M158" s="465"/>
      <x:c r="N158" s="465"/>
      <x:c r="O158" s="465"/>
      <x:c r="P158" s="465"/>
      <x:c r="Q158" s="465"/>
      <x:c r="R158" s="465"/>
      <x:c r="S158" s="465"/>
      <x:c r="T158" s="465"/>
      <x:c r="U158" s="465"/>
      <x:c r="V158" s="465"/>
      <x:c r="W158" s="465"/>
      <x:c r="X158" s="465"/>
      <x:c r="Y158" s="465"/>
      <x:c r="Z158" s="465"/>
    </x:row>
    <x:row r="159">
      <x:c r="A159" s="465"/>
      <x:c r="B159" s="465"/>
      <x:c r="C159" s="465"/>
      <x:c r="D159" s="465"/>
      <x:c r="E159" s="465"/>
      <x:c r="F159" s="465"/>
      <x:c r="G159" s="465"/>
      <x:c r="H159" s="465"/>
      <x:c r="I159" s="465"/>
      <x:c r="J159" s="465"/>
      <x:c r="K159" s="465"/>
      <x:c r="L159" s="465"/>
      <x:c r="M159" s="465"/>
      <x:c r="N159" s="465"/>
      <x:c r="O159" s="465"/>
      <x:c r="P159" s="465"/>
      <x:c r="Q159" s="465"/>
      <x:c r="R159" s="465"/>
      <x:c r="S159" s="465"/>
      <x:c r="T159" s="465"/>
      <x:c r="U159" s="465"/>
      <x:c r="V159" s="465"/>
      <x:c r="W159" s="465"/>
      <x:c r="X159" s="465"/>
      <x:c r="Y159" s="465"/>
      <x:c r="Z159" s="465"/>
    </x:row>
    <x:row r="160">
      <x:c r="A160" s="465"/>
      <x:c r="B160" s="465"/>
      <x:c r="C160" s="465"/>
      <x:c r="D160" s="465"/>
      <x:c r="E160" s="465"/>
      <x:c r="F160" s="465"/>
      <x:c r="G160" s="465"/>
      <x:c r="H160" s="465"/>
      <x:c r="I160" s="465"/>
      <x:c r="J160" s="465"/>
      <x:c r="K160" s="465"/>
      <x:c r="L160" s="465"/>
      <x:c r="M160" s="465"/>
      <x:c r="N160" s="465"/>
      <x:c r="O160" s="465"/>
      <x:c r="P160" s="465"/>
      <x:c r="Q160" s="465"/>
      <x:c r="R160" s="465"/>
      <x:c r="S160" s="465"/>
      <x:c r="T160" s="465"/>
      <x:c r="U160" s="465"/>
      <x:c r="V160" s="465"/>
      <x:c r="W160" s="465"/>
      <x:c r="X160" s="465"/>
      <x:c r="Y160" s="465"/>
      <x:c r="Z160" s="465"/>
    </x:row>
    <x:row r="161">
      <x:c r="A161" s="465"/>
      <x:c r="B161" s="465"/>
      <x:c r="C161" s="465"/>
      <x:c r="D161" s="465"/>
      <x:c r="E161" s="465"/>
      <x:c r="F161" s="465"/>
      <x:c r="G161" s="465"/>
      <x:c r="H161" s="465"/>
      <x:c r="I161" s="465"/>
      <x:c r="J161" s="465"/>
      <x:c r="K161" s="465"/>
      <x:c r="L161" s="465"/>
      <x:c r="M161" s="465"/>
      <x:c r="N161" s="465"/>
      <x:c r="O161" s="465"/>
      <x:c r="P161" s="465"/>
      <x:c r="Q161" s="465"/>
      <x:c r="R161" s="465"/>
      <x:c r="S161" s="465"/>
      <x:c r="T161" s="465"/>
      <x:c r="U161" s="465"/>
      <x:c r="V161" s="465"/>
      <x:c r="W161" s="465"/>
      <x:c r="X161" s="465"/>
      <x:c r="Y161" s="465"/>
      <x:c r="Z161" s="465"/>
    </x:row>
    <x:row r="162">
      <x:c r="A162" s="465"/>
      <x:c r="B162" s="465"/>
      <x:c r="C162" s="465"/>
      <x:c r="D162" s="465"/>
      <x:c r="E162" s="465"/>
      <x:c r="F162" s="465"/>
      <x:c r="G162" s="465"/>
      <x:c r="H162" s="465"/>
      <x:c r="I162" s="465"/>
      <x:c r="J162" s="465"/>
      <x:c r="K162" s="465"/>
      <x:c r="L162" s="465"/>
      <x:c r="M162" s="465"/>
      <x:c r="N162" s="465"/>
      <x:c r="O162" s="465"/>
      <x:c r="P162" s="465"/>
      <x:c r="Q162" s="465"/>
      <x:c r="R162" s="465"/>
      <x:c r="S162" s="465"/>
      <x:c r="T162" s="465"/>
      <x:c r="U162" s="465"/>
      <x:c r="V162" s="465"/>
      <x:c r="W162" s="465"/>
      <x:c r="X162" s="465"/>
      <x:c r="Y162" s="465"/>
      <x:c r="Z162" s="465"/>
    </x:row>
    <x:row r="163">
      <x:c r="A163" s="465"/>
      <x:c r="B163" s="465"/>
      <x:c r="C163" s="465"/>
      <x:c r="D163" s="465"/>
      <x:c r="E163" s="465"/>
      <x:c r="F163" s="465"/>
      <x:c r="G163" s="465"/>
      <x:c r="H163" s="465"/>
      <x:c r="I163" s="465"/>
      <x:c r="J163" s="465"/>
      <x:c r="K163" s="465"/>
      <x:c r="L163" s="465"/>
      <x:c r="M163" s="465"/>
      <x:c r="N163" s="465"/>
      <x:c r="O163" s="465"/>
      <x:c r="P163" s="465"/>
      <x:c r="Q163" s="465"/>
      <x:c r="R163" s="465"/>
      <x:c r="S163" s="465"/>
      <x:c r="T163" s="465"/>
      <x:c r="U163" s="465"/>
      <x:c r="V163" s="465"/>
      <x:c r="W163" s="465"/>
      <x:c r="X163" s="465"/>
      <x:c r="Y163" s="465"/>
      <x:c r="Z163" s="465"/>
    </x:row>
    <x:row r="164">
      <x:c r="A164" s="465"/>
      <x:c r="B164" s="465"/>
      <x:c r="C164" s="465"/>
      <x:c r="D164" s="465"/>
      <x:c r="E164" s="465"/>
      <x:c r="F164" s="465"/>
      <x:c r="G164" s="465"/>
      <x:c r="H164" s="465"/>
      <x:c r="I164" s="465"/>
      <x:c r="J164" s="465"/>
      <x:c r="K164" s="465"/>
      <x:c r="L164" s="465"/>
      <x:c r="M164" s="465"/>
      <x:c r="N164" s="465"/>
      <x:c r="O164" s="465"/>
      <x:c r="P164" s="465"/>
      <x:c r="Q164" s="465"/>
      <x:c r="R164" s="465"/>
      <x:c r="S164" s="465"/>
      <x:c r="T164" s="465"/>
      <x:c r="U164" s="465"/>
      <x:c r="V164" s="465"/>
      <x:c r="W164" s="465"/>
      <x:c r="X164" s="465"/>
      <x:c r="Y164" s="465"/>
      <x:c r="Z164" s="465"/>
    </x:row>
    <x:row r="165">
      <x:c r="A165" s="465"/>
      <x:c r="B165" s="465"/>
      <x:c r="C165" s="465"/>
      <x:c r="D165" s="465"/>
      <x:c r="E165" s="465"/>
      <x:c r="F165" s="465"/>
      <x:c r="G165" s="465"/>
      <x:c r="H165" s="465"/>
      <x:c r="I165" s="465"/>
      <x:c r="J165" s="465"/>
      <x:c r="K165" s="465"/>
      <x:c r="L165" s="465"/>
      <x:c r="M165" s="465"/>
      <x:c r="N165" s="465"/>
      <x:c r="O165" s="465"/>
      <x:c r="P165" s="465"/>
      <x:c r="Q165" s="465"/>
      <x:c r="R165" s="465"/>
      <x:c r="S165" s="465"/>
      <x:c r="T165" s="465"/>
      <x:c r="U165" s="465"/>
      <x:c r="V165" s="465"/>
      <x:c r="W165" s="465"/>
      <x:c r="X165" s="465"/>
      <x:c r="Y165" s="465"/>
      <x:c r="Z165" s="465"/>
    </x:row>
    <x:row r="166">
      <x:c r="A166" s="465"/>
      <x:c r="B166" s="465"/>
      <x:c r="C166" s="465"/>
      <x:c r="D166" s="465"/>
      <x:c r="E166" s="465"/>
      <x:c r="F166" s="465"/>
      <x:c r="G166" s="465"/>
      <x:c r="H166" s="465"/>
      <x:c r="I166" s="465"/>
      <x:c r="J166" s="465"/>
      <x:c r="K166" s="465"/>
      <x:c r="L166" s="465"/>
      <x:c r="M166" s="465"/>
      <x:c r="N166" s="465"/>
      <x:c r="O166" s="465"/>
      <x:c r="P166" s="465"/>
      <x:c r="Q166" s="465"/>
      <x:c r="R166" s="465"/>
      <x:c r="S166" s="465"/>
      <x:c r="T166" s="465"/>
      <x:c r="U166" s="465"/>
      <x:c r="V166" s="465"/>
      <x:c r="W166" s="465"/>
      <x:c r="X166" s="465"/>
      <x:c r="Y166" s="465"/>
      <x:c r="Z166" s="465"/>
    </x:row>
    <x:row r="167">
      <x:c r="A167" s="465"/>
      <x:c r="B167" s="465"/>
      <x:c r="C167" s="465"/>
      <x:c r="D167" s="465"/>
      <x:c r="E167" s="465"/>
      <x:c r="F167" s="465"/>
      <x:c r="G167" s="465"/>
      <x:c r="H167" s="465"/>
      <x:c r="I167" s="465"/>
      <x:c r="J167" s="465"/>
      <x:c r="K167" s="465"/>
      <x:c r="L167" s="465"/>
      <x:c r="M167" s="465"/>
      <x:c r="N167" s="465"/>
      <x:c r="O167" s="465"/>
      <x:c r="P167" s="465"/>
      <x:c r="Q167" s="465"/>
      <x:c r="R167" s="465"/>
      <x:c r="S167" s="465"/>
      <x:c r="T167" s="465"/>
      <x:c r="U167" s="465"/>
      <x:c r="V167" s="465"/>
      <x:c r="W167" s="465"/>
      <x:c r="X167" s="465"/>
      <x:c r="Y167" s="465"/>
      <x:c r="Z167" s="465"/>
    </x:row>
    <x:row r="168">
      <x:c r="A168" s="465"/>
      <x:c r="B168" s="465"/>
      <x:c r="C168" s="465"/>
      <x:c r="D168" s="465"/>
      <x:c r="E168" s="465"/>
      <x:c r="F168" s="465"/>
      <x:c r="G168" s="465"/>
      <x:c r="H168" s="465"/>
      <x:c r="I168" s="465"/>
      <x:c r="J168" s="465"/>
      <x:c r="K168" s="465"/>
      <x:c r="L168" s="465"/>
      <x:c r="M168" s="465"/>
      <x:c r="N168" s="465"/>
      <x:c r="O168" s="465"/>
      <x:c r="P168" s="465"/>
      <x:c r="Q168" s="465"/>
      <x:c r="R168" s="465"/>
      <x:c r="S168" s="465"/>
      <x:c r="T168" s="465"/>
      <x:c r="U168" s="465"/>
      <x:c r="V168" s="465"/>
      <x:c r="W168" s="465"/>
      <x:c r="X168" s="465"/>
      <x:c r="Y168" s="465"/>
      <x:c r="Z168" s="465"/>
    </x:row>
    <x:row r="169">
      <x:c r="A169" s="465"/>
      <x:c r="B169" s="465"/>
      <x:c r="C169" s="465"/>
      <x:c r="D169" s="465"/>
      <x:c r="E169" s="465"/>
      <x:c r="F169" s="465"/>
      <x:c r="G169" s="465"/>
      <x:c r="H169" s="465"/>
      <x:c r="I169" s="465"/>
      <x:c r="J169" s="465"/>
      <x:c r="K169" s="465"/>
      <x:c r="L169" s="465"/>
      <x:c r="M169" s="465"/>
      <x:c r="N169" s="465"/>
      <x:c r="O169" s="465"/>
      <x:c r="P169" s="465"/>
      <x:c r="Q169" s="465"/>
      <x:c r="R169" s="465"/>
      <x:c r="S169" s="465"/>
      <x:c r="T169" s="465"/>
      <x:c r="U169" s="465"/>
      <x:c r="V169" s="465"/>
      <x:c r="W169" s="465"/>
      <x:c r="X169" s="465"/>
      <x:c r="Y169" s="465"/>
      <x:c r="Z169" s="465"/>
    </x:row>
    <x:row r="170">
      <x:c r="A170" s="465"/>
      <x:c r="B170" s="465"/>
      <x:c r="C170" s="465"/>
      <x:c r="D170" s="465"/>
      <x:c r="E170" s="465"/>
      <x:c r="F170" s="465"/>
      <x:c r="G170" s="465"/>
      <x:c r="H170" s="465"/>
      <x:c r="I170" s="465"/>
      <x:c r="J170" s="465"/>
      <x:c r="K170" s="465"/>
      <x:c r="L170" s="465"/>
      <x:c r="M170" s="465"/>
      <x:c r="N170" s="465"/>
      <x:c r="O170" s="465"/>
      <x:c r="P170" s="465"/>
      <x:c r="Q170" s="465"/>
      <x:c r="R170" s="465"/>
      <x:c r="S170" s="465"/>
      <x:c r="T170" s="465"/>
      <x:c r="U170" s="465"/>
      <x:c r="V170" s="465"/>
      <x:c r="W170" s="465"/>
      <x:c r="X170" s="465"/>
      <x:c r="Y170" s="465"/>
      <x:c r="Z170" s="465"/>
    </x:row>
    <x:row r="171">
      <x:c r="A171" s="465"/>
      <x:c r="B171" s="465"/>
      <x:c r="C171" s="465"/>
      <x:c r="D171" s="465"/>
      <x:c r="E171" s="465"/>
      <x:c r="F171" s="465"/>
      <x:c r="G171" s="465"/>
      <x:c r="H171" s="465"/>
      <x:c r="I171" s="465"/>
      <x:c r="J171" s="465"/>
      <x:c r="K171" s="465"/>
      <x:c r="L171" s="465"/>
      <x:c r="M171" s="465"/>
      <x:c r="N171" s="465"/>
      <x:c r="O171" s="465"/>
      <x:c r="P171" s="465"/>
      <x:c r="Q171" s="465"/>
      <x:c r="R171" s="465"/>
      <x:c r="S171" s="465"/>
      <x:c r="T171" s="465"/>
      <x:c r="U171" s="465"/>
      <x:c r="V171" s="465"/>
      <x:c r="W171" s="465"/>
      <x:c r="X171" s="465"/>
      <x:c r="Y171" s="465"/>
      <x:c r="Z171" s="465"/>
    </x:row>
    <x:row r="172">
      <x:c r="A172" s="465"/>
      <x:c r="B172" s="465"/>
      <x:c r="C172" s="465"/>
      <x:c r="D172" s="465"/>
      <x:c r="E172" s="465"/>
      <x:c r="F172" s="465"/>
      <x:c r="G172" s="465"/>
      <x:c r="H172" s="465"/>
      <x:c r="I172" s="465"/>
      <x:c r="J172" s="465"/>
      <x:c r="K172" s="465"/>
      <x:c r="L172" s="465"/>
      <x:c r="M172" s="465"/>
      <x:c r="N172" s="465"/>
      <x:c r="O172" s="465"/>
      <x:c r="P172" s="465"/>
      <x:c r="Q172" s="465"/>
      <x:c r="R172" s="465"/>
      <x:c r="S172" s="465"/>
      <x:c r="T172" s="465"/>
      <x:c r="U172" s="465"/>
      <x:c r="V172" s="465"/>
      <x:c r="W172" s="465"/>
      <x:c r="X172" s="465"/>
      <x:c r="Y172" s="465"/>
      <x:c r="Z172" s="465"/>
    </x:row>
    <x:row r="173">
      <x:c r="A173" s="465"/>
      <x:c r="B173" s="465"/>
      <x:c r="C173" s="465"/>
      <x:c r="D173" s="465"/>
      <x:c r="E173" s="465"/>
      <x:c r="F173" s="465"/>
      <x:c r="G173" s="465"/>
      <x:c r="H173" s="465"/>
      <x:c r="I173" s="465"/>
      <x:c r="J173" s="465"/>
      <x:c r="K173" s="465"/>
      <x:c r="L173" s="465"/>
      <x:c r="M173" s="465"/>
      <x:c r="N173" s="465"/>
      <x:c r="O173" s="465"/>
      <x:c r="P173" s="465"/>
      <x:c r="Q173" s="465"/>
      <x:c r="R173" s="465"/>
      <x:c r="S173" s="465"/>
      <x:c r="T173" s="465"/>
      <x:c r="U173" s="465"/>
      <x:c r="V173" s="465"/>
      <x:c r="W173" s="465"/>
      <x:c r="X173" s="465"/>
      <x:c r="Y173" s="465"/>
      <x:c r="Z173" s="465"/>
    </x:row>
    <x:row r="174">
      <x:c r="A174" s="465"/>
      <x:c r="B174" s="465"/>
      <x:c r="C174" s="465"/>
      <x:c r="D174" s="465"/>
      <x:c r="E174" s="465"/>
      <x:c r="F174" s="465"/>
      <x:c r="G174" s="465"/>
      <x:c r="H174" s="465"/>
      <x:c r="I174" s="465"/>
      <x:c r="J174" s="465"/>
      <x:c r="K174" s="465"/>
      <x:c r="L174" s="465"/>
      <x:c r="M174" s="465"/>
      <x:c r="N174" s="465"/>
      <x:c r="O174" s="465"/>
      <x:c r="P174" s="465"/>
      <x:c r="Q174" s="465"/>
      <x:c r="R174" s="465"/>
      <x:c r="S174" s="465"/>
      <x:c r="T174" s="465"/>
      <x:c r="U174" s="465"/>
      <x:c r="V174" s="465"/>
      <x:c r="W174" s="465"/>
      <x:c r="X174" s="465"/>
      <x:c r="Y174" s="465"/>
      <x:c r="Z174" s="465"/>
    </x:row>
    <x:row r="175">
      <x:c r="A175" s="465"/>
      <x:c r="B175" s="465"/>
      <x:c r="C175" s="465"/>
      <x:c r="D175" s="465"/>
      <x:c r="E175" s="465"/>
      <x:c r="F175" s="465"/>
      <x:c r="G175" s="465"/>
      <x:c r="H175" s="465"/>
      <x:c r="I175" s="465"/>
      <x:c r="J175" s="465"/>
      <x:c r="K175" s="465"/>
      <x:c r="L175" s="465"/>
      <x:c r="M175" s="465"/>
      <x:c r="N175" s="465"/>
      <x:c r="O175" s="465"/>
      <x:c r="P175" s="465"/>
      <x:c r="Q175" s="465"/>
      <x:c r="R175" s="465"/>
      <x:c r="S175" s="465"/>
      <x:c r="T175" s="465"/>
      <x:c r="U175" s="465"/>
      <x:c r="V175" s="465"/>
      <x:c r="W175" s="465"/>
      <x:c r="X175" s="465"/>
      <x:c r="Y175" s="465"/>
      <x:c r="Z175" s="465"/>
    </x:row>
    <x:row r="176">
      <x:c r="A176" s="465"/>
      <x:c r="B176" s="465"/>
      <x:c r="C176" s="465"/>
      <x:c r="D176" s="465"/>
      <x:c r="E176" s="465"/>
      <x:c r="F176" s="465"/>
      <x:c r="G176" s="465"/>
      <x:c r="H176" s="465"/>
      <x:c r="I176" s="465"/>
      <x:c r="J176" s="465"/>
      <x:c r="K176" s="465"/>
      <x:c r="L176" s="465"/>
      <x:c r="M176" s="465"/>
      <x:c r="N176" s="465"/>
      <x:c r="O176" s="465"/>
      <x:c r="P176" s="465"/>
      <x:c r="Q176" s="465"/>
      <x:c r="R176" s="465"/>
      <x:c r="S176" s="465"/>
      <x:c r="T176" s="465"/>
      <x:c r="U176" s="465"/>
      <x:c r="V176" s="465"/>
      <x:c r="W176" s="465"/>
      <x:c r="X176" s="465"/>
      <x:c r="Y176" s="465"/>
      <x:c r="Z176" s="465"/>
    </x:row>
    <x:row r="177">
      <x:c r="A177" s="465"/>
      <x:c r="B177" s="465"/>
      <x:c r="C177" s="465"/>
      <x:c r="D177" s="465"/>
      <x:c r="E177" s="465"/>
      <x:c r="F177" s="465"/>
      <x:c r="G177" s="465"/>
      <x:c r="H177" s="465"/>
      <x:c r="I177" s="465"/>
      <x:c r="J177" s="465"/>
      <x:c r="K177" s="465"/>
      <x:c r="L177" s="465"/>
      <x:c r="M177" s="465"/>
      <x:c r="N177" s="465"/>
      <x:c r="O177" s="465"/>
      <x:c r="P177" s="465"/>
      <x:c r="Q177" s="465"/>
      <x:c r="R177" s="465"/>
      <x:c r="S177" s="465"/>
      <x:c r="T177" s="465"/>
      <x:c r="U177" s="465"/>
      <x:c r="V177" s="465"/>
      <x:c r="W177" s="465"/>
      <x:c r="X177" s="465"/>
      <x:c r="Y177" s="465"/>
      <x:c r="Z177" s="465"/>
    </x:row>
    <x:row r="178">
      <x:c r="A178" s="465"/>
      <x:c r="B178" s="465"/>
      <x:c r="C178" s="465"/>
      <x:c r="D178" s="465"/>
      <x:c r="E178" s="465"/>
      <x:c r="F178" s="465"/>
      <x:c r="G178" s="465"/>
      <x:c r="H178" s="465"/>
      <x:c r="I178" s="465"/>
      <x:c r="J178" s="465"/>
      <x:c r="K178" s="465"/>
      <x:c r="L178" s="465"/>
      <x:c r="M178" s="465"/>
      <x:c r="N178" s="465"/>
      <x:c r="O178" s="465"/>
      <x:c r="P178" s="465"/>
      <x:c r="Q178" s="465"/>
      <x:c r="R178" s="465"/>
      <x:c r="S178" s="465"/>
      <x:c r="T178" s="465"/>
      <x:c r="U178" s="465"/>
      <x:c r="V178" s="465"/>
      <x:c r="W178" s="465"/>
      <x:c r="X178" s="465"/>
      <x:c r="Y178" s="465"/>
      <x:c r="Z178" s="465"/>
    </x:row>
    <x:row r="179">
      <x:c r="A179" s="465"/>
      <x:c r="B179" s="465"/>
      <x:c r="C179" s="465"/>
      <x:c r="D179" s="465"/>
      <x:c r="E179" s="465"/>
      <x:c r="F179" s="465"/>
      <x:c r="G179" s="465"/>
      <x:c r="H179" s="465"/>
      <x:c r="I179" s="465"/>
      <x:c r="J179" s="465"/>
      <x:c r="K179" s="465"/>
      <x:c r="L179" s="465"/>
      <x:c r="M179" s="465"/>
      <x:c r="N179" s="465"/>
      <x:c r="O179" s="465"/>
      <x:c r="P179" s="465"/>
      <x:c r="Q179" s="465"/>
      <x:c r="R179" s="465"/>
      <x:c r="S179" s="465"/>
      <x:c r="T179" s="465"/>
      <x:c r="U179" s="465"/>
      <x:c r="V179" s="465"/>
      <x:c r="W179" s="465"/>
      <x:c r="X179" s="465"/>
      <x:c r="Y179" s="465"/>
      <x:c r="Z179" s="465"/>
    </x:row>
    <x:row r="180">
      <x:c r="A180" s="465"/>
      <x:c r="B180" s="465"/>
      <x:c r="C180" s="465"/>
      <x:c r="D180" s="465"/>
      <x:c r="E180" s="465"/>
      <x:c r="F180" s="465"/>
      <x:c r="G180" s="465"/>
      <x:c r="H180" s="465"/>
      <x:c r="I180" s="465"/>
      <x:c r="J180" s="465"/>
      <x:c r="K180" s="465"/>
      <x:c r="L180" s="465"/>
      <x:c r="M180" s="465"/>
      <x:c r="N180" s="465"/>
      <x:c r="O180" s="465"/>
      <x:c r="P180" s="465"/>
      <x:c r="Q180" s="465"/>
      <x:c r="R180" s="465"/>
      <x:c r="S180" s="465"/>
      <x:c r="T180" s="465"/>
      <x:c r="U180" s="465"/>
      <x:c r="V180" s="465"/>
      <x:c r="W180" s="465"/>
      <x:c r="X180" s="465"/>
      <x:c r="Y180" s="465"/>
      <x:c r="Z180" s="465"/>
    </x:row>
    <x:row r="181">
      <x:c r="A181" s="465"/>
      <x:c r="B181" s="465"/>
      <x:c r="C181" s="465"/>
      <x:c r="D181" s="465"/>
      <x:c r="E181" s="465"/>
      <x:c r="F181" s="465"/>
      <x:c r="G181" s="465"/>
      <x:c r="H181" s="465"/>
      <x:c r="I181" s="465"/>
      <x:c r="J181" s="465"/>
      <x:c r="K181" s="465"/>
      <x:c r="L181" s="465"/>
      <x:c r="M181" s="465"/>
      <x:c r="N181" s="465"/>
      <x:c r="O181" s="465"/>
      <x:c r="P181" s="465"/>
      <x:c r="Q181" s="465"/>
      <x:c r="R181" s="465"/>
      <x:c r="S181" s="465"/>
      <x:c r="T181" s="465"/>
      <x:c r="U181" s="465"/>
      <x:c r="V181" s="465"/>
      <x:c r="W181" s="465"/>
      <x:c r="X181" s="465"/>
      <x:c r="Y181" s="465"/>
      <x:c r="Z181" s="465"/>
    </x:row>
    <x:row r="182">
      <x:c r="A182" s="465"/>
      <x:c r="B182" s="465"/>
      <x:c r="C182" s="465"/>
      <x:c r="D182" s="465"/>
      <x:c r="E182" s="465"/>
      <x:c r="F182" s="465"/>
      <x:c r="G182" s="465"/>
      <x:c r="H182" s="465"/>
      <x:c r="I182" s="465"/>
      <x:c r="J182" s="465"/>
      <x:c r="K182" s="465"/>
      <x:c r="L182" s="465"/>
      <x:c r="M182" s="465"/>
      <x:c r="N182" s="465"/>
      <x:c r="O182" s="465"/>
      <x:c r="P182" s="465"/>
      <x:c r="Q182" s="465"/>
      <x:c r="R182" s="465"/>
      <x:c r="S182" s="465"/>
      <x:c r="T182" s="465"/>
      <x:c r="U182" s="465"/>
      <x:c r="V182" s="465"/>
      <x:c r="W182" s="465"/>
      <x:c r="X182" s="465"/>
      <x:c r="Y182" s="465"/>
      <x:c r="Z182" s="465"/>
    </x:row>
    <x:row r="183">
      <x:c r="A183" s="465"/>
      <x:c r="B183" s="465"/>
      <x:c r="C183" s="465"/>
      <x:c r="D183" s="465"/>
      <x:c r="E183" s="465"/>
      <x:c r="F183" s="465"/>
      <x:c r="G183" s="465"/>
      <x:c r="H183" s="465"/>
      <x:c r="I183" s="465"/>
      <x:c r="J183" s="465"/>
      <x:c r="K183" s="465"/>
      <x:c r="L183" s="465"/>
      <x:c r="M183" s="465"/>
      <x:c r="N183" s="465"/>
      <x:c r="O183" s="465"/>
      <x:c r="P183" s="465"/>
      <x:c r="Q183" s="465"/>
      <x:c r="R183" s="465"/>
      <x:c r="S183" s="465"/>
      <x:c r="T183" s="465"/>
      <x:c r="U183" s="465"/>
      <x:c r="V183" s="465"/>
      <x:c r="W183" s="465"/>
      <x:c r="X183" s="465"/>
      <x:c r="Y183" s="465"/>
      <x:c r="Z183" s="465"/>
    </x:row>
    <x:row r="184">
      <x:c r="A184" s="465"/>
      <x:c r="B184" s="465"/>
      <x:c r="C184" s="465"/>
      <x:c r="D184" s="465"/>
      <x:c r="E184" s="465"/>
      <x:c r="F184" s="465"/>
      <x:c r="G184" s="465"/>
      <x:c r="H184" s="465"/>
      <x:c r="I184" s="465"/>
      <x:c r="J184" s="465"/>
      <x:c r="K184" s="465"/>
      <x:c r="L184" s="465"/>
      <x:c r="M184" s="465"/>
      <x:c r="N184" s="465"/>
      <x:c r="O184" s="465"/>
      <x:c r="P184" s="465"/>
      <x:c r="Q184" s="465"/>
      <x:c r="R184" s="465"/>
      <x:c r="S184" s="465"/>
      <x:c r="T184" s="465"/>
      <x:c r="U184" s="465"/>
      <x:c r="V184" s="465"/>
      <x:c r="W184" s="465"/>
      <x:c r="X184" s="465"/>
      <x:c r="Y184" s="465"/>
      <x:c r="Z184" s="465"/>
    </x:row>
    <x:row r="185">
      <x:c r="A185" s="465"/>
      <x:c r="B185" s="465"/>
      <x:c r="C185" s="465"/>
      <x:c r="D185" s="465"/>
      <x:c r="E185" s="465"/>
      <x:c r="F185" s="465"/>
      <x:c r="G185" s="465"/>
      <x:c r="H185" s="465"/>
      <x:c r="I185" s="465"/>
      <x:c r="J185" s="465"/>
      <x:c r="K185" s="465"/>
      <x:c r="L185" s="465"/>
      <x:c r="M185" s="465"/>
      <x:c r="N185" s="465"/>
      <x:c r="O185" s="465"/>
      <x:c r="P185" s="465"/>
      <x:c r="Q185" s="465"/>
      <x:c r="R185" s="465"/>
      <x:c r="S185" s="465"/>
      <x:c r="T185" s="465"/>
      <x:c r="U185" s="465"/>
      <x:c r="V185" s="465"/>
      <x:c r="W185" s="465"/>
      <x:c r="X185" s="465"/>
      <x:c r="Y185" s="465"/>
      <x:c r="Z185" s="465"/>
    </x:row>
    <x:row r="186">
      <x:c r="A186" s="465"/>
      <x:c r="B186" s="465"/>
      <x:c r="C186" s="465"/>
      <x:c r="D186" s="465"/>
      <x:c r="E186" s="465"/>
      <x:c r="F186" s="465"/>
      <x:c r="G186" s="465"/>
      <x:c r="H186" s="465"/>
      <x:c r="I186" s="465"/>
      <x:c r="J186" s="465"/>
      <x:c r="K186" s="465"/>
      <x:c r="L186" s="465"/>
      <x:c r="M186" s="465"/>
      <x:c r="N186" s="465"/>
      <x:c r="O186" s="465"/>
      <x:c r="P186" s="465"/>
      <x:c r="Q186" s="465"/>
      <x:c r="R186" s="465"/>
      <x:c r="S186" s="465"/>
      <x:c r="T186" s="465"/>
      <x:c r="U186" s="465"/>
      <x:c r="V186" s="465"/>
      <x:c r="W186" s="465"/>
      <x:c r="X186" s="465"/>
      <x:c r="Y186" s="465"/>
      <x:c r="Z186" s="465"/>
    </x:row>
    <x:row r="187">
      <x:c r="A187" s="465"/>
      <x:c r="B187" s="465"/>
      <x:c r="C187" s="465"/>
      <x:c r="D187" s="465"/>
      <x:c r="E187" s="465"/>
      <x:c r="F187" s="465"/>
      <x:c r="G187" s="465"/>
      <x:c r="H187" s="465"/>
      <x:c r="I187" s="465"/>
      <x:c r="J187" s="465"/>
      <x:c r="K187" s="465"/>
      <x:c r="L187" s="465"/>
      <x:c r="M187" s="465"/>
      <x:c r="N187" s="465"/>
      <x:c r="O187" s="465"/>
      <x:c r="P187" s="465"/>
      <x:c r="Q187" s="465"/>
      <x:c r="R187" s="465"/>
      <x:c r="S187" s="465"/>
      <x:c r="T187" s="465"/>
      <x:c r="U187" s="465"/>
      <x:c r="V187" s="465"/>
      <x:c r="W187" s="465"/>
      <x:c r="X187" s="465"/>
      <x:c r="Y187" s="465"/>
      <x:c r="Z187" s="465"/>
    </x:row>
    <x:row r="188">
      <x:c r="A188" s="465"/>
      <x:c r="B188" s="465"/>
      <x:c r="C188" s="465"/>
      <x:c r="D188" s="465"/>
      <x:c r="E188" s="465"/>
      <x:c r="F188" s="465"/>
      <x:c r="G188" s="465"/>
      <x:c r="H188" s="465"/>
      <x:c r="I188" s="465"/>
      <x:c r="J188" s="465"/>
      <x:c r="K188" s="465"/>
      <x:c r="L188" s="465"/>
      <x:c r="M188" s="465"/>
      <x:c r="N188" s="465"/>
      <x:c r="O188" s="465"/>
      <x:c r="P188" s="465"/>
      <x:c r="Q188" s="465"/>
      <x:c r="R188" s="465"/>
      <x:c r="S188" s="465"/>
      <x:c r="T188" s="465"/>
      <x:c r="U188" s="465"/>
      <x:c r="V188" s="465"/>
      <x:c r="W188" s="465"/>
      <x:c r="X188" s="465"/>
      <x:c r="Y188" s="465"/>
      <x:c r="Z188" s="465"/>
    </x:row>
    <x:row r="189">
      <x:c r="A189" s="465"/>
      <x:c r="B189" s="465"/>
      <x:c r="C189" s="465"/>
      <x:c r="D189" s="465"/>
      <x:c r="E189" s="465"/>
      <x:c r="F189" s="465"/>
      <x:c r="G189" s="465"/>
      <x:c r="H189" s="465"/>
      <x:c r="I189" s="465"/>
      <x:c r="J189" s="465"/>
      <x:c r="K189" s="465"/>
      <x:c r="L189" s="465"/>
      <x:c r="M189" s="465"/>
      <x:c r="N189" s="465"/>
      <x:c r="O189" s="465"/>
      <x:c r="P189" s="465"/>
      <x:c r="Q189" s="465"/>
      <x:c r="R189" s="465"/>
      <x:c r="S189" s="465"/>
      <x:c r="T189" s="465"/>
      <x:c r="U189" s="465"/>
      <x:c r="V189" s="465"/>
      <x:c r="W189" s="465"/>
      <x:c r="X189" s="465"/>
      <x:c r="Y189" s="465"/>
      <x:c r="Z189" s="465"/>
    </x:row>
    <x:row r="190">
      <x:c r="A190" s="465"/>
      <x:c r="B190" s="465"/>
      <x:c r="C190" s="465"/>
      <x:c r="D190" s="465"/>
      <x:c r="E190" s="465"/>
      <x:c r="F190" s="465"/>
      <x:c r="G190" s="465"/>
      <x:c r="H190" s="465"/>
      <x:c r="I190" s="465"/>
      <x:c r="J190" s="465"/>
      <x:c r="K190" s="465"/>
      <x:c r="L190" s="465"/>
      <x:c r="M190" s="465"/>
      <x:c r="N190" s="465"/>
      <x:c r="O190" s="465"/>
      <x:c r="P190" s="465"/>
      <x:c r="Q190" s="465"/>
      <x:c r="R190" s="465"/>
      <x:c r="S190" s="465"/>
      <x:c r="T190" s="465"/>
      <x:c r="U190" s="465"/>
      <x:c r="V190" s="465"/>
      <x:c r="W190" s="465"/>
      <x:c r="X190" s="465"/>
      <x:c r="Y190" s="465"/>
      <x:c r="Z190" s="465"/>
    </x:row>
    <x:row r="191">
      <x:c r="A191" s="465"/>
      <x:c r="B191" s="465"/>
      <x:c r="C191" s="465"/>
      <x:c r="D191" s="465"/>
      <x:c r="E191" s="465"/>
      <x:c r="F191" s="465"/>
      <x:c r="G191" s="465"/>
      <x:c r="H191" s="465"/>
      <x:c r="I191" s="465"/>
      <x:c r="J191" s="465"/>
      <x:c r="K191" s="465"/>
      <x:c r="L191" s="465"/>
      <x:c r="M191" s="465"/>
      <x:c r="N191" s="465"/>
      <x:c r="O191" s="465"/>
      <x:c r="P191" s="465"/>
      <x:c r="Q191" s="465"/>
      <x:c r="R191" s="465"/>
      <x:c r="S191" s="465"/>
      <x:c r="T191" s="465"/>
      <x:c r="U191" s="465"/>
      <x:c r="V191" s="465"/>
      <x:c r="W191" s="465"/>
      <x:c r="X191" s="465"/>
      <x:c r="Y191" s="465"/>
      <x:c r="Z191" s="465"/>
    </x:row>
    <x:row r="192">
      <x:c r="A192" s="465"/>
      <x:c r="B192" s="465"/>
      <x:c r="C192" s="465"/>
      <x:c r="D192" s="465"/>
      <x:c r="E192" s="465"/>
      <x:c r="F192" s="465"/>
      <x:c r="G192" s="465"/>
      <x:c r="H192" s="465"/>
      <x:c r="I192" s="465"/>
      <x:c r="J192" s="465"/>
      <x:c r="K192" s="465"/>
      <x:c r="L192" s="465"/>
      <x:c r="M192" s="465"/>
      <x:c r="N192" s="465"/>
      <x:c r="O192" s="465"/>
      <x:c r="P192" s="465"/>
      <x:c r="Q192" s="465"/>
      <x:c r="R192" s="465"/>
      <x:c r="S192" s="465"/>
      <x:c r="T192" s="465"/>
      <x:c r="U192" s="465"/>
      <x:c r="V192" s="465"/>
      <x:c r="W192" s="465"/>
      <x:c r="X192" s="465"/>
      <x:c r="Y192" s="465"/>
      <x:c r="Z192" s="465"/>
    </x:row>
    <x:row r="193">
      <x:c r="A193" s="465"/>
      <x:c r="B193" s="465"/>
      <x:c r="C193" s="465"/>
      <x:c r="D193" s="465"/>
      <x:c r="E193" s="465"/>
      <x:c r="F193" s="465"/>
      <x:c r="G193" s="465"/>
      <x:c r="H193" s="465"/>
      <x:c r="I193" s="465"/>
      <x:c r="J193" s="465"/>
      <x:c r="K193" s="465"/>
      <x:c r="L193" s="465"/>
      <x:c r="M193" s="465"/>
      <x:c r="N193" s="465"/>
      <x:c r="O193" s="465"/>
      <x:c r="P193" s="465"/>
      <x:c r="Q193" s="465"/>
      <x:c r="R193" s="465"/>
      <x:c r="S193" s="465"/>
      <x:c r="T193" s="465"/>
      <x:c r="U193" s="465"/>
      <x:c r="V193" s="465"/>
      <x:c r="W193" s="465"/>
      <x:c r="X193" s="465"/>
      <x:c r="Y193" s="465"/>
      <x:c r="Z193" s="465"/>
    </x:row>
    <x:row r="194">
      <x:c r="A194" s="465"/>
      <x:c r="B194" s="465"/>
      <x:c r="C194" s="465"/>
      <x:c r="D194" s="465"/>
      <x:c r="E194" s="465"/>
      <x:c r="F194" s="465"/>
      <x:c r="G194" s="465"/>
      <x:c r="H194" s="465"/>
      <x:c r="I194" s="465"/>
      <x:c r="J194" s="465"/>
      <x:c r="K194" s="465"/>
      <x:c r="L194" s="465"/>
      <x:c r="M194" s="465"/>
      <x:c r="N194" s="465"/>
      <x:c r="O194" s="465"/>
      <x:c r="P194" s="465"/>
      <x:c r="Q194" s="465"/>
      <x:c r="R194" s="465"/>
      <x:c r="S194" s="465"/>
      <x:c r="T194" s="465"/>
      <x:c r="U194" s="465"/>
      <x:c r="V194" s="465"/>
      <x:c r="W194" s="465"/>
      <x:c r="X194" s="465"/>
      <x:c r="Y194" s="465"/>
      <x:c r="Z194" s="465"/>
    </x:row>
    <x:row r="195">
      <x:c r="A195" s="465"/>
      <x:c r="B195" s="465"/>
      <x:c r="C195" s="465"/>
      <x:c r="D195" s="465"/>
      <x:c r="E195" s="465"/>
      <x:c r="F195" s="465"/>
      <x:c r="G195" s="465"/>
      <x:c r="H195" s="465"/>
      <x:c r="I195" s="465"/>
      <x:c r="J195" s="465"/>
      <x:c r="K195" s="465"/>
      <x:c r="L195" s="465"/>
      <x:c r="M195" s="465"/>
      <x:c r="N195" s="465"/>
      <x:c r="O195" s="465"/>
      <x:c r="P195" s="465"/>
      <x:c r="Q195" s="465"/>
      <x:c r="R195" s="465"/>
      <x:c r="S195" s="465"/>
      <x:c r="T195" s="465"/>
      <x:c r="U195" s="465"/>
      <x:c r="V195" s="465"/>
      <x:c r="W195" s="465"/>
      <x:c r="X195" s="465"/>
      <x:c r="Y195" s="465"/>
      <x:c r="Z195" s="465"/>
    </x:row>
    <x:row r="196">
      <x:c r="A196" s="465"/>
      <x:c r="B196" s="465"/>
      <x:c r="C196" s="465"/>
      <x:c r="D196" s="465"/>
      <x:c r="E196" s="465"/>
      <x:c r="F196" s="465"/>
      <x:c r="G196" s="465"/>
      <x:c r="H196" s="465"/>
      <x:c r="I196" s="465"/>
      <x:c r="J196" s="465"/>
      <x:c r="K196" s="465"/>
      <x:c r="L196" s="465"/>
      <x:c r="M196" s="465"/>
      <x:c r="N196" s="465"/>
      <x:c r="O196" s="465"/>
      <x:c r="P196" s="465"/>
      <x:c r="Q196" s="465"/>
      <x:c r="R196" s="465"/>
      <x:c r="S196" s="465"/>
      <x:c r="T196" s="465"/>
      <x:c r="U196" s="465"/>
      <x:c r="V196" s="465"/>
      <x:c r="W196" s="465"/>
      <x:c r="X196" s="465"/>
      <x:c r="Y196" s="465"/>
      <x:c r="Z196" s="465"/>
    </x:row>
    <x:row r="197">
      <x:c r="A197" s="465"/>
      <x:c r="B197" s="465"/>
      <x:c r="C197" s="465"/>
      <x:c r="D197" s="465"/>
      <x:c r="E197" s="465"/>
      <x:c r="F197" s="465"/>
      <x:c r="G197" s="465"/>
      <x:c r="H197" s="465"/>
      <x:c r="I197" s="465"/>
      <x:c r="J197" s="465"/>
      <x:c r="K197" s="465"/>
      <x:c r="L197" s="465"/>
      <x:c r="M197" s="465"/>
      <x:c r="N197" s="465"/>
      <x:c r="O197" s="465"/>
      <x:c r="P197" s="465"/>
      <x:c r="Q197" s="465"/>
      <x:c r="R197" s="465"/>
      <x:c r="S197" s="465"/>
      <x:c r="T197" s="465"/>
      <x:c r="U197" s="465"/>
      <x:c r="V197" s="465"/>
      <x:c r="W197" s="465"/>
      <x:c r="X197" s="465"/>
      <x:c r="Y197" s="465"/>
      <x:c r="Z197" s="465"/>
    </x:row>
    <x:row r="198">
      <x:c r="A198" s="465"/>
      <x:c r="B198" s="465"/>
      <x:c r="C198" s="465"/>
      <x:c r="D198" s="465"/>
      <x:c r="E198" s="465"/>
      <x:c r="F198" s="465"/>
      <x:c r="G198" s="465"/>
      <x:c r="H198" s="465"/>
      <x:c r="I198" s="465"/>
      <x:c r="J198" s="465"/>
      <x:c r="K198" s="465"/>
      <x:c r="L198" s="465"/>
      <x:c r="M198" s="465"/>
      <x:c r="N198" s="465"/>
      <x:c r="O198" s="465"/>
      <x:c r="P198" s="465"/>
      <x:c r="Q198" s="465"/>
      <x:c r="R198" s="465"/>
      <x:c r="S198" s="465"/>
      <x:c r="T198" s="465"/>
      <x:c r="U198" s="465"/>
      <x:c r="V198" s="465"/>
      <x:c r="W198" s="465"/>
      <x:c r="X198" s="465"/>
      <x:c r="Y198" s="465"/>
      <x:c r="Z198" s="465"/>
    </x:row>
    <x:row r="199">
      <x:c r="A199" s="465"/>
      <x:c r="B199" s="465"/>
      <x:c r="C199" s="465"/>
      <x:c r="D199" s="465"/>
      <x:c r="E199" s="465"/>
      <x:c r="F199" s="465"/>
      <x:c r="G199" s="465"/>
      <x:c r="H199" s="465"/>
      <x:c r="I199" s="465"/>
      <x:c r="J199" s="465"/>
      <x:c r="K199" s="465"/>
      <x:c r="L199" s="465"/>
      <x:c r="M199" s="465"/>
      <x:c r="N199" s="465"/>
      <x:c r="O199" s="465"/>
      <x:c r="P199" s="465"/>
      <x:c r="Q199" s="465"/>
      <x:c r="R199" s="465"/>
      <x:c r="S199" s="465"/>
      <x:c r="T199" s="465"/>
      <x:c r="U199" s="465"/>
      <x:c r="V199" s="465"/>
      <x:c r="W199" s="465"/>
      <x:c r="X199" s="465"/>
      <x:c r="Y199" s="465"/>
      <x:c r="Z199" s="465"/>
    </x:row>
    <x:row r="200">
      <x:c r="A200" s="465"/>
      <x:c r="B200" s="465"/>
      <x:c r="C200" s="465"/>
      <x:c r="D200" s="465"/>
      <x:c r="E200" s="465"/>
      <x:c r="F200" s="465"/>
      <x:c r="G200" s="465"/>
      <x:c r="H200" s="465"/>
      <x:c r="I200" s="465"/>
      <x:c r="J200" s="465"/>
      <x:c r="K200" s="465"/>
      <x:c r="L200" s="465"/>
      <x:c r="M200" s="465"/>
      <x:c r="N200" s="465"/>
      <x:c r="O200" s="465"/>
      <x:c r="P200" s="465"/>
      <x:c r="Q200" s="465"/>
      <x:c r="R200" s="465"/>
      <x:c r="S200" s="465"/>
      <x:c r="T200" s="465"/>
      <x:c r="U200" s="465"/>
      <x:c r="V200" s="465"/>
      <x:c r="W200" s="465"/>
      <x:c r="X200" s="465"/>
      <x:c r="Y200" s="465"/>
      <x:c r="Z200" s="465"/>
    </x:row>
  </x:sheetData>
  <x:mergeCells>
    <x:mergeCell ref="A1:N2"/>
    <x:mergeCell ref="A3:N3"/>
    <x:mergeCell ref="A22:N23"/>
  </x:mergeCells>
  <x:pageMargins left="0.7" right="0.7" top="0.75" bottom="0.75" header="0.3" footer="0.3"/>
  <x:tableParts count="1">
    <x:tablePart xmlns:r="http://schemas.openxmlformats.org/officeDocument/2006/relationships" r:id="R194979b778c142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0" hidden="0" customWidth="1"/>
    <x:col min="4" max="4" width="7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8" hidden="0" customWidth="1"/>
  </x:cols>
  <x:sheetData>
    <x:row r="1" ht="28" customHeight="1">
      <x:c r="A1" s="5" t="str">
        <x:v>有限人力情境｜Top-K 警示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465"/>
      <x:c r="N1" s="465"/>
      <x:c r="O1" s="465"/>
      <x:c r="P1" s="465"/>
      <x:c r="Q1" s="465"/>
      <x:c r="R1" s="465"/>
      <x:c r="S1" s="465"/>
      <x:c r="T1" s="465"/>
      <x:c r="U1" s="465"/>
      <x:c r="V1" s="465"/>
      <x:c r="W1" s="465"/>
      <x:c r="X1" s="465"/>
      <x:c r="Y1" s="465"/>
      <x:c r="Z1" s="465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465"/>
      <x:c r="N2" s="465"/>
      <x:c r="O2" s="465"/>
      <x:c r="P2" s="465"/>
      <x:c r="Q2" s="465"/>
      <x:c r="R2" s="465"/>
      <x:c r="S2" s="465"/>
      <x:c r="T2" s="465"/>
      <x:c r="U2" s="465"/>
      <x:c r="V2" s="465"/>
      <x:c r="W2" s="465"/>
      <x:c r="X2" s="465"/>
      <x:c r="Y2" s="465"/>
      <x:c r="Z2" s="465"/>
    </x:row>
    <x:row r="3" ht="24" customHeight="1">
      <x:c r="A3" s="8" t="str">
        <x:v>每個決策時點只查看風險最高的 K 站；同一站連續出現仍是多筆快照，不是去重後的獨立事件。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465"/>
      <x:c r="N3" s="465"/>
      <x:c r="O3" s="465"/>
      <x:c r="P3" s="465"/>
      <x:c r="Q3" s="465"/>
      <x:c r="R3" s="465"/>
      <x:c r="S3" s="465"/>
      <x:c r="T3" s="465"/>
      <x:c r="U3" s="465"/>
      <x:c r="V3" s="465"/>
      <x:c r="W3" s="465"/>
      <x:c r="X3" s="465"/>
      <x:c r="Y3" s="465"/>
      <x:c r="Z3" s="465"/>
    </x:row>
    <x:row r="4" ht="30" customHeight="1">
      <x:c r="A4" s="20" t="str">
        <x:v>事件</x:v>
      </x:c>
      <x:c r="B4" s="21" t="str">
        <x:v>模型</x:v>
      </x:c>
      <x:c r="C4" s="21" t="str">
        <x:v>時段</x:v>
      </x:c>
      <x:c r="D4" s="21" t="str">
        <x:v>K</x:v>
      </x:c>
      <x:c r="E4" s="21" t="str">
        <x:v>決策時點</x:v>
      </x:c>
      <x:c r="F4" s="21" t="str">
        <x:v>警示筆數</x:v>
      </x:c>
      <x:c r="G4" s="21" t="str">
        <x:v>命中筆數</x:v>
      </x:c>
      <x:c r="H4" s="21" t="str">
        <x:v>誤警報</x:v>
      </x:c>
      <x:c r="I4" s="21" t="str">
        <x:v>Recall</x:v>
      </x:c>
      <x:c r="J4" s="21" t="str">
        <x:v>Precision</x:v>
      </x:c>
      <x:c r="K4" s="21" t="str">
        <x:v>每日警示</x:v>
      </x:c>
      <x:c r="L4" s="22" t="str">
        <x:v>每100站日誤警報</x:v>
      </x:c>
      <x:c r="M4" s="465"/>
      <x:c r="N4" s="465"/>
      <x:c r="O4" s="465"/>
      <x:c r="P4" s="465"/>
      <x:c r="Q4" s="465"/>
      <x:c r="R4" s="465"/>
      <x:c r="S4" s="465"/>
      <x:c r="T4" s="465"/>
      <x:c r="U4" s="465"/>
      <x:c r="V4" s="465"/>
      <x:c r="W4" s="465"/>
      <x:c r="X4" s="465"/>
      <x:c r="Y4" s="465"/>
      <x:c r="Z4" s="465"/>
    </x:row>
    <x:row r="5">
      <x:c r="A5" s="465" t="str">
        <x:v>缺車</x:v>
      </x:c>
      <x:c r="B5" s="465" t="str">
        <x:v>庫存比例規則</x:v>
      </x:c>
      <x:c r="C5" s="465" t="str">
        <x:v>全日</x:v>
      </x:c>
      <x:c r="D5" s="497" t="n">
        <x:v>5</x:v>
      </x:c>
      <x:c r="E5" s="497" t="n">
        <x:v>1439</x:v>
      </x:c>
      <x:c r="F5" s="497" t="n">
        <x:v>7195</x:v>
      </x:c>
      <x:c r="G5" s="497" t="n">
        <x:v>1245</x:v>
      </x:c>
      <x:c r="H5" s="497" t="n">
        <x:v>5950</x:v>
      </x:c>
      <x:c r="I5" s="498" t="n">
        <x:v>0.031384708462527416</x:v>
      </x:c>
      <x:c r="J5" s="498" t="n">
        <x:v>0.17303683113273105</x:v>
      </x:c>
      <x:c r="K5" s="499" t="n">
        <x:v>239.83333333333334</x:v>
      </x:c>
      <x:c r="L5" s="499" t="n">
        <x:v>12.729995721009841</x:v>
      </x:c>
      <x:c r="M5" s="465"/>
      <x:c r="N5" s="465"/>
      <x:c r="O5" s="465"/>
      <x:c r="P5" s="465"/>
      <x:c r="Q5" s="465"/>
      <x:c r="R5" s="465"/>
      <x:c r="S5" s="465"/>
      <x:c r="T5" s="465"/>
      <x:c r="U5" s="465"/>
      <x:c r="V5" s="465"/>
      <x:c r="W5" s="465"/>
      <x:c r="X5" s="465"/>
      <x:c r="Y5" s="465"/>
      <x:c r="Z5" s="465"/>
    </x:row>
    <x:row r="6">
      <x:c r="A6" s="465" t="str">
        <x:v>缺車</x:v>
      </x:c>
      <x:c r="B6" s="465" t="str">
        <x:v>庫存比例規則</x:v>
      </x:c>
      <x:c r="C6" s="465" t="str">
        <x:v>全日</x:v>
      </x:c>
      <x:c r="D6" s="497" t="n">
        <x:v>10</x:v>
      </x:c>
      <x:c r="E6" s="497" t="n">
        <x:v>1439</x:v>
      </x:c>
      <x:c r="F6" s="497" t="n">
        <x:v>14390</x:v>
      </x:c>
      <x:c r="G6" s="497" t="n">
        <x:v>2427</x:v>
      </x:c>
      <x:c r="H6" s="497" t="n">
        <x:v>11963</x:v>
      </x:c>
      <x:c r="I6" s="498" t="n">
        <x:v>0.06118127505104742</x:v>
      </x:c>
      <x:c r="J6" s="498" t="n">
        <x:v>0.16865879082696317</x:v>
      </x:c>
      <x:c r="K6" s="499" t="n">
        <x:v>479.6666666666667</x:v>
      </x:c>
      <x:c r="L6" s="499" t="n">
        <x:v>25.594779632006848</x:v>
      </x:c>
      <x:c r="M6" s="465"/>
      <x:c r="N6" s="465"/>
      <x:c r="O6" s="465"/>
      <x:c r="P6" s="465"/>
      <x:c r="Q6" s="465"/>
      <x:c r="R6" s="465"/>
      <x:c r="S6" s="465"/>
      <x:c r="T6" s="465"/>
      <x:c r="U6" s="465"/>
      <x:c r="V6" s="465"/>
      <x:c r="W6" s="465"/>
      <x:c r="X6" s="465"/>
      <x:c r="Y6" s="465"/>
      <x:c r="Z6" s="465"/>
    </x:row>
    <x:row r="7">
      <x:c r="A7" s="465" t="str">
        <x:v>缺車</x:v>
      </x:c>
      <x:c r="B7" s="465" t="str">
        <x:v>庫存比例規則</x:v>
      </x:c>
      <x:c r="C7" s="465" t="str">
        <x:v>全日</x:v>
      </x:c>
      <x:c r="D7" s="497" t="n">
        <x:v>20</x:v>
      </x:c>
      <x:c r="E7" s="497" t="n">
        <x:v>1439</x:v>
      </x:c>
      <x:c r="F7" s="497" t="n">
        <x:v>28780</x:v>
      </x:c>
      <x:c r="G7" s="497" t="n">
        <x:v>4658</x:v>
      </x:c>
      <x:c r="H7" s="497" t="n">
        <x:v>24122</x:v>
      </x:c>
      <x:c r="I7" s="498" t="n">
        <x:v>0.11742166427184955</x:v>
      </x:c>
      <x:c r="J7" s="498" t="n">
        <x:v>0.16184850590687977</x:v>
      </x:c>
      <x:c r="K7" s="499" t="n">
        <x:v>959.3333333333334</x:v>
      </x:c>
      <x:c r="L7" s="499" t="n">
        <x:v>51.60890029952931</x:v>
      </x:c>
      <x:c r="M7" s="465"/>
      <x:c r="N7" s="465"/>
      <x:c r="O7" s="465"/>
      <x:c r="P7" s="465"/>
      <x:c r="Q7" s="465"/>
      <x:c r="R7" s="465"/>
      <x:c r="S7" s="465"/>
      <x:c r="T7" s="465"/>
      <x:c r="U7" s="465"/>
      <x:c r="V7" s="465"/>
      <x:c r="W7" s="465"/>
      <x:c r="X7" s="465"/>
      <x:c r="Y7" s="465"/>
      <x:c r="Z7" s="465"/>
    </x:row>
    <x:row r="8">
      <x:c r="A8" s="465" t="str">
        <x:v>缺車</x:v>
      </x:c>
      <x:c r="B8" s="465" t="str">
        <x:v>30分鐘線性外推</x:v>
      </x:c>
      <x:c r="C8" s="465" t="str">
        <x:v>全日</x:v>
      </x:c>
      <x:c r="D8" s="497" t="n">
        <x:v>5</x:v>
      </x:c>
      <x:c r="E8" s="497" t="n">
        <x:v>1439</x:v>
      </x:c>
      <x:c r="F8" s="497" t="n">
        <x:v>7195</x:v>
      </x:c>
      <x:c r="G8" s="497" t="n">
        <x:v>614</x:v>
      </x:c>
      <x:c r="H8" s="497" t="n">
        <x:v>6581</x:v>
      </x:c>
      <x:c r="I8" s="498" t="n">
        <x:v>0.01547808112127858</x:v>
      </x:c>
      <x:c r="J8" s="498" t="n">
        <x:v>0.08533703961084087</x:v>
      </x:c>
      <x:c r="K8" s="499" t="n">
        <x:v>239.83333333333334</x:v>
      </x:c>
      <x:c r="L8" s="499" t="n">
        <x:v>14.080017115960633</x:v>
      </x:c>
      <x:c r="M8" s="465"/>
      <x:c r="N8" s="465"/>
      <x:c r="O8" s="465"/>
      <x:c r="P8" s="465"/>
      <x:c r="Q8" s="465"/>
      <x:c r="R8" s="465"/>
      <x:c r="S8" s="465"/>
      <x:c r="T8" s="465"/>
      <x:c r="U8" s="465"/>
      <x:c r="V8" s="465"/>
      <x:c r="W8" s="465"/>
      <x:c r="X8" s="465"/>
      <x:c r="Y8" s="465"/>
      <x:c r="Z8" s="465"/>
    </x:row>
    <x:row r="9">
      <x:c r="A9" s="465" t="str">
        <x:v>缺車</x:v>
      </x:c>
      <x:c r="B9" s="465" t="str">
        <x:v>30分鐘線性外推</x:v>
      </x:c>
      <x:c r="C9" s="465" t="str">
        <x:v>全日</x:v>
      </x:c>
      <x:c r="D9" s="497" t="n">
        <x:v>10</x:v>
      </x:c>
      <x:c r="E9" s="497" t="n">
        <x:v>1439</x:v>
      </x:c>
      <x:c r="F9" s="497" t="n">
        <x:v>14390</x:v>
      </x:c>
      <x:c r="G9" s="497" t="n">
        <x:v>1311</x:v>
      </x:c>
      <x:c r="H9" s="497" t="n">
        <x:v>13079</x:v>
      </x:c>
      <x:c r="I9" s="498" t="n">
        <x:v>0.033048476140058985</x:v>
      </x:c>
      <x:c r="J9" s="498" t="n">
        <x:v>0.0911049339819319</x:v>
      </x:c>
      <x:c r="K9" s="499" t="n">
        <x:v>479.6666666666667</x:v>
      </x:c>
      <x:c r="L9" s="499" t="n">
        <x:v>27.982456140350877</x:v>
      </x:c>
      <x:c r="M9" s="465"/>
      <x:c r="N9" s="465"/>
      <x:c r="O9" s="465"/>
      <x:c r="P9" s="465"/>
      <x:c r="Q9" s="465"/>
      <x:c r="R9" s="465"/>
      <x:c r="S9" s="465"/>
      <x:c r="T9" s="465"/>
      <x:c r="U9" s="465"/>
      <x:c r="V9" s="465"/>
      <x:c r="W9" s="465"/>
      <x:c r="X9" s="465"/>
      <x:c r="Y9" s="465"/>
      <x:c r="Z9" s="465"/>
    </x:row>
    <x:row r="10">
      <x:c r="A10" s="465" t="str">
        <x:v>缺車</x:v>
      </x:c>
      <x:c r="B10" s="465" t="str">
        <x:v>30分鐘線性外推</x:v>
      </x:c>
      <x:c r="C10" s="465" t="str">
        <x:v>全日</x:v>
      </x:c>
      <x:c r="D10" s="497" t="n">
        <x:v>20</x:v>
      </x:c>
      <x:c r="E10" s="497" t="n">
        <x:v>1439</x:v>
      </x:c>
      <x:c r="F10" s="497" t="n">
        <x:v>28780</x:v>
      </x:c>
      <x:c r="G10" s="497" t="n">
        <x:v>2729</x:v>
      </x:c>
      <x:c r="H10" s="497" t="n">
        <x:v>26051</x:v>
      </x:c>
      <x:c r="I10" s="498" t="n">
        <x:v>0.0687942726058131</x:v>
      </x:c>
      <x:c r="J10" s="498" t="n">
        <x:v>0.0948227936066713</x:v>
      </x:c>
      <x:c r="K10" s="499" t="n">
        <x:v>959.3333333333334</x:v>
      </x:c>
      <x:c r="L10" s="499" t="n">
        <x:v>55.73598630723149</x:v>
      </x:c>
      <x:c r="M10" s="465"/>
      <x:c r="N10" s="465"/>
      <x:c r="O10" s="465"/>
      <x:c r="P10" s="465"/>
      <x:c r="Q10" s="465"/>
      <x:c r="R10" s="465"/>
      <x:c r="S10" s="465"/>
      <x:c r="T10" s="465"/>
      <x:c r="U10" s="465"/>
      <x:c r="V10" s="465"/>
      <x:c r="W10" s="465"/>
      <x:c r="X10" s="465"/>
      <x:c r="Y10" s="465"/>
      <x:c r="Z10" s="465"/>
    </x:row>
    <x:row r="11">
      <x:c r="A11" s="465" t="str">
        <x:v>缺車</x:v>
      </x:c>
      <x:c r="B11" s="465" t="str">
        <x:v>Logistic</x:v>
      </x:c>
      <x:c r="C11" s="465" t="str">
        <x:v>全日</x:v>
      </x:c>
      <x:c r="D11" s="497" t="n">
        <x:v>5</x:v>
      </x:c>
      <x:c r="E11" s="497" t="n">
        <x:v>1439</x:v>
      </x:c>
      <x:c r="F11" s="497" t="n">
        <x:v>7195</x:v>
      </x:c>
      <x:c r="G11" s="497" t="n">
        <x:v>1237</x:v>
      </x:c>
      <x:c r="H11" s="497" t="n">
        <x:v>5958</x:v>
      </x:c>
      <x:c r="I11" s="498" t="n">
        <x:v>0.031183039653129647</x:v>
      </x:c>
      <x:c r="J11" s="498" t="n">
        <x:v>0.17192494788047255</x:v>
      </x:c>
      <x:c r="K11" s="499" t="n">
        <x:v>239.83333333333334</x:v>
      </x:c>
      <x:c r="L11" s="499" t="n">
        <x:v>12.747111681643132</x:v>
      </x:c>
      <x:c r="M11" s="465"/>
      <x:c r="N11" s="465"/>
      <x:c r="O11" s="465"/>
      <x:c r="P11" s="465"/>
      <x:c r="Q11" s="465"/>
      <x:c r="R11" s="465"/>
      <x:c r="S11" s="465"/>
      <x:c r="T11" s="465"/>
      <x:c r="U11" s="465"/>
      <x:c r="V11" s="465"/>
      <x:c r="W11" s="465"/>
      <x:c r="X11" s="465"/>
      <x:c r="Y11" s="465"/>
      <x:c r="Z11" s="465"/>
    </x:row>
    <x:row r="12">
      <x:c r="A12" s="465" t="str">
        <x:v>缺車</x:v>
      </x:c>
      <x:c r="B12" s="465" t="str">
        <x:v>Logistic</x:v>
      </x:c>
      <x:c r="C12" s="465" t="str">
        <x:v>全日</x:v>
      </x:c>
      <x:c r="D12" s="497" t="n">
        <x:v>10</x:v>
      </x:c>
      <x:c r="E12" s="497" t="n">
        <x:v>1439</x:v>
      </x:c>
      <x:c r="F12" s="497" t="n">
        <x:v>14390</x:v>
      </x:c>
      <x:c r="G12" s="497" t="n">
        <x:v>2449</x:v>
      </x:c>
      <x:c r="H12" s="497" t="n">
        <x:v>11941</x:v>
      </x:c>
      <x:c r="I12" s="498" t="n">
        <x:v>0.061735864276891275</x:v>
      </x:c>
      <x:c r="J12" s="498" t="n">
        <x:v>0.17018763029881862</x:v>
      </x:c>
      <x:c r="K12" s="499" t="n">
        <x:v>479.6666666666667</x:v>
      </x:c>
      <x:c r="L12" s="499" t="n">
        <x:v>25.5477107402653</x:v>
      </x:c>
      <x:c r="M12" s="465"/>
      <x:c r="N12" s="465"/>
      <x:c r="O12" s="465"/>
      <x:c r="P12" s="465"/>
      <x:c r="Q12" s="465"/>
      <x:c r="R12" s="465"/>
      <x:c r="S12" s="465"/>
      <x:c r="T12" s="465"/>
      <x:c r="U12" s="465"/>
      <x:c r="V12" s="465"/>
      <x:c r="W12" s="465"/>
      <x:c r="X12" s="465"/>
      <x:c r="Y12" s="465"/>
      <x:c r="Z12" s="465"/>
    </x:row>
    <x:row r="13">
      <x:c r="A13" s="465" t="str">
        <x:v>缺車</x:v>
      </x:c>
      <x:c r="B13" s="465" t="str">
        <x:v>Logistic</x:v>
      </x:c>
      <x:c r="C13" s="465" t="str">
        <x:v>全日</x:v>
      </x:c>
      <x:c r="D13" s="497" t="n">
        <x:v>20</x:v>
      </x:c>
      <x:c r="E13" s="497" t="n">
        <x:v>1439</x:v>
      </x:c>
      <x:c r="F13" s="497" t="n">
        <x:v>28780</x:v>
      </x:c>
      <x:c r="G13" s="497" t="n">
        <x:v>4823</x:v>
      </x:c>
      <x:c r="H13" s="497" t="n">
        <x:v>23957</x:v>
      </x:c>
      <x:c r="I13" s="498" t="n">
        <x:v>0.12158108346567849</x:v>
      </x:c>
      <x:c r="J13" s="498" t="n">
        <x:v>0.16758165392633773</x:v>
      </x:c>
      <x:c r="K13" s="499" t="n">
        <x:v>959.3333333333334</x:v>
      </x:c>
      <x:c r="L13" s="499" t="n">
        <x:v>51.255883611467695</x:v>
      </x:c>
      <x:c r="M13" s="465"/>
      <x:c r="N13" s="465"/>
      <x:c r="O13" s="465"/>
      <x:c r="P13" s="465"/>
      <x:c r="Q13" s="465"/>
      <x:c r="R13" s="465"/>
      <x:c r="S13" s="465"/>
      <x:c r="T13" s="465"/>
      <x:c r="U13" s="465"/>
      <x:c r="V13" s="465"/>
      <x:c r="W13" s="465"/>
      <x:c r="X13" s="465"/>
      <x:c r="Y13" s="465"/>
      <x:c r="Z13" s="465"/>
    </x:row>
    <x:row r="14">
      <x:c r="A14" s="465" t="str">
        <x:v>缺車</x:v>
      </x:c>
      <x:c r="B14" s="465" t="str">
        <x:v>LightGBM</x:v>
      </x:c>
      <x:c r="C14" s="465" t="str">
        <x:v>全日</x:v>
      </x:c>
      <x:c r="D14" s="497" t="n">
        <x:v>5</x:v>
      </x:c>
      <x:c r="E14" s="497" t="n">
        <x:v>1439</x:v>
      </x:c>
      <x:c r="F14" s="497" t="n">
        <x:v>7195</x:v>
      </x:c>
      <x:c r="G14" s="497" t="n">
        <x:v>2279</x:v>
      </x:c>
      <x:c r="H14" s="497" t="n">
        <x:v>4916</x:v>
      </x:c>
      <x:c r="I14" s="498" t="n">
        <x:v>0.05745040207718874</x:v>
      </x:c>
      <x:c r="J14" s="498" t="n">
        <x:v>0.31674774148714385</x:v>
      </x:c>
      <x:c r="K14" s="499" t="n">
        <x:v>239.83333333333334</x:v>
      </x:c>
      <x:c r="L14" s="499" t="n">
        <x:v>10.51775780915704</x:v>
      </x:c>
      <x:c r="M14" s="465"/>
      <x:c r="N14" s="465"/>
      <x:c r="O14" s="465"/>
      <x:c r="P14" s="465"/>
      <x:c r="Q14" s="465"/>
      <x:c r="R14" s="465"/>
      <x:c r="S14" s="465"/>
      <x:c r="T14" s="465"/>
      <x:c r="U14" s="465"/>
      <x:c r="V14" s="465"/>
      <x:c r="W14" s="465"/>
      <x:c r="X14" s="465"/>
      <x:c r="Y14" s="465"/>
      <x:c r="Z14" s="465"/>
    </x:row>
    <x:row r="15">
      <x:c r="A15" s="465" t="str">
        <x:v>缺車</x:v>
      </x:c>
      <x:c r="B15" s="465" t="str">
        <x:v>LightGBM</x:v>
      </x:c>
      <x:c r="C15" s="465" t="str">
        <x:v>全日</x:v>
      </x:c>
      <x:c r="D15" s="497" t="n">
        <x:v>10</x:v>
      </x:c>
      <x:c r="E15" s="497" t="n">
        <x:v>1439</x:v>
      </x:c>
      <x:c r="F15" s="497" t="n">
        <x:v>14390</x:v>
      </x:c>
      <x:c r="G15" s="497" t="n">
        <x:v>4086</x:v>
      </x:c>
      <x:c r="H15" s="497" t="n">
        <x:v>10304</x:v>
      </x:c>
      <x:c r="I15" s="498" t="n">
        <x:v>0.10300234439990925</x:v>
      </x:c>
      <x:c r="J15" s="498" t="n">
        <x:v>0.28394718554551773</x:v>
      </x:c>
      <x:c r="K15" s="499" t="n">
        <x:v>479.6666666666667</x:v>
      </x:c>
      <x:c r="L15" s="499" t="n">
        <x:v>22.04535729567822</x:v>
      </x:c>
      <x:c r="M15" s="465"/>
      <x:c r="N15" s="465"/>
      <x:c r="O15" s="465"/>
      <x:c r="P15" s="465"/>
      <x:c r="Q15" s="465"/>
      <x:c r="R15" s="465"/>
      <x:c r="S15" s="465"/>
      <x:c r="T15" s="465"/>
      <x:c r="U15" s="465"/>
      <x:c r="V15" s="465"/>
      <x:c r="W15" s="465"/>
      <x:c r="X15" s="465"/>
      <x:c r="Y15" s="465"/>
      <x:c r="Z15" s="465"/>
    </x:row>
    <x:row r="16">
      <x:c r="A16" s="465" t="str">
        <x:v>缺車</x:v>
      </x:c>
      <x:c r="B16" s="465" t="str">
        <x:v>LightGBM</x:v>
      </x:c>
      <x:c r="C16" s="465" t="str">
        <x:v>全日</x:v>
      </x:c>
      <x:c r="D16" s="497" t="n">
        <x:v>20</x:v>
      </x:c>
      <x:c r="E16" s="497" t="n">
        <x:v>1439</x:v>
      </x:c>
      <x:c r="F16" s="497" t="n">
        <x:v>28780</x:v>
      </x:c>
      <x:c r="G16" s="497" t="n">
        <x:v>7278</x:v>
      </x:c>
      <x:c r="H16" s="497" t="n">
        <x:v>21502</x:v>
      </x:c>
      <x:c r="I16" s="498" t="n">
        <x:v>0.18346819934961808</x:v>
      </x:c>
      <x:c r="J16" s="498" t="n">
        <x:v>0.2528839471855455</x:v>
      </x:c>
      <x:c r="K16" s="499" t="n">
        <x:v>959.3333333333334</x:v>
      </x:c>
      <x:c r="L16" s="499" t="n">
        <x:v>46.00342319212666</x:v>
      </x:c>
      <x:c r="M16" s="465"/>
      <x:c r="N16" s="465"/>
      <x:c r="O16" s="465"/>
      <x:c r="P16" s="465"/>
      <x:c r="Q16" s="465"/>
      <x:c r="R16" s="465"/>
      <x:c r="S16" s="465"/>
      <x:c r="T16" s="465"/>
      <x:c r="U16" s="465"/>
      <x:c r="V16" s="465"/>
      <x:c r="W16" s="465"/>
      <x:c r="X16" s="465"/>
      <x:c r="Y16" s="465"/>
      <x:c r="Z16" s="465"/>
    </x:row>
    <x:row r="17">
      <x:c r="A17" s="465" t="str">
        <x:v>缺車</x:v>
      </x:c>
      <x:c r="B17" s="465" t="str">
        <x:v>庫存比例規則</x:v>
      </x:c>
      <x:c r="C17" s="465" t="str">
        <x:v>尖峰</x:v>
      </x:c>
      <x:c r="D17" s="497" t="n">
        <x:v>5</x:v>
      </x:c>
      <x:c r="E17" s="497" t="n">
        <x:v>420</x:v>
      </x:c>
      <x:c r="F17" s="497" t="n">
        <x:v>2100</x:v>
      </x:c>
      <x:c r="G17" s="497" t="n">
        <x:v>388</x:v>
      </x:c>
      <x:c r="H17" s="497" t="n">
        <x:v>1712</x:v>
      </x:c>
      <x:c r="I17" s="498" t="n">
        <x:v>0.02277931074972113</x:v>
      </x:c>
      <x:c r="J17" s="498" t="n">
        <x:v>0.18476190476190477</x:v>
      </x:c>
      <x:c r="K17" s="499" t="n">
        <x:v>70</x:v>
      </x:c>
      <x:c r="L17" s="499" t="n">
        <x:v>3.6628155755241765</x:v>
      </x:c>
      <x:c r="M17" s="465"/>
      <x:c r="N17" s="465"/>
      <x:c r="O17" s="465"/>
      <x:c r="P17" s="465"/>
      <x:c r="Q17" s="465"/>
      <x:c r="R17" s="465"/>
      <x:c r="S17" s="465"/>
      <x:c r="T17" s="465"/>
      <x:c r="U17" s="465"/>
      <x:c r="V17" s="465"/>
      <x:c r="W17" s="465"/>
      <x:c r="X17" s="465"/>
      <x:c r="Y17" s="465"/>
      <x:c r="Z17" s="465"/>
    </x:row>
    <x:row r="18">
      <x:c r="A18" s="465" t="str">
        <x:v>缺車</x:v>
      </x:c>
      <x:c r="B18" s="465" t="str">
        <x:v>庫存比例規則</x:v>
      </x:c>
      <x:c r="C18" s="465" t="str">
        <x:v>尖峰</x:v>
      </x:c>
      <x:c r="D18" s="497" t="n">
        <x:v>10</x:v>
      </x:c>
      <x:c r="E18" s="497" t="n">
        <x:v>420</x:v>
      </x:c>
      <x:c r="F18" s="497" t="n">
        <x:v>4200</x:v>
      </x:c>
      <x:c r="G18" s="497" t="n">
        <x:v>755</x:v>
      </x:c>
      <x:c r="H18" s="497" t="n">
        <x:v>3445</x:v>
      </x:c>
      <x:c r="I18" s="498" t="n">
        <x:v>0.0443257206598955</x:v>
      </x:c>
      <x:c r="J18" s="498" t="n">
        <x:v>0.17976190476190476</x:v>
      </x:c>
      <x:c r="K18" s="499" t="n">
        <x:v>140</x:v>
      </x:c>
      <x:c r="L18" s="499" t="n">
        <x:v>7.37056054771074</x:v>
      </x:c>
      <x:c r="M18" s="465"/>
      <x:c r="N18" s="465"/>
      <x:c r="O18" s="465"/>
      <x:c r="P18" s="465"/>
      <x:c r="Q18" s="465"/>
      <x:c r="R18" s="465"/>
      <x:c r="S18" s="465"/>
      <x:c r="T18" s="465"/>
      <x:c r="U18" s="465"/>
      <x:c r="V18" s="465"/>
      <x:c r="W18" s="465"/>
      <x:c r="X18" s="465"/>
      <x:c r="Y18" s="465"/>
      <x:c r="Z18" s="465"/>
    </x:row>
    <x:row r="19">
      <x:c r="A19" s="465" t="str">
        <x:v>缺車</x:v>
      </x:c>
      <x:c r="B19" s="465" t="str">
        <x:v>庫存比例規則</x:v>
      </x:c>
      <x:c r="C19" s="465" t="str">
        <x:v>尖峰</x:v>
      </x:c>
      <x:c r="D19" s="497" t="n">
        <x:v>20</x:v>
      </x:c>
      <x:c r="E19" s="497" t="n">
        <x:v>420</x:v>
      </x:c>
      <x:c r="F19" s="497" t="n">
        <x:v>8400</x:v>
      </x:c>
      <x:c r="G19" s="497" t="n">
        <x:v>1521</x:v>
      </x:c>
      <x:c r="H19" s="497" t="n">
        <x:v>6879</x:v>
      </x:c>
      <x:c r="I19" s="498" t="n">
        <x:v>0.08929724652145835</x:v>
      </x:c>
      <x:c r="J19" s="498" t="n">
        <x:v>0.18107142857142858</x:v>
      </x:c>
      <x:c r="K19" s="499" t="n">
        <x:v>280</x:v>
      </x:c>
      <x:c r="L19" s="499" t="n">
        <x:v>14.717586649550706</x:v>
      </x:c>
      <x:c r="M19" s="465"/>
      <x:c r="N19" s="465"/>
      <x:c r="O19" s="465"/>
      <x:c r="P19" s="465"/>
      <x:c r="Q19" s="465"/>
      <x:c r="R19" s="465"/>
      <x:c r="S19" s="465"/>
      <x:c r="T19" s="465"/>
      <x:c r="U19" s="465"/>
      <x:c r="V19" s="465"/>
      <x:c r="W19" s="465"/>
      <x:c r="X19" s="465"/>
      <x:c r="Y19" s="465"/>
      <x:c r="Z19" s="465"/>
    </x:row>
    <x:row r="20">
      <x:c r="A20" s="465" t="str">
        <x:v>缺車</x:v>
      </x:c>
      <x:c r="B20" s="465" t="str">
        <x:v>30分鐘線性外推</x:v>
      </x:c>
      <x:c r="C20" s="465" t="str">
        <x:v>尖峰</x:v>
      </x:c>
      <x:c r="D20" s="497" t="n">
        <x:v>5</x:v>
      </x:c>
      <x:c r="E20" s="497" t="n">
        <x:v>420</x:v>
      </x:c>
      <x:c r="F20" s="497" t="n">
        <x:v>2100</x:v>
      </x:c>
      <x:c r="G20" s="497" t="n">
        <x:v>250</x:v>
      </x:c>
      <x:c r="H20" s="497" t="n">
        <x:v>1850</x:v>
      </x:c>
      <x:c r="I20" s="498" t="n">
        <x:v>0.014677390946985265</x:v>
      </x:c>
      <x:c r="J20" s="498" t="n">
        <x:v>0.11904761904761904</x:v>
      </x:c>
      <x:c r="K20" s="499" t="n">
        <x:v>70</x:v>
      </x:c>
      <x:c r="L20" s="499" t="n">
        <x:v>3.958065896448438</x:v>
      </x:c>
      <x:c r="M20" s="465"/>
      <x:c r="N20" s="465"/>
      <x:c r="O20" s="465"/>
      <x:c r="P20" s="465"/>
      <x:c r="Q20" s="465"/>
      <x:c r="R20" s="465"/>
      <x:c r="S20" s="465"/>
      <x:c r="T20" s="465"/>
      <x:c r="U20" s="465"/>
      <x:c r="V20" s="465"/>
      <x:c r="W20" s="465"/>
      <x:c r="X20" s="465"/>
      <x:c r="Y20" s="465"/>
      <x:c r="Z20" s="465"/>
    </x:row>
    <x:row r="21">
      <x:c r="A21" s="465" t="str">
        <x:v>缺車</x:v>
      </x:c>
      <x:c r="B21" s="465" t="str">
        <x:v>30分鐘線性外推</x:v>
      </x:c>
      <x:c r="C21" s="465" t="str">
        <x:v>尖峰</x:v>
      </x:c>
      <x:c r="D21" s="497" t="n">
        <x:v>10</x:v>
      </x:c>
      <x:c r="E21" s="497" t="n">
        <x:v>420</x:v>
      </x:c>
      <x:c r="F21" s="497" t="n">
        <x:v>4200</x:v>
      </x:c>
      <x:c r="G21" s="497" t="n">
        <x:v>497</x:v>
      </x:c>
      <x:c r="H21" s="497" t="n">
        <x:v>3703</x:v>
      </x:c>
      <x:c r="I21" s="498" t="n">
        <x:v>0.029178653202606705</x:v>
      </x:c>
      <x:c r="J21" s="498" t="n">
        <x:v>0.11833333333333333</x:v>
      </x:c>
      <x:c r="K21" s="499" t="n">
        <x:v>140</x:v>
      </x:c>
      <x:c r="L21" s="499" t="n">
        <x:v>7.92255027813436</x:v>
      </x:c>
      <x:c r="M21" s="465"/>
      <x:c r="N21" s="465"/>
      <x:c r="O21" s="465"/>
      <x:c r="P21" s="465"/>
      <x:c r="Q21" s="465"/>
      <x:c r="R21" s="465"/>
      <x:c r="S21" s="465"/>
      <x:c r="T21" s="465"/>
      <x:c r="U21" s="465"/>
      <x:c r="V21" s="465"/>
      <x:c r="W21" s="465"/>
      <x:c r="X21" s="465"/>
      <x:c r="Y21" s="465"/>
      <x:c r="Z21" s="465"/>
    </x:row>
    <x:row r="22">
      <x:c r="A22" s="465" t="str">
        <x:v>缺車</x:v>
      </x:c>
      <x:c r="B22" s="465" t="str">
        <x:v>30分鐘線性外推</x:v>
      </x:c>
      <x:c r="C22" s="465" t="str">
        <x:v>尖峰</x:v>
      </x:c>
      <x:c r="D22" s="497" t="n">
        <x:v>20</x:v>
      </x:c>
      <x:c r="E22" s="497" t="n">
        <x:v>420</x:v>
      </x:c>
      <x:c r="F22" s="497" t="n">
        <x:v>8400</x:v>
      </x:c>
      <x:c r="G22" s="497" t="n">
        <x:v>1027</x:v>
      </x:c>
      <x:c r="H22" s="497" t="n">
        <x:v>7373</x:v>
      </x:c>
      <x:c r="I22" s="498" t="n">
        <x:v>0.06029472201021546</x:v>
      </x:c>
      <x:c r="J22" s="498" t="n">
        <x:v>0.12226190476190477</x:v>
      </x:c>
      <x:c r="K22" s="499" t="n">
        <x:v>280</x:v>
      </x:c>
      <x:c r="L22" s="499" t="n">
        <x:v>15.774497218656396</x:v>
      </x:c>
      <x:c r="M22" s="465"/>
      <x:c r="N22" s="465"/>
      <x:c r="O22" s="465"/>
      <x:c r="P22" s="465"/>
      <x:c r="Q22" s="465"/>
      <x:c r="R22" s="465"/>
      <x:c r="S22" s="465"/>
      <x:c r="T22" s="465"/>
      <x:c r="U22" s="465"/>
      <x:c r="V22" s="465"/>
      <x:c r="W22" s="465"/>
      <x:c r="X22" s="465"/>
      <x:c r="Y22" s="465"/>
      <x:c r="Z22" s="465"/>
    </x:row>
    <x:row r="23">
      <x:c r="A23" s="465" t="str">
        <x:v>缺車</x:v>
      </x:c>
      <x:c r="B23" s="465" t="str">
        <x:v>Logistic</x:v>
      </x:c>
      <x:c r="C23" s="465" t="str">
        <x:v>尖峰</x:v>
      </x:c>
      <x:c r="D23" s="497" t="n">
        <x:v>5</x:v>
      </x:c>
      <x:c r="E23" s="497" t="n">
        <x:v>420</x:v>
      </x:c>
      <x:c r="F23" s="497" t="n">
        <x:v>2100</x:v>
      </x:c>
      <x:c r="G23" s="497" t="n">
        <x:v>476</x:v>
      </x:c>
      <x:c r="H23" s="497" t="n">
        <x:v>1624</x:v>
      </x:c>
      <x:c r="I23" s="498" t="n">
        <x:v>0.027945752363059944</x:v>
      </x:c>
      <x:c r="J23" s="498" t="n">
        <x:v>0.22666666666666666</x:v>
      </x:c>
      <x:c r="K23" s="499" t="n">
        <x:v>70</x:v>
      </x:c>
      <x:c r="L23" s="499" t="n">
        <x:v>3.4745400085579803</x:v>
      </x:c>
      <x:c r="M23" s="465"/>
      <x:c r="N23" s="465"/>
      <x:c r="O23" s="465"/>
      <x:c r="P23" s="465"/>
      <x:c r="Q23" s="465"/>
      <x:c r="R23" s="465"/>
      <x:c r="S23" s="465"/>
      <x:c r="T23" s="465"/>
      <x:c r="U23" s="465"/>
      <x:c r="V23" s="465"/>
      <x:c r="W23" s="465"/>
      <x:c r="X23" s="465"/>
      <x:c r="Y23" s="465"/>
      <x:c r="Z23" s="465"/>
    </x:row>
    <x:row r="24">
      <x:c r="A24" s="465" t="str">
        <x:v>缺車</x:v>
      </x:c>
      <x:c r="B24" s="465" t="str">
        <x:v>Logistic</x:v>
      </x:c>
      <x:c r="C24" s="465" t="str">
        <x:v>尖峰</x:v>
      </x:c>
      <x:c r="D24" s="497" t="n">
        <x:v>10</x:v>
      </x:c>
      <x:c r="E24" s="497" t="n">
        <x:v>420</x:v>
      </x:c>
      <x:c r="F24" s="497" t="n">
        <x:v>4200</x:v>
      </x:c>
      <x:c r="G24" s="497" t="n">
        <x:v>910</x:v>
      </x:c>
      <x:c r="H24" s="497" t="n">
        <x:v>3290</x:v>
      </x:c>
      <x:c r="I24" s="498" t="n">
        <x:v>0.05342570304702636</x:v>
      </x:c>
      <x:c r="J24" s="498" t="n">
        <x:v>0.21666666666666667</x:v>
      </x:c>
      <x:c r="K24" s="499" t="n">
        <x:v>140</x:v>
      </x:c>
      <x:c r="L24" s="499" t="n">
        <x:v>7.038938810440736</x:v>
      </x:c>
      <x:c r="M24" s="465"/>
      <x:c r="N24" s="465"/>
      <x:c r="O24" s="465"/>
      <x:c r="P24" s="465"/>
      <x:c r="Q24" s="465"/>
      <x:c r="R24" s="465"/>
      <x:c r="S24" s="465"/>
      <x:c r="T24" s="465"/>
      <x:c r="U24" s="465"/>
      <x:c r="V24" s="465"/>
      <x:c r="W24" s="465"/>
      <x:c r="X24" s="465"/>
      <x:c r="Y24" s="465"/>
      <x:c r="Z24" s="465"/>
    </x:row>
    <x:row r="25">
      <x:c r="A25" s="465" t="str">
        <x:v>缺車</x:v>
      </x:c>
      <x:c r="B25" s="465" t="str">
        <x:v>Logistic</x:v>
      </x:c>
      <x:c r="C25" s="465" t="str">
        <x:v>尖峰</x:v>
      </x:c>
      <x:c r="D25" s="497" t="n">
        <x:v>20</x:v>
      </x:c>
      <x:c r="E25" s="497" t="n">
        <x:v>420</x:v>
      </x:c>
      <x:c r="F25" s="497" t="n">
        <x:v>8400</x:v>
      </x:c>
      <x:c r="G25" s="497" t="n">
        <x:v>1760</x:v>
      </x:c>
      <x:c r="H25" s="497" t="n">
        <x:v>6640</x:v>
      </x:c>
      <x:c r="I25" s="498" t="n">
        <x:v>0.10332883226677626</x:v>
      </x:c>
      <x:c r="J25" s="498" t="n">
        <x:v>0.20952380952380953</x:v>
      </x:c>
      <x:c r="K25" s="499" t="n">
        <x:v>280</x:v>
      </x:c>
      <x:c r="L25" s="499" t="n">
        <x:v>14.206247325631152</x:v>
      </x:c>
      <x:c r="M25" s="465"/>
      <x:c r="N25" s="465"/>
      <x:c r="O25" s="465"/>
      <x:c r="P25" s="465"/>
      <x:c r="Q25" s="465"/>
      <x:c r="R25" s="465"/>
      <x:c r="S25" s="465"/>
      <x:c r="T25" s="465"/>
      <x:c r="U25" s="465"/>
      <x:c r="V25" s="465"/>
      <x:c r="W25" s="465"/>
      <x:c r="X25" s="465"/>
      <x:c r="Y25" s="465"/>
      <x:c r="Z25" s="465"/>
    </x:row>
    <x:row r="26">
      <x:c r="A26" s="500" t="str">
        <x:v>缺車</x:v>
      </x:c>
      <x:c r="B26" s="500" t="str">
        <x:v>LightGBM</x:v>
      </x:c>
      <x:c r="C26" s="500" t="str">
        <x:v>尖峰</x:v>
      </x:c>
      <x:c r="D26" s="501" t="n">
        <x:v>5</x:v>
      </x:c>
      <x:c r="E26" s="501" t="n">
        <x:v>420</x:v>
      </x:c>
      <x:c r="F26" s="501" t="n">
        <x:v>2100</x:v>
      </x:c>
      <x:c r="G26" s="501" t="n">
        <x:v>736</x:v>
      </x:c>
      <x:c r="H26" s="501" t="n">
        <x:v>1364</x:v>
      </x:c>
      <x:c r="I26" s="502" t="n">
        <x:v>0.04321023894792462</x:v>
      </x:c>
      <x:c r="J26" s="502" t="n">
        <x:v>0.3504761904761905</x:v>
      </x:c>
      <x:c r="K26" s="503" t="n">
        <x:v>70</x:v>
      </x:c>
      <x:c r="L26" s="503" t="n">
        <x:v>2.9182712879760375</x:v>
      </x:c>
      <x:c r="M26" s="465"/>
      <x:c r="N26" s="465"/>
      <x:c r="O26" s="465"/>
      <x:c r="P26" s="465"/>
      <x:c r="Q26" s="465"/>
      <x:c r="R26" s="465"/>
      <x:c r="S26" s="465"/>
      <x:c r="T26" s="465"/>
      <x:c r="U26" s="465"/>
      <x:c r="V26" s="465"/>
      <x:c r="W26" s="465"/>
      <x:c r="X26" s="465"/>
      <x:c r="Y26" s="465"/>
      <x:c r="Z26" s="465"/>
    </x:row>
    <x:row r="27">
      <x:c r="A27" s="500" t="str">
        <x:v>缺車</x:v>
      </x:c>
      <x:c r="B27" s="500" t="str">
        <x:v>LightGBM</x:v>
      </x:c>
      <x:c r="C27" s="500" t="str">
        <x:v>尖峰</x:v>
      </x:c>
      <x:c r="D27" s="501" t="n">
        <x:v>10</x:v>
      </x:c>
      <x:c r="E27" s="501" t="n">
        <x:v>420</x:v>
      </x:c>
      <x:c r="F27" s="501" t="n">
        <x:v>4200</x:v>
      </x:c>
      <x:c r="G27" s="501" t="n">
        <x:v>1338</x:v>
      </x:c>
      <x:c r="H27" s="501" t="n">
        <x:v>2862</x:v>
      </x:c>
      <x:c r="I27" s="502" t="n">
        <x:v>0.07855339634826514</x:v>
      </x:c>
      <x:c r="J27" s="502" t="n">
        <x:v>0.31857142857142856</x:v>
      </x:c>
      <x:c r="K27" s="503" t="n">
        <x:v>140</x:v>
      </x:c>
      <x:c r="L27" s="503" t="n">
        <x:v>6.123234916559692</x:v>
      </x:c>
      <x:c r="M27" s="465"/>
      <x:c r="N27" s="465"/>
      <x:c r="O27" s="465"/>
      <x:c r="P27" s="465"/>
      <x:c r="Q27" s="465"/>
      <x:c r="R27" s="465"/>
      <x:c r="S27" s="465"/>
      <x:c r="T27" s="465"/>
      <x:c r="U27" s="465"/>
      <x:c r="V27" s="465"/>
      <x:c r="W27" s="465"/>
      <x:c r="X27" s="465"/>
      <x:c r="Y27" s="465"/>
      <x:c r="Z27" s="465"/>
    </x:row>
    <x:row r="28">
      <x:c r="A28" s="500" t="str">
        <x:v>缺車</x:v>
      </x:c>
      <x:c r="B28" s="500" t="str">
        <x:v>LightGBM</x:v>
      </x:c>
      <x:c r="C28" s="500" t="str">
        <x:v>尖峰</x:v>
      </x:c>
      <x:c r="D28" s="501" t="n">
        <x:v>20</x:v>
      </x:c>
      <x:c r="E28" s="501" t="n">
        <x:v>420</x:v>
      </x:c>
      <x:c r="F28" s="501" t="n">
        <x:v>8400</x:v>
      </x:c>
      <x:c r="G28" s="501" t="n">
        <x:v>2451</x:v>
      </x:c>
      <x:c r="H28" s="501" t="n">
        <x:v>5949</x:v>
      </x:c>
      <x:c r="I28" s="502" t="n">
        <x:v>0.14389714084424352</x:v>
      </x:c>
      <x:c r="J28" s="502" t="n">
        <x:v>0.29178571428571426</x:v>
      </x:c>
      <x:c r="K28" s="503" t="n">
        <x:v>280</x:v>
      </x:c>
      <x:c r="L28" s="503" t="n">
        <x:v>12.72785622593068</x:v>
      </x:c>
      <x:c r="M28" s="465"/>
      <x:c r="N28" s="465"/>
      <x:c r="O28" s="465"/>
      <x:c r="P28" s="465"/>
      <x:c r="Q28" s="465"/>
      <x:c r="R28" s="465"/>
      <x:c r="S28" s="465"/>
      <x:c r="T28" s="465"/>
      <x:c r="U28" s="465"/>
      <x:c r="V28" s="465"/>
      <x:c r="W28" s="465"/>
      <x:c r="X28" s="465"/>
      <x:c r="Y28" s="465"/>
      <x:c r="Z28" s="465"/>
    </x:row>
    <x:row r="29">
      <x:c r="A29" s="465" t="str">
        <x:v>滿柱</x:v>
      </x:c>
      <x:c r="B29" s="465" t="str">
        <x:v>庫存比例規則</x:v>
      </x:c>
      <x:c r="C29" s="465" t="str">
        <x:v>全日</x:v>
      </x:c>
      <x:c r="D29" s="497" t="n">
        <x:v>5</x:v>
      </x:c>
      <x:c r="E29" s="497" t="n">
        <x:v>1439</x:v>
      </x:c>
      <x:c r="F29" s="497" t="n">
        <x:v>7195</x:v>
      </x:c>
      <x:c r="G29" s="497" t="n">
        <x:v>680</x:v>
      </x:c>
      <x:c r="H29" s="497" t="n">
        <x:v>6515</x:v>
      </x:c>
      <x:c r="I29" s="498" t="n">
        <x:v>0.10434248887524934</x:v>
      </x:c>
      <x:c r="J29" s="498" t="n">
        <x:v>0.0945100764419736</x:v>
      </x:c>
      <x:c r="K29" s="499" t="n">
        <x:v>239.83333333333334</x:v>
      </x:c>
      <x:c r="L29" s="499" t="n">
        <x:v>13.938810440735987</x:v>
      </x:c>
      <x:c r="M29" s="465"/>
      <x:c r="N29" s="465"/>
      <x:c r="O29" s="465"/>
      <x:c r="P29" s="465"/>
      <x:c r="Q29" s="465"/>
      <x:c r="R29" s="465"/>
      <x:c r="S29" s="465"/>
      <x:c r="T29" s="465"/>
      <x:c r="U29" s="465"/>
      <x:c r="V29" s="465"/>
      <x:c r="W29" s="465"/>
      <x:c r="X29" s="465"/>
      <x:c r="Y29" s="465"/>
      <x:c r="Z29" s="465"/>
    </x:row>
    <x:row r="30">
      <x:c r="A30" s="465" t="str">
        <x:v>滿柱</x:v>
      </x:c>
      <x:c r="B30" s="465" t="str">
        <x:v>庫存比例規則</x:v>
      </x:c>
      <x:c r="C30" s="465" t="str">
        <x:v>全日</x:v>
      </x:c>
      <x:c r="D30" s="497" t="n">
        <x:v>10</x:v>
      </x:c>
      <x:c r="E30" s="497" t="n">
        <x:v>1439</x:v>
      </x:c>
      <x:c r="F30" s="497" t="n">
        <x:v>14390</x:v>
      </x:c>
      <x:c r="G30" s="497" t="n">
        <x:v>1308</x:v>
      </x:c>
      <x:c r="H30" s="497" t="n">
        <x:v>13082</x:v>
      </x:c>
      <x:c r="I30" s="498" t="n">
        <x:v>0.20070584624827376</x:v>
      </x:c>
      <x:c r="J30" s="498" t="n">
        <x:v>0.09089645587213342</x:v>
      </x:c>
      <x:c r="K30" s="499" t="n">
        <x:v>479.6666666666667</x:v>
      </x:c>
      <x:c r="L30" s="499" t="n">
        <x:v>27.988874625588362</x:v>
      </x:c>
      <x:c r="M30" s="465"/>
      <x:c r="N30" s="465"/>
      <x:c r="O30" s="465"/>
      <x:c r="P30" s="465"/>
      <x:c r="Q30" s="465"/>
      <x:c r="R30" s="465"/>
      <x:c r="S30" s="465"/>
      <x:c r="T30" s="465"/>
      <x:c r="U30" s="465"/>
      <x:c r="V30" s="465"/>
      <x:c r="W30" s="465"/>
      <x:c r="X30" s="465"/>
      <x:c r="Y30" s="465"/>
      <x:c r="Z30" s="465"/>
    </x:row>
    <x:row r="31">
      <x:c r="A31" s="465" t="str">
        <x:v>滿柱</x:v>
      </x:c>
      <x:c r="B31" s="465" t="str">
        <x:v>庫存比例規則</x:v>
      </x:c>
      <x:c r="C31" s="465" t="str">
        <x:v>全日</x:v>
      </x:c>
      <x:c r="D31" s="497" t="n">
        <x:v>20</x:v>
      </x:c>
      <x:c r="E31" s="497" t="n">
        <x:v>1439</x:v>
      </x:c>
      <x:c r="F31" s="497" t="n">
        <x:v>28780</x:v>
      </x:c>
      <x:c r="G31" s="497" t="n">
        <x:v>2316</x:v>
      </x:c>
      <x:c r="H31" s="497" t="n">
        <x:v>26464</x:v>
      </x:c>
      <x:c r="I31" s="498" t="n">
        <x:v>0.3553782415221728</x:v>
      </x:c>
      <x:c r="J31" s="498" t="n">
        <x:v>0.08047255038220986</x:v>
      </x:c>
      <x:c r="K31" s="499" t="n">
        <x:v>959.3333333333334</x:v>
      </x:c>
      <x:c r="L31" s="499" t="n">
        <x:v>56.61959777492512</x:v>
      </x:c>
      <x:c r="M31" s="465"/>
      <x:c r="N31" s="465"/>
      <x:c r="O31" s="465"/>
      <x:c r="P31" s="465"/>
      <x:c r="Q31" s="465"/>
      <x:c r="R31" s="465"/>
      <x:c r="S31" s="465"/>
      <x:c r="T31" s="465"/>
      <x:c r="U31" s="465"/>
      <x:c r="V31" s="465"/>
      <x:c r="W31" s="465"/>
      <x:c r="X31" s="465"/>
      <x:c r="Y31" s="465"/>
      <x:c r="Z31" s="465"/>
    </x:row>
    <x:row r="32">
      <x:c r="A32" s="465" t="str">
        <x:v>滿柱</x:v>
      </x:c>
      <x:c r="B32" s="465" t="str">
        <x:v>30分鐘線性外推</x:v>
      </x:c>
      <x:c r="C32" s="465" t="str">
        <x:v>全日</x:v>
      </x:c>
      <x:c r="D32" s="497" t="n">
        <x:v>5</x:v>
      </x:c>
      <x:c r="E32" s="497" t="n">
        <x:v>1439</x:v>
      </x:c>
      <x:c r="F32" s="497" t="n">
        <x:v>7195</x:v>
      </x:c>
      <x:c r="G32" s="497" t="n">
        <x:v>464</x:v>
      </x:c>
      <x:c r="H32" s="497" t="n">
        <x:v>6731</x:v>
      </x:c>
      <x:c r="I32" s="498" t="n">
        <x:v>0.07119840417369956</x:v>
      </x:c>
      <x:c r="J32" s="498" t="n">
        <x:v>0.06448922863099374</x:v>
      </x:c>
      <x:c r="K32" s="499" t="n">
        <x:v>239.83333333333334</x:v>
      </x:c>
      <x:c r="L32" s="499" t="n">
        <x:v>14.400941377834831</x:v>
      </x:c>
      <x:c r="M32" s="465"/>
      <x:c r="N32" s="465"/>
      <x:c r="O32" s="465"/>
      <x:c r="P32" s="465"/>
      <x:c r="Q32" s="465"/>
      <x:c r="R32" s="465"/>
      <x:c r="S32" s="465"/>
      <x:c r="T32" s="465"/>
      <x:c r="U32" s="465"/>
      <x:c r="V32" s="465"/>
      <x:c r="W32" s="465"/>
      <x:c r="X32" s="465"/>
      <x:c r="Y32" s="465"/>
      <x:c r="Z32" s="465"/>
    </x:row>
    <x:row r="33">
      <x:c r="A33" s="465" t="str">
        <x:v>滿柱</x:v>
      </x:c>
      <x:c r="B33" s="465" t="str">
        <x:v>30分鐘線性外推</x:v>
      </x:c>
      <x:c r="C33" s="465" t="str">
        <x:v>全日</x:v>
      </x:c>
      <x:c r="D33" s="497" t="n">
        <x:v>10</x:v>
      </x:c>
      <x:c r="E33" s="497" t="n">
        <x:v>1439</x:v>
      </x:c>
      <x:c r="F33" s="497" t="n">
        <x:v>14390</x:v>
      </x:c>
      <x:c r="G33" s="497" t="n">
        <x:v>894</x:v>
      </x:c>
      <x:c r="H33" s="497" t="n">
        <x:v>13496</x:v>
      </x:c>
      <x:c r="I33" s="498" t="n">
        <x:v>0.13717968390363663</x:v>
      </x:c>
      <x:c r="J33" s="498" t="n">
        <x:v>0.0621264767199444</x:v>
      </x:c>
      <x:c r="K33" s="499" t="n">
        <x:v>479.6666666666667</x:v>
      </x:c>
      <x:c r="L33" s="499" t="n">
        <x:v>28.87462558836115</x:v>
      </x:c>
      <x:c r="M33" s="465"/>
      <x:c r="N33" s="465"/>
      <x:c r="O33" s="465"/>
      <x:c r="P33" s="465"/>
      <x:c r="Q33" s="465"/>
      <x:c r="R33" s="465"/>
      <x:c r="S33" s="465"/>
      <x:c r="T33" s="465"/>
      <x:c r="U33" s="465"/>
      <x:c r="V33" s="465"/>
      <x:c r="W33" s="465"/>
      <x:c r="X33" s="465"/>
      <x:c r="Y33" s="465"/>
      <x:c r="Z33" s="465"/>
    </x:row>
    <x:row r="34">
      <x:c r="A34" s="465" t="str">
        <x:v>滿柱</x:v>
      </x:c>
      <x:c r="B34" s="465" t="str">
        <x:v>30分鐘線性外推</x:v>
      </x:c>
      <x:c r="C34" s="465" t="str">
        <x:v>全日</x:v>
      </x:c>
      <x:c r="D34" s="497" t="n">
        <x:v>20</x:v>
      </x:c>
      <x:c r="E34" s="497" t="n">
        <x:v>1439</x:v>
      </x:c>
      <x:c r="F34" s="497" t="n">
        <x:v>28780</x:v>
      </x:c>
      <x:c r="G34" s="497" t="n">
        <x:v>1691</x:v>
      </x:c>
      <x:c r="H34" s="497" t="n">
        <x:v>27089</x:v>
      </x:c>
      <x:c r="I34" s="498" t="n">
        <x:v>0.2594752186588921</x:v>
      </x:c>
      <x:c r="J34" s="498" t="n">
        <x:v>0.05875608061153579</x:v>
      </x:c>
      <x:c r="K34" s="499" t="n">
        <x:v>959.3333333333334</x:v>
      </x:c>
      <x:c r="L34" s="499" t="n">
        <x:v>57.95678219940094</x:v>
      </x:c>
      <x:c r="M34" s="465"/>
      <x:c r="N34" s="465"/>
      <x:c r="O34" s="465"/>
      <x:c r="P34" s="465"/>
      <x:c r="Q34" s="465"/>
      <x:c r="R34" s="465"/>
      <x:c r="S34" s="465"/>
      <x:c r="T34" s="465"/>
      <x:c r="U34" s="465"/>
      <x:c r="V34" s="465"/>
      <x:c r="W34" s="465"/>
      <x:c r="X34" s="465"/>
      <x:c r="Y34" s="465"/>
      <x:c r="Z34" s="465"/>
    </x:row>
    <x:row r="35">
      <x:c r="A35" s="465" t="str">
        <x:v>滿柱</x:v>
      </x:c>
      <x:c r="B35" s="465" t="str">
        <x:v>Logistic</x:v>
      </x:c>
      <x:c r="C35" s="465" t="str">
        <x:v>全日</x:v>
      </x:c>
      <x:c r="D35" s="497" t="n">
        <x:v>5</x:v>
      </x:c>
      <x:c r="E35" s="497" t="n">
        <x:v>1439</x:v>
      </x:c>
      <x:c r="F35" s="497" t="n">
        <x:v>7195</x:v>
      </x:c>
      <x:c r="G35" s="497" t="n">
        <x:v>800</x:v>
      </x:c>
      <x:c r="H35" s="497" t="n">
        <x:v>6395</x:v>
      </x:c>
      <x:c r="I35" s="498" t="n">
        <x:v>0.12275586926499923</x:v>
      </x:c>
      <x:c r="J35" s="498" t="n">
        <x:v>0.11118832522585129</x:v>
      </x:c>
      <x:c r="K35" s="499" t="n">
        <x:v>239.83333333333334</x:v>
      </x:c>
      <x:c r="L35" s="499" t="n">
        <x:v>13.682071031236628</x:v>
      </x:c>
      <x:c r="M35" s="465"/>
      <x:c r="N35" s="465"/>
      <x:c r="O35" s="465"/>
      <x:c r="P35" s="465"/>
      <x:c r="Q35" s="465"/>
      <x:c r="R35" s="465"/>
      <x:c r="S35" s="465"/>
      <x:c r="T35" s="465"/>
      <x:c r="U35" s="465"/>
      <x:c r="V35" s="465"/>
      <x:c r="W35" s="465"/>
      <x:c r="X35" s="465"/>
      <x:c r="Y35" s="465"/>
      <x:c r="Z35" s="465"/>
    </x:row>
    <x:row r="36">
      <x:c r="A36" s="465" t="str">
        <x:v>滿柱</x:v>
      </x:c>
      <x:c r="B36" s="465" t="str">
        <x:v>Logistic</x:v>
      </x:c>
      <x:c r="C36" s="465" t="str">
        <x:v>全日</x:v>
      </x:c>
      <x:c r="D36" s="497" t="n">
        <x:v>10</x:v>
      </x:c>
      <x:c r="E36" s="497" t="n">
        <x:v>1439</x:v>
      </x:c>
      <x:c r="F36" s="497" t="n">
        <x:v>14390</x:v>
      </x:c>
      <x:c r="G36" s="497" t="n">
        <x:v>1448</x:v>
      </x:c>
      <x:c r="H36" s="497" t="n">
        <x:v>12942</x:v>
      </x:c>
      <x:c r="I36" s="498" t="n">
        <x:v>0.2221881233696486</x:v>
      </x:c>
      <x:c r="J36" s="498" t="n">
        <x:v>0.10062543432939541</x:v>
      </x:c>
      <x:c r="K36" s="499" t="n">
        <x:v>479.6666666666667</x:v>
      </x:c>
      <x:c r="L36" s="499" t="n">
        <x:v>27.689345314505776</x:v>
      </x:c>
      <x:c r="M36" s="465"/>
      <x:c r="N36" s="465"/>
      <x:c r="O36" s="465"/>
      <x:c r="P36" s="465"/>
      <x:c r="Q36" s="465"/>
      <x:c r="R36" s="465"/>
      <x:c r="S36" s="465"/>
      <x:c r="T36" s="465"/>
      <x:c r="U36" s="465"/>
      <x:c r="V36" s="465"/>
      <x:c r="W36" s="465"/>
      <x:c r="X36" s="465"/>
      <x:c r="Y36" s="465"/>
      <x:c r="Z36" s="465"/>
    </x:row>
    <x:row r="37">
      <x:c r="A37" s="465" t="str">
        <x:v>滿柱</x:v>
      </x:c>
      <x:c r="B37" s="465" t="str">
        <x:v>Logistic</x:v>
      </x:c>
      <x:c r="C37" s="465" t="str">
        <x:v>全日</x:v>
      </x:c>
      <x:c r="D37" s="497" t="n">
        <x:v>20</x:v>
      </x:c>
      <x:c r="E37" s="497" t="n">
        <x:v>1439</x:v>
      </x:c>
      <x:c r="F37" s="497" t="n">
        <x:v>28780</x:v>
      </x:c>
      <x:c r="G37" s="497" t="n">
        <x:v>2409</x:v>
      </x:c>
      <x:c r="H37" s="497" t="n">
        <x:v>26371</x:v>
      </x:c>
      <x:c r="I37" s="498" t="n">
        <x:v>0.36964861132422894</x:v>
      </x:c>
      <x:c r="J37" s="498" t="n">
        <x:v>0.08370396108408618</x:v>
      </x:c>
      <x:c r="K37" s="499" t="n">
        <x:v>959.3333333333334</x:v>
      </x:c>
      <x:c r="L37" s="499" t="n">
        <x:v>56.42062473256311</x:v>
      </x:c>
      <x:c r="M37" s="465"/>
      <x:c r="N37" s="465"/>
      <x:c r="O37" s="465"/>
      <x:c r="P37" s="465"/>
      <x:c r="Q37" s="465"/>
      <x:c r="R37" s="465"/>
      <x:c r="S37" s="465"/>
      <x:c r="T37" s="465"/>
      <x:c r="U37" s="465"/>
      <x:c r="V37" s="465"/>
      <x:c r="W37" s="465"/>
      <x:c r="X37" s="465"/>
      <x:c r="Y37" s="465"/>
      <x:c r="Z37" s="465"/>
    </x:row>
    <x:row r="38">
      <x:c r="A38" s="465" t="str">
        <x:v>滿柱</x:v>
      </x:c>
      <x:c r="B38" s="465" t="str">
        <x:v>LightGBM</x:v>
      </x:c>
      <x:c r="C38" s="465" t="str">
        <x:v>全日</x:v>
      </x:c>
      <x:c r="D38" s="497" t="n">
        <x:v>5</x:v>
      </x:c>
      <x:c r="E38" s="497" t="n">
        <x:v>1439</x:v>
      </x:c>
      <x:c r="F38" s="497" t="n">
        <x:v>7195</x:v>
      </x:c>
      <x:c r="G38" s="497" t="n">
        <x:v>1190</x:v>
      </x:c>
      <x:c r="H38" s="497" t="n">
        <x:v>6005</x:v>
      </x:c>
      <x:c r="I38" s="498" t="n">
        <x:v>0.18259935553168635</x:v>
      </x:c>
      <x:c r="J38" s="498" t="n">
        <x:v>0.16539263377345378</x:v>
      </x:c>
      <x:c r="K38" s="499" t="n">
        <x:v>239.83333333333334</x:v>
      </x:c>
      <x:c r="L38" s="499" t="n">
        <x:v>12.847667950363714</x:v>
      </x:c>
      <x:c r="M38" s="465"/>
      <x:c r="N38" s="465"/>
      <x:c r="O38" s="465"/>
      <x:c r="P38" s="465"/>
      <x:c r="Q38" s="465"/>
      <x:c r="R38" s="465"/>
      <x:c r="S38" s="465"/>
      <x:c r="T38" s="465"/>
      <x:c r="U38" s="465"/>
      <x:c r="V38" s="465"/>
      <x:c r="W38" s="465"/>
      <x:c r="X38" s="465"/>
      <x:c r="Y38" s="465"/>
      <x:c r="Z38" s="465"/>
    </x:row>
    <x:row r="39">
      <x:c r="A39" s="465" t="str">
        <x:v>滿柱</x:v>
      </x:c>
      <x:c r="B39" s="465" t="str">
        <x:v>LightGBM</x:v>
      </x:c>
      <x:c r="C39" s="465" t="str">
        <x:v>全日</x:v>
      </x:c>
      <x:c r="D39" s="497" t="n">
        <x:v>10</x:v>
      </x:c>
      <x:c r="E39" s="497" t="n">
        <x:v>1439</x:v>
      </x:c>
      <x:c r="F39" s="497" t="n">
        <x:v>14390</x:v>
      </x:c>
      <x:c r="G39" s="497" t="n">
        <x:v>1956</x:v>
      </x:c>
      <x:c r="H39" s="497" t="n">
        <x:v>12434</x:v>
      </x:c>
      <x:c r="I39" s="498" t="n">
        <x:v>0.3001381003529231</x:v>
      </x:c>
      <x:c r="J39" s="498" t="n">
        <x:v>0.1359277275886032</x:v>
      </x:c>
      <x:c r="K39" s="499" t="n">
        <x:v>479.6666666666667</x:v>
      </x:c>
      <x:c r="L39" s="499" t="n">
        <x:v>26.602481814291828</x:v>
      </x:c>
      <x:c r="M39" s="465"/>
      <x:c r="N39" s="465"/>
      <x:c r="O39" s="465"/>
      <x:c r="P39" s="465"/>
      <x:c r="Q39" s="465"/>
      <x:c r="R39" s="465"/>
      <x:c r="S39" s="465"/>
      <x:c r="T39" s="465"/>
      <x:c r="U39" s="465"/>
      <x:c r="V39" s="465"/>
      <x:c r="W39" s="465"/>
      <x:c r="X39" s="465"/>
      <x:c r="Y39" s="465"/>
      <x:c r="Z39" s="465"/>
    </x:row>
    <x:row r="40">
      <x:c r="A40" s="465" t="str">
        <x:v>滿柱</x:v>
      </x:c>
      <x:c r="B40" s="465" t="str">
        <x:v>LightGBM</x:v>
      </x:c>
      <x:c r="C40" s="465" t="str">
        <x:v>全日</x:v>
      </x:c>
      <x:c r="D40" s="497" t="n">
        <x:v>20</x:v>
      </x:c>
      <x:c r="E40" s="497" t="n">
        <x:v>1439</x:v>
      </x:c>
      <x:c r="F40" s="497" t="n">
        <x:v>28780</x:v>
      </x:c>
      <x:c r="G40" s="497" t="n">
        <x:v>2995</x:v>
      </x:c>
      <x:c r="H40" s="497" t="n">
        <x:v>25785</x:v>
      </x:c>
      <x:c r="I40" s="498" t="n">
        <x:v>0.45956728556084087</x:v>
      </x:c>
      <x:c r="J40" s="498" t="n">
        <x:v>0.10406532314107018</x:v>
      </x:c>
      <x:c r="K40" s="499" t="n">
        <x:v>959.3333333333334</x:v>
      </x:c>
      <x:c r="L40" s="499" t="n">
        <x:v>55.16688061617458</x:v>
      </x:c>
      <x:c r="M40" s="465"/>
      <x:c r="N40" s="465"/>
      <x:c r="O40" s="465"/>
      <x:c r="P40" s="465"/>
      <x:c r="Q40" s="465"/>
      <x:c r="R40" s="465"/>
      <x:c r="S40" s="465"/>
      <x:c r="T40" s="465"/>
      <x:c r="U40" s="465"/>
      <x:c r="V40" s="465"/>
      <x:c r="W40" s="465"/>
      <x:c r="X40" s="465"/>
      <x:c r="Y40" s="465"/>
      <x:c r="Z40" s="465"/>
    </x:row>
    <x:row r="41">
      <x:c r="A41" s="465" t="str">
        <x:v>滿柱</x:v>
      </x:c>
      <x:c r="B41" s="465" t="str">
        <x:v>庫存比例規則</x:v>
      </x:c>
      <x:c r="C41" s="465" t="str">
        <x:v>尖峰</x:v>
      </x:c>
      <x:c r="D41" s="497" t="n">
        <x:v>5</x:v>
      </x:c>
      <x:c r="E41" s="497" t="n">
        <x:v>420</x:v>
      </x:c>
      <x:c r="F41" s="497" t="n">
        <x:v>2100</x:v>
      </x:c>
      <x:c r="G41" s="497" t="n">
        <x:v>195</x:v>
      </x:c>
      <x:c r="H41" s="497" t="n">
        <x:v>1905</x:v>
      </x:c>
      <x:c r="I41" s="498" t="n">
        <x:v>0.06775538568450312</x:v>
      </x:c>
      <x:c r="J41" s="498" t="n">
        <x:v>0.09285714285714286</x:v>
      </x:c>
      <x:c r="K41" s="499" t="n">
        <x:v>70</x:v>
      </x:c>
      <x:c r="L41" s="499" t="n">
        <x:v>4.075738125802311</x:v>
      </x:c>
      <x:c r="M41" s="465"/>
      <x:c r="N41" s="465"/>
      <x:c r="O41" s="465"/>
      <x:c r="P41" s="465"/>
      <x:c r="Q41" s="465"/>
      <x:c r="R41" s="465"/>
      <x:c r="S41" s="465"/>
      <x:c r="T41" s="465"/>
      <x:c r="U41" s="465"/>
      <x:c r="V41" s="465"/>
      <x:c r="W41" s="465"/>
      <x:c r="X41" s="465"/>
      <x:c r="Y41" s="465"/>
      <x:c r="Z41" s="465"/>
    </x:row>
    <x:row r="42">
      <x:c r="A42" s="465" t="str">
        <x:v>滿柱</x:v>
      </x:c>
      <x:c r="B42" s="465" t="str">
        <x:v>庫存比例規則</x:v>
      </x:c>
      <x:c r="C42" s="465" t="str">
        <x:v>尖峰</x:v>
      </x:c>
      <x:c r="D42" s="497" t="n">
        <x:v>10</x:v>
      </x:c>
      <x:c r="E42" s="497" t="n">
        <x:v>420</x:v>
      </x:c>
      <x:c r="F42" s="497" t="n">
        <x:v>4200</x:v>
      </x:c>
      <x:c r="G42" s="497" t="n">
        <x:v>398</x:v>
      </x:c>
      <x:c r="H42" s="497" t="n">
        <x:v>3802</x:v>
      </x:c>
      <x:c r="I42" s="498" t="n">
        <x:v>0.13829047949965254</x:v>
      </x:c>
      <x:c r="J42" s="498" t="n">
        <x:v>0.09476190476190476</x:v>
      </x:c>
      <x:c r="K42" s="499" t="n">
        <x:v>140</x:v>
      </x:c>
      <x:c r="L42" s="499" t="n">
        <x:v>8.134360290971332</x:v>
      </x:c>
      <x:c r="M42" s="465"/>
      <x:c r="N42" s="465"/>
      <x:c r="O42" s="465"/>
      <x:c r="P42" s="465"/>
      <x:c r="Q42" s="465"/>
      <x:c r="R42" s="465"/>
      <x:c r="S42" s="465"/>
      <x:c r="T42" s="465"/>
      <x:c r="U42" s="465"/>
      <x:c r="V42" s="465"/>
      <x:c r="W42" s="465"/>
      <x:c r="X42" s="465"/>
      <x:c r="Y42" s="465"/>
      <x:c r="Z42" s="465"/>
    </x:row>
    <x:row r="43">
      <x:c r="A43" s="465" t="str">
        <x:v>滿柱</x:v>
      </x:c>
      <x:c r="B43" s="465" t="str">
        <x:v>庫存比例規則</x:v>
      </x:c>
      <x:c r="C43" s="465" t="str">
        <x:v>尖峰</x:v>
      </x:c>
      <x:c r="D43" s="497" t="n">
        <x:v>20</x:v>
      </x:c>
      <x:c r="E43" s="497" t="n">
        <x:v>420</x:v>
      </x:c>
      <x:c r="F43" s="497" t="n">
        <x:v>8400</x:v>
      </x:c>
      <x:c r="G43" s="497" t="n">
        <x:v>770</x:v>
      </x:c>
      <x:c r="H43" s="497" t="n">
        <x:v>7630</x:v>
      </x:c>
      <x:c r="I43" s="498" t="n">
        <x:v>0.2675469075747047</x:v>
      </x:c>
      <x:c r="J43" s="498" t="n">
        <x:v>0.09166666666666666</x:v>
      </x:c>
      <x:c r="K43" s="499" t="n">
        <x:v>280</x:v>
      </x:c>
      <x:c r="L43" s="499" t="n">
        <x:v>16.324347454000854</x:v>
      </x:c>
      <x:c r="M43" s="465"/>
      <x:c r="N43" s="465"/>
      <x:c r="O43" s="465"/>
      <x:c r="P43" s="465"/>
      <x:c r="Q43" s="465"/>
      <x:c r="R43" s="465"/>
      <x:c r="S43" s="465"/>
      <x:c r="T43" s="465"/>
      <x:c r="U43" s="465"/>
      <x:c r="V43" s="465"/>
      <x:c r="W43" s="465"/>
      <x:c r="X43" s="465"/>
      <x:c r="Y43" s="465"/>
      <x:c r="Z43" s="465"/>
    </x:row>
    <x:row r="44">
      <x:c r="A44" s="465" t="str">
        <x:v>滿柱</x:v>
      </x:c>
      <x:c r="B44" s="465" t="str">
        <x:v>30分鐘線性外推</x:v>
      </x:c>
      <x:c r="C44" s="465" t="str">
        <x:v>尖峰</x:v>
      </x:c>
      <x:c r="D44" s="497" t="n">
        <x:v>5</x:v>
      </x:c>
      <x:c r="E44" s="497" t="n">
        <x:v>420</x:v>
      </x:c>
      <x:c r="F44" s="497" t="n">
        <x:v>2100</x:v>
      </x:c>
      <x:c r="G44" s="497" t="n">
        <x:v>146</x:v>
      </x:c>
      <x:c r="H44" s="497" t="n">
        <x:v>1954</x:v>
      </x:c>
      <x:c r="I44" s="498" t="n">
        <x:v>0.05072967338429465</x:v>
      </x:c>
      <x:c r="J44" s="498" t="n">
        <x:v>0.06952380952380953</x:v>
      </x:c>
      <x:c r="K44" s="499" t="n">
        <x:v>70</x:v>
      </x:c>
      <x:c r="L44" s="499" t="n">
        <x:v>4.180573384681216</x:v>
      </x:c>
      <x:c r="M44" s="465"/>
      <x:c r="N44" s="465"/>
      <x:c r="O44" s="465"/>
      <x:c r="P44" s="465"/>
      <x:c r="Q44" s="465"/>
      <x:c r="R44" s="465"/>
      <x:c r="S44" s="465"/>
      <x:c r="T44" s="465"/>
      <x:c r="U44" s="465"/>
      <x:c r="V44" s="465"/>
      <x:c r="W44" s="465"/>
      <x:c r="X44" s="465"/>
      <x:c r="Y44" s="465"/>
      <x:c r="Z44" s="465"/>
    </x:row>
    <x:row r="45">
      <x:c r="A45" s="465" t="str">
        <x:v>滿柱</x:v>
      </x:c>
      <x:c r="B45" s="465" t="str">
        <x:v>30分鐘線性外推</x:v>
      </x:c>
      <x:c r="C45" s="465" t="str">
        <x:v>尖峰</x:v>
      </x:c>
      <x:c r="D45" s="497" t="n">
        <x:v>10</x:v>
      </x:c>
      <x:c r="E45" s="497" t="n">
        <x:v>420</x:v>
      </x:c>
      <x:c r="F45" s="497" t="n">
        <x:v>4200</x:v>
      </x:c>
      <x:c r="G45" s="497" t="n">
        <x:v>276</x:v>
      </x:c>
      <x:c r="H45" s="497" t="n">
        <x:v>3924</x:v>
      </x:c>
      <x:c r="I45" s="498" t="n">
        <x:v>0.09589993050729674</x:v>
      </x:c>
      <x:c r="J45" s="498" t="n">
        <x:v>0.06571428571428571</x:v>
      </x:c>
      <x:c r="K45" s="499" t="n">
        <x:v>140</x:v>
      </x:c>
      <x:c r="L45" s="499" t="n">
        <x:v>8.39537869062901</x:v>
      </x:c>
      <x:c r="M45" s="465"/>
      <x:c r="N45" s="465"/>
      <x:c r="O45" s="465"/>
      <x:c r="P45" s="465"/>
      <x:c r="Q45" s="465"/>
      <x:c r="R45" s="465"/>
      <x:c r="S45" s="465"/>
      <x:c r="T45" s="465"/>
      <x:c r="U45" s="465"/>
      <x:c r="V45" s="465"/>
      <x:c r="W45" s="465"/>
      <x:c r="X45" s="465"/>
      <x:c r="Y45" s="465"/>
      <x:c r="Z45" s="465"/>
    </x:row>
    <x:row r="46">
      <x:c r="A46" s="465" t="str">
        <x:v>滿柱</x:v>
      </x:c>
      <x:c r="B46" s="465" t="str">
        <x:v>30分鐘線性外推</x:v>
      </x:c>
      <x:c r="C46" s="465" t="str">
        <x:v>尖峰</x:v>
      </x:c>
      <x:c r="D46" s="497" t="n">
        <x:v>20</x:v>
      </x:c>
      <x:c r="E46" s="497" t="n">
        <x:v>420</x:v>
      </x:c>
      <x:c r="F46" s="497" t="n">
        <x:v>8400</x:v>
      </x:c>
      <x:c r="G46" s="497" t="n">
        <x:v>563</x:v>
      </x:c>
      <x:c r="H46" s="497" t="n">
        <x:v>7837</x:v>
      </x:c>
      <x:c r="I46" s="498" t="n">
        <x:v>0.1956219596942321</x:v>
      </x:c>
      <x:c r="J46" s="498" t="n">
        <x:v>0.06702380952380953</x:v>
      </x:c>
      <x:c r="K46" s="499" t="n">
        <x:v>280</x:v>
      </x:c>
      <x:c r="L46" s="499" t="n">
        <x:v>16.76722293538725</x:v>
      </x:c>
      <x:c r="M46" s="465"/>
      <x:c r="N46" s="465"/>
      <x:c r="O46" s="465"/>
      <x:c r="P46" s="465"/>
      <x:c r="Q46" s="465"/>
      <x:c r="R46" s="465"/>
      <x:c r="S46" s="465"/>
      <x:c r="T46" s="465"/>
      <x:c r="U46" s="465"/>
      <x:c r="V46" s="465"/>
      <x:c r="W46" s="465"/>
      <x:c r="X46" s="465"/>
      <x:c r="Y46" s="465"/>
      <x:c r="Z46" s="465"/>
    </x:row>
    <x:row r="47">
      <x:c r="A47" s="465" t="str">
        <x:v>滿柱</x:v>
      </x:c>
      <x:c r="B47" s="465" t="str">
        <x:v>Logistic</x:v>
      </x:c>
      <x:c r="C47" s="465" t="str">
        <x:v>尖峰</x:v>
      </x:c>
      <x:c r="D47" s="497" t="n">
        <x:v>5</x:v>
      </x:c>
      <x:c r="E47" s="497" t="n">
        <x:v>420</x:v>
      </x:c>
      <x:c r="F47" s="497" t="n">
        <x:v>2100</x:v>
      </x:c>
      <x:c r="G47" s="497" t="n">
        <x:v>271</x:v>
      </x:c>
      <x:c r="H47" s="497" t="n">
        <x:v>1829</x:v>
      </x:c>
      <x:c r="I47" s="498" t="n">
        <x:v>0.0941626129256428</x:v>
      </x:c>
      <x:c r="J47" s="498" t="n">
        <x:v>0.12904761904761905</x:v>
      </x:c>
      <x:c r="K47" s="499" t="n">
        <x:v>70</x:v>
      </x:c>
      <x:c r="L47" s="499" t="n">
        <x:v>3.9131364997860505</x:v>
      </x:c>
      <x:c r="M47" s="465"/>
      <x:c r="N47" s="465"/>
      <x:c r="O47" s="465"/>
      <x:c r="P47" s="465"/>
      <x:c r="Q47" s="465"/>
      <x:c r="R47" s="465"/>
      <x:c r="S47" s="465"/>
      <x:c r="T47" s="465"/>
      <x:c r="U47" s="465"/>
      <x:c r="V47" s="465"/>
      <x:c r="W47" s="465"/>
      <x:c r="X47" s="465"/>
      <x:c r="Y47" s="465"/>
      <x:c r="Z47" s="465"/>
    </x:row>
    <x:row r="48">
      <x:c r="A48" s="465" t="str">
        <x:v>滿柱</x:v>
      </x:c>
      <x:c r="B48" s="465" t="str">
        <x:v>Logistic</x:v>
      </x:c>
      <x:c r="C48" s="465" t="str">
        <x:v>尖峰</x:v>
      </x:c>
      <x:c r="D48" s="497" t="n">
        <x:v>10</x:v>
      </x:c>
      <x:c r="E48" s="497" t="n">
        <x:v>420</x:v>
      </x:c>
      <x:c r="F48" s="497" t="n">
        <x:v>4200</x:v>
      </x:c>
      <x:c r="G48" s="497" t="n">
        <x:v>492</x:v>
      </x:c>
      <x:c r="H48" s="497" t="n">
        <x:v>3708</x:v>
      </x:c>
      <x:c r="I48" s="498" t="n">
        <x:v>0.17095205003474634</x:v>
      </x:c>
      <x:c r="J48" s="498" t="n">
        <x:v>0.11714285714285715</x:v>
      </x:c>
      <x:c r="K48" s="499" t="n">
        <x:v>140</x:v>
      </x:c>
      <x:c r="L48" s="499" t="n">
        <x:v>7.933247753530167</x:v>
      </x:c>
      <x:c r="M48" s="465"/>
      <x:c r="N48" s="465"/>
      <x:c r="O48" s="465"/>
      <x:c r="P48" s="465"/>
      <x:c r="Q48" s="465"/>
      <x:c r="R48" s="465"/>
      <x:c r="S48" s="465"/>
      <x:c r="T48" s="465"/>
      <x:c r="U48" s="465"/>
      <x:c r="V48" s="465"/>
      <x:c r="W48" s="465"/>
      <x:c r="X48" s="465"/>
      <x:c r="Y48" s="465"/>
      <x:c r="Z48" s="465"/>
    </x:row>
    <x:row r="49">
      <x:c r="A49" s="465" t="str">
        <x:v>滿柱</x:v>
      </x:c>
      <x:c r="B49" s="465" t="str">
        <x:v>Logistic</x:v>
      </x:c>
      <x:c r="C49" s="465" t="str">
        <x:v>尖峰</x:v>
      </x:c>
      <x:c r="D49" s="497" t="n">
        <x:v>20</x:v>
      </x:c>
      <x:c r="E49" s="497" t="n">
        <x:v>420</x:v>
      </x:c>
      <x:c r="F49" s="497" t="n">
        <x:v>8400</x:v>
      </x:c>
      <x:c r="G49" s="497" t="n">
        <x:v>849</x:v>
      </x:c>
      <x:c r="H49" s="497" t="n">
        <x:v>7551</x:v>
      </x:c>
      <x:c r="I49" s="498" t="n">
        <x:v>0.29499652536483667</x:v>
      </x:c>
      <x:c r="J49" s="498" t="n">
        <x:v>0.10107142857142858</x:v>
      </x:c>
      <x:c r="K49" s="499" t="n">
        <x:v>280</x:v>
      </x:c>
      <x:c r="L49" s="499" t="n">
        <x:v>16.15532734274711</x:v>
      </x:c>
      <x:c r="M49" s="465"/>
      <x:c r="N49" s="465"/>
      <x:c r="O49" s="465"/>
      <x:c r="P49" s="465"/>
      <x:c r="Q49" s="465"/>
      <x:c r="R49" s="465"/>
      <x:c r="S49" s="465"/>
      <x:c r="T49" s="465"/>
      <x:c r="U49" s="465"/>
      <x:c r="V49" s="465"/>
      <x:c r="W49" s="465"/>
      <x:c r="X49" s="465"/>
      <x:c r="Y49" s="465"/>
      <x:c r="Z49" s="465"/>
    </x:row>
    <x:row r="50">
      <x:c r="A50" s="500" t="str">
        <x:v>滿柱</x:v>
      </x:c>
      <x:c r="B50" s="500" t="str">
        <x:v>LightGBM</x:v>
      </x:c>
      <x:c r="C50" s="500" t="str">
        <x:v>尖峰</x:v>
      </x:c>
      <x:c r="D50" s="501" t="n">
        <x:v>5</x:v>
      </x:c>
      <x:c r="E50" s="501" t="n">
        <x:v>420</x:v>
      </x:c>
      <x:c r="F50" s="501" t="n">
        <x:v>2100</x:v>
      </x:c>
      <x:c r="G50" s="501" t="n">
        <x:v>432</x:v>
      </x:c>
      <x:c r="H50" s="501" t="n">
        <x:v>1668</x:v>
      </x:c>
      <x:c r="I50" s="502" t="n">
        <x:v>0.15010423905489922</x:v>
      </x:c>
      <x:c r="J50" s="502" t="n">
        <x:v>0.2057142857142857</x:v>
      </x:c>
      <x:c r="K50" s="503" t="n">
        <x:v>70</x:v>
      </x:c>
      <x:c r="L50" s="503" t="n">
        <x:v>3.568677792041078</x:v>
      </x:c>
      <x:c r="M50" s="465"/>
      <x:c r="N50" s="465"/>
      <x:c r="O50" s="465"/>
      <x:c r="P50" s="465"/>
      <x:c r="Q50" s="465"/>
      <x:c r="R50" s="465"/>
      <x:c r="S50" s="465"/>
      <x:c r="T50" s="465"/>
      <x:c r="U50" s="465"/>
      <x:c r="V50" s="465"/>
      <x:c r="W50" s="465"/>
      <x:c r="X50" s="465"/>
      <x:c r="Y50" s="465"/>
      <x:c r="Z50" s="465"/>
    </x:row>
    <x:row r="51">
      <x:c r="A51" s="500" t="str">
        <x:v>滿柱</x:v>
      </x:c>
      <x:c r="B51" s="500" t="str">
        <x:v>LightGBM</x:v>
      </x:c>
      <x:c r="C51" s="500" t="str">
        <x:v>尖峰</x:v>
      </x:c>
      <x:c r="D51" s="501" t="n">
        <x:v>10</x:v>
      </x:c>
      <x:c r="E51" s="501" t="n">
        <x:v>420</x:v>
      </x:c>
      <x:c r="F51" s="501" t="n">
        <x:v>4200</x:v>
      </x:c>
      <x:c r="G51" s="501" t="n">
        <x:v>734</x:v>
      </x:c>
      <x:c r="H51" s="501" t="n">
        <x:v>3466</x:v>
      </x:c>
      <x:c r="I51" s="502" t="n">
        <x:v>0.2550382209867964</x:v>
      </x:c>
      <x:c r="J51" s="502" t="n">
        <x:v>0.17476190476190476</x:v>
      </x:c>
      <x:c r="K51" s="503" t="n">
        <x:v>140</x:v>
      </x:c>
      <x:c r="L51" s="503" t="n">
        <x:v>7.415489944373128</x:v>
      </x:c>
      <x:c r="M51" s="465"/>
      <x:c r="N51" s="465"/>
      <x:c r="O51" s="465"/>
      <x:c r="P51" s="465"/>
      <x:c r="Q51" s="465"/>
      <x:c r="R51" s="465"/>
      <x:c r="S51" s="465"/>
      <x:c r="T51" s="465"/>
      <x:c r="U51" s="465"/>
      <x:c r="V51" s="465"/>
      <x:c r="W51" s="465"/>
      <x:c r="X51" s="465"/>
      <x:c r="Y51" s="465"/>
      <x:c r="Z51" s="465"/>
    </x:row>
    <x:row r="52">
      <x:c r="A52" s="500" t="str">
        <x:v>滿柱</x:v>
      </x:c>
      <x:c r="B52" s="500" t="str">
        <x:v>LightGBM</x:v>
      </x:c>
      <x:c r="C52" s="500" t="str">
        <x:v>尖峰</x:v>
      </x:c>
      <x:c r="D52" s="501" t="n">
        <x:v>20</x:v>
      </x:c>
      <x:c r="E52" s="501" t="n">
        <x:v>420</x:v>
      </x:c>
      <x:c r="F52" s="501" t="n">
        <x:v>8400</x:v>
      </x:c>
      <x:c r="G52" s="501" t="n">
        <x:v>1134</x:v>
      </x:c>
      <x:c r="H52" s="501" t="n">
        <x:v>7266</x:v>
      </x:c>
      <x:c r="I52" s="502" t="n">
        <x:v>0.3940236275191105</x:v>
      </x:c>
      <x:c r="J52" s="502" t="n">
        <x:v>0.135</x:v>
      </x:c>
      <x:c r="K52" s="503" t="n">
        <x:v>280</x:v>
      </x:c>
      <x:c r="L52" s="503" t="n">
        <x:v>15.545571245186135</x:v>
      </x:c>
      <x:c r="M52" s="465"/>
      <x:c r="N52" s="465"/>
      <x:c r="O52" s="465"/>
      <x:c r="P52" s="465"/>
      <x:c r="Q52" s="465"/>
      <x:c r="R52" s="465"/>
      <x:c r="S52" s="465"/>
      <x:c r="T52" s="465"/>
      <x:c r="U52" s="465"/>
      <x:c r="V52" s="465"/>
      <x:c r="W52" s="465"/>
      <x:c r="X52" s="465"/>
      <x:c r="Y52" s="465"/>
      <x:c r="Z52" s="465"/>
    </x:row>
    <x:row r="53">
      <x:c r="A53" s="465"/>
      <x:c r="B53" s="465"/>
      <x:c r="C53" s="465"/>
      <x:c r="D53" s="465"/>
      <x:c r="E53" s="465"/>
      <x:c r="F53" s="465"/>
      <x:c r="G53" s="465"/>
      <x:c r="H53" s="465"/>
      <x:c r="I53" s="465"/>
      <x:c r="J53" s="465"/>
      <x:c r="K53" s="465"/>
      <x:c r="L53" s="465"/>
      <x:c r="M53" s="465"/>
      <x:c r="N53" s="465"/>
      <x:c r="O53" s="465"/>
      <x:c r="P53" s="465"/>
      <x:c r="Q53" s="465"/>
      <x:c r="R53" s="465"/>
      <x:c r="S53" s="465"/>
      <x:c r="T53" s="465"/>
      <x:c r="U53" s="465"/>
      <x:c r="V53" s="465"/>
      <x:c r="W53" s="465"/>
      <x:c r="X53" s="465"/>
      <x:c r="Y53" s="465"/>
      <x:c r="Z53" s="465"/>
    </x:row>
    <x:row r="54">
      <x:c r="A54" s="465"/>
      <x:c r="B54" s="465"/>
      <x:c r="C54" s="465"/>
      <x:c r="D54" s="465"/>
      <x:c r="E54" s="465"/>
      <x:c r="F54" s="465"/>
      <x:c r="G54" s="465"/>
      <x:c r="H54" s="465"/>
      <x:c r="I54" s="465"/>
      <x:c r="J54" s="465"/>
      <x:c r="K54" s="465"/>
      <x:c r="L54" s="465"/>
      <x:c r="M54" s="465"/>
      <x:c r="N54" s="465"/>
      <x:c r="O54" s="465"/>
      <x:c r="P54" s="465"/>
      <x:c r="Q54" s="465"/>
      <x:c r="R54" s="465"/>
      <x:c r="S54" s="465"/>
      <x:c r="T54" s="465"/>
      <x:c r="U54" s="465"/>
      <x:c r="V54" s="465"/>
      <x:c r="W54" s="465"/>
      <x:c r="X54" s="465"/>
      <x:c r="Y54" s="465"/>
      <x:c r="Z54" s="465"/>
    </x:row>
    <x:row r="55">
      <x:c r="A55" s="465"/>
      <x:c r="B55" s="465"/>
      <x:c r="C55" s="465"/>
      <x:c r="D55" s="465"/>
      <x:c r="E55" s="465"/>
      <x:c r="F55" s="465"/>
      <x:c r="G55" s="465"/>
      <x:c r="H55" s="465"/>
      <x:c r="I55" s="465"/>
      <x:c r="J55" s="465"/>
      <x:c r="K55" s="465"/>
      <x:c r="L55" s="465"/>
      <x:c r="M55" s="465"/>
      <x:c r="N55" s="465"/>
      <x:c r="O55" s="465"/>
      <x:c r="P55" s="465"/>
      <x:c r="Q55" s="465"/>
      <x:c r="R55" s="465"/>
      <x:c r="S55" s="465"/>
      <x:c r="T55" s="465"/>
      <x:c r="U55" s="465"/>
      <x:c r="V55" s="465"/>
      <x:c r="W55" s="465"/>
      <x:c r="X55" s="465"/>
      <x:c r="Y55" s="465"/>
      <x:c r="Z55" s="465"/>
    </x:row>
    <x:row r="56" ht="30" customHeight="1">
      <x:c r="A56" s="20" t="str">
        <x:v>事件</x:v>
      </x:c>
      <x:c r="B56" s="21" t="str">
        <x:v>比例規則 Top-5</x:v>
      </x:c>
      <x:c r="C56" s="22" t="str">
        <x:v>LightGBM Top-5</x:v>
      </x:c>
      <x:c r="D56" s="465"/>
      <x:c r="E56" s="465"/>
      <x:c r="F56" s="465"/>
      <x:c r="G56" s="465"/>
      <x:c r="H56" s="465"/>
      <x:c r="I56" s="465"/>
      <x:c r="J56" s="465"/>
      <x:c r="K56" s="465"/>
      <x:c r="L56" s="465"/>
      <x:c r="M56" s="465"/>
      <x:c r="N56" s="465"/>
      <x:c r="O56" s="465"/>
      <x:c r="P56" s="465"/>
      <x:c r="Q56" s="465"/>
      <x:c r="R56" s="465"/>
      <x:c r="S56" s="465"/>
      <x:c r="T56" s="465"/>
      <x:c r="U56" s="465"/>
      <x:c r="V56" s="465"/>
      <x:c r="W56" s="465"/>
      <x:c r="X56" s="465"/>
      <x:c r="Y56" s="465"/>
      <x:c r="Z56" s="465"/>
    </x:row>
    <x:row r="57">
      <x:c r="A57" s="465" t="str">
        <x:v>缺車</x:v>
      </x:c>
      <x:c r="B57" s="498" t="n">
        <x:f>J17</x:f>
        <x:v>0.18476190476190477</x:v>
      </x:c>
      <x:c r="C57" s="498" t="n">
        <x:f>J26</x:f>
        <x:v>0.3504761904761905</x:v>
      </x:c>
      <x:c r="D57" s="465"/>
      <x:c r="E57" s="465"/>
      <x:c r="F57" s="465"/>
      <x:c r="G57" s="465"/>
      <x:c r="H57" s="465"/>
      <x:c r="I57" s="465"/>
      <x:c r="J57" s="465"/>
      <x:c r="K57" s="465"/>
      <x:c r="L57" s="465"/>
      <x:c r="M57" s="465"/>
      <x:c r="N57" s="465"/>
      <x:c r="O57" s="465"/>
      <x:c r="P57" s="465"/>
      <x:c r="Q57" s="465"/>
      <x:c r="R57" s="465"/>
      <x:c r="S57" s="465"/>
      <x:c r="T57" s="465"/>
      <x:c r="U57" s="465"/>
      <x:c r="V57" s="465"/>
      <x:c r="W57" s="465"/>
      <x:c r="X57" s="465"/>
      <x:c r="Y57" s="465"/>
      <x:c r="Z57" s="465"/>
    </x:row>
    <x:row r="58">
      <x:c r="A58" s="465" t="str">
        <x:v>滿柱</x:v>
      </x:c>
      <x:c r="B58" s="498" t="n">
        <x:f>J41</x:f>
        <x:v>0.09285714285714286</x:v>
      </x:c>
      <x:c r="C58" s="498" t="n">
        <x:f>J50</x:f>
        <x:v>0.2057142857142857</x:v>
      </x:c>
      <x:c r="D58" s="465"/>
      <x:c r="E58" s="465"/>
      <x:c r="F58" s="465"/>
      <x:c r="G58" s="465"/>
      <x:c r="H58" s="465"/>
      <x:c r="I58" s="465"/>
      <x:c r="J58" s="465"/>
      <x:c r="K58" s="465"/>
      <x:c r="L58" s="465"/>
      <x:c r="M58" s="465"/>
      <x:c r="N58" s="465"/>
      <x:c r="O58" s="465"/>
      <x:c r="P58" s="465"/>
      <x:c r="Q58" s="465"/>
      <x:c r="R58" s="465"/>
      <x:c r="S58" s="465"/>
      <x:c r="T58" s="465"/>
      <x:c r="U58" s="465"/>
      <x:c r="V58" s="465"/>
      <x:c r="W58" s="465"/>
      <x:c r="X58" s="465"/>
      <x:c r="Y58" s="465"/>
      <x:c r="Z58" s="465"/>
    </x:row>
    <x:row r="59">
      <x:c r="A59" s="465"/>
      <x:c r="B59" s="465"/>
      <x:c r="C59" s="465"/>
      <x:c r="D59" s="465"/>
      <x:c r="E59" s="465"/>
      <x:c r="F59" s="465"/>
      <x:c r="G59" s="465"/>
      <x:c r="H59" s="465"/>
      <x:c r="I59" s="465"/>
      <x:c r="J59" s="465"/>
      <x:c r="K59" s="465"/>
      <x:c r="L59" s="465"/>
      <x:c r="M59" s="465"/>
      <x:c r="N59" s="465"/>
      <x:c r="O59" s="465"/>
      <x:c r="P59" s="465"/>
      <x:c r="Q59" s="465"/>
      <x:c r="R59" s="465"/>
      <x:c r="S59" s="465"/>
      <x:c r="T59" s="465"/>
      <x:c r="U59" s="465"/>
      <x:c r="V59" s="465"/>
      <x:c r="W59" s="465"/>
      <x:c r="X59" s="465"/>
      <x:c r="Y59" s="465"/>
      <x:c r="Z59" s="465"/>
    </x:row>
    <x:row r="60">
      <x:c r="A60" s="465"/>
      <x:c r="B60" s="465"/>
      <x:c r="C60" s="465"/>
      <x:c r="D60" s="465"/>
      <x:c r="E60" s="465"/>
      <x:c r="F60" s="465"/>
      <x:c r="G60" s="465"/>
      <x:c r="H60" s="465"/>
      <x:c r="I60" s="465"/>
      <x:c r="J60" s="465"/>
      <x:c r="K60" s="465"/>
      <x:c r="L60" s="465"/>
      <x:c r="M60" s="465"/>
      <x:c r="N60" s="465"/>
      <x:c r="O60" s="465"/>
      <x:c r="P60" s="465"/>
      <x:c r="Q60" s="465"/>
      <x:c r="R60" s="465"/>
      <x:c r="S60" s="465"/>
      <x:c r="T60" s="465"/>
      <x:c r="U60" s="465"/>
      <x:c r="V60" s="465"/>
      <x:c r="W60" s="465"/>
      <x:c r="X60" s="465"/>
      <x:c r="Y60" s="465"/>
      <x:c r="Z60" s="465"/>
    </x:row>
    <x:row r="61">
      <x:c r="A61" s="465"/>
      <x:c r="B61" s="465"/>
      <x:c r="C61" s="465"/>
      <x:c r="D61" s="465"/>
      <x:c r="E61" s="465"/>
      <x:c r="F61" s="465"/>
      <x:c r="G61" s="465"/>
      <x:c r="H61" s="465"/>
      <x:c r="I61" s="465"/>
      <x:c r="J61" s="465"/>
      <x:c r="K61" s="465"/>
      <x:c r="L61" s="465"/>
      <x:c r="M61" s="465"/>
      <x:c r="N61" s="465"/>
      <x:c r="O61" s="465"/>
      <x:c r="P61" s="465"/>
      <x:c r="Q61" s="465"/>
      <x:c r="R61" s="465"/>
      <x:c r="S61" s="465"/>
      <x:c r="T61" s="465"/>
      <x:c r="U61" s="465"/>
      <x:c r="V61" s="465"/>
      <x:c r="W61" s="465"/>
      <x:c r="X61" s="465"/>
      <x:c r="Y61" s="465"/>
      <x:c r="Z61" s="465"/>
    </x:row>
    <x:row r="62">
      <x:c r="A62" s="465"/>
      <x:c r="B62" s="465"/>
      <x:c r="C62" s="465"/>
      <x:c r="D62" s="465"/>
      <x:c r="E62" s="465"/>
      <x:c r="F62" s="465"/>
      <x:c r="G62" s="465"/>
      <x:c r="H62" s="465"/>
      <x:c r="I62" s="465"/>
      <x:c r="J62" s="465"/>
      <x:c r="K62" s="465"/>
      <x:c r="L62" s="465"/>
      <x:c r="M62" s="465"/>
      <x:c r="N62" s="465"/>
      <x:c r="O62" s="465"/>
      <x:c r="P62" s="465"/>
      <x:c r="Q62" s="465"/>
      <x:c r="R62" s="465"/>
      <x:c r="S62" s="465"/>
      <x:c r="T62" s="465"/>
      <x:c r="U62" s="465"/>
      <x:c r="V62" s="465"/>
      <x:c r="W62" s="465"/>
      <x:c r="X62" s="465"/>
      <x:c r="Y62" s="465"/>
      <x:c r="Z62" s="465"/>
    </x:row>
    <x:row r="63">
      <x:c r="A63" s="465"/>
      <x:c r="B63" s="465"/>
      <x:c r="C63" s="465"/>
      <x:c r="D63" s="465"/>
      <x:c r="E63" s="465"/>
      <x:c r="F63" s="465"/>
      <x:c r="G63" s="465"/>
      <x:c r="H63" s="465"/>
      <x:c r="I63" s="465"/>
      <x:c r="J63" s="465"/>
      <x:c r="K63" s="465"/>
      <x:c r="L63" s="465"/>
      <x:c r="M63" s="465"/>
      <x:c r="N63" s="465"/>
      <x:c r="O63" s="465"/>
      <x:c r="P63" s="465"/>
      <x:c r="Q63" s="465"/>
      <x:c r="R63" s="465"/>
      <x:c r="S63" s="465"/>
      <x:c r="T63" s="465"/>
      <x:c r="U63" s="465"/>
      <x:c r="V63" s="465"/>
      <x:c r="W63" s="465"/>
      <x:c r="X63" s="465"/>
      <x:c r="Y63" s="465"/>
      <x:c r="Z63" s="465"/>
    </x:row>
    <x:row r="64">
      <x:c r="A64" s="465"/>
      <x:c r="B64" s="465"/>
      <x:c r="C64" s="465"/>
      <x:c r="D64" s="465"/>
      <x:c r="E64" s="465"/>
      <x:c r="F64" s="465"/>
      <x:c r="G64" s="465"/>
      <x:c r="H64" s="465"/>
      <x:c r="I64" s="465"/>
      <x:c r="J64" s="465"/>
      <x:c r="K64" s="465"/>
      <x:c r="L64" s="465"/>
      <x:c r="M64" s="465"/>
      <x:c r="N64" s="465"/>
      <x:c r="O64" s="465"/>
      <x:c r="P64" s="465"/>
      <x:c r="Q64" s="465"/>
      <x:c r="R64" s="465"/>
      <x:c r="S64" s="465"/>
      <x:c r="T64" s="465"/>
      <x:c r="U64" s="465"/>
      <x:c r="V64" s="465"/>
      <x:c r="W64" s="465"/>
      <x:c r="X64" s="465"/>
      <x:c r="Y64" s="465"/>
      <x:c r="Z64" s="465"/>
    </x:row>
    <x:row r="65">
      <x:c r="A65" s="465"/>
      <x:c r="B65" s="465"/>
      <x:c r="C65" s="465"/>
      <x:c r="D65" s="465"/>
      <x:c r="E65" s="465"/>
      <x:c r="F65" s="465"/>
      <x:c r="G65" s="465"/>
      <x:c r="H65" s="465"/>
      <x:c r="I65" s="465"/>
      <x:c r="J65" s="465"/>
      <x:c r="K65" s="465"/>
      <x:c r="L65" s="465"/>
      <x:c r="M65" s="465"/>
      <x:c r="N65" s="465"/>
      <x:c r="O65" s="465"/>
      <x:c r="P65" s="465"/>
      <x:c r="Q65" s="465"/>
      <x:c r="R65" s="465"/>
      <x:c r="S65" s="465"/>
      <x:c r="T65" s="465"/>
      <x:c r="U65" s="465"/>
      <x:c r="V65" s="465"/>
      <x:c r="W65" s="465"/>
      <x:c r="X65" s="465"/>
      <x:c r="Y65" s="465"/>
      <x:c r="Z65" s="465"/>
    </x:row>
    <x:row r="66">
      <x:c r="A66" s="465"/>
      <x:c r="B66" s="465"/>
      <x:c r="C66" s="465"/>
      <x:c r="D66" s="465"/>
      <x:c r="E66" s="465"/>
      <x:c r="F66" s="465"/>
      <x:c r="G66" s="465"/>
      <x:c r="H66" s="465"/>
      <x:c r="I66" s="465"/>
      <x:c r="J66" s="465"/>
      <x:c r="K66" s="465"/>
      <x:c r="L66" s="465"/>
      <x:c r="M66" s="465"/>
      <x:c r="N66" s="465"/>
      <x:c r="O66" s="465"/>
      <x:c r="P66" s="465"/>
      <x:c r="Q66" s="465"/>
      <x:c r="R66" s="465"/>
      <x:c r="S66" s="465"/>
      <x:c r="T66" s="465"/>
      <x:c r="U66" s="465"/>
      <x:c r="V66" s="465"/>
      <x:c r="W66" s="465"/>
      <x:c r="X66" s="465"/>
      <x:c r="Y66" s="465"/>
      <x:c r="Z66" s="465"/>
    </x:row>
    <x:row r="67">
      <x:c r="A67" s="465"/>
      <x:c r="B67" s="465"/>
      <x:c r="C67" s="465"/>
      <x:c r="D67" s="465"/>
      <x:c r="E67" s="465"/>
      <x:c r="F67" s="465"/>
      <x:c r="G67" s="465"/>
      <x:c r="H67" s="465"/>
      <x:c r="I67" s="465"/>
      <x:c r="J67" s="465"/>
      <x:c r="K67" s="465"/>
      <x:c r="L67" s="465"/>
      <x:c r="M67" s="465"/>
      <x:c r="N67" s="465"/>
      <x:c r="O67" s="465"/>
      <x:c r="P67" s="465"/>
      <x:c r="Q67" s="465"/>
      <x:c r="R67" s="465"/>
      <x:c r="S67" s="465"/>
      <x:c r="T67" s="465"/>
      <x:c r="U67" s="465"/>
      <x:c r="V67" s="465"/>
      <x:c r="W67" s="465"/>
      <x:c r="X67" s="465"/>
      <x:c r="Y67" s="465"/>
      <x:c r="Z67" s="465"/>
    </x:row>
    <x:row r="68">
      <x:c r="A68" s="465"/>
      <x:c r="B68" s="465"/>
      <x:c r="C68" s="465"/>
      <x:c r="D68" s="465"/>
      <x:c r="E68" s="465"/>
      <x:c r="F68" s="465"/>
      <x:c r="G68" s="465"/>
      <x:c r="H68" s="465"/>
      <x:c r="I68" s="465"/>
      <x:c r="J68" s="465"/>
      <x:c r="K68" s="465"/>
      <x:c r="L68" s="465"/>
      <x:c r="M68" s="465"/>
      <x:c r="N68" s="465"/>
      <x:c r="O68" s="465"/>
      <x:c r="P68" s="465"/>
      <x:c r="Q68" s="465"/>
      <x:c r="R68" s="465"/>
      <x:c r="S68" s="465"/>
      <x:c r="T68" s="465"/>
      <x:c r="U68" s="465"/>
      <x:c r="V68" s="465"/>
      <x:c r="W68" s="465"/>
      <x:c r="X68" s="465"/>
      <x:c r="Y68" s="465"/>
      <x:c r="Z68" s="465"/>
    </x:row>
    <x:row r="69">
      <x:c r="A69" s="465"/>
      <x:c r="B69" s="465"/>
      <x:c r="C69" s="465"/>
      <x:c r="D69" s="465"/>
      <x:c r="E69" s="465"/>
      <x:c r="F69" s="465"/>
      <x:c r="G69" s="465"/>
      <x:c r="H69" s="465"/>
      <x:c r="I69" s="465"/>
      <x:c r="J69" s="465"/>
      <x:c r="K69" s="465"/>
      <x:c r="L69" s="465"/>
      <x:c r="M69" s="465"/>
      <x:c r="N69" s="465"/>
      <x:c r="O69" s="465"/>
      <x:c r="P69" s="465"/>
      <x:c r="Q69" s="465"/>
      <x:c r="R69" s="465"/>
      <x:c r="S69" s="465"/>
      <x:c r="T69" s="465"/>
      <x:c r="U69" s="465"/>
      <x:c r="V69" s="465"/>
      <x:c r="W69" s="465"/>
      <x:c r="X69" s="465"/>
      <x:c r="Y69" s="465"/>
      <x:c r="Z69" s="465"/>
    </x:row>
    <x:row r="70">
      <x:c r="A70" s="465"/>
      <x:c r="B70" s="465"/>
      <x:c r="C70" s="465"/>
      <x:c r="D70" s="465"/>
      <x:c r="E70" s="465"/>
      <x:c r="F70" s="465"/>
      <x:c r="G70" s="465"/>
      <x:c r="H70" s="465"/>
      <x:c r="I70" s="465"/>
      <x:c r="J70" s="465"/>
      <x:c r="K70" s="465"/>
      <x:c r="L70" s="465"/>
      <x:c r="M70" s="465"/>
      <x:c r="N70" s="465"/>
      <x:c r="O70" s="465"/>
      <x:c r="P70" s="465"/>
      <x:c r="Q70" s="465"/>
      <x:c r="R70" s="465"/>
      <x:c r="S70" s="465"/>
      <x:c r="T70" s="465"/>
      <x:c r="U70" s="465"/>
      <x:c r="V70" s="465"/>
      <x:c r="W70" s="465"/>
      <x:c r="X70" s="465"/>
      <x:c r="Y70" s="465"/>
      <x:c r="Z70" s="465"/>
    </x:row>
    <x:row r="71">
      <x:c r="A71" s="465"/>
      <x:c r="B71" s="465"/>
      <x:c r="C71" s="465"/>
      <x:c r="D71" s="465"/>
      <x:c r="E71" s="465"/>
      <x:c r="F71" s="465"/>
      <x:c r="G71" s="465"/>
      <x:c r="H71" s="465"/>
      <x:c r="I71" s="465"/>
      <x:c r="J71" s="465"/>
      <x:c r="K71" s="465"/>
      <x:c r="L71" s="465"/>
      <x:c r="M71" s="465"/>
      <x:c r="N71" s="465"/>
      <x:c r="O71" s="465"/>
      <x:c r="P71" s="465"/>
      <x:c r="Q71" s="465"/>
      <x:c r="R71" s="465"/>
      <x:c r="S71" s="465"/>
      <x:c r="T71" s="465"/>
      <x:c r="U71" s="465"/>
      <x:c r="V71" s="465"/>
      <x:c r="W71" s="465"/>
      <x:c r="X71" s="465"/>
      <x:c r="Y71" s="465"/>
      <x:c r="Z71" s="465"/>
    </x:row>
    <x:row r="72">
      <x:c r="A72" s="465"/>
      <x:c r="B72" s="465"/>
      <x:c r="C72" s="465"/>
      <x:c r="D72" s="465"/>
      <x:c r="E72" s="465"/>
      <x:c r="F72" s="465"/>
      <x:c r="G72" s="465"/>
      <x:c r="H72" s="465"/>
      <x:c r="I72" s="465"/>
      <x:c r="J72" s="465"/>
      <x:c r="K72" s="465"/>
      <x:c r="L72" s="465"/>
      <x:c r="M72" s="465"/>
      <x:c r="N72" s="465"/>
      <x:c r="O72" s="465"/>
      <x:c r="P72" s="465"/>
      <x:c r="Q72" s="465"/>
      <x:c r="R72" s="465"/>
      <x:c r="S72" s="465"/>
      <x:c r="T72" s="465"/>
      <x:c r="U72" s="465"/>
      <x:c r="V72" s="465"/>
      <x:c r="W72" s="465"/>
      <x:c r="X72" s="465"/>
      <x:c r="Y72" s="465"/>
      <x:c r="Z72" s="465"/>
    </x:row>
    <x:row r="73">
      <x:c r="A73" s="79" t="str">
        <x:v>建議上線概念：先設定最低風險門檻，再最多取 Top-5／Top-10，避免低風險時段也被迫產生固定數量警示。六月尖峰共有 420 個決策時點。 </x:v>
      </x:c>
      <x:c r="B73" s="80" t="str">
        <x:v>建議上線概念：先設定最低風險門檻，再最多取 Top-5／Top-10，避免低風險時段也被迫產生固定數量警示。六月尖峰共有 420 個決策時點。 </x:v>
      </x:c>
      <x:c r="C73" s="80" t="str">
        <x:v>建議上線概念：先設定最低風險門檻，再最多取 Top-5／Top-10，避免低風險時段也被迫產生固定數量警示。六月尖峰共有 420 個決策時點。 </x:v>
      </x:c>
      <x:c r="D73" s="80" t="str">
        <x:v>建議上線概念：先設定最低風險門檻，再最多取 Top-5／Top-10，避免低風險時段也被迫產生固定數量警示。六月尖峰共有 420 個決策時點。 </x:v>
      </x:c>
      <x:c r="E73" s="80" t="str">
        <x:v>建議上線概念：先設定最低風險門檻，再最多取 Top-5／Top-10，避免低風險時段也被迫產生固定數量警示。六月尖峰共有 420 個決策時點。 </x:v>
      </x:c>
      <x:c r="F73" s="80" t="str">
        <x:v>建議上線概念：先設定最低風險門檻，再最多取 Top-5／Top-10，避免低風險時段也被迫產生固定數量警示。六月尖峰共有 420 個決策時點。 </x:v>
      </x:c>
      <x:c r="G73" s="80" t="str">
        <x:v>建議上線概念：先設定最低風險門檻，再最多取 Top-5／Top-10，避免低風險時段也被迫產生固定數量警示。六月尖峰共有 420 個決策時點。 </x:v>
      </x:c>
      <x:c r="H73" s="80" t="str">
        <x:v>建議上線概念：先設定最低風險門檻，再最多取 Top-5／Top-10，避免低風險時段也被迫產生固定數量警示。六月尖峰共有 420 個決策時點。 </x:v>
      </x:c>
      <x:c r="I73" s="80" t="str">
        <x:v>建議上線概念：先設定最低風險門檻，再最多取 Top-5／Top-10，避免低風險時段也被迫產生固定數量警示。六月尖峰共有 420 個決策時點。 </x:v>
      </x:c>
      <x:c r="J73" s="80" t="str">
        <x:v>建議上線概念：先設定最低風險門檻，再最多取 Top-5／Top-10，避免低風險時段也被迫產生固定數量警示。六月尖峰共有 420 個決策時點。 </x:v>
      </x:c>
      <x:c r="K73" s="80" t="str">
        <x:v>建議上線概念：先設定最低風險門檻，再最多取 Top-5／Top-10，避免低風險時段也被迫產生固定數量警示。六月尖峰共有 420 個決策時點。 </x:v>
      </x:c>
      <x:c r="L73" s="81" t="str">
        <x:v>建議上線概念：先設定最低風險門檻，再最多取 Top-5／Top-10，避免低風險時段也被迫產生固定數量警示。六月尖峰共有 420 個決策時點。 </x:v>
      </x:c>
      <x:c r="M73" s="465"/>
      <x:c r="N73" s="465"/>
      <x:c r="O73" s="465"/>
      <x:c r="P73" s="465"/>
      <x:c r="Q73" s="465"/>
      <x:c r="R73" s="465"/>
      <x:c r="S73" s="465"/>
      <x:c r="T73" s="465"/>
      <x:c r="U73" s="465"/>
      <x:c r="V73" s="465"/>
      <x:c r="W73" s="465"/>
      <x:c r="X73" s="465"/>
      <x:c r="Y73" s="465"/>
      <x:c r="Z73" s="465"/>
    </x:row>
    <x:row r="74">
      <x:c r="A74" s="82" t="str">
        <x:v>建議上線概念：先設定最低風險門檻，再最多取 Top-5／Top-10，避免低風險時段也被迫產生固定數量警示。六月尖峰共有 420 個決策時點。 </x:v>
      </x:c>
      <x:c r="B74" s="83" t="str">
        <x:v>建議上線概念：先設定最低風險門檻，再最多取 Top-5／Top-10，避免低風險時段也被迫產生固定數量警示。六月尖峰共有 420 個決策時點。 </x:v>
      </x:c>
      <x:c r="C74" s="83" t="str">
        <x:v>建議上線概念：先設定最低風險門檻，再最多取 Top-5／Top-10，避免低風險時段也被迫產生固定數量警示。六月尖峰共有 420 個決策時點。 </x:v>
      </x:c>
      <x:c r="D74" s="83" t="str">
        <x:v>建議上線概念：先設定最低風險門檻，再最多取 Top-5／Top-10，避免低風險時段也被迫產生固定數量警示。六月尖峰共有 420 個決策時點。 </x:v>
      </x:c>
      <x:c r="E74" s="83" t="str">
        <x:v>建議上線概念：先設定最低風險門檻，再最多取 Top-5／Top-10，避免低風險時段也被迫產生固定數量警示。六月尖峰共有 420 個決策時點。 </x:v>
      </x:c>
      <x:c r="F74" s="83" t="str">
        <x:v>建議上線概念：先設定最低風險門檻，再最多取 Top-5／Top-10，避免低風險時段也被迫產生固定數量警示。六月尖峰共有 420 個決策時點。 </x:v>
      </x:c>
      <x:c r="G74" s="83" t="str">
        <x:v>建議上線概念：先設定最低風險門檻，再最多取 Top-5／Top-10，避免低風險時段也被迫產生固定數量警示。六月尖峰共有 420 個決策時點。 </x:v>
      </x:c>
      <x:c r="H74" s="83" t="str">
        <x:v>建議上線概念：先設定最低風險門檻，再最多取 Top-5／Top-10，避免低風險時段也被迫產生固定數量警示。六月尖峰共有 420 個決策時點。 </x:v>
      </x:c>
      <x:c r="I74" s="83" t="str">
        <x:v>建議上線概念：先設定最低風險門檻，再最多取 Top-5／Top-10，避免低風險時段也被迫產生固定數量警示。六月尖峰共有 420 個決策時點。 </x:v>
      </x:c>
      <x:c r="J74" s="83" t="str">
        <x:v>建議上線概念：先設定最低風險門檻，再最多取 Top-5／Top-10，避免低風險時段也被迫產生固定數量警示。六月尖峰共有 420 個決策時點。 </x:v>
      </x:c>
      <x:c r="K74" s="83" t="str">
        <x:v>建議上線概念：先設定最低風險門檻，再最多取 Top-5／Top-10，避免低風險時段也被迫產生固定數量警示。六月尖峰共有 420 個決策時點。 </x:v>
      </x:c>
      <x:c r="L74" s="84" t="str">
        <x:v>建議上線概念：先設定最低風險門檻，再最多取 Top-5／Top-10，避免低風險時段也被迫產生固定數量警示。六月尖峰共有 420 個決策時點。 </x:v>
      </x:c>
      <x:c r="M74" s="465"/>
      <x:c r="N74" s="465"/>
      <x:c r="O74" s="465"/>
      <x:c r="P74" s="465"/>
      <x:c r="Q74" s="465"/>
      <x:c r="R74" s="465"/>
      <x:c r="S74" s="465"/>
      <x:c r="T74" s="465"/>
      <x:c r="U74" s="465"/>
      <x:c r="V74" s="465"/>
      <x:c r="W74" s="465"/>
      <x:c r="X74" s="465"/>
      <x:c r="Y74" s="465"/>
      <x:c r="Z74" s="465"/>
    </x:row>
    <x:row r="75">
      <x:c r="A75" s="465"/>
      <x:c r="B75" s="465"/>
      <x:c r="C75" s="465"/>
      <x:c r="D75" s="465"/>
      <x:c r="E75" s="465"/>
      <x:c r="F75" s="465"/>
      <x:c r="G75" s="465"/>
      <x:c r="H75" s="465"/>
      <x:c r="I75" s="465"/>
      <x:c r="J75" s="465"/>
      <x:c r="K75" s="465"/>
      <x:c r="L75" s="465"/>
      <x:c r="M75" s="465"/>
      <x:c r="N75" s="465"/>
      <x:c r="O75" s="465"/>
      <x:c r="P75" s="465"/>
      <x:c r="Q75" s="465"/>
      <x:c r="R75" s="465"/>
      <x:c r="S75" s="465"/>
      <x:c r="T75" s="465"/>
      <x:c r="U75" s="465"/>
      <x:c r="V75" s="465"/>
      <x:c r="W75" s="465"/>
      <x:c r="X75" s="465"/>
      <x:c r="Y75" s="465"/>
      <x:c r="Z75" s="465"/>
    </x:row>
    <x:row r="76">
      <x:c r="A76" s="465"/>
      <x:c r="B76" s="465"/>
      <x:c r="C76" s="465"/>
      <x:c r="D76" s="465"/>
      <x:c r="E76" s="465"/>
      <x:c r="F76" s="465"/>
      <x:c r="G76" s="465"/>
      <x:c r="H76" s="465"/>
      <x:c r="I76" s="465"/>
      <x:c r="J76" s="465"/>
      <x:c r="K76" s="465"/>
      <x:c r="L76" s="465"/>
      <x:c r="M76" s="465"/>
      <x:c r="N76" s="465"/>
      <x:c r="O76" s="465"/>
      <x:c r="P76" s="465"/>
      <x:c r="Q76" s="465"/>
      <x:c r="R76" s="465"/>
      <x:c r="S76" s="465"/>
      <x:c r="T76" s="465"/>
      <x:c r="U76" s="465"/>
      <x:c r="V76" s="465"/>
      <x:c r="W76" s="465"/>
      <x:c r="X76" s="465"/>
      <x:c r="Y76" s="465"/>
      <x:c r="Z76" s="465"/>
    </x:row>
    <x:row r="77">
      <x:c r="A77" s="465"/>
      <x:c r="B77" s="465"/>
      <x:c r="C77" s="465"/>
      <x:c r="D77" s="465"/>
      <x:c r="E77" s="465"/>
      <x:c r="F77" s="465"/>
      <x:c r="G77" s="465"/>
      <x:c r="H77" s="465"/>
      <x:c r="I77" s="465"/>
      <x:c r="J77" s="465"/>
      <x:c r="K77" s="465"/>
      <x:c r="L77" s="465"/>
      <x:c r="M77" s="465"/>
      <x:c r="N77" s="465"/>
      <x:c r="O77" s="465"/>
      <x:c r="P77" s="465"/>
      <x:c r="Q77" s="465"/>
      <x:c r="R77" s="465"/>
      <x:c r="S77" s="465"/>
      <x:c r="T77" s="465"/>
      <x:c r="U77" s="465"/>
      <x:c r="V77" s="465"/>
      <x:c r="W77" s="465"/>
      <x:c r="X77" s="465"/>
      <x:c r="Y77" s="465"/>
      <x:c r="Z77" s="465"/>
    </x:row>
    <x:row r="78">
      <x:c r="A78" s="465"/>
      <x:c r="B78" s="465"/>
      <x:c r="C78" s="465"/>
      <x:c r="D78" s="465"/>
      <x:c r="E78" s="465"/>
      <x:c r="F78" s="465"/>
      <x:c r="G78" s="465"/>
      <x:c r="H78" s="465"/>
      <x:c r="I78" s="465"/>
      <x:c r="J78" s="465"/>
      <x:c r="K78" s="465"/>
      <x:c r="L78" s="465"/>
      <x:c r="M78" s="465"/>
      <x:c r="N78" s="465"/>
      <x:c r="O78" s="465"/>
      <x:c r="P78" s="465"/>
      <x:c r="Q78" s="465"/>
      <x:c r="R78" s="465"/>
      <x:c r="S78" s="465"/>
      <x:c r="T78" s="465"/>
      <x:c r="U78" s="465"/>
      <x:c r="V78" s="465"/>
      <x:c r="W78" s="465"/>
      <x:c r="X78" s="465"/>
      <x:c r="Y78" s="465"/>
      <x:c r="Z78" s="465"/>
    </x:row>
    <x:row r="79">
      <x:c r="A79" s="465"/>
      <x:c r="B79" s="465"/>
      <x:c r="C79" s="465"/>
      <x:c r="D79" s="465"/>
      <x:c r="E79" s="465"/>
      <x:c r="F79" s="465"/>
      <x:c r="G79" s="465"/>
      <x:c r="H79" s="465"/>
      <x:c r="I79" s="465"/>
      <x:c r="J79" s="465"/>
      <x:c r="K79" s="465"/>
      <x:c r="L79" s="465"/>
      <x:c r="M79" s="465"/>
      <x:c r="N79" s="465"/>
      <x:c r="O79" s="465"/>
      <x:c r="P79" s="465"/>
      <x:c r="Q79" s="465"/>
      <x:c r="R79" s="465"/>
      <x:c r="S79" s="465"/>
      <x:c r="T79" s="465"/>
      <x:c r="U79" s="465"/>
      <x:c r="V79" s="465"/>
      <x:c r="W79" s="465"/>
      <x:c r="X79" s="465"/>
      <x:c r="Y79" s="465"/>
      <x:c r="Z79" s="465"/>
    </x:row>
    <x:row r="80">
      <x:c r="A80" s="465"/>
      <x:c r="B80" s="465"/>
      <x:c r="C80" s="465"/>
      <x:c r="D80" s="465"/>
      <x:c r="E80" s="465"/>
      <x:c r="F80" s="465"/>
      <x:c r="G80" s="465"/>
      <x:c r="H80" s="465"/>
      <x:c r="I80" s="465"/>
      <x:c r="J80" s="465"/>
      <x:c r="K80" s="465"/>
      <x:c r="L80" s="465"/>
      <x:c r="M80" s="465"/>
      <x:c r="N80" s="465"/>
      <x:c r="O80" s="465"/>
      <x:c r="P80" s="465"/>
      <x:c r="Q80" s="465"/>
      <x:c r="R80" s="465"/>
      <x:c r="S80" s="465"/>
      <x:c r="T80" s="465"/>
      <x:c r="U80" s="465"/>
      <x:c r="V80" s="465"/>
      <x:c r="W80" s="465"/>
      <x:c r="X80" s="465"/>
      <x:c r="Y80" s="465"/>
      <x:c r="Z80" s="465"/>
    </x:row>
    <x:row r="81">
      <x:c r="A81" s="465"/>
      <x:c r="B81" s="465"/>
      <x:c r="C81" s="465"/>
      <x:c r="D81" s="465"/>
      <x:c r="E81" s="465"/>
      <x:c r="F81" s="465"/>
      <x:c r="G81" s="465"/>
      <x:c r="H81" s="465"/>
      <x:c r="I81" s="465"/>
      <x:c r="J81" s="465"/>
      <x:c r="K81" s="465"/>
      <x:c r="L81" s="465"/>
      <x:c r="M81" s="465"/>
      <x:c r="N81" s="465"/>
      <x:c r="O81" s="465"/>
      <x:c r="P81" s="465"/>
      <x:c r="Q81" s="465"/>
      <x:c r="R81" s="465"/>
      <x:c r="S81" s="465"/>
      <x:c r="T81" s="465"/>
      <x:c r="U81" s="465"/>
      <x:c r="V81" s="465"/>
      <x:c r="W81" s="465"/>
      <x:c r="X81" s="465"/>
      <x:c r="Y81" s="465"/>
      <x:c r="Z81" s="465"/>
    </x:row>
    <x:row r="82">
      <x:c r="A82" s="465"/>
      <x:c r="B82" s="465"/>
      <x:c r="C82" s="465"/>
      <x:c r="D82" s="465"/>
      <x:c r="E82" s="465"/>
      <x:c r="F82" s="465"/>
      <x:c r="G82" s="465"/>
      <x:c r="H82" s="465"/>
      <x:c r="I82" s="465"/>
      <x:c r="J82" s="465"/>
      <x:c r="K82" s="465"/>
      <x:c r="L82" s="465"/>
      <x:c r="M82" s="465"/>
      <x:c r="N82" s="465"/>
      <x:c r="O82" s="465"/>
      <x:c r="P82" s="465"/>
      <x:c r="Q82" s="465"/>
      <x:c r="R82" s="465"/>
      <x:c r="S82" s="465"/>
      <x:c r="T82" s="465"/>
      <x:c r="U82" s="465"/>
      <x:c r="V82" s="465"/>
      <x:c r="W82" s="465"/>
      <x:c r="X82" s="465"/>
      <x:c r="Y82" s="465"/>
      <x:c r="Z82" s="465"/>
    </x:row>
    <x:row r="83">
      <x:c r="A83" s="465"/>
      <x:c r="B83" s="465"/>
      <x:c r="C83" s="465"/>
      <x:c r="D83" s="465"/>
      <x:c r="E83" s="465"/>
      <x:c r="F83" s="465"/>
      <x:c r="G83" s="465"/>
      <x:c r="H83" s="465"/>
      <x:c r="I83" s="465"/>
      <x:c r="J83" s="465"/>
      <x:c r="K83" s="465"/>
      <x:c r="L83" s="465"/>
      <x:c r="M83" s="465"/>
      <x:c r="N83" s="465"/>
      <x:c r="O83" s="465"/>
      <x:c r="P83" s="465"/>
      <x:c r="Q83" s="465"/>
      <x:c r="R83" s="465"/>
      <x:c r="S83" s="465"/>
      <x:c r="T83" s="465"/>
      <x:c r="U83" s="465"/>
      <x:c r="V83" s="465"/>
      <x:c r="W83" s="465"/>
      <x:c r="X83" s="465"/>
      <x:c r="Y83" s="465"/>
      <x:c r="Z83" s="465"/>
    </x:row>
    <x:row r="84">
      <x:c r="A84" s="465"/>
      <x:c r="B84" s="465"/>
      <x:c r="C84" s="465"/>
      <x:c r="D84" s="465"/>
      <x:c r="E84" s="465"/>
      <x:c r="F84" s="465"/>
      <x:c r="G84" s="465"/>
      <x:c r="H84" s="465"/>
      <x:c r="I84" s="465"/>
      <x:c r="J84" s="465"/>
      <x:c r="K84" s="465"/>
      <x:c r="L84" s="465"/>
      <x:c r="M84" s="465"/>
      <x:c r="N84" s="465"/>
      <x:c r="O84" s="465"/>
      <x:c r="P84" s="465"/>
      <x:c r="Q84" s="465"/>
      <x:c r="R84" s="465"/>
      <x:c r="S84" s="465"/>
      <x:c r="T84" s="465"/>
      <x:c r="U84" s="465"/>
      <x:c r="V84" s="465"/>
      <x:c r="W84" s="465"/>
      <x:c r="X84" s="465"/>
      <x:c r="Y84" s="465"/>
      <x:c r="Z84" s="465"/>
    </x:row>
    <x:row r="85">
      <x:c r="A85" s="465"/>
      <x:c r="B85" s="465"/>
      <x:c r="C85" s="465"/>
      <x:c r="D85" s="465"/>
      <x:c r="E85" s="465"/>
      <x:c r="F85" s="465"/>
      <x:c r="G85" s="465"/>
      <x:c r="H85" s="465"/>
      <x:c r="I85" s="465"/>
      <x:c r="J85" s="465"/>
      <x:c r="K85" s="465"/>
      <x:c r="L85" s="465"/>
      <x:c r="M85" s="465"/>
      <x:c r="N85" s="465"/>
      <x:c r="O85" s="465"/>
      <x:c r="P85" s="465"/>
      <x:c r="Q85" s="465"/>
      <x:c r="R85" s="465"/>
      <x:c r="S85" s="465"/>
      <x:c r="T85" s="465"/>
      <x:c r="U85" s="465"/>
      <x:c r="V85" s="465"/>
      <x:c r="W85" s="465"/>
      <x:c r="X85" s="465"/>
      <x:c r="Y85" s="465"/>
      <x:c r="Z85" s="465"/>
    </x:row>
    <x:row r="86">
      <x:c r="A86" s="465"/>
      <x:c r="B86" s="465"/>
      <x:c r="C86" s="465"/>
      <x:c r="D86" s="465"/>
      <x:c r="E86" s="465"/>
      <x:c r="F86" s="465"/>
      <x:c r="G86" s="465"/>
      <x:c r="H86" s="465"/>
      <x:c r="I86" s="465"/>
      <x:c r="J86" s="465"/>
      <x:c r="K86" s="465"/>
      <x:c r="L86" s="465"/>
      <x:c r="M86" s="465"/>
      <x:c r="N86" s="465"/>
      <x:c r="O86" s="465"/>
      <x:c r="P86" s="465"/>
      <x:c r="Q86" s="465"/>
      <x:c r="R86" s="465"/>
      <x:c r="S86" s="465"/>
      <x:c r="T86" s="465"/>
      <x:c r="U86" s="465"/>
      <x:c r="V86" s="465"/>
      <x:c r="W86" s="465"/>
      <x:c r="X86" s="465"/>
      <x:c r="Y86" s="465"/>
      <x:c r="Z86" s="465"/>
    </x:row>
    <x:row r="87">
      <x:c r="A87" s="465"/>
      <x:c r="B87" s="465"/>
      <x:c r="C87" s="465"/>
      <x:c r="D87" s="465"/>
      <x:c r="E87" s="465"/>
      <x:c r="F87" s="465"/>
      <x:c r="G87" s="465"/>
      <x:c r="H87" s="465"/>
      <x:c r="I87" s="465"/>
      <x:c r="J87" s="465"/>
      <x:c r="K87" s="465"/>
      <x:c r="L87" s="465"/>
      <x:c r="M87" s="465"/>
      <x:c r="N87" s="465"/>
      <x:c r="O87" s="465"/>
      <x:c r="P87" s="465"/>
      <x:c r="Q87" s="465"/>
      <x:c r="R87" s="465"/>
      <x:c r="S87" s="465"/>
      <x:c r="T87" s="465"/>
      <x:c r="U87" s="465"/>
      <x:c r="V87" s="465"/>
      <x:c r="W87" s="465"/>
      <x:c r="X87" s="465"/>
      <x:c r="Y87" s="465"/>
      <x:c r="Z87" s="465"/>
    </x:row>
    <x:row r="88">
      <x:c r="A88" s="465"/>
      <x:c r="B88" s="465"/>
      <x:c r="C88" s="465"/>
      <x:c r="D88" s="465"/>
      <x:c r="E88" s="465"/>
      <x:c r="F88" s="465"/>
      <x:c r="G88" s="465"/>
      <x:c r="H88" s="465"/>
      <x:c r="I88" s="465"/>
      <x:c r="J88" s="465"/>
      <x:c r="K88" s="465"/>
      <x:c r="L88" s="465"/>
      <x:c r="M88" s="465"/>
      <x:c r="N88" s="465"/>
      <x:c r="O88" s="465"/>
      <x:c r="P88" s="465"/>
      <x:c r="Q88" s="465"/>
      <x:c r="R88" s="465"/>
      <x:c r="S88" s="465"/>
      <x:c r="T88" s="465"/>
      <x:c r="U88" s="465"/>
      <x:c r="V88" s="465"/>
      <x:c r="W88" s="465"/>
      <x:c r="X88" s="465"/>
      <x:c r="Y88" s="465"/>
      <x:c r="Z88" s="465"/>
    </x:row>
    <x:row r="89">
      <x:c r="A89" s="465"/>
      <x:c r="B89" s="465"/>
      <x:c r="C89" s="465"/>
      <x:c r="D89" s="465"/>
      <x:c r="E89" s="465"/>
      <x:c r="F89" s="465"/>
      <x:c r="G89" s="465"/>
      <x:c r="H89" s="465"/>
      <x:c r="I89" s="465"/>
      <x:c r="J89" s="465"/>
      <x:c r="K89" s="465"/>
      <x:c r="L89" s="465"/>
      <x:c r="M89" s="465"/>
      <x:c r="N89" s="465"/>
      <x:c r="O89" s="465"/>
      <x:c r="P89" s="465"/>
      <x:c r="Q89" s="465"/>
      <x:c r="R89" s="465"/>
      <x:c r="S89" s="465"/>
      <x:c r="T89" s="465"/>
      <x:c r="U89" s="465"/>
      <x:c r="V89" s="465"/>
      <x:c r="W89" s="465"/>
      <x:c r="X89" s="465"/>
      <x:c r="Y89" s="465"/>
      <x:c r="Z89" s="465"/>
    </x:row>
    <x:row r="90">
      <x:c r="A90" s="465"/>
      <x:c r="B90" s="465"/>
      <x:c r="C90" s="465"/>
      <x:c r="D90" s="465"/>
      <x:c r="E90" s="465"/>
      <x:c r="F90" s="465"/>
      <x:c r="G90" s="465"/>
      <x:c r="H90" s="465"/>
      <x:c r="I90" s="465"/>
      <x:c r="J90" s="465"/>
      <x:c r="K90" s="465"/>
      <x:c r="L90" s="465"/>
      <x:c r="M90" s="465"/>
      <x:c r="N90" s="465"/>
      <x:c r="O90" s="465"/>
      <x:c r="P90" s="465"/>
      <x:c r="Q90" s="465"/>
      <x:c r="R90" s="465"/>
      <x:c r="S90" s="465"/>
      <x:c r="T90" s="465"/>
      <x:c r="U90" s="465"/>
      <x:c r="V90" s="465"/>
      <x:c r="W90" s="465"/>
      <x:c r="X90" s="465"/>
      <x:c r="Y90" s="465"/>
      <x:c r="Z90" s="465"/>
    </x:row>
    <x:row r="91">
      <x:c r="A91" s="465"/>
      <x:c r="B91" s="465"/>
      <x:c r="C91" s="465"/>
      <x:c r="D91" s="465"/>
      <x:c r="E91" s="465"/>
      <x:c r="F91" s="465"/>
      <x:c r="G91" s="465"/>
      <x:c r="H91" s="465"/>
      <x:c r="I91" s="465"/>
      <x:c r="J91" s="465"/>
      <x:c r="K91" s="465"/>
      <x:c r="L91" s="465"/>
      <x:c r="M91" s="465"/>
      <x:c r="N91" s="465"/>
      <x:c r="O91" s="465"/>
      <x:c r="P91" s="465"/>
      <x:c r="Q91" s="465"/>
      <x:c r="R91" s="465"/>
      <x:c r="S91" s="465"/>
      <x:c r="T91" s="465"/>
      <x:c r="U91" s="465"/>
      <x:c r="V91" s="465"/>
      <x:c r="W91" s="465"/>
      <x:c r="X91" s="465"/>
      <x:c r="Y91" s="465"/>
      <x:c r="Z91" s="465"/>
    </x:row>
    <x:row r="92">
      <x:c r="A92" s="465"/>
      <x:c r="B92" s="465"/>
      <x:c r="C92" s="465"/>
      <x:c r="D92" s="465"/>
      <x:c r="E92" s="465"/>
      <x:c r="F92" s="465"/>
      <x:c r="G92" s="465"/>
      <x:c r="H92" s="465"/>
      <x:c r="I92" s="465"/>
      <x:c r="J92" s="465"/>
      <x:c r="K92" s="465"/>
      <x:c r="L92" s="465"/>
      <x:c r="M92" s="465"/>
      <x:c r="N92" s="465"/>
      <x:c r="O92" s="465"/>
      <x:c r="P92" s="465"/>
      <x:c r="Q92" s="465"/>
      <x:c r="R92" s="465"/>
      <x:c r="S92" s="465"/>
      <x:c r="T92" s="465"/>
      <x:c r="U92" s="465"/>
      <x:c r="V92" s="465"/>
      <x:c r="W92" s="465"/>
      <x:c r="X92" s="465"/>
      <x:c r="Y92" s="465"/>
      <x:c r="Z92" s="465"/>
    </x:row>
    <x:row r="93">
      <x:c r="A93" s="465"/>
      <x:c r="B93" s="465"/>
      <x:c r="C93" s="465"/>
      <x:c r="D93" s="465"/>
      <x:c r="E93" s="465"/>
      <x:c r="F93" s="465"/>
      <x:c r="G93" s="465"/>
      <x:c r="H93" s="465"/>
      <x:c r="I93" s="465"/>
      <x:c r="J93" s="465"/>
      <x:c r="K93" s="465"/>
      <x:c r="L93" s="465"/>
      <x:c r="M93" s="465"/>
      <x:c r="N93" s="465"/>
      <x:c r="O93" s="465"/>
      <x:c r="P93" s="465"/>
      <x:c r="Q93" s="465"/>
      <x:c r="R93" s="465"/>
      <x:c r="S93" s="465"/>
      <x:c r="T93" s="465"/>
      <x:c r="U93" s="465"/>
      <x:c r="V93" s="465"/>
      <x:c r="W93" s="465"/>
      <x:c r="X93" s="465"/>
      <x:c r="Y93" s="465"/>
      <x:c r="Z93" s="465"/>
    </x:row>
    <x:row r="94">
      <x:c r="A94" s="465"/>
      <x:c r="B94" s="465"/>
      <x:c r="C94" s="465"/>
      <x:c r="D94" s="465"/>
      <x:c r="E94" s="465"/>
      <x:c r="F94" s="465"/>
      <x:c r="G94" s="465"/>
      <x:c r="H94" s="465"/>
      <x:c r="I94" s="465"/>
      <x:c r="J94" s="465"/>
      <x:c r="K94" s="465"/>
      <x:c r="L94" s="465"/>
      <x:c r="M94" s="465"/>
      <x:c r="N94" s="465"/>
      <x:c r="O94" s="465"/>
      <x:c r="P94" s="465"/>
      <x:c r="Q94" s="465"/>
      <x:c r="R94" s="465"/>
      <x:c r="S94" s="465"/>
      <x:c r="T94" s="465"/>
      <x:c r="U94" s="465"/>
      <x:c r="V94" s="465"/>
      <x:c r="W94" s="465"/>
      <x:c r="X94" s="465"/>
      <x:c r="Y94" s="465"/>
      <x:c r="Z94" s="465"/>
    </x:row>
    <x:row r="95">
      <x:c r="A95" s="465"/>
      <x:c r="B95" s="465"/>
      <x:c r="C95" s="465"/>
      <x:c r="D95" s="465"/>
      <x:c r="E95" s="465"/>
      <x:c r="F95" s="465"/>
      <x:c r="G95" s="465"/>
      <x:c r="H95" s="465"/>
      <x:c r="I95" s="465"/>
      <x:c r="J95" s="465"/>
      <x:c r="K95" s="465"/>
      <x:c r="L95" s="465"/>
      <x:c r="M95" s="465"/>
      <x:c r="N95" s="465"/>
      <x:c r="O95" s="465"/>
      <x:c r="P95" s="465"/>
      <x:c r="Q95" s="465"/>
      <x:c r="R95" s="465"/>
      <x:c r="S95" s="465"/>
      <x:c r="T95" s="465"/>
      <x:c r="U95" s="465"/>
      <x:c r="V95" s="465"/>
      <x:c r="W95" s="465"/>
      <x:c r="X95" s="465"/>
      <x:c r="Y95" s="465"/>
      <x:c r="Z95" s="465"/>
    </x:row>
    <x:row r="96">
      <x:c r="A96" s="465"/>
      <x:c r="B96" s="465"/>
      <x:c r="C96" s="465"/>
      <x:c r="D96" s="465"/>
      <x:c r="E96" s="465"/>
      <x:c r="F96" s="465"/>
      <x:c r="G96" s="465"/>
      <x:c r="H96" s="465"/>
      <x:c r="I96" s="465"/>
      <x:c r="J96" s="465"/>
      <x:c r="K96" s="465"/>
      <x:c r="L96" s="465"/>
      <x:c r="M96" s="465"/>
      <x:c r="N96" s="465"/>
      <x:c r="O96" s="465"/>
      <x:c r="P96" s="465"/>
      <x:c r="Q96" s="465"/>
      <x:c r="R96" s="465"/>
      <x:c r="S96" s="465"/>
      <x:c r="T96" s="465"/>
      <x:c r="U96" s="465"/>
      <x:c r="V96" s="465"/>
      <x:c r="W96" s="465"/>
      <x:c r="X96" s="465"/>
      <x:c r="Y96" s="465"/>
      <x:c r="Z96" s="465"/>
    </x:row>
    <x:row r="97">
      <x:c r="A97" s="465"/>
      <x:c r="B97" s="465"/>
      <x:c r="C97" s="465"/>
      <x:c r="D97" s="465"/>
      <x:c r="E97" s="465"/>
      <x:c r="F97" s="465"/>
      <x:c r="G97" s="465"/>
      <x:c r="H97" s="465"/>
      <x:c r="I97" s="465"/>
      <x:c r="J97" s="465"/>
      <x:c r="K97" s="465"/>
      <x:c r="L97" s="465"/>
      <x:c r="M97" s="465"/>
      <x:c r="N97" s="465"/>
      <x:c r="O97" s="465"/>
      <x:c r="P97" s="465"/>
      <x:c r="Q97" s="465"/>
      <x:c r="R97" s="465"/>
      <x:c r="S97" s="465"/>
      <x:c r="T97" s="465"/>
      <x:c r="U97" s="465"/>
      <x:c r="V97" s="465"/>
      <x:c r="W97" s="465"/>
      <x:c r="X97" s="465"/>
      <x:c r="Y97" s="465"/>
      <x:c r="Z97" s="465"/>
    </x:row>
    <x:row r="98">
      <x:c r="A98" s="465"/>
      <x:c r="B98" s="465"/>
      <x:c r="C98" s="465"/>
      <x:c r="D98" s="465"/>
      <x:c r="E98" s="465"/>
      <x:c r="F98" s="465"/>
      <x:c r="G98" s="465"/>
      <x:c r="H98" s="465"/>
      <x:c r="I98" s="465"/>
      <x:c r="J98" s="465"/>
      <x:c r="K98" s="465"/>
      <x:c r="L98" s="465"/>
      <x:c r="M98" s="465"/>
      <x:c r="N98" s="465"/>
      <x:c r="O98" s="465"/>
      <x:c r="P98" s="465"/>
      <x:c r="Q98" s="465"/>
      <x:c r="R98" s="465"/>
      <x:c r="S98" s="465"/>
      <x:c r="T98" s="465"/>
      <x:c r="U98" s="465"/>
      <x:c r="V98" s="465"/>
      <x:c r="W98" s="465"/>
      <x:c r="X98" s="465"/>
      <x:c r="Y98" s="465"/>
      <x:c r="Z98" s="465"/>
    </x:row>
    <x:row r="99">
      <x:c r="A99" s="465"/>
      <x:c r="B99" s="465"/>
      <x:c r="C99" s="465"/>
      <x:c r="D99" s="465"/>
      <x:c r="E99" s="465"/>
      <x:c r="F99" s="465"/>
      <x:c r="G99" s="465"/>
      <x:c r="H99" s="465"/>
      <x:c r="I99" s="465"/>
      <x:c r="J99" s="465"/>
      <x:c r="K99" s="465"/>
      <x:c r="L99" s="465"/>
      <x:c r="M99" s="465"/>
      <x:c r="N99" s="465"/>
      <x:c r="O99" s="465"/>
      <x:c r="P99" s="465"/>
      <x:c r="Q99" s="465"/>
      <x:c r="R99" s="465"/>
      <x:c r="S99" s="465"/>
      <x:c r="T99" s="465"/>
      <x:c r="U99" s="465"/>
      <x:c r="V99" s="465"/>
      <x:c r="W99" s="465"/>
      <x:c r="X99" s="465"/>
      <x:c r="Y99" s="465"/>
      <x:c r="Z99" s="465"/>
    </x:row>
    <x:row r="100">
      <x:c r="A100" s="465"/>
      <x:c r="B100" s="465"/>
      <x:c r="C100" s="465"/>
      <x:c r="D100" s="465"/>
      <x:c r="E100" s="465"/>
      <x:c r="F100" s="465"/>
      <x:c r="G100" s="465"/>
      <x:c r="H100" s="465"/>
      <x:c r="I100" s="465"/>
      <x:c r="J100" s="465"/>
      <x:c r="K100" s="465"/>
      <x:c r="L100" s="465"/>
      <x:c r="M100" s="465"/>
      <x:c r="N100" s="465"/>
      <x:c r="O100" s="465"/>
      <x:c r="P100" s="465"/>
      <x:c r="Q100" s="465"/>
      <x:c r="R100" s="465"/>
      <x:c r="S100" s="465"/>
      <x:c r="T100" s="465"/>
      <x:c r="U100" s="465"/>
      <x:c r="V100" s="465"/>
      <x:c r="W100" s="465"/>
      <x:c r="X100" s="465"/>
      <x:c r="Y100" s="465"/>
      <x:c r="Z100" s="465"/>
    </x:row>
    <x:row r="101">
      <x:c r="A101" s="465"/>
      <x:c r="B101" s="465"/>
      <x:c r="C101" s="465"/>
      <x:c r="D101" s="465"/>
      <x:c r="E101" s="465"/>
      <x:c r="F101" s="465"/>
      <x:c r="G101" s="465"/>
      <x:c r="H101" s="465"/>
      <x:c r="I101" s="465"/>
      <x:c r="J101" s="465"/>
      <x:c r="K101" s="465"/>
      <x:c r="L101" s="465"/>
      <x:c r="M101" s="465"/>
      <x:c r="N101" s="465"/>
      <x:c r="O101" s="465"/>
      <x:c r="P101" s="465"/>
      <x:c r="Q101" s="465"/>
      <x:c r="R101" s="465"/>
      <x:c r="S101" s="465"/>
      <x:c r="T101" s="465"/>
      <x:c r="U101" s="465"/>
      <x:c r="V101" s="465"/>
      <x:c r="W101" s="465"/>
      <x:c r="X101" s="465"/>
      <x:c r="Y101" s="465"/>
      <x:c r="Z101" s="465"/>
    </x:row>
    <x:row r="102">
      <x:c r="A102" s="465"/>
      <x:c r="B102" s="465"/>
      <x:c r="C102" s="465"/>
      <x:c r="D102" s="465"/>
      <x:c r="E102" s="465"/>
      <x:c r="F102" s="465"/>
      <x:c r="G102" s="465"/>
      <x:c r="H102" s="465"/>
      <x:c r="I102" s="465"/>
      <x:c r="J102" s="465"/>
      <x:c r="K102" s="465"/>
      <x:c r="L102" s="465"/>
      <x:c r="M102" s="465"/>
      <x:c r="N102" s="465"/>
      <x:c r="O102" s="465"/>
      <x:c r="P102" s="465"/>
      <x:c r="Q102" s="465"/>
      <x:c r="R102" s="465"/>
      <x:c r="S102" s="465"/>
      <x:c r="T102" s="465"/>
      <x:c r="U102" s="465"/>
      <x:c r="V102" s="465"/>
      <x:c r="W102" s="465"/>
      <x:c r="X102" s="465"/>
      <x:c r="Y102" s="465"/>
      <x:c r="Z102" s="465"/>
    </x:row>
    <x:row r="103">
      <x:c r="A103" s="465"/>
      <x:c r="B103" s="465"/>
      <x:c r="C103" s="465"/>
      <x:c r="D103" s="465"/>
      <x:c r="E103" s="465"/>
      <x:c r="F103" s="465"/>
      <x:c r="G103" s="465"/>
      <x:c r="H103" s="465"/>
      <x:c r="I103" s="465"/>
      <x:c r="J103" s="465"/>
      <x:c r="K103" s="465"/>
      <x:c r="L103" s="465"/>
      <x:c r="M103" s="465"/>
      <x:c r="N103" s="465"/>
      <x:c r="O103" s="465"/>
      <x:c r="P103" s="465"/>
      <x:c r="Q103" s="465"/>
      <x:c r="R103" s="465"/>
      <x:c r="S103" s="465"/>
      <x:c r="T103" s="465"/>
      <x:c r="U103" s="465"/>
      <x:c r="V103" s="465"/>
      <x:c r="W103" s="465"/>
      <x:c r="X103" s="465"/>
      <x:c r="Y103" s="465"/>
      <x:c r="Z103" s="465"/>
    </x:row>
    <x:row r="104">
      <x:c r="A104" s="465"/>
      <x:c r="B104" s="465"/>
      <x:c r="C104" s="465"/>
      <x:c r="D104" s="465"/>
      <x:c r="E104" s="465"/>
      <x:c r="F104" s="465"/>
      <x:c r="G104" s="465"/>
      <x:c r="H104" s="465"/>
      <x:c r="I104" s="465"/>
      <x:c r="J104" s="465"/>
      <x:c r="K104" s="465"/>
      <x:c r="L104" s="465"/>
      <x:c r="M104" s="465"/>
      <x:c r="N104" s="465"/>
      <x:c r="O104" s="465"/>
      <x:c r="P104" s="465"/>
      <x:c r="Q104" s="465"/>
      <x:c r="R104" s="465"/>
      <x:c r="S104" s="465"/>
      <x:c r="T104" s="465"/>
      <x:c r="U104" s="465"/>
      <x:c r="V104" s="465"/>
      <x:c r="W104" s="465"/>
      <x:c r="X104" s="465"/>
      <x:c r="Y104" s="465"/>
      <x:c r="Z104" s="465"/>
    </x:row>
    <x:row r="105">
      <x:c r="A105" s="465"/>
      <x:c r="B105" s="465"/>
      <x:c r="C105" s="465"/>
      <x:c r="D105" s="465"/>
      <x:c r="E105" s="465"/>
      <x:c r="F105" s="465"/>
      <x:c r="G105" s="465"/>
      <x:c r="H105" s="465"/>
      <x:c r="I105" s="465"/>
      <x:c r="J105" s="465"/>
      <x:c r="K105" s="465"/>
      <x:c r="L105" s="465"/>
      <x:c r="M105" s="465"/>
      <x:c r="N105" s="465"/>
      <x:c r="O105" s="465"/>
      <x:c r="P105" s="465"/>
      <x:c r="Q105" s="465"/>
      <x:c r="R105" s="465"/>
      <x:c r="S105" s="465"/>
      <x:c r="T105" s="465"/>
      <x:c r="U105" s="465"/>
      <x:c r="V105" s="465"/>
      <x:c r="W105" s="465"/>
      <x:c r="X105" s="465"/>
      <x:c r="Y105" s="465"/>
      <x:c r="Z105" s="465"/>
    </x:row>
    <x:row r="106">
      <x:c r="A106" s="465"/>
      <x:c r="B106" s="465"/>
      <x:c r="C106" s="465"/>
      <x:c r="D106" s="465"/>
      <x:c r="E106" s="465"/>
      <x:c r="F106" s="465"/>
      <x:c r="G106" s="465"/>
      <x:c r="H106" s="465"/>
      <x:c r="I106" s="465"/>
      <x:c r="J106" s="465"/>
      <x:c r="K106" s="465"/>
      <x:c r="L106" s="465"/>
      <x:c r="M106" s="465"/>
      <x:c r="N106" s="465"/>
      <x:c r="O106" s="465"/>
      <x:c r="P106" s="465"/>
      <x:c r="Q106" s="465"/>
      <x:c r="R106" s="465"/>
      <x:c r="S106" s="465"/>
      <x:c r="T106" s="465"/>
      <x:c r="U106" s="465"/>
      <x:c r="V106" s="465"/>
      <x:c r="W106" s="465"/>
      <x:c r="X106" s="465"/>
      <x:c r="Y106" s="465"/>
      <x:c r="Z106" s="465"/>
    </x:row>
    <x:row r="107">
      <x:c r="A107" s="465"/>
      <x:c r="B107" s="465"/>
      <x:c r="C107" s="465"/>
      <x:c r="D107" s="465"/>
      <x:c r="E107" s="465"/>
      <x:c r="F107" s="465"/>
      <x:c r="G107" s="465"/>
      <x:c r="H107" s="465"/>
      <x:c r="I107" s="465"/>
      <x:c r="J107" s="465"/>
      <x:c r="K107" s="465"/>
      <x:c r="L107" s="465"/>
      <x:c r="M107" s="465"/>
      <x:c r="N107" s="465"/>
      <x:c r="O107" s="465"/>
      <x:c r="P107" s="465"/>
      <x:c r="Q107" s="465"/>
      <x:c r="R107" s="465"/>
      <x:c r="S107" s="465"/>
      <x:c r="T107" s="465"/>
      <x:c r="U107" s="465"/>
      <x:c r="V107" s="465"/>
      <x:c r="W107" s="465"/>
      <x:c r="X107" s="465"/>
      <x:c r="Y107" s="465"/>
      <x:c r="Z107" s="465"/>
    </x:row>
    <x:row r="108">
      <x:c r="A108" s="465"/>
      <x:c r="B108" s="465"/>
      <x:c r="C108" s="465"/>
      <x:c r="D108" s="465"/>
      <x:c r="E108" s="465"/>
      <x:c r="F108" s="465"/>
      <x:c r="G108" s="465"/>
      <x:c r="H108" s="465"/>
      <x:c r="I108" s="465"/>
      <x:c r="J108" s="465"/>
      <x:c r="K108" s="465"/>
      <x:c r="L108" s="465"/>
      <x:c r="M108" s="465"/>
      <x:c r="N108" s="465"/>
      <x:c r="O108" s="465"/>
      <x:c r="P108" s="465"/>
      <x:c r="Q108" s="465"/>
      <x:c r="R108" s="465"/>
      <x:c r="S108" s="465"/>
      <x:c r="T108" s="465"/>
      <x:c r="U108" s="465"/>
      <x:c r="V108" s="465"/>
      <x:c r="W108" s="465"/>
      <x:c r="X108" s="465"/>
      <x:c r="Y108" s="465"/>
      <x:c r="Z108" s="465"/>
    </x:row>
    <x:row r="109">
      <x:c r="A109" s="465"/>
      <x:c r="B109" s="465"/>
      <x:c r="C109" s="465"/>
      <x:c r="D109" s="465"/>
      <x:c r="E109" s="465"/>
      <x:c r="F109" s="465"/>
      <x:c r="G109" s="465"/>
      <x:c r="H109" s="465"/>
      <x:c r="I109" s="465"/>
      <x:c r="J109" s="465"/>
      <x:c r="K109" s="465"/>
      <x:c r="L109" s="465"/>
      <x:c r="M109" s="465"/>
      <x:c r="N109" s="465"/>
      <x:c r="O109" s="465"/>
      <x:c r="P109" s="465"/>
      <x:c r="Q109" s="465"/>
      <x:c r="R109" s="465"/>
      <x:c r="S109" s="465"/>
      <x:c r="T109" s="465"/>
      <x:c r="U109" s="465"/>
      <x:c r="V109" s="465"/>
      <x:c r="W109" s="465"/>
      <x:c r="X109" s="465"/>
      <x:c r="Y109" s="465"/>
      <x:c r="Z109" s="465"/>
    </x:row>
    <x:row r="110">
      <x:c r="A110" s="465"/>
      <x:c r="B110" s="465"/>
      <x:c r="C110" s="465"/>
      <x:c r="D110" s="465"/>
      <x:c r="E110" s="465"/>
      <x:c r="F110" s="465"/>
      <x:c r="G110" s="465"/>
      <x:c r="H110" s="465"/>
      <x:c r="I110" s="465"/>
      <x:c r="J110" s="465"/>
      <x:c r="K110" s="465"/>
      <x:c r="L110" s="465"/>
      <x:c r="M110" s="465"/>
      <x:c r="N110" s="465"/>
      <x:c r="O110" s="465"/>
      <x:c r="P110" s="465"/>
      <x:c r="Q110" s="465"/>
      <x:c r="R110" s="465"/>
      <x:c r="S110" s="465"/>
      <x:c r="T110" s="465"/>
      <x:c r="U110" s="465"/>
      <x:c r="V110" s="465"/>
      <x:c r="W110" s="465"/>
      <x:c r="X110" s="465"/>
      <x:c r="Y110" s="465"/>
      <x:c r="Z110" s="465"/>
    </x:row>
    <x:row r="111">
      <x:c r="A111" s="465"/>
      <x:c r="B111" s="465"/>
      <x:c r="C111" s="465"/>
      <x:c r="D111" s="465"/>
      <x:c r="E111" s="465"/>
      <x:c r="F111" s="465"/>
      <x:c r="G111" s="465"/>
      <x:c r="H111" s="465"/>
      <x:c r="I111" s="465"/>
      <x:c r="J111" s="465"/>
      <x:c r="K111" s="465"/>
      <x:c r="L111" s="465"/>
      <x:c r="M111" s="465"/>
      <x:c r="N111" s="465"/>
      <x:c r="O111" s="465"/>
      <x:c r="P111" s="465"/>
      <x:c r="Q111" s="465"/>
      <x:c r="R111" s="465"/>
      <x:c r="S111" s="465"/>
      <x:c r="T111" s="465"/>
      <x:c r="U111" s="465"/>
      <x:c r="V111" s="465"/>
      <x:c r="W111" s="465"/>
      <x:c r="X111" s="465"/>
      <x:c r="Y111" s="465"/>
      <x:c r="Z111" s="465"/>
    </x:row>
    <x:row r="112">
      <x:c r="A112" s="465"/>
      <x:c r="B112" s="465"/>
      <x:c r="C112" s="465"/>
      <x:c r="D112" s="465"/>
      <x:c r="E112" s="465"/>
      <x:c r="F112" s="465"/>
      <x:c r="G112" s="465"/>
      <x:c r="H112" s="465"/>
      <x:c r="I112" s="465"/>
      <x:c r="J112" s="465"/>
      <x:c r="K112" s="465"/>
      <x:c r="L112" s="465"/>
      <x:c r="M112" s="465"/>
      <x:c r="N112" s="465"/>
      <x:c r="O112" s="465"/>
      <x:c r="P112" s="465"/>
      <x:c r="Q112" s="465"/>
      <x:c r="R112" s="465"/>
      <x:c r="S112" s="465"/>
      <x:c r="T112" s="465"/>
      <x:c r="U112" s="465"/>
      <x:c r="V112" s="465"/>
      <x:c r="W112" s="465"/>
      <x:c r="X112" s="465"/>
      <x:c r="Y112" s="465"/>
      <x:c r="Z112" s="465"/>
    </x:row>
    <x:row r="113">
      <x:c r="A113" s="465"/>
      <x:c r="B113" s="465"/>
      <x:c r="C113" s="465"/>
      <x:c r="D113" s="465"/>
      <x:c r="E113" s="465"/>
      <x:c r="F113" s="465"/>
      <x:c r="G113" s="465"/>
      <x:c r="H113" s="465"/>
      <x:c r="I113" s="465"/>
      <x:c r="J113" s="465"/>
      <x:c r="K113" s="465"/>
      <x:c r="L113" s="465"/>
      <x:c r="M113" s="465"/>
      <x:c r="N113" s="465"/>
      <x:c r="O113" s="465"/>
      <x:c r="P113" s="465"/>
      <x:c r="Q113" s="465"/>
      <x:c r="R113" s="465"/>
      <x:c r="S113" s="465"/>
      <x:c r="T113" s="465"/>
      <x:c r="U113" s="465"/>
      <x:c r="V113" s="465"/>
      <x:c r="W113" s="465"/>
      <x:c r="X113" s="465"/>
      <x:c r="Y113" s="465"/>
      <x:c r="Z113" s="465"/>
    </x:row>
    <x:row r="114">
      <x:c r="A114" s="465"/>
      <x:c r="B114" s="465"/>
      <x:c r="C114" s="465"/>
      <x:c r="D114" s="465"/>
      <x:c r="E114" s="465"/>
      <x:c r="F114" s="465"/>
      <x:c r="G114" s="465"/>
      <x:c r="H114" s="465"/>
      <x:c r="I114" s="465"/>
      <x:c r="J114" s="465"/>
      <x:c r="K114" s="465"/>
      <x:c r="L114" s="465"/>
      <x:c r="M114" s="465"/>
      <x:c r="N114" s="465"/>
      <x:c r="O114" s="465"/>
      <x:c r="P114" s="465"/>
      <x:c r="Q114" s="465"/>
      <x:c r="R114" s="465"/>
      <x:c r="S114" s="465"/>
      <x:c r="T114" s="465"/>
      <x:c r="U114" s="465"/>
      <x:c r="V114" s="465"/>
      <x:c r="W114" s="465"/>
      <x:c r="X114" s="465"/>
      <x:c r="Y114" s="465"/>
      <x:c r="Z114" s="465"/>
    </x:row>
    <x:row r="115">
      <x:c r="A115" s="465"/>
      <x:c r="B115" s="465"/>
      <x:c r="C115" s="465"/>
      <x:c r="D115" s="465"/>
      <x:c r="E115" s="465"/>
      <x:c r="F115" s="465"/>
      <x:c r="G115" s="465"/>
      <x:c r="H115" s="465"/>
      <x:c r="I115" s="465"/>
      <x:c r="J115" s="465"/>
      <x:c r="K115" s="465"/>
      <x:c r="L115" s="465"/>
      <x:c r="M115" s="465"/>
      <x:c r="N115" s="465"/>
      <x:c r="O115" s="465"/>
      <x:c r="P115" s="465"/>
      <x:c r="Q115" s="465"/>
      <x:c r="R115" s="465"/>
      <x:c r="S115" s="465"/>
      <x:c r="T115" s="465"/>
      <x:c r="U115" s="465"/>
      <x:c r="V115" s="465"/>
      <x:c r="W115" s="465"/>
      <x:c r="X115" s="465"/>
      <x:c r="Y115" s="465"/>
      <x:c r="Z115" s="465"/>
    </x:row>
    <x:row r="116">
      <x:c r="A116" s="465"/>
      <x:c r="B116" s="465"/>
      <x:c r="C116" s="465"/>
      <x:c r="D116" s="465"/>
      <x:c r="E116" s="465"/>
      <x:c r="F116" s="465"/>
      <x:c r="G116" s="465"/>
      <x:c r="H116" s="465"/>
      <x:c r="I116" s="465"/>
      <x:c r="J116" s="465"/>
      <x:c r="K116" s="465"/>
      <x:c r="L116" s="465"/>
      <x:c r="M116" s="465"/>
      <x:c r="N116" s="465"/>
      <x:c r="O116" s="465"/>
      <x:c r="P116" s="465"/>
      <x:c r="Q116" s="465"/>
      <x:c r="R116" s="465"/>
      <x:c r="S116" s="465"/>
      <x:c r="T116" s="465"/>
      <x:c r="U116" s="465"/>
      <x:c r="V116" s="465"/>
      <x:c r="W116" s="465"/>
      <x:c r="X116" s="465"/>
      <x:c r="Y116" s="465"/>
      <x:c r="Z116" s="465"/>
    </x:row>
    <x:row r="117">
      <x:c r="A117" s="465"/>
      <x:c r="B117" s="465"/>
      <x:c r="C117" s="465"/>
      <x:c r="D117" s="465"/>
      <x:c r="E117" s="465"/>
      <x:c r="F117" s="465"/>
      <x:c r="G117" s="465"/>
      <x:c r="H117" s="465"/>
      <x:c r="I117" s="465"/>
      <x:c r="J117" s="465"/>
      <x:c r="K117" s="465"/>
      <x:c r="L117" s="465"/>
      <x:c r="M117" s="465"/>
      <x:c r="N117" s="465"/>
      <x:c r="O117" s="465"/>
      <x:c r="P117" s="465"/>
      <x:c r="Q117" s="465"/>
      <x:c r="R117" s="465"/>
      <x:c r="S117" s="465"/>
      <x:c r="T117" s="465"/>
      <x:c r="U117" s="465"/>
      <x:c r="V117" s="465"/>
      <x:c r="W117" s="465"/>
      <x:c r="X117" s="465"/>
      <x:c r="Y117" s="465"/>
      <x:c r="Z117" s="465"/>
    </x:row>
    <x:row r="118">
      <x:c r="A118" s="465"/>
      <x:c r="B118" s="465"/>
      <x:c r="C118" s="465"/>
      <x:c r="D118" s="465"/>
      <x:c r="E118" s="465"/>
      <x:c r="F118" s="465"/>
      <x:c r="G118" s="465"/>
      <x:c r="H118" s="465"/>
      <x:c r="I118" s="465"/>
      <x:c r="J118" s="465"/>
      <x:c r="K118" s="465"/>
      <x:c r="L118" s="465"/>
      <x:c r="M118" s="465"/>
      <x:c r="N118" s="465"/>
      <x:c r="O118" s="465"/>
      <x:c r="P118" s="465"/>
      <x:c r="Q118" s="465"/>
      <x:c r="R118" s="465"/>
      <x:c r="S118" s="465"/>
      <x:c r="T118" s="465"/>
      <x:c r="U118" s="465"/>
      <x:c r="V118" s="465"/>
      <x:c r="W118" s="465"/>
      <x:c r="X118" s="465"/>
      <x:c r="Y118" s="465"/>
      <x:c r="Z118" s="465"/>
    </x:row>
    <x:row r="119">
      <x:c r="A119" s="465"/>
      <x:c r="B119" s="465"/>
      <x:c r="C119" s="465"/>
      <x:c r="D119" s="465"/>
      <x:c r="E119" s="465"/>
      <x:c r="F119" s="465"/>
      <x:c r="G119" s="465"/>
      <x:c r="H119" s="465"/>
      <x:c r="I119" s="465"/>
      <x:c r="J119" s="465"/>
      <x:c r="K119" s="465"/>
      <x:c r="L119" s="465"/>
      <x:c r="M119" s="465"/>
      <x:c r="N119" s="465"/>
      <x:c r="O119" s="465"/>
      <x:c r="P119" s="465"/>
      <x:c r="Q119" s="465"/>
      <x:c r="R119" s="465"/>
      <x:c r="S119" s="465"/>
      <x:c r="T119" s="465"/>
      <x:c r="U119" s="465"/>
      <x:c r="V119" s="465"/>
      <x:c r="W119" s="465"/>
      <x:c r="X119" s="465"/>
      <x:c r="Y119" s="465"/>
      <x:c r="Z119" s="465"/>
    </x:row>
    <x:row r="120">
      <x:c r="A120" s="465"/>
      <x:c r="B120" s="465"/>
      <x:c r="C120" s="465"/>
      <x:c r="D120" s="465"/>
      <x:c r="E120" s="465"/>
      <x:c r="F120" s="465"/>
      <x:c r="G120" s="465"/>
      <x:c r="H120" s="465"/>
      <x:c r="I120" s="465"/>
      <x:c r="J120" s="465"/>
      <x:c r="K120" s="465"/>
      <x:c r="L120" s="465"/>
      <x:c r="M120" s="465"/>
      <x:c r="N120" s="465"/>
      <x:c r="O120" s="465"/>
      <x:c r="P120" s="465"/>
      <x:c r="Q120" s="465"/>
      <x:c r="R120" s="465"/>
      <x:c r="S120" s="465"/>
      <x:c r="T120" s="465"/>
      <x:c r="U120" s="465"/>
      <x:c r="V120" s="465"/>
      <x:c r="W120" s="465"/>
      <x:c r="X120" s="465"/>
      <x:c r="Y120" s="465"/>
      <x:c r="Z120" s="465"/>
    </x:row>
    <x:row r="121">
      <x:c r="A121" s="465"/>
      <x:c r="B121" s="465"/>
      <x:c r="C121" s="465"/>
      <x:c r="D121" s="465"/>
      <x:c r="E121" s="465"/>
      <x:c r="F121" s="465"/>
      <x:c r="G121" s="465"/>
      <x:c r="H121" s="465"/>
      <x:c r="I121" s="465"/>
      <x:c r="J121" s="465"/>
      <x:c r="K121" s="465"/>
      <x:c r="L121" s="465"/>
      <x:c r="M121" s="465"/>
      <x:c r="N121" s="465"/>
      <x:c r="O121" s="465"/>
      <x:c r="P121" s="465"/>
      <x:c r="Q121" s="465"/>
      <x:c r="R121" s="465"/>
      <x:c r="S121" s="465"/>
      <x:c r="T121" s="465"/>
      <x:c r="U121" s="465"/>
      <x:c r="V121" s="465"/>
      <x:c r="W121" s="465"/>
      <x:c r="X121" s="465"/>
      <x:c r="Y121" s="465"/>
      <x:c r="Z121" s="465"/>
    </x:row>
    <x:row r="122">
      <x:c r="A122" s="465"/>
      <x:c r="B122" s="465"/>
      <x:c r="C122" s="465"/>
      <x:c r="D122" s="465"/>
      <x:c r="E122" s="465"/>
      <x:c r="F122" s="465"/>
      <x:c r="G122" s="465"/>
      <x:c r="H122" s="465"/>
      <x:c r="I122" s="465"/>
      <x:c r="J122" s="465"/>
      <x:c r="K122" s="465"/>
      <x:c r="L122" s="465"/>
      <x:c r="M122" s="465"/>
      <x:c r="N122" s="465"/>
      <x:c r="O122" s="465"/>
      <x:c r="P122" s="465"/>
      <x:c r="Q122" s="465"/>
      <x:c r="R122" s="465"/>
      <x:c r="S122" s="465"/>
      <x:c r="T122" s="465"/>
      <x:c r="U122" s="465"/>
      <x:c r="V122" s="465"/>
      <x:c r="W122" s="465"/>
      <x:c r="X122" s="465"/>
      <x:c r="Y122" s="465"/>
      <x:c r="Z122" s="465"/>
    </x:row>
    <x:row r="123">
      <x:c r="A123" s="465"/>
      <x:c r="B123" s="465"/>
      <x:c r="C123" s="465"/>
      <x:c r="D123" s="465"/>
      <x:c r="E123" s="465"/>
      <x:c r="F123" s="465"/>
      <x:c r="G123" s="465"/>
      <x:c r="H123" s="465"/>
      <x:c r="I123" s="465"/>
      <x:c r="J123" s="465"/>
      <x:c r="K123" s="465"/>
      <x:c r="L123" s="465"/>
      <x:c r="M123" s="465"/>
      <x:c r="N123" s="465"/>
      <x:c r="O123" s="465"/>
      <x:c r="P123" s="465"/>
      <x:c r="Q123" s="465"/>
      <x:c r="R123" s="465"/>
      <x:c r="S123" s="465"/>
      <x:c r="T123" s="465"/>
      <x:c r="U123" s="465"/>
      <x:c r="V123" s="465"/>
      <x:c r="W123" s="465"/>
      <x:c r="X123" s="465"/>
      <x:c r="Y123" s="465"/>
      <x:c r="Z123" s="465"/>
    </x:row>
    <x:row r="124">
      <x:c r="A124" s="465"/>
      <x:c r="B124" s="465"/>
      <x:c r="C124" s="465"/>
      <x:c r="D124" s="465"/>
      <x:c r="E124" s="465"/>
      <x:c r="F124" s="465"/>
      <x:c r="G124" s="465"/>
      <x:c r="H124" s="465"/>
      <x:c r="I124" s="465"/>
      <x:c r="J124" s="465"/>
      <x:c r="K124" s="465"/>
      <x:c r="L124" s="465"/>
      <x:c r="M124" s="465"/>
      <x:c r="N124" s="465"/>
      <x:c r="O124" s="465"/>
      <x:c r="P124" s="465"/>
      <x:c r="Q124" s="465"/>
      <x:c r="R124" s="465"/>
      <x:c r="S124" s="465"/>
      <x:c r="T124" s="465"/>
      <x:c r="U124" s="465"/>
      <x:c r="V124" s="465"/>
      <x:c r="W124" s="465"/>
      <x:c r="X124" s="465"/>
      <x:c r="Y124" s="465"/>
      <x:c r="Z124" s="465"/>
    </x:row>
    <x:row r="125">
      <x:c r="A125" s="465"/>
      <x:c r="B125" s="465"/>
      <x:c r="C125" s="465"/>
      <x:c r="D125" s="465"/>
      <x:c r="E125" s="465"/>
      <x:c r="F125" s="465"/>
      <x:c r="G125" s="465"/>
      <x:c r="H125" s="465"/>
      <x:c r="I125" s="465"/>
      <x:c r="J125" s="465"/>
      <x:c r="K125" s="465"/>
      <x:c r="L125" s="465"/>
      <x:c r="M125" s="465"/>
      <x:c r="N125" s="465"/>
      <x:c r="O125" s="465"/>
      <x:c r="P125" s="465"/>
      <x:c r="Q125" s="465"/>
      <x:c r="R125" s="465"/>
      <x:c r="S125" s="465"/>
      <x:c r="T125" s="465"/>
      <x:c r="U125" s="465"/>
      <x:c r="V125" s="465"/>
      <x:c r="W125" s="465"/>
      <x:c r="X125" s="465"/>
      <x:c r="Y125" s="465"/>
      <x:c r="Z125" s="465"/>
    </x:row>
    <x:row r="126">
      <x:c r="A126" s="465"/>
      <x:c r="B126" s="465"/>
      <x:c r="C126" s="465"/>
      <x:c r="D126" s="465"/>
      <x:c r="E126" s="465"/>
      <x:c r="F126" s="465"/>
      <x:c r="G126" s="465"/>
      <x:c r="H126" s="465"/>
      <x:c r="I126" s="465"/>
      <x:c r="J126" s="465"/>
      <x:c r="K126" s="465"/>
      <x:c r="L126" s="465"/>
      <x:c r="M126" s="465"/>
      <x:c r="N126" s="465"/>
      <x:c r="O126" s="465"/>
      <x:c r="P126" s="465"/>
      <x:c r="Q126" s="465"/>
      <x:c r="R126" s="465"/>
      <x:c r="S126" s="465"/>
      <x:c r="T126" s="465"/>
      <x:c r="U126" s="465"/>
      <x:c r="V126" s="465"/>
      <x:c r="W126" s="465"/>
      <x:c r="X126" s="465"/>
      <x:c r="Y126" s="465"/>
      <x:c r="Z126" s="465"/>
    </x:row>
    <x:row r="127">
      <x:c r="A127" s="465"/>
      <x:c r="B127" s="465"/>
      <x:c r="C127" s="465"/>
      <x:c r="D127" s="465"/>
      <x:c r="E127" s="465"/>
      <x:c r="F127" s="465"/>
      <x:c r="G127" s="465"/>
      <x:c r="H127" s="465"/>
      <x:c r="I127" s="465"/>
      <x:c r="J127" s="465"/>
      <x:c r="K127" s="465"/>
      <x:c r="L127" s="465"/>
      <x:c r="M127" s="465"/>
      <x:c r="N127" s="465"/>
      <x:c r="O127" s="465"/>
      <x:c r="P127" s="465"/>
      <x:c r="Q127" s="465"/>
      <x:c r="R127" s="465"/>
      <x:c r="S127" s="465"/>
      <x:c r="T127" s="465"/>
      <x:c r="U127" s="465"/>
      <x:c r="V127" s="465"/>
      <x:c r="W127" s="465"/>
      <x:c r="X127" s="465"/>
      <x:c r="Y127" s="465"/>
      <x:c r="Z127" s="465"/>
    </x:row>
    <x:row r="128">
      <x:c r="A128" s="465"/>
      <x:c r="B128" s="465"/>
      <x:c r="C128" s="465"/>
      <x:c r="D128" s="465"/>
      <x:c r="E128" s="465"/>
      <x:c r="F128" s="465"/>
      <x:c r="G128" s="465"/>
      <x:c r="H128" s="465"/>
      <x:c r="I128" s="465"/>
      <x:c r="J128" s="465"/>
      <x:c r="K128" s="465"/>
      <x:c r="L128" s="465"/>
      <x:c r="M128" s="465"/>
      <x:c r="N128" s="465"/>
      <x:c r="O128" s="465"/>
      <x:c r="P128" s="465"/>
      <x:c r="Q128" s="465"/>
      <x:c r="R128" s="465"/>
      <x:c r="S128" s="465"/>
      <x:c r="T128" s="465"/>
      <x:c r="U128" s="465"/>
      <x:c r="V128" s="465"/>
      <x:c r="W128" s="465"/>
      <x:c r="X128" s="465"/>
      <x:c r="Y128" s="465"/>
      <x:c r="Z128" s="465"/>
    </x:row>
    <x:row r="129">
      <x:c r="A129" s="465"/>
      <x:c r="B129" s="465"/>
      <x:c r="C129" s="465"/>
      <x:c r="D129" s="465"/>
      <x:c r="E129" s="465"/>
      <x:c r="F129" s="465"/>
      <x:c r="G129" s="465"/>
      <x:c r="H129" s="465"/>
      <x:c r="I129" s="465"/>
      <x:c r="J129" s="465"/>
      <x:c r="K129" s="465"/>
      <x:c r="L129" s="465"/>
      <x:c r="M129" s="465"/>
      <x:c r="N129" s="465"/>
      <x:c r="O129" s="465"/>
      <x:c r="P129" s="465"/>
      <x:c r="Q129" s="465"/>
      <x:c r="R129" s="465"/>
      <x:c r="S129" s="465"/>
      <x:c r="T129" s="465"/>
      <x:c r="U129" s="465"/>
      <x:c r="V129" s="465"/>
      <x:c r="W129" s="465"/>
      <x:c r="X129" s="465"/>
      <x:c r="Y129" s="465"/>
      <x:c r="Z129" s="465"/>
    </x:row>
    <x:row r="130">
      <x:c r="A130" s="465"/>
      <x:c r="B130" s="465"/>
      <x:c r="C130" s="465"/>
      <x:c r="D130" s="465"/>
      <x:c r="E130" s="465"/>
      <x:c r="F130" s="465"/>
      <x:c r="G130" s="465"/>
      <x:c r="H130" s="465"/>
      <x:c r="I130" s="465"/>
      <x:c r="J130" s="465"/>
      <x:c r="K130" s="465"/>
      <x:c r="L130" s="465"/>
      <x:c r="M130" s="465"/>
      <x:c r="N130" s="465"/>
      <x:c r="O130" s="465"/>
      <x:c r="P130" s="465"/>
      <x:c r="Q130" s="465"/>
      <x:c r="R130" s="465"/>
      <x:c r="S130" s="465"/>
      <x:c r="T130" s="465"/>
      <x:c r="U130" s="465"/>
      <x:c r="V130" s="465"/>
      <x:c r="W130" s="465"/>
      <x:c r="X130" s="465"/>
      <x:c r="Y130" s="465"/>
      <x:c r="Z130" s="465"/>
    </x:row>
    <x:row r="131">
      <x:c r="A131" s="465"/>
      <x:c r="B131" s="465"/>
      <x:c r="C131" s="465"/>
      <x:c r="D131" s="465"/>
      <x:c r="E131" s="465"/>
      <x:c r="F131" s="465"/>
      <x:c r="G131" s="465"/>
      <x:c r="H131" s="465"/>
      <x:c r="I131" s="465"/>
      <x:c r="J131" s="465"/>
      <x:c r="K131" s="465"/>
      <x:c r="L131" s="465"/>
      <x:c r="M131" s="465"/>
      <x:c r="N131" s="465"/>
      <x:c r="O131" s="465"/>
      <x:c r="P131" s="465"/>
      <x:c r="Q131" s="465"/>
      <x:c r="R131" s="465"/>
      <x:c r="S131" s="465"/>
      <x:c r="T131" s="465"/>
      <x:c r="U131" s="465"/>
      <x:c r="V131" s="465"/>
      <x:c r="W131" s="465"/>
      <x:c r="X131" s="465"/>
      <x:c r="Y131" s="465"/>
      <x:c r="Z131" s="465"/>
    </x:row>
    <x:row r="132">
      <x:c r="A132" s="465"/>
      <x:c r="B132" s="465"/>
      <x:c r="C132" s="465"/>
      <x:c r="D132" s="465"/>
      <x:c r="E132" s="465"/>
      <x:c r="F132" s="465"/>
      <x:c r="G132" s="465"/>
      <x:c r="H132" s="465"/>
      <x:c r="I132" s="465"/>
      <x:c r="J132" s="465"/>
      <x:c r="K132" s="465"/>
      <x:c r="L132" s="465"/>
      <x:c r="M132" s="465"/>
      <x:c r="N132" s="465"/>
      <x:c r="O132" s="465"/>
      <x:c r="P132" s="465"/>
      <x:c r="Q132" s="465"/>
      <x:c r="R132" s="465"/>
      <x:c r="S132" s="465"/>
      <x:c r="T132" s="465"/>
      <x:c r="U132" s="465"/>
      <x:c r="V132" s="465"/>
      <x:c r="W132" s="465"/>
      <x:c r="X132" s="465"/>
      <x:c r="Y132" s="465"/>
      <x:c r="Z132" s="465"/>
    </x:row>
    <x:row r="133">
      <x:c r="A133" s="465"/>
      <x:c r="B133" s="465"/>
      <x:c r="C133" s="465"/>
      <x:c r="D133" s="465"/>
      <x:c r="E133" s="465"/>
      <x:c r="F133" s="465"/>
      <x:c r="G133" s="465"/>
      <x:c r="H133" s="465"/>
      <x:c r="I133" s="465"/>
      <x:c r="J133" s="465"/>
      <x:c r="K133" s="465"/>
      <x:c r="L133" s="465"/>
      <x:c r="M133" s="465"/>
      <x:c r="N133" s="465"/>
      <x:c r="O133" s="465"/>
      <x:c r="P133" s="465"/>
      <x:c r="Q133" s="465"/>
      <x:c r="R133" s="465"/>
      <x:c r="S133" s="465"/>
      <x:c r="T133" s="465"/>
      <x:c r="U133" s="465"/>
      <x:c r="V133" s="465"/>
      <x:c r="W133" s="465"/>
      <x:c r="X133" s="465"/>
      <x:c r="Y133" s="465"/>
      <x:c r="Z133" s="465"/>
    </x:row>
    <x:row r="134">
      <x:c r="A134" s="465"/>
      <x:c r="B134" s="465"/>
      <x:c r="C134" s="465"/>
      <x:c r="D134" s="465"/>
      <x:c r="E134" s="465"/>
      <x:c r="F134" s="465"/>
      <x:c r="G134" s="465"/>
      <x:c r="H134" s="465"/>
      <x:c r="I134" s="465"/>
      <x:c r="J134" s="465"/>
      <x:c r="K134" s="465"/>
      <x:c r="L134" s="465"/>
      <x:c r="M134" s="465"/>
      <x:c r="N134" s="465"/>
      <x:c r="O134" s="465"/>
      <x:c r="P134" s="465"/>
      <x:c r="Q134" s="465"/>
      <x:c r="R134" s="465"/>
      <x:c r="S134" s="465"/>
      <x:c r="T134" s="465"/>
      <x:c r="U134" s="465"/>
      <x:c r="V134" s="465"/>
      <x:c r="W134" s="465"/>
      <x:c r="X134" s="465"/>
      <x:c r="Y134" s="465"/>
      <x:c r="Z134" s="465"/>
    </x:row>
    <x:row r="135">
      <x:c r="A135" s="465"/>
      <x:c r="B135" s="465"/>
      <x:c r="C135" s="465"/>
      <x:c r="D135" s="465"/>
      <x:c r="E135" s="465"/>
      <x:c r="F135" s="465"/>
      <x:c r="G135" s="465"/>
      <x:c r="H135" s="465"/>
      <x:c r="I135" s="465"/>
      <x:c r="J135" s="465"/>
      <x:c r="K135" s="465"/>
      <x:c r="L135" s="465"/>
      <x:c r="M135" s="465"/>
      <x:c r="N135" s="465"/>
      <x:c r="O135" s="465"/>
      <x:c r="P135" s="465"/>
      <x:c r="Q135" s="465"/>
      <x:c r="R135" s="465"/>
      <x:c r="S135" s="465"/>
      <x:c r="T135" s="465"/>
      <x:c r="U135" s="465"/>
      <x:c r="V135" s="465"/>
      <x:c r="W135" s="465"/>
      <x:c r="X135" s="465"/>
      <x:c r="Y135" s="465"/>
      <x:c r="Z135" s="465"/>
    </x:row>
    <x:row r="136">
      <x:c r="A136" s="465"/>
      <x:c r="B136" s="465"/>
      <x:c r="C136" s="465"/>
      <x:c r="D136" s="465"/>
      <x:c r="E136" s="465"/>
      <x:c r="F136" s="465"/>
      <x:c r="G136" s="465"/>
      <x:c r="H136" s="465"/>
      <x:c r="I136" s="465"/>
      <x:c r="J136" s="465"/>
      <x:c r="K136" s="465"/>
      <x:c r="L136" s="465"/>
      <x:c r="M136" s="465"/>
      <x:c r="N136" s="465"/>
      <x:c r="O136" s="465"/>
      <x:c r="P136" s="465"/>
      <x:c r="Q136" s="465"/>
      <x:c r="R136" s="465"/>
      <x:c r="S136" s="465"/>
      <x:c r="T136" s="465"/>
      <x:c r="U136" s="465"/>
      <x:c r="V136" s="465"/>
      <x:c r="W136" s="465"/>
      <x:c r="X136" s="465"/>
      <x:c r="Y136" s="465"/>
      <x:c r="Z136" s="465"/>
    </x:row>
    <x:row r="137">
      <x:c r="A137" s="465"/>
      <x:c r="B137" s="465"/>
      <x:c r="C137" s="465"/>
      <x:c r="D137" s="465"/>
      <x:c r="E137" s="465"/>
      <x:c r="F137" s="465"/>
      <x:c r="G137" s="465"/>
      <x:c r="H137" s="465"/>
      <x:c r="I137" s="465"/>
      <x:c r="J137" s="465"/>
      <x:c r="K137" s="465"/>
      <x:c r="L137" s="465"/>
      <x:c r="M137" s="465"/>
      <x:c r="N137" s="465"/>
      <x:c r="O137" s="465"/>
      <x:c r="P137" s="465"/>
      <x:c r="Q137" s="465"/>
      <x:c r="R137" s="465"/>
      <x:c r="S137" s="465"/>
      <x:c r="T137" s="465"/>
      <x:c r="U137" s="465"/>
      <x:c r="V137" s="465"/>
      <x:c r="W137" s="465"/>
      <x:c r="X137" s="465"/>
      <x:c r="Y137" s="465"/>
      <x:c r="Z137" s="465"/>
    </x:row>
    <x:row r="138">
      <x:c r="A138" s="465"/>
      <x:c r="B138" s="465"/>
      <x:c r="C138" s="465"/>
      <x:c r="D138" s="465"/>
      <x:c r="E138" s="465"/>
      <x:c r="F138" s="465"/>
      <x:c r="G138" s="465"/>
      <x:c r="H138" s="465"/>
      <x:c r="I138" s="465"/>
      <x:c r="J138" s="465"/>
      <x:c r="K138" s="465"/>
      <x:c r="L138" s="465"/>
      <x:c r="M138" s="465"/>
      <x:c r="N138" s="465"/>
      <x:c r="O138" s="465"/>
      <x:c r="P138" s="465"/>
      <x:c r="Q138" s="465"/>
      <x:c r="R138" s="465"/>
      <x:c r="S138" s="465"/>
      <x:c r="T138" s="465"/>
      <x:c r="U138" s="465"/>
      <x:c r="V138" s="465"/>
      <x:c r="W138" s="465"/>
      <x:c r="X138" s="465"/>
      <x:c r="Y138" s="465"/>
      <x:c r="Z138" s="465"/>
    </x:row>
    <x:row r="139">
      <x:c r="A139" s="465"/>
      <x:c r="B139" s="465"/>
      <x:c r="C139" s="465"/>
      <x:c r="D139" s="465"/>
      <x:c r="E139" s="465"/>
      <x:c r="F139" s="465"/>
      <x:c r="G139" s="465"/>
      <x:c r="H139" s="465"/>
      <x:c r="I139" s="465"/>
      <x:c r="J139" s="465"/>
      <x:c r="K139" s="465"/>
      <x:c r="L139" s="465"/>
      <x:c r="M139" s="465"/>
      <x:c r="N139" s="465"/>
      <x:c r="O139" s="465"/>
      <x:c r="P139" s="465"/>
      <x:c r="Q139" s="465"/>
      <x:c r="R139" s="465"/>
      <x:c r="S139" s="465"/>
      <x:c r="T139" s="465"/>
      <x:c r="U139" s="465"/>
      <x:c r="V139" s="465"/>
      <x:c r="W139" s="465"/>
      <x:c r="X139" s="465"/>
      <x:c r="Y139" s="465"/>
      <x:c r="Z139" s="465"/>
    </x:row>
    <x:row r="140">
      <x:c r="A140" s="465"/>
      <x:c r="B140" s="465"/>
      <x:c r="C140" s="465"/>
      <x:c r="D140" s="465"/>
      <x:c r="E140" s="465"/>
      <x:c r="F140" s="465"/>
      <x:c r="G140" s="465"/>
      <x:c r="H140" s="465"/>
      <x:c r="I140" s="465"/>
      <x:c r="J140" s="465"/>
      <x:c r="K140" s="465"/>
      <x:c r="L140" s="465"/>
      <x:c r="M140" s="465"/>
      <x:c r="N140" s="465"/>
      <x:c r="O140" s="465"/>
      <x:c r="P140" s="465"/>
      <x:c r="Q140" s="465"/>
      <x:c r="R140" s="465"/>
      <x:c r="S140" s="465"/>
      <x:c r="T140" s="465"/>
      <x:c r="U140" s="465"/>
      <x:c r="V140" s="465"/>
      <x:c r="W140" s="465"/>
      <x:c r="X140" s="465"/>
      <x:c r="Y140" s="465"/>
      <x:c r="Z140" s="465"/>
    </x:row>
    <x:row r="141">
      <x:c r="A141" s="465"/>
      <x:c r="B141" s="465"/>
      <x:c r="C141" s="465"/>
      <x:c r="D141" s="465"/>
      <x:c r="E141" s="465"/>
      <x:c r="F141" s="465"/>
      <x:c r="G141" s="465"/>
      <x:c r="H141" s="465"/>
      <x:c r="I141" s="465"/>
      <x:c r="J141" s="465"/>
      <x:c r="K141" s="465"/>
      <x:c r="L141" s="465"/>
      <x:c r="M141" s="465"/>
      <x:c r="N141" s="465"/>
      <x:c r="O141" s="465"/>
      <x:c r="P141" s="465"/>
      <x:c r="Q141" s="465"/>
      <x:c r="R141" s="465"/>
      <x:c r="S141" s="465"/>
      <x:c r="T141" s="465"/>
      <x:c r="U141" s="465"/>
      <x:c r="V141" s="465"/>
      <x:c r="W141" s="465"/>
      <x:c r="X141" s="465"/>
      <x:c r="Y141" s="465"/>
      <x:c r="Z141" s="465"/>
    </x:row>
    <x:row r="142">
      <x:c r="A142" s="465"/>
      <x:c r="B142" s="465"/>
      <x:c r="C142" s="465"/>
      <x:c r="D142" s="465"/>
      <x:c r="E142" s="465"/>
      <x:c r="F142" s="465"/>
      <x:c r="G142" s="465"/>
      <x:c r="H142" s="465"/>
      <x:c r="I142" s="465"/>
      <x:c r="J142" s="465"/>
      <x:c r="K142" s="465"/>
      <x:c r="L142" s="465"/>
      <x:c r="M142" s="465"/>
      <x:c r="N142" s="465"/>
      <x:c r="O142" s="465"/>
      <x:c r="P142" s="465"/>
      <x:c r="Q142" s="465"/>
      <x:c r="R142" s="465"/>
      <x:c r="S142" s="465"/>
      <x:c r="T142" s="465"/>
      <x:c r="U142" s="465"/>
      <x:c r="V142" s="465"/>
      <x:c r="W142" s="465"/>
      <x:c r="X142" s="465"/>
      <x:c r="Y142" s="465"/>
      <x:c r="Z142" s="465"/>
    </x:row>
    <x:row r="143">
      <x:c r="A143" s="465"/>
      <x:c r="B143" s="465"/>
      <x:c r="C143" s="465"/>
      <x:c r="D143" s="465"/>
      <x:c r="E143" s="465"/>
      <x:c r="F143" s="465"/>
      <x:c r="G143" s="465"/>
      <x:c r="H143" s="465"/>
      <x:c r="I143" s="465"/>
      <x:c r="J143" s="465"/>
      <x:c r="K143" s="465"/>
      <x:c r="L143" s="465"/>
      <x:c r="M143" s="465"/>
      <x:c r="N143" s="465"/>
      <x:c r="O143" s="465"/>
      <x:c r="P143" s="465"/>
      <x:c r="Q143" s="465"/>
      <x:c r="R143" s="465"/>
      <x:c r="S143" s="465"/>
      <x:c r="T143" s="465"/>
      <x:c r="U143" s="465"/>
      <x:c r="V143" s="465"/>
      <x:c r="W143" s="465"/>
      <x:c r="X143" s="465"/>
      <x:c r="Y143" s="465"/>
      <x:c r="Z143" s="465"/>
    </x:row>
    <x:row r="144">
      <x:c r="A144" s="465"/>
      <x:c r="B144" s="465"/>
      <x:c r="C144" s="465"/>
      <x:c r="D144" s="465"/>
      <x:c r="E144" s="465"/>
      <x:c r="F144" s="465"/>
      <x:c r="G144" s="465"/>
      <x:c r="H144" s="465"/>
      <x:c r="I144" s="465"/>
      <x:c r="J144" s="465"/>
      <x:c r="K144" s="465"/>
      <x:c r="L144" s="465"/>
      <x:c r="M144" s="465"/>
      <x:c r="N144" s="465"/>
      <x:c r="O144" s="465"/>
      <x:c r="P144" s="465"/>
      <x:c r="Q144" s="465"/>
      <x:c r="R144" s="465"/>
      <x:c r="S144" s="465"/>
      <x:c r="T144" s="465"/>
      <x:c r="U144" s="465"/>
      <x:c r="V144" s="465"/>
      <x:c r="W144" s="465"/>
      <x:c r="X144" s="465"/>
      <x:c r="Y144" s="465"/>
      <x:c r="Z144" s="465"/>
    </x:row>
    <x:row r="145">
      <x:c r="A145" s="465"/>
      <x:c r="B145" s="465"/>
      <x:c r="C145" s="465"/>
      <x:c r="D145" s="465"/>
      <x:c r="E145" s="465"/>
      <x:c r="F145" s="465"/>
      <x:c r="G145" s="465"/>
      <x:c r="H145" s="465"/>
      <x:c r="I145" s="465"/>
      <x:c r="J145" s="465"/>
      <x:c r="K145" s="465"/>
      <x:c r="L145" s="465"/>
      <x:c r="M145" s="465"/>
      <x:c r="N145" s="465"/>
      <x:c r="O145" s="465"/>
      <x:c r="P145" s="465"/>
      <x:c r="Q145" s="465"/>
      <x:c r="R145" s="465"/>
      <x:c r="S145" s="465"/>
      <x:c r="T145" s="465"/>
      <x:c r="U145" s="465"/>
      <x:c r="V145" s="465"/>
      <x:c r="W145" s="465"/>
      <x:c r="X145" s="465"/>
      <x:c r="Y145" s="465"/>
      <x:c r="Z145" s="465"/>
    </x:row>
    <x:row r="146">
      <x:c r="A146" s="465"/>
      <x:c r="B146" s="465"/>
      <x:c r="C146" s="465"/>
      <x:c r="D146" s="465"/>
      <x:c r="E146" s="465"/>
      <x:c r="F146" s="465"/>
      <x:c r="G146" s="465"/>
      <x:c r="H146" s="465"/>
      <x:c r="I146" s="465"/>
      <x:c r="J146" s="465"/>
      <x:c r="K146" s="465"/>
      <x:c r="L146" s="465"/>
      <x:c r="M146" s="465"/>
      <x:c r="N146" s="465"/>
      <x:c r="O146" s="465"/>
      <x:c r="P146" s="465"/>
      <x:c r="Q146" s="465"/>
      <x:c r="R146" s="465"/>
      <x:c r="S146" s="465"/>
      <x:c r="T146" s="465"/>
      <x:c r="U146" s="465"/>
      <x:c r="V146" s="465"/>
      <x:c r="W146" s="465"/>
      <x:c r="X146" s="465"/>
      <x:c r="Y146" s="465"/>
      <x:c r="Z146" s="465"/>
    </x:row>
    <x:row r="147">
      <x:c r="A147" s="465"/>
      <x:c r="B147" s="465"/>
      <x:c r="C147" s="465"/>
      <x:c r="D147" s="465"/>
      <x:c r="E147" s="465"/>
      <x:c r="F147" s="465"/>
      <x:c r="G147" s="465"/>
      <x:c r="H147" s="465"/>
      <x:c r="I147" s="465"/>
      <x:c r="J147" s="465"/>
      <x:c r="K147" s="465"/>
      <x:c r="L147" s="465"/>
      <x:c r="M147" s="465"/>
      <x:c r="N147" s="465"/>
      <x:c r="O147" s="465"/>
      <x:c r="P147" s="465"/>
      <x:c r="Q147" s="465"/>
      <x:c r="R147" s="465"/>
      <x:c r="S147" s="465"/>
      <x:c r="T147" s="465"/>
      <x:c r="U147" s="465"/>
      <x:c r="V147" s="465"/>
      <x:c r="W147" s="465"/>
      <x:c r="X147" s="465"/>
      <x:c r="Y147" s="465"/>
      <x:c r="Z147" s="465"/>
    </x:row>
    <x:row r="148">
      <x:c r="A148" s="465"/>
      <x:c r="B148" s="465"/>
      <x:c r="C148" s="465"/>
      <x:c r="D148" s="465"/>
      <x:c r="E148" s="465"/>
      <x:c r="F148" s="465"/>
      <x:c r="G148" s="465"/>
      <x:c r="H148" s="465"/>
      <x:c r="I148" s="465"/>
      <x:c r="J148" s="465"/>
      <x:c r="K148" s="465"/>
      <x:c r="L148" s="465"/>
      <x:c r="M148" s="465"/>
      <x:c r="N148" s="465"/>
      <x:c r="O148" s="465"/>
      <x:c r="P148" s="465"/>
      <x:c r="Q148" s="465"/>
      <x:c r="R148" s="465"/>
      <x:c r="S148" s="465"/>
      <x:c r="T148" s="465"/>
      <x:c r="U148" s="465"/>
      <x:c r="V148" s="465"/>
      <x:c r="W148" s="465"/>
      <x:c r="X148" s="465"/>
      <x:c r="Y148" s="465"/>
      <x:c r="Z148" s="465"/>
    </x:row>
    <x:row r="149">
      <x:c r="A149" s="465"/>
      <x:c r="B149" s="465"/>
      <x:c r="C149" s="465"/>
      <x:c r="D149" s="465"/>
      <x:c r="E149" s="465"/>
      <x:c r="F149" s="465"/>
      <x:c r="G149" s="465"/>
      <x:c r="H149" s="465"/>
      <x:c r="I149" s="465"/>
      <x:c r="J149" s="465"/>
      <x:c r="K149" s="465"/>
      <x:c r="L149" s="465"/>
      <x:c r="M149" s="465"/>
      <x:c r="N149" s="465"/>
      <x:c r="O149" s="465"/>
      <x:c r="P149" s="465"/>
      <x:c r="Q149" s="465"/>
      <x:c r="R149" s="465"/>
      <x:c r="S149" s="465"/>
      <x:c r="T149" s="465"/>
      <x:c r="U149" s="465"/>
      <x:c r="V149" s="465"/>
      <x:c r="W149" s="465"/>
      <x:c r="X149" s="465"/>
      <x:c r="Y149" s="465"/>
      <x:c r="Z149" s="465"/>
    </x:row>
    <x:row r="150">
      <x:c r="A150" s="465"/>
      <x:c r="B150" s="465"/>
      <x:c r="C150" s="465"/>
      <x:c r="D150" s="465"/>
      <x:c r="E150" s="465"/>
      <x:c r="F150" s="465"/>
      <x:c r="G150" s="465"/>
      <x:c r="H150" s="465"/>
      <x:c r="I150" s="465"/>
      <x:c r="J150" s="465"/>
      <x:c r="K150" s="465"/>
      <x:c r="L150" s="465"/>
      <x:c r="M150" s="465"/>
      <x:c r="N150" s="465"/>
      <x:c r="O150" s="465"/>
      <x:c r="P150" s="465"/>
      <x:c r="Q150" s="465"/>
      <x:c r="R150" s="465"/>
      <x:c r="S150" s="465"/>
      <x:c r="T150" s="465"/>
      <x:c r="U150" s="465"/>
      <x:c r="V150" s="465"/>
      <x:c r="W150" s="465"/>
      <x:c r="X150" s="465"/>
      <x:c r="Y150" s="465"/>
      <x:c r="Z150" s="465"/>
    </x:row>
    <x:row r="151">
      <x:c r="A151" s="465"/>
      <x:c r="B151" s="465"/>
      <x:c r="C151" s="465"/>
      <x:c r="D151" s="465"/>
      <x:c r="E151" s="465"/>
      <x:c r="F151" s="465"/>
      <x:c r="G151" s="465"/>
      <x:c r="H151" s="465"/>
      <x:c r="I151" s="465"/>
      <x:c r="J151" s="465"/>
      <x:c r="K151" s="465"/>
      <x:c r="L151" s="465"/>
      <x:c r="M151" s="465"/>
      <x:c r="N151" s="465"/>
      <x:c r="O151" s="465"/>
      <x:c r="P151" s="465"/>
      <x:c r="Q151" s="465"/>
      <x:c r="R151" s="465"/>
      <x:c r="S151" s="465"/>
      <x:c r="T151" s="465"/>
      <x:c r="U151" s="465"/>
      <x:c r="V151" s="465"/>
      <x:c r="W151" s="465"/>
      <x:c r="X151" s="465"/>
      <x:c r="Y151" s="465"/>
      <x:c r="Z151" s="465"/>
    </x:row>
    <x:row r="152">
      <x:c r="A152" s="465"/>
      <x:c r="B152" s="465"/>
      <x:c r="C152" s="465"/>
      <x:c r="D152" s="465"/>
      <x:c r="E152" s="465"/>
      <x:c r="F152" s="465"/>
      <x:c r="G152" s="465"/>
      <x:c r="H152" s="465"/>
      <x:c r="I152" s="465"/>
      <x:c r="J152" s="465"/>
      <x:c r="K152" s="465"/>
      <x:c r="L152" s="465"/>
      <x:c r="M152" s="465"/>
      <x:c r="N152" s="465"/>
      <x:c r="O152" s="465"/>
      <x:c r="P152" s="465"/>
      <x:c r="Q152" s="465"/>
      <x:c r="R152" s="465"/>
      <x:c r="S152" s="465"/>
      <x:c r="T152" s="465"/>
      <x:c r="U152" s="465"/>
      <x:c r="V152" s="465"/>
      <x:c r="W152" s="465"/>
      <x:c r="X152" s="465"/>
      <x:c r="Y152" s="465"/>
      <x:c r="Z152" s="465"/>
    </x:row>
    <x:row r="153">
      <x:c r="A153" s="465"/>
      <x:c r="B153" s="465"/>
      <x:c r="C153" s="465"/>
      <x:c r="D153" s="465"/>
      <x:c r="E153" s="465"/>
      <x:c r="F153" s="465"/>
      <x:c r="G153" s="465"/>
      <x:c r="H153" s="465"/>
      <x:c r="I153" s="465"/>
      <x:c r="J153" s="465"/>
      <x:c r="K153" s="465"/>
      <x:c r="L153" s="465"/>
      <x:c r="M153" s="465"/>
      <x:c r="N153" s="465"/>
      <x:c r="O153" s="465"/>
      <x:c r="P153" s="465"/>
      <x:c r="Q153" s="465"/>
      <x:c r="R153" s="465"/>
      <x:c r="S153" s="465"/>
      <x:c r="T153" s="465"/>
      <x:c r="U153" s="465"/>
      <x:c r="V153" s="465"/>
      <x:c r="W153" s="465"/>
      <x:c r="X153" s="465"/>
      <x:c r="Y153" s="465"/>
      <x:c r="Z153" s="465"/>
    </x:row>
    <x:row r="154">
      <x:c r="A154" s="465"/>
      <x:c r="B154" s="465"/>
      <x:c r="C154" s="465"/>
      <x:c r="D154" s="465"/>
      <x:c r="E154" s="465"/>
      <x:c r="F154" s="465"/>
      <x:c r="G154" s="465"/>
      <x:c r="H154" s="465"/>
      <x:c r="I154" s="465"/>
      <x:c r="J154" s="465"/>
      <x:c r="K154" s="465"/>
      <x:c r="L154" s="465"/>
      <x:c r="M154" s="465"/>
      <x:c r="N154" s="465"/>
      <x:c r="O154" s="465"/>
      <x:c r="P154" s="465"/>
      <x:c r="Q154" s="465"/>
      <x:c r="R154" s="465"/>
      <x:c r="S154" s="465"/>
      <x:c r="T154" s="465"/>
      <x:c r="U154" s="465"/>
      <x:c r="V154" s="465"/>
      <x:c r="W154" s="465"/>
      <x:c r="X154" s="465"/>
      <x:c r="Y154" s="465"/>
      <x:c r="Z154" s="465"/>
    </x:row>
    <x:row r="155">
      <x:c r="A155" s="465"/>
      <x:c r="B155" s="465"/>
      <x:c r="C155" s="465"/>
      <x:c r="D155" s="465"/>
      <x:c r="E155" s="465"/>
      <x:c r="F155" s="465"/>
      <x:c r="G155" s="465"/>
      <x:c r="H155" s="465"/>
      <x:c r="I155" s="465"/>
      <x:c r="J155" s="465"/>
      <x:c r="K155" s="465"/>
      <x:c r="L155" s="465"/>
      <x:c r="M155" s="465"/>
      <x:c r="N155" s="465"/>
      <x:c r="O155" s="465"/>
      <x:c r="P155" s="465"/>
      <x:c r="Q155" s="465"/>
      <x:c r="R155" s="465"/>
      <x:c r="S155" s="465"/>
      <x:c r="T155" s="465"/>
      <x:c r="U155" s="465"/>
      <x:c r="V155" s="465"/>
      <x:c r="W155" s="465"/>
      <x:c r="X155" s="465"/>
      <x:c r="Y155" s="465"/>
      <x:c r="Z155" s="465"/>
    </x:row>
    <x:row r="156">
      <x:c r="A156" s="465"/>
      <x:c r="B156" s="465"/>
      <x:c r="C156" s="465"/>
      <x:c r="D156" s="465"/>
      <x:c r="E156" s="465"/>
      <x:c r="F156" s="465"/>
      <x:c r="G156" s="465"/>
      <x:c r="H156" s="465"/>
      <x:c r="I156" s="465"/>
      <x:c r="J156" s="465"/>
      <x:c r="K156" s="465"/>
      <x:c r="L156" s="465"/>
      <x:c r="M156" s="465"/>
      <x:c r="N156" s="465"/>
      <x:c r="O156" s="465"/>
      <x:c r="P156" s="465"/>
      <x:c r="Q156" s="465"/>
      <x:c r="R156" s="465"/>
      <x:c r="S156" s="465"/>
      <x:c r="T156" s="465"/>
      <x:c r="U156" s="465"/>
      <x:c r="V156" s="465"/>
      <x:c r="W156" s="465"/>
      <x:c r="X156" s="465"/>
      <x:c r="Y156" s="465"/>
      <x:c r="Z156" s="465"/>
    </x:row>
    <x:row r="157">
      <x:c r="A157" s="465"/>
      <x:c r="B157" s="465"/>
      <x:c r="C157" s="465"/>
      <x:c r="D157" s="465"/>
      <x:c r="E157" s="465"/>
      <x:c r="F157" s="465"/>
      <x:c r="G157" s="465"/>
      <x:c r="H157" s="465"/>
      <x:c r="I157" s="465"/>
      <x:c r="J157" s="465"/>
      <x:c r="K157" s="465"/>
      <x:c r="L157" s="465"/>
      <x:c r="M157" s="465"/>
      <x:c r="N157" s="465"/>
      <x:c r="O157" s="465"/>
      <x:c r="P157" s="465"/>
      <x:c r="Q157" s="465"/>
      <x:c r="R157" s="465"/>
      <x:c r="S157" s="465"/>
      <x:c r="T157" s="465"/>
      <x:c r="U157" s="465"/>
      <x:c r="V157" s="465"/>
      <x:c r="W157" s="465"/>
      <x:c r="X157" s="465"/>
      <x:c r="Y157" s="465"/>
      <x:c r="Z157" s="465"/>
    </x:row>
    <x:row r="158">
      <x:c r="A158" s="465"/>
      <x:c r="B158" s="465"/>
      <x:c r="C158" s="465"/>
      <x:c r="D158" s="465"/>
      <x:c r="E158" s="465"/>
      <x:c r="F158" s="465"/>
      <x:c r="G158" s="465"/>
      <x:c r="H158" s="465"/>
      <x:c r="I158" s="465"/>
      <x:c r="J158" s="465"/>
      <x:c r="K158" s="465"/>
      <x:c r="L158" s="465"/>
      <x:c r="M158" s="465"/>
      <x:c r="N158" s="465"/>
      <x:c r="O158" s="465"/>
      <x:c r="P158" s="465"/>
      <x:c r="Q158" s="465"/>
      <x:c r="R158" s="465"/>
      <x:c r="S158" s="465"/>
      <x:c r="T158" s="465"/>
      <x:c r="U158" s="465"/>
      <x:c r="V158" s="465"/>
      <x:c r="W158" s="465"/>
      <x:c r="X158" s="465"/>
      <x:c r="Y158" s="465"/>
      <x:c r="Z158" s="465"/>
    </x:row>
    <x:row r="159">
      <x:c r="A159" s="465"/>
      <x:c r="B159" s="465"/>
      <x:c r="C159" s="465"/>
      <x:c r="D159" s="465"/>
      <x:c r="E159" s="465"/>
      <x:c r="F159" s="465"/>
      <x:c r="G159" s="465"/>
      <x:c r="H159" s="465"/>
      <x:c r="I159" s="465"/>
      <x:c r="J159" s="465"/>
      <x:c r="K159" s="465"/>
      <x:c r="L159" s="465"/>
      <x:c r="M159" s="465"/>
      <x:c r="N159" s="465"/>
      <x:c r="O159" s="465"/>
      <x:c r="P159" s="465"/>
      <x:c r="Q159" s="465"/>
      <x:c r="R159" s="465"/>
      <x:c r="S159" s="465"/>
      <x:c r="T159" s="465"/>
      <x:c r="U159" s="465"/>
      <x:c r="V159" s="465"/>
      <x:c r="W159" s="465"/>
      <x:c r="X159" s="465"/>
      <x:c r="Y159" s="465"/>
      <x:c r="Z159" s="465"/>
    </x:row>
    <x:row r="160">
      <x:c r="A160" s="465"/>
      <x:c r="B160" s="465"/>
      <x:c r="C160" s="465"/>
      <x:c r="D160" s="465"/>
      <x:c r="E160" s="465"/>
      <x:c r="F160" s="465"/>
      <x:c r="G160" s="465"/>
      <x:c r="H160" s="465"/>
      <x:c r="I160" s="465"/>
      <x:c r="J160" s="465"/>
      <x:c r="K160" s="465"/>
      <x:c r="L160" s="465"/>
      <x:c r="M160" s="465"/>
      <x:c r="N160" s="465"/>
      <x:c r="O160" s="465"/>
      <x:c r="P160" s="465"/>
      <x:c r="Q160" s="465"/>
      <x:c r="R160" s="465"/>
      <x:c r="S160" s="465"/>
      <x:c r="T160" s="465"/>
      <x:c r="U160" s="465"/>
      <x:c r="V160" s="465"/>
      <x:c r="W160" s="465"/>
      <x:c r="X160" s="465"/>
      <x:c r="Y160" s="465"/>
      <x:c r="Z160" s="465"/>
    </x:row>
    <x:row r="161">
      <x:c r="A161" s="465"/>
      <x:c r="B161" s="465"/>
      <x:c r="C161" s="465"/>
      <x:c r="D161" s="465"/>
      <x:c r="E161" s="465"/>
      <x:c r="F161" s="465"/>
      <x:c r="G161" s="465"/>
      <x:c r="H161" s="465"/>
      <x:c r="I161" s="465"/>
      <x:c r="J161" s="465"/>
      <x:c r="K161" s="465"/>
      <x:c r="L161" s="465"/>
      <x:c r="M161" s="465"/>
      <x:c r="N161" s="465"/>
      <x:c r="O161" s="465"/>
      <x:c r="P161" s="465"/>
      <x:c r="Q161" s="465"/>
      <x:c r="R161" s="465"/>
      <x:c r="S161" s="465"/>
      <x:c r="T161" s="465"/>
      <x:c r="U161" s="465"/>
      <x:c r="V161" s="465"/>
      <x:c r="W161" s="465"/>
      <x:c r="X161" s="465"/>
      <x:c r="Y161" s="465"/>
      <x:c r="Z161" s="465"/>
    </x:row>
    <x:row r="162">
      <x:c r="A162" s="465"/>
      <x:c r="B162" s="465"/>
      <x:c r="C162" s="465"/>
      <x:c r="D162" s="465"/>
      <x:c r="E162" s="465"/>
      <x:c r="F162" s="465"/>
      <x:c r="G162" s="465"/>
      <x:c r="H162" s="465"/>
      <x:c r="I162" s="465"/>
      <x:c r="J162" s="465"/>
      <x:c r="K162" s="465"/>
      <x:c r="L162" s="465"/>
      <x:c r="M162" s="465"/>
      <x:c r="N162" s="465"/>
      <x:c r="O162" s="465"/>
      <x:c r="P162" s="465"/>
      <x:c r="Q162" s="465"/>
      <x:c r="R162" s="465"/>
      <x:c r="S162" s="465"/>
      <x:c r="T162" s="465"/>
      <x:c r="U162" s="465"/>
      <x:c r="V162" s="465"/>
      <x:c r="W162" s="465"/>
      <x:c r="X162" s="465"/>
      <x:c r="Y162" s="465"/>
      <x:c r="Z162" s="465"/>
    </x:row>
    <x:row r="163">
      <x:c r="A163" s="465"/>
      <x:c r="B163" s="465"/>
      <x:c r="C163" s="465"/>
      <x:c r="D163" s="465"/>
      <x:c r="E163" s="465"/>
      <x:c r="F163" s="465"/>
      <x:c r="G163" s="465"/>
      <x:c r="H163" s="465"/>
      <x:c r="I163" s="465"/>
      <x:c r="J163" s="465"/>
      <x:c r="K163" s="465"/>
      <x:c r="L163" s="465"/>
      <x:c r="M163" s="465"/>
      <x:c r="N163" s="465"/>
      <x:c r="O163" s="465"/>
      <x:c r="P163" s="465"/>
      <x:c r="Q163" s="465"/>
      <x:c r="R163" s="465"/>
      <x:c r="S163" s="465"/>
      <x:c r="T163" s="465"/>
      <x:c r="U163" s="465"/>
      <x:c r="V163" s="465"/>
      <x:c r="W163" s="465"/>
      <x:c r="X163" s="465"/>
      <x:c r="Y163" s="465"/>
      <x:c r="Z163" s="465"/>
    </x:row>
    <x:row r="164">
      <x:c r="A164" s="465"/>
      <x:c r="B164" s="465"/>
      <x:c r="C164" s="465"/>
      <x:c r="D164" s="465"/>
      <x:c r="E164" s="465"/>
      <x:c r="F164" s="465"/>
      <x:c r="G164" s="465"/>
      <x:c r="H164" s="465"/>
      <x:c r="I164" s="465"/>
      <x:c r="J164" s="465"/>
      <x:c r="K164" s="465"/>
      <x:c r="L164" s="465"/>
      <x:c r="M164" s="465"/>
      <x:c r="N164" s="465"/>
      <x:c r="O164" s="465"/>
      <x:c r="P164" s="465"/>
      <x:c r="Q164" s="465"/>
      <x:c r="R164" s="465"/>
      <x:c r="S164" s="465"/>
      <x:c r="T164" s="465"/>
      <x:c r="U164" s="465"/>
      <x:c r="V164" s="465"/>
      <x:c r="W164" s="465"/>
      <x:c r="X164" s="465"/>
      <x:c r="Y164" s="465"/>
      <x:c r="Z164" s="465"/>
    </x:row>
    <x:row r="165">
      <x:c r="A165" s="465"/>
      <x:c r="B165" s="465"/>
      <x:c r="C165" s="465"/>
      <x:c r="D165" s="465"/>
      <x:c r="E165" s="465"/>
      <x:c r="F165" s="465"/>
      <x:c r="G165" s="465"/>
      <x:c r="H165" s="465"/>
      <x:c r="I165" s="465"/>
      <x:c r="J165" s="465"/>
      <x:c r="K165" s="465"/>
      <x:c r="L165" s="465"/>
      <x:c r="M165" s="465"/>
      <x:c r="N165" s="465"/>
      <x:c r="O165" s="465"/>
      <x:c r="P165" s="465"/>
      <x:c r="Q165" s="465"/>
      <x:c r="R165" s="465"/>
      <x:c r="S165" s="465"/>
      <x:c r="T165" s="465"/>
      <x:c r="U165" s="465"/>
      <x:c r="V165" s="465"/>
      <x:c r="W165" s="465"/>
      <x:c r="X165" s="465"/>
      <x:c r="Y165" s="465"/>
      <x:c r="Z165" s="465"/>
    </x:row>
    <x:row r="166">
      <x:c r="A166" s="465"/>
      <x:c r="B166" s="465"/>
      <x:c r="C166" s="465"/>
      <x:c r="D166" s="465"/>
      <x:c r="E166" s="465"/>
      <x:c r="F166" s="465"/>
      <x:c r="G166" s="465"/>
      <x:c r="H166" s="465"/>
      <x:c r="I166" s="465"/>
      <x:c r="J166" s="465"/>
      <x:c r="K166" s="465"/>
      <x:c r="L166" s="465"/>
      <x:c r="M166" s="465"/>
      <x:c r="N166" s="465"/>
      <x:c r="O166" s="465"/>
      <x:c r="P166" s="465"/>
      <x:c r="Q166" s="465"/>
      <x:c r="R166" s="465"/>
      <x:c r="S166" s="465"/>
      <x:c r="T166" s="465"/>
      <x:c r="U166" s="465"/>
      <x:c r="V166" s="465"/>
      <x:c r="W166" s="465"/>
      <x:c r="X166" s="465"/>
      <x:c r="Y166" s="465"/>
      <x:c r="Z166" s="465"/>
    </x:row>
    <x:row r="167">
      <x:c r="A167" s="465"/>
      <x:c r="B167" s="465"/>
      <x:c r="C167" s="465"/>
      <x:c r="D167" s="465"/>
      <x:c r="E167" s="465"/>
      <x:c r="F167" s="465"/>
      <x:c r="G167" s="465"/>
      <x:c r="H167" s="465"/>
      <x:c r="I167" s="465"/>
      <x:c r="J167" s="465"/>
      <x:c r="K167" s="465"/>
      <x:c r="L167" s="465"/>
      <x:c r="M167" s="465"/>
      <x:c r="N167" s="465"/>
      <x:c r="O167" s="465"/>
      <x:c r="P167" s="465"/>
      <x:c r="Q167" s="465"/>
      <x:c r="R167" s="465"/>
      <x:c r="S167" s="465"/>
      <x:c r="T167" s="465"/>
      <x:c r="U167" s="465"/>
      <x:c r="V167" s="465"/>
      <x:c r="W167" s="465"/>
      <x:c r="X167" s="465"/>
      <x:c r="Y167" s="465"/>
      <x:c r="Z167" s="465"/>
    </x:row>
    <x:row r="168">
      <x:c r="A168" s="465"/>
      <x:c r="B168" s="465"/>
      <x:c r="C168" s="465"/>
      <x:c r="D168" s="465"/>
      <x:c r="E168" s="465"/>
      <x:c r="F168" s="465"/>
      <x:c r="G168" s="465"/>
      <x:c r="H168" s="465"/>
      <x:c r="I168" s="465"/>
      <x:c r="J168" s="465"/>
      <x:c r="K168" s="465"/>
      <x:c r="L168" s="465"/>
      <x:c r="M168" s="465"/>
      <x:c r="N168" s="465"/>
      <x:c r="O168" s="465"/>
      <x:c r="P168" s="465"/>
      <x:c r="Q168" s="465"/>
      <x:c r="R168" s="465"/>
      <x:c r="S168" s="465"/>
      <x:c r="T168" s="465"/>
      <x:c r="U168" s="465"/>
      <x:c r="V168" s="465"/>
      <x:c r="W168" s="465"/>
      <x:c r="X168" s="465"/>
      <x:c r="Y168" s="465"/>
      <x:c r="Z168" s="465"/>
    </x:row>
    <x:row r="169">
      <x:c r="A169" s="465"/>
      <x:c r="B169" s="465"/>
      <x:c r="C169" s="465"/>
      <x:c r="D169" s="465"/>
      <x:c r="E169" s="465"/>
      <x:c r="F169" s="465"/>
      <x:c r="G169" s="465"/>
      <x:c r="H169" s="465"/>
      <x:c r="I169" s="465"/>
      <x:c r="J169" s="465"/>
      <x:c r="K169" s="465"/>
      <x:c r="L169" s="465"/>
      <x:c r="M169" s="465"/>
      <x:c r="N169" s="465"/>
      <x:c r="O169" s="465"/>
      <x:c r="P169" s="465"/>
      <x:c r="Q169" s="465"/>
      <x:c r="R169" s="465"/>
      <x:c r="S169" s="465"/>
      <x:c r="T169" s="465"/>
      <x:c r="U169" s="465"/>
      <x:c r="V169" s="465"/>
      <x:c r="W169" s="465"/>
      <x:c r="X169" s="465"/>
      <x:c r="Y169" s="465"/>
      <x:c r="Z169" s="465"/>
    </x:row>
    <x:row r="170">
      <x:c r="A170" s="465"/>
      <x:c r="B170" s="465"/>
      <x:c r="C170" s="465"/>
      <x:c r="D170" s="465"/>
      <x:c r="E170" s="465"/>
      <x:c r="F170" s="465"/>
      <x:c r="G170" s="465"/>
      <x:c r="H170" s="465"/>
      <x:c r="I170" s="465"/>
      <x:c r="J170" s="465"/>
      <x:c r="K170" s="465"/>
      <x:c r="L170" s="465"/>
      <x:c r="M170" s="465"/>
      <x:c r="N170" s="465"/>
      <x:c r="O170" s="465"/>
      <x:c r="P170" s="465"/>
      <x:c r="Q170" s="465"/>
      <x:c r="R170" s="465"/>
      <x:c r="S170" s="465"/>
      <x:c r="T170" s="465"/>
      <x:c r="U170" s="465"/>
      <x:c r="V170" s="465"/>
      <x:c r="W170" s="465"/>
      <x:c r="X170" s="465"/>
      <x:c r="Y170" s="465"/>
      <x:c r="Z170" s="465"/>
    </x:row>
    <x:row r="171">
      <x:c r="A171" s="465"/>
      <x:c r="B171" s="465"/>
      <x:c r="C171" s="465"/>
      <x:c r="D171" s="465"/>
      <x:c r="E171" s="465"/>
      <x:c r="F171" s="465"/>
      <x:c r="G171" s="465"/>
      <x:c r="H171" s="465"/>
      <x:c r="I171" s="465"/>
      <x:c r="J171" s="465"/>
      <x:c r="K171" s="465"/>
      <x:c r="L171" s="465"/>
      <x:c r="M171" s="465"/>
      <x:c r="N171" s="465"/>
      <x:c r="O171" s="465"/>
      <x:c r="P171" s="465"/>
      <x:c r="Q171" s="465"/>
      <x:c r="R171" s="465"/>
      <x:c r="S171" s="465"/>
      <x:c r="T171" s="465"/>
      <x:c r="U171" s="465"/>
      <x:c r="V171" s="465"/>
      <x:c r="W171" s="465"/>
      <x:c r="X171" s="465"/>
      <x:c r="Y171" s="465"/>
      <x:c r="Z171" s="465"/>
    </x:row>
    <x:row r="172">
      <x:c r="A172" s="465"/>
      <x:c r="B172" s="465"/>
      <x:c r="C172" s="465"/>
      <x:c r="D172" s="465"/>
      <x:c r="E172" s="465"/>
      <x:c r="F172" s="465"/>
      <x:c r="G172" s="465"/>
      <x:c r="H172" s="465"/>
      <x:c r="I172" s="465"/>
      <x:c r="J172" s="465"/>
      <x:c r="K172" s="465"/>
      <x:c r="L172" s="465"/>
      <x:c r="M172" s="465"/>
      <x:c r="N172" s="465"/>
      <x:c r="O172" s="465"/>
      <x:c r="P172" s="465"/>
      <x:c r="Q172" s="465"/>
      <x:c r="R172" s="465"/>
      <x:c r="S172" s="465"/>
      <x:c r="T172" s="465"/>
      <x:c r="U172" s="465"/>
      <x:c r="V172" s="465"/>
      <x:c r="W172" s="465"/>
      <x:c r="X172" s="465"/>
      <x:c r="Y172" s="465"/>
      <x:c r="Z172" s="465"/>
    </x:row>
    <x:row r="173">
      <x:c r="A173" s="465"/>
      <x:c r="B173" s="465"/>
      <x:c r="C173" s="465"/>
      <x:c r="D173" s="465"/>
      <x:c r="E173" s="465"/>
      <x:c r="F173" s="465"/>
      <x:c r="G173" s="465"/>
      <x:c r="H173" s="465"/>
      <x:c r="I173" s="465"/>
      <x:c r="J173" s="465"/>
      <x:c r="K173" s="465"/>
      <x:c r="L173" s="465"/>
      <x:c r="M173" s="465"/>
      <x:c r="N173" s="465"/>
      <x:c r="O173" s="465"/>
      <x:c r="P173" s="465"/>
      <x:c r="Q173" s="465"/>
      <x:c r="R173" s="465"/>
      <x:c r="S173" s="465"/>
      <x:c r="T173" s="465"/>
      <x:c r="U173" s="465"/>
      <x:c r="V173" s="465"/>
      <x:c r="W173" s="465"/>
      <x:c r="X173" s="465"/>
      <x:c r="Y173" s="465"/>
      <x:c r="Z173" s="465"/>
    </x:row>
    <x:row r="174">
      <x:c r="A174" s="465"/>
      <x:c r="B174" s="465"/>
      <x:c r="C174" s="465"/>
      <x:c r="D174" s="465"/>
      <x:c r="E174" s="465"/>
      <x:c r="F174" s="465"/>
      <x:c r="G174" s="465"/>
      <x:c r="H174" s="465"/>
      <x:c r="I174" s="465"/>
      <x:c r="J174" s="465"/>
      <x:c r="K174" s="465"/>
      <x:c r="L174" s="465"/>
      <x:c r="M174" s="465"/>
      <x:c r="N174" s="465"/>
      <x:c r="O174" s="465"/>
      <x:c r="P174" s="465"/>
      <x:c r="Q174" s="465"/>
      <x:c r="R174" s="465"/>
      <x:c r="S174" s="465"/>
      <x:c r="T174" s="465"/>
      <x:c r="U174" s="465"/>
      <x:c r="V174" s="465"/>
      <x:c r="W174" s="465"/>
      <x:c r="X174" s="465"/>
      <x:c r="Y174" s="465"/>
      <x:c r="Z174" s="465"/>
    </x:row>
    <x:row r="175">
      <x:c r="A175" s="465"/>
      <x:c r="B175" s="465"/>
      <x:c r="C175" s="465"/>
      <x:c r="D175" s="465"/>
      <x:c r="E175" s="465"/>
      <x:c r="F175" s="465"/>
      <x:c r="G175" s="465"/>
      <x:c r="H175" s="465"/>
      <x:c r="I175" s="465"/>
      <x:c r="J175" s="465"/>
      <x:c r="K175" s="465"/>
      <x:c r="L175" s="465"/>
      <x:c r="M175" s="465"/>
      <x:c r="N175" s="465"/>
      <x:c r="O175" s="465"/>
      <x:c r="P175" s="465"/>
      <x:c r="Q175" s="465"/>
      <x:c r="R175" s="465"/>
      <x:c r="S175" s="465"/>
      <x:c r="T175" s="465"/>
      <x:c r="U175" s="465"/>
      <x:c r="V175" s="465"/>
      <x:c r="W175" s="465"/>
      <x:c r="X175" s="465"/>
      <x:c r="Y175" s="465"/>
      <x:c r="Z175" s="465"/>
    </x:row>
    <x:row r="176">
      <x:c r="A176" s="465"/>
      <x:c r="B176" s="465"/>
      <x:c r="C176" s="465"/>
      <x:c r="D176" s="465"/>
      <x:c r="E176" s="465"/>
      <x:c r="F176" s="465"/>
      <x:c r="G176" s="465"/>
      <x:c r="H176" s="465"/>
      <x:c r="I176" s="465"/>
      <x:c r="J176" s="465"/>
      <x:c r="K176" s="465"/>
      <x:c r="L176" s="465"/>
      <x:c r="M176" s="465"/>
      <x:c r="N176" s="465"/>
      <x:c r="O176" s="465"/>
      <x:c r="P176" s="465"/>
      <x:c r="Q176" s="465"/>
      <x:c r="R176" s="465"/>
      <x:c r="S176" s="465"/>
      <x:c r="T176" s="465"/>
      <x:c r="U176" s="465"/>
      <x:c r="V176" s="465"/>
      <x:c r="W176" s="465"/>
      <x:c r="X176" s="465"/>
      <x:c r="Y176" s="465"/>
      <x:c r="Z176" s="465"/>
    </x:row>
    <x:row r="177">
      <x:c r="A177" s="465"/>
      <x:c r="B177" s="465"/>
      <x:c r="C177" s="465"/>
      <x:c r="D177" s="465"/>
      <x:c r="E177" s="465"/>
      <x:c r="F177" s="465"/>
      <x:c r="G177" s="465"/>
      <x:c r="H177" s="465"/>
      <x:c r="I177" s="465"/>
      <x:c r="J177" s="465"/>
      <x:c r="K177" s="465"/>
      <x:c r="L177" s="465"/>
      <x:c r="M177" s="465"/>
      <x:c r="N177" s="465"/>
      <x:c r="O177" s="465"/>
      <x:c r="P177" s="465"/>
      <x:c r="Q177" s="465"/>
      <x:c r="R177" s="465"/>
      <x:c r="S177" s="465"/>
      <x:c r="T177" s="465"/>
      <x:c r="U177" s="465"/>
      <x:c r="V177" s="465"/>
      <x:c r="W177" s="465"/>
      <x:c r="X177" s="465"/>
      <x:c r="Y177" s="465"/>
      <x:c r="Z177" s="465"/>
    </x:row>
    <x:row r="178">
      <x:c r="A178" s="465"/>
      <x:c r="B178" s="465"/>
      <x:c r="C178" s="465"/>
      <x:c r="D178" s="465"/>
      <x:c r="E178" s="465"/>
      <x:c r="F178" s="465"/>
      <x:c r="G178" s="465"/>
      <x:c r="H178" s="465"/>
      <x:c r="I178" s="465"/>
      <x:c r="J178" s="465"/>
      <x:c r="K178" s="465"/>
      <x:c r="L178" s="465"/>
      <x:c r="M178" s="465"/>
      <x:c r="N178" s="465"/>
      <x:c r="O178" s="465"/>
      <x:c r="P178" s="465"/>
      <x:c r="Q178" s="465"/>
      <x:c r="R178" s="465"/>
      <x:c r="S178" s="465"/>
      <x:c r="T178" s="465"/>
      <x:c r="U178" s="465"/>
      <x:c r="V178" s="465"/>
      <x:c r="W178" s="465"/>
      <x:c r="X178" s="465"/>
      <x:c r="Y178" s="465"/>
      <x:c r="Z178" s="465"/>
    </x:row>
    <x:row r="179">
      <x:c r="A179" s="465"/>
      <x:c r="B179" s="465"/>
      <x:c r="C179" s="465"/>
      <x:c r="D179" s="465"/>
      <x:c r="E179" s="465"/>
      <x:c r="F179" s="465"/>
      <x:c r="G179" s="465"/>
      <x:c r="H179" s="465"/>
      <x:c r="I179" s="465"/>
      <x:c r="J179" s="465"/>
      <x:c r="K179" s="465"/>
      <x:c r="L179" s="465"/>
      <x:c r="M179" s="465"/>
      <x:c r="N179" s="465"/>
      <x:c r="O179" s="465"/>
      <x:c r="P179" s="465"/>
      <x:c r="Q179" s="465"/>
      <x:c r="R179" s="465"/>
      <x:c r="S179" s="465"/>
      <x:c r="T179" s="465"/>
      <x:c r="U179" s="465"/>
      <x:c r="V179" s="465"/>
      <x:c r="W179" s="465"/>
      <x:c r="X179" s="465"/>
      <x:c r="Y179" s="465"/>
      <x:c r="Z179" s="465"/>
    </x:row>
    <x:row r="180">
      <x:c r="A180" s="465"/>
      <x:c r="B180" s="465"/>
      <x:c r="C180" s="465"/>
      <x:c r="D180" s="465"/>
      <x:c r="E180" s="465"/>
      <x:c r="F180" s="465"/>
      <x:c r="G180" s="465"/>
      <x:c r="H180" s="465"/>
      <x:c r="I180" s="465"/>
      <x:c r="J180" s="465"/>
      <x:c r="K180" s="465"/>
      <x:c r="L180" s="465"/>
      <x:c r="M180" s="465"/>
      <x:c r="N180" s="465"/>
      <x:c r="O180" s="465"/>
      <x:c r="P180" s="465"/>
      <x:c r="Q180" s="465"/>
      <x:c r="R180" s="465"/>
      <x:c r="S180" s="465"/>
      <x:c r="T180" s="465"/>
      <x:c r="U180" s="465"/>
      <x:c r="V180" s="465"/>
      <x:c r="W180" s="465"/>
      <x:c r="X180" s="465"/>
      <x:c r="Y180" s="465"/>
      <x:c r="Z180" s="465"/>
    </x:row>
    <x:row r="181">
      <x:c r="A181" s="465"/>
      <x:c r="B181" s="465"/>
      <x:c r="C181" s="465"/>
      <x:c r="D181" s="465"/>
      <x:c r="E181" s="465"/>
      <x:c r="F181" s="465"/>
      <x:c r="G181" s="465"/>
      <x:c r="H181" s="465"/>
      <x:c r="I181" s="465"/>
      <x:c r="J181" s="465"/>
      <x:c r="K181" s="465"/>
      <x:c r="L181" s="465"/>
      <x:c r="M181" s="465"/>
      <x:c r="N181" s="465"/>
      <x:c r="O181" s="465"/>
      <x:c r="P181" s="465"/>
      <x:c r="Q181" s="465"/>
      <x:c r="R181" s="465"/>
      <x:c r="S181" s="465"/>
      <x:c r="T181" s="465"/>
      <x:c r="U181" s="465"/>
      <x:c r="V181" s="465"/>
      <x:c r="W181" s="465"/>
      <x:c r="X181" s="465"/>
      <x:c r="Y181" s="465"/>
      <x:c r="Z181" s="465"/>
    </x:row>
    <x:row r="182">
      <x:c r="A182" s="465"/>
      <x:c r="B182" s="465"/>
      <x:c r="C182" s="465"/>
      <x:c r="D182" s="465"/>
      <x:c r="E182" s="465"/>
      <x:c r="F182" s="465"/>
      <x:c r="G182" s="465"/>
      <x:c r="H182" s="465"/>
      <x:c r="I182" s="465"/>
      <x:c r="J182" s="465"/>
      <x:c r="K182" s="465"/>
      <x:c r="L182" s="465"/>
      <x:c r="M182" s="465"/>
      <x:c r="N182" s="465"/>
      <x:c r="O182" s="465"/>
      <x:c r="P182" s="465"/>
      <x:c r="Q182" s="465"/>
      <x:c r="R182" s="465"/>
      <x:c r="S182" s="465"/>
      <x:c r="T182" s="465"/>
      <x:c r="U182" s="465"/>
      <x:c r="V182" s="465"/>
      <x:c r="W182" s="465"/>
      <x:c r="X182" s="465"/>
      <x:c r="Y182" s="465"/>
      <x:c r="Z182" s="465"/>
    </x:row>
    <x:row r="183">
      <x:c r="A183" s="465"/>
      <x:c r="B183" s="465"/>
      <x:c r="C183" s="465"/>
      <x:c r="D183" s="465"/>
      <x:c r="E183" s="465"/>
      <x:c r="F183" s="465"/>
      <x:c r="G183" s="465"/>
      <x:c r="H183" s="465"/>
      <x:c r="I183" s="465"/>
      <x:c r="J183" s="465"/>
      <x:c r="K183" s="465"/>
      <x:c r="L183" s="465"/>
      <x:c r="M183" s="465"/>
      <x:c r="N183" s="465"/>
      <x:c r="O183" s="465"/>
      <x:c r="P183" s="465"/>
      <x:c r="Q183" s="465"/>
      <x:c r="R183" s="465"/>
      <x:c r="S183" s="465"/>
      <x:c r="T183" s="465"/>
      <x:c r="U183" s="465"/>
      <x:c r="V183" s="465"/>
      <x:c r="W183" s="465"/>
      <x:c r="X183" s="465"/>
      <x:c r="Y183" s="465"/>
      <x:c r="Z183" s="465"/>
    </x:row>
    <x:row r="184">
      <x:c r="A184" s="465"/>
      <x:c r="B184" s="465"/>
      <x:c r="C184" s="465"/>
      <x:c r="D184" s="465"/>
      <x:c r="E184" s="465"/>
      <x:c r="F184" s="465"/>
      <x:c r="G184" s="465"/>
      <x:c r="H184" s="465"/>
      <x:c r="I184" s="465"/>
      <x:c r="J184" s="465"/>
      <x:c r="K184" s="465"/>
      <x:c r="L184" s="465"/>
      <x:c r="M184" s="465"/>
      <x:c r="N184" s="465"/>
      <x:c r="O184" s="465"/>
      <x:c r="P184" s="465"/>
      <x:c r="Q184" s="465"/>
      <x:c r="R184" s="465"/>
      <x:c r="S184" s="465"/>
      <x:c r="T184" s="465"/>
      <x:c r="U184" s="465"/>
      <x:c r="V184" s="465"/>
      <x:c r="W184" s="465"/>
      <x:c r="X184" s="465"/>
      <x:c r="Y184" s="465"/>
      <x:c r="Z184" s="465"/>
    </x:row>
    <x:row r="185">
      <x:c r="A185" s="465"/>
      <x:c r="B185" s="465"/>
      <x:c r="C185" s="465"/>
      <x:c r="D185" s="465"/>
      <x:c r="E185" s="465"/>
      <x:c r="F185" s="465"/>
      <x:c r="G185" s="465"/>
      <x:c r="H185" s="465"/>
      <x:c r="I185" s="465"/>
      <x:c r="J185" s="465"/>
      <x:c r="K185" s="465"/>
      <x:c r="L185" s="465"/>
      <x:c r="M185" s="465"/>
      <x:c r="N185" s="465"/>
      <x:c r="O185" s="465"/>
      <x:c r="P185" s="465"/>
      <x:c r="Q185" s="465"/>
      <x:c r="R185" s="465"/>
      <x:c r="S185" s="465"/>
      <x:c r="T185" s="465"/>
      <x:c r="U185" s="465"/>
      <x:c r="V185" s="465"/>
      <x:c r="W185" s="465"/>
      <x:c r="X185" s="465"/>
      <x:c r="Y185" s="465"/>
      <x:c r="Z185" s="465"/>
    </x:row>
    <x:row r="186">
      <x:c r="A186" s="465"/>
      <x:c r="B186" s="465"/>
      <x:c r="C186" s="465"/>
      <x:c r="D186" s="465"/>
      <x:c r="E186" s="465"/>
      <x:c r="F186" s="465"/>
      <x:c r="G186" s="465"/>
      <x:c r="H186" s="465"/>
      <x:c r="I186" s="465"/>
      <x:c r="J186" s="465"/>
      <x:c r="K186" s="465"/>
      <x:c r="L186" s="465"/>
      <x:c r="M186" s="465"/>
      <x:c r="N186" s="465"/>
      <x:c r="O186" s="465"/>
      <x:c r="P186" s="465"/>
      <x:c r="Q186" s="465"/>
      <x:c r="R186" s="465"/>
      <x:c r="S186" s="465"/>
      <x:c r="T186" s="465"/>
      <x:c r="U186" s="465"/>
      <x:c r="V186" s="465"/>
      <x:c r="W186" s="465"/>
      <x:c r="X186" s="465"/>
      <x:c r="Y186" s="465"/>
      <x:c r="Z186" s="465"/>
    </x:row>
    <x:row r="187">
      <x:c r="A187" s="465"/>
      <x:c r="B187" s="465"/>
      <x:c r="C187" s="465"/>
      <x:c r="D187" s="465"/>
      <x:c r="E187" s="465"/>
      <x:c r="F187" s="465"/>
      <x:c r="G187" s="465"/>
      <x:c r="H187" s="465"/>
      <x:c r="I187" s="465"/>
      <x:c r="J187" s="465"/>
      <x:c r="K187" s="465"/>
      <x:c r="L187" s="465"/>
      <x:c r="M187" s="465"/>
      <x:c r="N187" s="465"/>
      <x:c r="O187" s="465"/>
      <x:c r="P187" s="465"/>
      <x:c r="Q187" s="465"/>
      <x:c r="R187" s="465"/>
      <x:c r="S187" s="465"/>
      <x:c r="T187" s="465"/>
      <x:c r="U187" s="465"/>
      <x:c r="V187" s="465"/>
      <x:c r="W187" s="465"/>
      <x:c r="X187" s="465"/>
      <x:c r="Y187" s="465"/>
      <x:c r="Z187" s="465"/>
    </x:row>
    <x:row r="188">
      <x:c r="A188" s="465"/>
      <x:c r="B188" s="465"/>
      <x:c r="C188" s="465"/>
      <x:c r="D188" s="465"/>
      <x:c r="E188" s="465"/>
      <x:c r="F188" s="465"/>
      <x:c r="G188" s="465"/>
      <x:c r="H188" s="465"/>
      <x:c r="I188" s="465"/>
      <x:c r="J188" s="465"/>
      <x:c r="K188" s="465"/>
      <x:c r="L188" s="465"/>
      <x:c r="M188" s="465"/>
      <x:c r="N188" s="465"/>
      <x:c r="O188" s="465"/>
      <x:c r="P188" s="465"/>
      <x:c r="Q188" s="465"/>
      <x:c r="R188" s="465"/>
      <x:c r="S188" s="465"/>
      <x:c r="T188" s="465"/>
      <x:c r="U188" s="465"/>
      <x:c r="V188" s="465"/>
      <x:c r="W188" s="465"/>
      <x:c r="X188" s="465"/>
      <x:c r="Y188" s="465"/>
      <x:c r="Z188" s="465"/>
    </x:row>
    <x:row r="189">
      <x:c r="A189" s="465"/>
      <x:c r="B189" s="465"/>
      <x:c r="C189" s="465"/>
      <x:c r="D189" s="465"/>
      <x:c r="E189" s="465"/>
      <x:c r="F189" s="465"/>
      <x:c r="G189" s="465"/>
      <x:c r="H189" s="465"/>
      <x:c r="I189" s="465"/>
      <x:c r="J189" s="465"/>
      <x:c r="K189" s="465"/>
      <x:c r="L189" s="465"/>
      <x:c r="M189" s="465"/>
      <x:c r="N189" s="465"/>
      <x:c r="O189" s="465"/>
      <x:c r="P189" s="465"/>
      <x:c r="Q189" s="465"/>
      <x:c r="R189" s="465"/>
      <x:c r="S189" s="465"/>
      <x:c r="T189" s="465"/>
      <x:c r="U189" s="465"/>
      <x:c r="V189" s="465"/>
      <x:c r="W189" s="465"/>
      <x:c r="X189" s="465"/>
      <x:c r="Y189" s="465"/>
      <x:c r="Z189" s="465"/>
    </x:row>
    <x:row r="190">
      <x:c r="A190" s="465"/>
      <x:c r="B190" s="465"/>
      <x:c r="C190" s="465"/>
      <x:c r="D190" s="465"/>
      <x:c r="E190" s="465"/>
      <x:c r="F190" s="465"/>
      <x:c r="G190" s="465"/>
      <x:c r="H190" s="465"/>
      <x:c r="I190" s="465"/>
      <x:c r="J190" s="465"/>
      <x:c r="K190" s="465"/>
      <x:c r="L190" s="465"/>
      <x:c r="M190" s="465"/>
      <x:c r="N190" s="465"/>
      <x:c r="O190" s="465"/>
      <x:c r="P190" s="465"/>
      <x:c r="Q190" s="465"/>
      <x:c r="R190" s="465"/>
      <x:c r="S190" s="465"/>
      <x:c r="T190" s="465"/>
      <x:c r="U190" s="465"/>
      <x:c r="V190" s="465"/>
      <x:c r="W190" s="465"/>
      <x:c r="X190" s="465"/>
      <x:c r="Y190" s="465"/>
      <x:c r="Z190" s="465"/>
    </x:row>
    <x:row r="191">
      <x:c r="A191" s="465"/>
      <x:c r="B191" s="465"/>
      <x:c r="C191" s="465"/>
      <x:c r="D191" s="465"/>
      <x:c r="E191" s="465"/>
      <x:c r="F191" s="465"/>
      <x:c r="G191" s="465"/>
      <x:c r="H191" s="465"/>
      <x:c r="I191" s="465"/>
      <x:c r="J191" s="465"/>
      <x:c r="K191" s="465"/>
      <x:c r="L191" s="465"/>
      <x:c r="M191" s="465"/>
      <x:c r="N191" s="465"/>
      <x:c r="O191" s="465"/>
      <x:c r="P191" s="465"/>
      <x:c r="Q191" s="465"/>
      <x:c r="R191" s="465"/>
      <x:c r="S191" s="465"/>
      <x:c r="T191" s="465"/>
      <x:c r="U191" s="465"/>
      <x:c r="V191" s="465"/>
      <x:c r="W191" s="465"/>
      <x:c r="X191" s="465"/>
      <x:c r="Y191" s="465"/>
      <x:c r="Z191" s="465"/>
    </x:row>
    <x:row r="192">
      <x:c r="A192" s="465"/>
      <x:c r="B192" s="465"/>
      <x:c r="C192" s="465"/>
      <x:c r="D192" s="465"/>
      <x:c r="E192" s="465"/>
      <x:c r="F192" s="465"/>
      <x:c r="G192" s="465"/>
      <x:c r="H192" s="465"/>
      <x:c r="I192" s="465"/>
      <x:c r="J192" s="465"/>
      <x:c r="K192" s="465"/>
      <x:c r="L192" s="465"/>
      <x:c r="M192" s="465"/>
      <x:c r="N192" s="465"/>
      <x:c r="O192" s="465"/>
      <x:c r="P192" s="465"/>
      <x:c r="Q192" s="465"/>
      <x:c r="R192" s="465"/>
      <x:c r="S192" s="465"/>
      <x:c r="T192" s="465"/>
      <x:c r="U192" s="465"/>
      <x:c r="V192" s="465"/>
      <x:c r="W192" s="465"/>
      <x:c r="X192" s="465"/>
      <x:c r="Y192" s="465"/>
      <x:c r="Z192" s="465"/>
    </x:row>
    <x:row r="193">
      <x:c r="A193" s="465"/>
      <x:c r="B193" s="465"/>
      <x:c r="C193" s="465"/>
      <x:c r="D193" s="465"/>
      <x:c r="E193" s="465"/>
      <x:c r="F193" s="465"/>
      <x:c r="G193" s="465"/>
      <x:c r="H193" s="465"/>
      <x:c r="I193" s="465"/>
      <x:c r="J193" s="465"/>
      <x:c r="K193" s="465"/>
      <x:c r="L193" s="465"/>
      <x:c r="M193" s="465"/>
      <x:c r="N193" s="465"/>
      <x:c r="O193" s="465"/>
      <x:c r="P193" s="465"/>
      <x:c r="Q193" s="465"/>
      <x:c r="R193" s="465"/>
      <x:c r="S193" s="465"/>
      <x:c r="T193" s="465"/>
      <x:c r="U193" s="465"/>
      <x:c r="V193" s="465"/>
      <x:c r="W193" s="465"/>
      <x:c r="X193" s="465"/>
      <x:c r="Y193" s="465"/>
      <x:c r="Z193" s="465"/>
    </x:row>
    <x:row r="194">
      <x:c r="A194" s="465"/>
      <x:c r="B194" s="465"/>
      <x:c r="C194" s="465"/>
      <x:c r="D194" s="465"/>
      <x:c r="E194" s="465"/>
      <x:c r="F194" s="465"/>
      <x:c r="G194" s="465"/>
      <x:c r="H194" s="465"/>
      <x:c r="I194" s="465"/>
      <x:c r="J194" s="465"/>
      <x:c r="K194" s="465"/>
      <x:c r="L194" s="465"/>
      <x:c r="M194" s="465"/>
      <x:c r="N194" s="465"/>
      <x:c r="O194" s="465"/>
      <x:c r="P194" s="465"/>
      <x:c r="Q194" s="465"/>
      <x:c r="R194" s="465"/>
      <x:c r="S194" s="465"/>
      <x:c r="T194" s="465"/>
      <x:c r="U194" s="465"/>
      <x:c r="V194" s="465"/>
      <x:c r="W194" s="465"/>
      <x:c r="X194" s="465"/>
      <x:c r="Y194" s="465"/>
      <x:c r="Z194" s="465"/>
    </x:row>
    <x:row r="195">
      <x:c r="A195" s="465"/>
      <x:c r="B195" s="465"/>
      <x:c r="C195" s="465"/>
      <x:c r="D195" s="465"/>
      <x:c r="E195" s="465"/>
      <x:c r="F195" s="465"/>
      <x:c r="G195" s="465"/>
      <x:c r="H195" s="465"/>
      <x:c r="I195" s="465"/>
      <x:c r="J195" s="465"/>
      <x:c r="K195" s="465"/>
      <x:c r="L195" s="465"/>
      <x:c r="M195" s="465"/>
      <x:c r="N195" s="465"/>
      <x:c r="O195" s="465"/>
      <x:c r="P195" s="465"/>
      <x:c r="Q195" s="465"/>
      <x:c r="R195" s="465"/>
      <x:c r="S195" s="465"/>
      <x:c r="T195" s="465"/>
      <x:c r="U195" s="465"/>
      <x:c r="V195" s="465"/>
      <x:c r="W195" s="465"/>
      <x:c r="X195" s="465"/>
      <x:c r="Y195" s="465"/>
      <x:c r="Z195" s="465"/>
    </x:row>
    <x:row r="196">
      <x:c r="A196" s="465"/>
      <x:c r="B196" s="465"/>
      <x:c r="C196" s="465"/>
      <x:c r="D196" s="465"/>
      <x:c r="E196" s="465"/>
      <x:c r="F196" s="465"/>
      <x:c r="G196" s="465"/>
      <x:c r="H196" s="465"/>
      <x:c r="I196" s="465"/>
      <x:c r="J196" s="465"/>
      <x:c r="K196" s="465"/>
      <x:c r="L196" s="465"/>
      <x:c r="M196" s="465"/>
      <x:c r="N196" s="465"/>
      <x:c r="O196" s="465"/>
      <x:c r="P196" s="465"/>
      <x:c r="Q196" s="465"/>
      <x:c r="R196" s="465"/>
      <x:c r="S196" s="465"/>
      <x:c r="T196" s="465"/>
      <x:c r="U196" s="465"/>
      <x:c r="V196" s="465"/>
      <x:c r="W196" s="465"/>
      <x:c r="X196" s="465"/>
      <x:c r="Y196" s="465"/>
      <x:c r="Z196" s="465"/>
    </x:row>
    <x:row r="197">
      <x:c r="A197" s="465"/>
      <x:c r="B197" s="465"/>
      <x:c r="C197" s="465"/>
      <x:c r="D197" s="465"/>
      <x:c r="E197" s="465"/>
      <x:c r="F197" s="465"/>
      <x:c r="G197" s="465"/>
      <x:c r="H197" s="465"/>
      <x:c r="I197" s="465"/>
      <x:c r="J197" s="465"/>
      <x:c r="K197" s="465"/>
      <x:c r="L197" s="465"/>
      <x:c r="M197" s="465"/>
      <x:c r="N197" s="465"/>
      <x:c r="O197" s="465"/>
      <x:c r="P197" s="465"/>
      <x:c r="Q197" s="465"/>
      <x:c r="R197" s="465"/>
      <x:c r="S197" s="465"/>
      <x:c r="T197" s="465"/>
      <x:c r="U197" s="465"/>
      <x:c r="V197" s="465"/>
      <x:c r="W197" s="465"/>
      <x:c r="X197" s="465"/>
      <x:c r="Y197" s="465"/>
      <x:c r="Z197" s="465"/>
    </x:row>
    <x:row r="198">
      <x:c r="A198" s="465"/>
      <x:c r="B198" s="465"/>
      <x:c r="C198" s="465"/>
      <x:c r="D198" s="465"/>
      <x:c r="E198" s="465"/>
      <x:c r="F198" s="465"/>
      <x:c r="G198" s="465"/>
      <x:c r="H198" s="465"/>
      <x:c r="I198" s="465"/>
      <x:c r="J198" s="465"/>
      <x:c r="K198" s="465"/>
      <x:c r="L198" s="465"/>
      <x:c r="M198" s="465"/>
      <x:c r="N198" s="465"/>
      <x:c r="O198" s="465"/>
      <x:c r="P198" s="465"/>
      <x:c r="Q198" s="465"/>
      <x:c r="R198" s="465"/>
      <x:c r="S198" s="465"/>
      <x:c r="T198" s="465"/>
      <x:c r="U198" s="465"/>
      <x:c r="V198" s="465"/>
      <x:c r="W198" s="465"/>
      <x:c r="X198" s="465"/>
      <x:c r="Y198" s="465"/>
      <x:c r="Z198" s="465"/>
    </x:row>
    <x:row r="199">
      <x:c r="A199" s="465"/>
      <x:c r="B199" s="465"/>
      <x:c r="C199" s="465"/>
      <x:c r="D199" s="465"/>
      <x:c r="E199" s="465"/>
      <x:c r="F199" s="465"/>
      <x:c r="G199" s="465"/>
      <x:c r="H199" s="465"/>
      <x:c r="I199" s="465"/>
      <x:c r="J199" s="465"/>
      <x:c r="K199" s="465"/>
      <x:c r="L199" s="465"/>
      <x:c r="M199" s="465"/>
      <x:c r="N199" s="465"/>
      <x:c r="O199" s="465"/>
      <x:c r="P199" s="465"/>
      <x:c r="Q199" s="465"/>
      <x:c r="R199" s="465"/>
      <x:c r="S199" s="465"/>
      <x:c r="T199" s="465"/>
      <x:c r="U199" s="465"/>
      <x:c r="V199" s="465"/>
      <x:c r="W199" s="465"/>
      <x:c r="X199" s="465"/>
      <x:c r="Y199" s="465"/>
      <x:c r="Z199" s="465"/>
    </x:row>
    <x:row r="200">
      <x:c r="A200" s="465"/>
      <x:c r="B200" s="465"/>
      <x:c r="C200" s="465"/>
      <x:c r="D200" s="465"/>
      <x:c r="E200" s="465"/>
      <x:c r="F200" s="465"/>
      <x:c r="G200" s="465"/>
      <x:c r="H200" s="465"/>
      <x:c r="I200" s="465"/>
      <x:c r="J200" s="465"/>
      <x:c r="K200" s="465"/>
      <x:c r="L200" s="465"/>
      <x:c r="M200" s="465"/>
      <x:c r="N200" s="465"/>
      <x:c r="O200" s="465"/>
      <x:c r="P200" s="465"/>
      <x:c r="Q200" s="465"/>
      <x:c r="R200" s="465"/>
      <x:c r="S200" s="465"/>
      <x:c r="T200" s="465"/>
      <x:c r="U200" s="465"/>
      <x:c r="V200" s="465"/>
      <x:c r="W200" s="465"/>
      <x:c r="X200" s="465"/>
      <x:c r="Y200" s="465"/>
      <x:c r="Z200" s="465"/>
    </x:row>
  </x:sheetData>
  <x:mergeCells>
    <x:mergeCell ref="A1:L2"/>
    <x:mergeCell ref="A3:L3"/>
    <x:mergeCell ref="A73:L74"/>
  </x:mergeCells>
  <x:pageMargins left="0.7" right="0.7" top="0.75" bottom="0.75" header="0.3" footer="0.3"/>
  <x:drawing xmlns:r="http://schemas.openxmlformats.org/officeDocument/2006/relationships" r:id="Rf3497a3bc25c423e"/>
  <x:tableParts count="1">
    <x:tablePart xmlns:r="http://schemas.openxmlformats.org/officeDocument/2006/relationships" r:id="Rf075cade199747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13" hidden="0" customWidth="1"/>
    <x:col min="4" max="4" width="1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3" hidden="0" customWidth="1"/>
    <x:col min="11" max="11" width="18" hidden="0" customWidth="1"/>
  </x:cols>
  <x:sheetData>
    <x:row r="1" ht="28" customHeight="1">
      <x:c r="A1" s="5" t="str">
        <x:v>雙優先順序｜六月尖峰分群表現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465"/>
      <x:c r="O1" s="465"/>
      <x:c r="P1" s="465"/>
      <x:c r="Q1" s="465"/>
      <x:c r="R1" s="465"/>
      <x:c r="S1" s="465"/>
      <x:c r="T1" s="465"/>
      <x:c r="U1" s="465"/>
      <x:c r="V1" s="465"/>
      <x:c r="W1" s="465"/>
      <x:c r="X1" s="465"/>
      <x:c r="Y1" s="465"/>
      <x:c r="Z1" s="465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465"/>
      <x:c r="O2" s="465"/>
      <x:c r="P2" s="465"/>
      <x:c r="Q2" s="465"/>
      <x:c r="R2" s="465"/>
      <x:c r="S2" s="465"/>
      <x:c r="T2" s="465"/>
      <x:c r="U2" s="465"/>
      <x:c r="V2" s="465"/>
      <x:c r="W2" s="465"/>
      <x:c r="X2" s="465"/>
      <x:c r="Y2" s="465"/>
      <x:c r="Z2" s="465"/>
    </x:row>
    <x:row r="3" ht="24" customHeight="1">
      <x:c r="A3" s="8" t="str">
        <x:v>模型對所有站採相同預測方式；分群放在輸出後，協助管理者區分高價值核心站與高失衡站。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465"/>
      <x:c r="O3" s="465"/>
      <x:c r="P3" s="465"/>
      <x:c r="Q3" s="465"/>
      <x:c r="R3" s="465"/>
      <x:c r="S3" s="465"/>
      <x:c r="T3" s="465"/>
      <x:c r="U3" s="465"/>
      <x:c r="V3" s="465"/>
      <x:c r="W3" s="465"/>
      <x:c r="X3" s="465"/>
      <x:c r="Y3" s="465"/>
      <x:c r="Z3" s="465"/>
    </x:row>
    <x:row r="4" ht="30" customHeight="1">
      <x:c r="A4" s="20" t="str">
        <x:v>事件</x:v>
      </x:c>
      <x:c r="B4" s="21" t="str">
        <x:v>站點分群</x:v>
      </x:c>
      <x:c r="C4" s="21" t="str">
        <x:v>觀測筆數</x:v>
      </x:c>
      <x:c r="D4" s="21" t="str">
        <x:v>正例數</x:v>
      </x:c>
      <x:c r="E4" s="21" t="str">
        <x:v>正例率</x:v>
      </x:c>
      <x:c r="F4" s="21" t="str">
        <x:v>PR-AUC</x:v>
      </x:c>
      <x:c r="G4" s="21" t="str">
        <x:v>Precision</x:v>
      </x:c>
      <x:c r="H4" s="21" t="str">
        <x:v>Recall</x:v>
      </x:c>
      <x:c r="I4" s="21" t="str">
        <x:v>F2</x:v>
      </x:c>
      <x:c r="J4" s="21" t="str">
        <x:v>警示數</x:v>
      </x:c>
      <x:c r="K4" s="22" t="str">
        <x:v>每100站日誤警報</x:v>
      </x:c>
      <x:c r="L4" s="465"/>
      <x:c r="M4" s="465"/>
      <x:c r="N4" s="465"/>
      <x:c r="O4" s="465"/>
      <x:c r="P4" s="465"/>
      <x:c r="Q4" s="465"/>
      <x:c r="R4" s="465"/>
      <x:c r="S4" s="465"/>
      <x:c r="T4" s="465"/>
      <x:c r="U4" s="465"/>
      <x:c r="V4" s="465"/>
      <x:c r="W4" s="465"/>
      <x:c r="X4" s="465"/>
      <x:c r="Y4" s="465"/>
      <x:c r="Z4" s="465"/>
    </x:row>
    <x:row r="5">
      <x:c r="A5" s="465" t="str">
        <x:v>缺車</x:v>
      </x:c>
      <x:c r="B5" s="465" t="str">
        <x:v>其他站</x:v>
      </x:c>
      <x:c r="C5" s="497" t="n">
        <x:v>361393</x:v>
      </x:c>
      <x:c r="D5" s="497" t="n">
        <x:v>6383</x:v>
      </x:c>
      <x:c r="E5" s="498" t="n">
        <x:v>0.0176622126051141</x:v>
      </x:c>
      <x:c r="F5" s="498" t="n">
        <x:v>0.19110262425363128</x:v>
      </x:c>
      <x:c r="G5" s="498" t="n">
        <x:v>0.15837869041728517</x:v>
      </x:c>
      <x:c r="H5" s="498" t="n">
        <x:v>0.6017546608177973</x:v>
      </x:c>
      <x:c r="I5" s="498" t="n">
        <x:v>0.38576651132894096</x:v>
      </x:c>
      <x:c r="J5" s="497" t="n">
        <x:v>24252</x:v>
      </x:c>
      <x:c r="K5" s="499" t="n">
        <x:v>74.19483824063977</x:v>
      </x:c>
      <x:c r="L5" s="465"/>
      <x:c r="M5" s="465"/>
      <x:c r="N5" s="465"/>
      <x:c r="O5" s="465"/>
      <x:c r="P5" s="465"/>
      <x:c r="Q5" s="465"/>
      <x:c r="R5" s="465"/>
      <x:c r="S5" s="465"/>
      <x:c r="T5" s="465"/>
      <x:c r="U5" s="465"/>
      <x:c r="V5" s="465"/>
      <x:c r="W5" s="465"/>
      <x:c r="X5" s="465"/>
      <x:c r="Y5" s="465"/>
      <x:c r="Z5" s="465"/>
    </x:row>
    <x:row r="6">
      <x:c r="A6" s="504" t="str">
        <x:v>缺車</x:v>
      </x:c>
      <x:c r="B6" s="504" t="str">
        <x:v>高價值核心站</x:v>
      </x:c>
      <x:c r="C6" s="505" t="n">
        <x:v>32760</x:v>
      </x:c>
      <x:c r="D6" s="505" t="n">
        <x:v>2070</x:v>
      </x:c>
      <x:c r="E6" s="506" t="n">
        <x:v>0.06318681318681318</x:v>
      </x:c>
      <x:c r="F6" s="506" t="n">
        <x:v>0.3127738799431603</x:v>
      </x:c>
      <x:c r="G6" s="506" t="n">
        <x:v>0.19398968378560216</x:v>
      </x:c>
      <x:c r="H6" s="506" t="n">
        <x:v>0.8357487922705314</x:v>
      </x:c>
      <x:c r="I6" s="506" t="n">
        <x:v>0.502965461100128</x:v>
      </x:c>
      <x:c r="J6" s="505" t="n">
        <x:v>8918</x:v>
      </x:c>
      <x:c r="K6" s="507" t="n">
        <x:v>278.6046511627907</x:v>
      </x:c>
      <x:c r="L6" s="465"/>
      <x:c r="M6" s="465"/>
      <x:c r="N6" s="465"/>
      <x:c r="O6" s="465"/>
      <x:c r="P6" s="465"/>
      <x:c r="Q6" s="465"/>
      <x:c r="R6" s="465"/>
      <x:c r="S6" s="465"/>
      <x:c r="T6" s="465"/>
      <x:c r="U6" s="465"/>
      <x:c r="V6" s="465"/>
      <x:c r="W6" s="465"/>
      <x:c r="X6" s="465"/>
      <x:c r="Y6" s="465"/>
      <x:c r="Z6" s="465"/>
    </x:row>
    <x:row r="7">
      <x:c r="A7" s="500" t="str">
        <x:v>缺車</x:v>
      </x:c>
      <x:c r="B7" s="500" t="str">
        <x:v>僅高失衡站</x:v>
      </x:c>
      <x:c r="C7" s="501" t="n">
        <x:v>101839</x:v>
      </x:c>
      <x:c r="D7" s="501" t="n">
        <x:v>6068</x:v>
      </x:c>
      <x:c r="E7" s="502" t="n">
        <x:v>0.05958424572118737</x:v>
      </x:c>
      <x:c r="F7" s="502" t="n">
        <x:v>0.2931670195377678</x:v>
      </x:c>
      <x:c r="G7" s="502" t="n">
        <x:v>0.17834465039456782</x:v>
      </x:c>
      <x:c r="H7" s="502" t="n">
        <x:v>0.8007580751483191</x:v>
      </x:c>
      <x:c r="I7" s="502" t="n">
        <x:v>0.47159190170235066</x:v>
      </x:c>
      <x:c r="J7" s="501" t="n">
        <x:v>27245</x:v>
      </x:c>
      <x:c r="K7" s="503" t="n">
        <x:v>275.35055350553506</x:v>
      </x:c>
      <x:c r="L7" s="465"/>
      <x:c r="M7" s="465"/>
      <x:c r="N7" s="465"/>
      <x:c r="O7" s="465"/>
      <x:c r="P7" s="465"/>
      <x:c r="Q7" s="465"/>
      <x:c r="R7" s="465"/>
      <x:c r="S7" s="465"/>
      <x:c r="T7" s="465"/>
      <x:c r="U7" s="465"/>
      <x:c r="V7" s="465"/>
      <x:c r="W7" s="465"/>
      <x:c r="X7" s="465"/>
      <x:c r="Y7" s="465"/>
      <x:c r="Z7" s="465"/>
    </x:row>
    <x:row r="8">
      <x:c r="A8" s="465" t="str">
        <x:v>缺車</x:v>
      </x:c>
      <x:c r="B8" s="465" t="str">
        <x:v>僅高活動站</x:v>
      </x:c>
      <x:c r="C8" s="497" t="n">
        <x:v>115751</x:v>
      </x:c>
      <x:c r="D8" s="497" t="n">
        <x:v>2512</x:v>
      </x:c>
      <x:c r="E8" s="498" t="n">
        <x:v>0.021701756356316576</x:v>
      </x:c>
      <x:c r="F8" s="498" t="n">
        <x:v>0.22475035650027458</x:v>
      </x:c>
      <x:c r="G8" s="498" t="n">
        <x:v>0.16544454628780936</x:v>
      </x:c>
      <x:c r="H8" s="498" t="n">
        <x:v>0.7185509554140127</x:v>
      </x:c>
      <x:c r="I8" s="498" t="n">
        <x:v>0.4306231510640328</x:v>
      </x:c>
      <x:c r="J8" s="497" t="n">
        <x:v>10910</x:v>
      </x:c>
      <x:c r="K8" s="499" t="n">
        <x:v>106.86619718309859</x:v>
      </x:c>
      <x:c r="L8" s="465"/>
      <x:c r="M8" s="465"/>
      <x:c r="N8" s="465"/>
      <x:c r="O8" s="465"/>
      <x:c r="P8" s="465"/>
      <x:c r="Q8" s="465"/>
      <x:c r="R8" s="465"/>
      <x:c r="S8" s="465"/>
      <x:c r="T8" s="465"/>
      <x:c r="U8" s="465"/>
      <x:c r="V8" s="465"/>
      <x:c r="W8" s="465"/>
      <x:c r="X8" s="465"/>
      <x:c r="Y8" s="465"/>
      <x:c r="Z8" s="465"/>
    </x:row>
    <x:row r="9">
      <x:c r="A9" s="465" t="str">
        <x:v>滿柱</x:v>
      </x:c>
      <x:c r="B9" s="465" t="str">
        <x:v>其他站</x:v>
      </x:c>
      <x:c r="C9" s="497" t="n">
        <x:v>361393</x:v>
      </x:c>
      <x:c r="D9" s="497" t="n">
        <x:v>955</x:v>
      </x:c>
      <x:c r="E9" s="498" t="n">
        <x:v>0.0026425525674265964</x:v>
      </x:c>
      <x:c r="F9" s="498" t="n">
        <x:v>0.09589911720907282</x:v>
      </x:c>
      <x:c r="G9" s="498" t="n">
        <x:v>0.09224541968470387</x:v>
      </x:c>
      <x:c r="H9" s="498" t="n">
        <x:v>0.45340314136125653</x:v>
      </x:c>
      <x:c r="I9" s="498" t="n">
        <x:v>0.254287056612638</x:v>
      </x:c>
      <x:c r="J9" s="497" t="n">
        <x:v>4694</x:v>
      </x:c>
      <x:c r="K9" s="499" t="n">
        <x:v>15.48891312250091</x:v>
      </x:c>
      <x:c r="L9" s="465"/>
      <x:c r="M9" s="465"/>
      <x:c r="N9" s="465"/>
      <x:c r="O9" s="465"/>
      <x:c r="P9" s="465"/>
      <x:c r="Q9" s="465"/>
      <x:c r="R9" s="465"/>
      <x:c r="S9" s="465"/>
      <x:c r="T9" s="465"/>
      <x:c r="U9" s="465"/>
      <x:c r="V9" s="465"/>
      <x:c r="W9" s="465"/>
      <x:c r="X9" s="465"/>
      <x:c r="Y9" s="465"/>
      <x:c r="Z9" s="465"/>
    </x:row>
    <x:row r="10">
      <x:c r="A10" s="504" t="str">
        <x:v>滿柱</x:v>
      </x:c>
      <x:c r="B10" s="504" t="str">
        <x:v>高價值核心站</x:v>
      </x:c>
      <x:c r="C10" s="505" t="n">
        <x:v>32760</x:v>
      </x:c>
      <x:c r="D10" s="505" t="n">
        <x:v>328</x:v>
      </x:c>
      <x:c r="E10" s="506" t="n">
        <x:v>0.010012210012210013</x:v>
      </x:c>
      <x:c r="F10" s="506" t="n">
        <x:v>0.22297215128672374</x:v>
      </x:c>
      <x:c r="G10" s="506" t="n">
        <x:v>0.11318989710009354</x:v>
      </x:c>
      <x:c r="H10" s="506" t="n">
        <x:v>0.7378048780487805</x:v>
      </x:c>
      <x:c r="I10" s="506" t="n">
        <x:v>0.35072463768115947</x:v>
      </x:c>
      <x:c r="J10" s="505" t="n">
        <x:v>2138</x:v>
      </x:c>
      <x:c r="K10" s="507" t="n">
        <x:v>73.48837209302326</x:v>
      </x:c>
      <x:c r="L10" s="465"/>
      <x:c r="M10" s="465"/>
      <x:c r="N10" s="465"/>
      <x:c r="O10" s="465"/>
      <x:c r="P10" s="465"/>
      <x:c r="Q10" s="465"/>
      <x:c r="R10" s="465"/>
      <x:c r="S10" s="465"/>
      <x:c r="T10" s="465"/>
      <x:c r="U10" s="465"/>
      <x:c r="V10" s="465"/>
      <x:c r="W10" s="465"/>
      <x:c r="X10" s="465"/>
      <x:c r="Y10" s="465"/>
      <x:c r="Z10" s="465"/>
    </x:row>
    <x:row r="11">
      <x:c r="A11" s="500" t="str">
        <x:v>滿柱</x:v>
      </x:c>
      <x:c r="B11" s="500" t="str">
        <x:v>僅高失衡站</x:v>
      </x:c>
      <x:c r="C11" s="501" t="n">
        <x:v>101839</x:v>
      </x:c>
      <x:c r="D11" s="501" t="n">
        <x:v>1303</x:v>
      </x:c>
      <x:c r="E11" s="502" t="n">
        <x:v>0.012794705368277379</x:v>
      </x:c>
      <x:c r="F11" s="502" t="n">
        <x:v>0.16768489484537114</x:v>
      </x:c>
      <x:c r="G11" s="502" t="n">
        <x:v>0.11000369139904023</x:v>
      </x:c>
      <x:c r="H11" s="502" t="n">
        <x:v>0.6861089792785878</x:v>
      </x:c>
      <x:c r="I11" s="502" t="n">
        <x:v>0.33510757927880647</x:v>
      </x:c>
      <x:c r="J11" s="501" t="n">
        <x:v>8127</x:v>
      </x:c>
      <x:c r="K11" s="503" t="n">
        <x:v>88.96678966789668</x:v>
      </x:c>
      <x:c r="L11" s="465"/>
      <x:c r="M11" s="465"/>
      <x:c r="N11" s="465"/>
      <x:c r="O11" s="465"/>
      <x:c r="P11" s="465"/>
      <x:c r="Q11" s="465"/>
      <x:c r="R11" s="465"/>
      <x:c r="S11" s="465"/>
      <x:c r="T11" s="465"/>
      <x:c r="U11" s="465"/>
      <x:c r="V11" s="465"/>
      <x:c r="W11" s="465"/>
      <x:c r="X11" s="465"/>
      <x:c r="Y11" s="465"/>
      <x:c r="Z11" s="465"/>
    </x:row>
    <x:row r="12">
      <x:c r="A12" s="465" t="str">
        <x:v>滿柱</x:v>
      </x:c>
      <x:c r="B12" s="465" t="str">
        <x:v>僅高活動站</x:v>
      </x:c>
      <x:c r="C12" s="497" t="n">
        <x:v>115751</x:v>
      </x:c>
      <x:c r="D12" s="497" t="n">
        <x:v>292</x:v>
      </x:c>
      <x:c r="E12" s="498" t="n">
        <x:v>0.002522656391737436</x:v>
      </x:c>
      <x:c r="F12" s="498" t="n">
        <x:v>0.07211491435305005</x:v>
      </x:c>
      <x:c r="G12" s="498" t="n">
        <x:v>0.08349900596421471</x:v>
      </x:c>
      <x:c r="H12" s="498" t="n">
        <x:v>0.4315068493150685</x:v>
      </x:c>
      <x:c r="I12" s="498" t="n">
        <x:v>0.23533806499813223</x:v>
      </x:c>
      <x:c r="J12" s="497" t="n">
        <x:v>1509</x:v>
      </x:c>
      <x:c r="K12" s="499" t="n">
        <x:v>16.232394366197184</x:v>
      </x:c>
      <x:c r="L12" s="465"/>
      <x:c r="M12" s="465"/>
      <x:c r="N12" s="465"/>
      <x:c r="O12" s="465"/>
      <x:c r="P12" s="465"/>
      <x:c r="Q12" s="465"/>
      <x:c r="R12" s="465"/>
      <x:c r="S12" s="465"/>
      <x:c r="T12" s="465"/>
      <x:c r="U12" s="465"/>
      <x:c r="V12" s="465"/>
      <x:c r="W12" s="465"/>
      <x:c r="X12" s="465"/>
      <x:c r="Y12" s="465"/>
      <x:c r="Z12" s="465"/>
    </x:row>
    <x:row r="13">
      <x:c r="A13" s="465"/>
      <x:c r="B13" s="465"/>
      <x:c r="C13" s="465"/>
      <x:c r="D13" s="465"/>
      <x:c r="E13" s="465"/>
      <x:c r="F13" s="465"/>
      <x:c r="G13" s="465"/>
      <x:c r="H13" s="465"/>
      <x:c r="I13" s="465"/>
      <x:c r="J13" s="465"/>
      <x:c r="K13" s="465"/>
      <x:c r="L13" s="465"/>
      <x:c r="M13" s="465"/>
      <x:c r="N13" s="465"/>
      <x:c r="O13" s="465"/>
      <x:c r="P13" s="465"/>
      <x:c r="Q13" s="465"/>
      <x:c r="R13" s="465"/>
      <x:c r="S13" s="465"/>
      <x:c r="T13" s="465"/>
      <x:c r="U13" s="465"/>
      <x:c r="V13" s="465"/>
      <x:c r="W13" s="465"/>
      <x:c r="X13" s="465"/>
      <x:c r="Y13" s="465"/>
      <x:c r="Z13" s="465"/>
    </x:row>
    <x:row r="14">
      <x:c r="A14" s="465"/>
      <x:c r="B14" s="465"/>
      <x:c r="C14" s="465"/>
      <x:c r="D14" s="465"/>
      <x:c r="E14" s="465"/>
      <x:c r="F14" s="465"/>
      <x:c r="G14" s="465"/>
      <x:c r="H14" s="465"/>
      <x:c r="I14" s="465"/>
      <x:c r="J14" s="465"/>
      <x:c r="K14" s="465"/>
      <x:c r="L14" s="465"/>
      <x:c r="M14" s="465"/>
      <x:c r="N14" s="465"/>
      <x:c r="O14" s="465"/>
      <x:c r="P14" s="465"/>
      <x:c r="Q14" s="465"/>
      <x:c r="R14" s="465"/>
      <x:c r="S14" s="465"/>
      <x:c r="T14" s="465"/>
      <x:c r="U14" s="465"/>
      <x:c r="V14" s="465"/>
      <x:c r="W14" s="465"/>
      <x:c r="X14" s="465"/>
      <x:c r="Y14" s="465"/>
      <x:c r="Z14" s="465"/>
    </x:row>
    <x:row r="15" ht="24" customHeight="1">
      <x:c r="A15" s="95" t="str">
        <x:v>尖峰失衡正例率比較</x:v>
      </x:c>
      <x:c r="B15" s="95" t="str">
        <x:v>尖峰失衡正例率比較</x:v>
      </x:c>
      <x:c r="C15" s="95" t="str">
        <x:v>尖峰失衡正例率比較</x:v>
      </x:c>
      <x:c r="D15" s="465"/>
      <x:c r="E15" s="465"/>
      <x:c r="F15" s="465"/>
      <x:c r="G15" s="465"/>
      <x:c r="H15" s="465"/>
      <x:c r="I15" s="465"/>
      <x:c r="J15" s="465"/>
      <x:c r="K15" s="465"/>
      <x:c r="L15" s="465"/>
      <x:c r="M15" s="465"/>
      <x:c r="N15" s="465"/>
      <x:c r="O15" s="465"/>
      <x:c r="P15" s="465"/>
      <x:c r="Q15" s="465"/>
      <x:c r="R15" s="465"/>
      <x:c r="S15" s="465"/>
      <x:c r="T15" s="465"/>
      <x:c r="U15" s="465"/>
      <x:c r="V15" s="465"/>
      <x:c r="W15" s="465"/>
      <x:c r="X15" s="465"/>
      <x:c r="Y15" s="465"/>
      <x:c r="Z15" s="465"/>
    </x:row>
    <x:row r="16" ht="30" customHeight="1">
      <x:c r="A16" s="20" t="str">
        <x:v>站點分群</x:v>
      </x:c>
      <x:c r="B16" s="21" t="str">
        <x:v>缺車率</x:v>
      </x:c>
      <x:c r="C16" s="22" t="str">
        <x:v>滿柱率</x:v>
      </x:c>
      <x:c r="D16" s="465"/>
      <x:c r="E16" s="465"/>
      <x:c r="F16" s="465"/>
      <x:c r="G16" s="465"/>
      <x:c r="H16" s="465"/>
      <x:c r="I16" s="465"/>
      <x:c r="J16" s="465"/>
      <x:c r="K16" s="465"/>
      <x:c r="L16" s="465"/>
      <x:c r="M16" s="465"/>
      <x:c r="N16" s="465"/>
      <x:c r="O16" s="465"/>
      <x:c r="P16" s="465"/>
      <x:c r="Q16" s="465"/>
      <x:c r="R16" s="465"/>
      <x:c r="S16" s="465"/>
      <x:c r="T16" s="465"/>
      <x:c r="U16" s="465"/>
      <x:c r="V16" s="465"/>
      <x:c r="W16" s="465"/>
      <x:c r="X16" s="465"/>
      <x:c r="Y16" s="465"/>
      <x:c r="Z16" s="465"/>
    </x:row>
    <x:row r="17">
      <x:c r="A17" s="465" t="str">
        <x:v>其他站</x:v>
      </x:c>
      <x:c r="B17" s="498" t="n">
        <x:f>E5</x:f>
        <x:v>0.0176622126051141</x:v>
      </x:c>
      <x:c r="C17" s="498" t="n">
        <x:f>E9</x:f>
        <x:v>0.0026425525674265964</x:v>
      </x:c>
      <x:c r="D17" s="465"/>
      <x:c r="E17" s="465"/>
      <x:c r="F17" s="465"/>
      <x:c r="G17" s="465"/>
      <x:c r="H17" s="465"/>
      <x:c r="I17" s="465"/>
      <x:c r="J17" s="465"/>
      <x:c r="K17" s="465"/>
      <x:c r="L17" s="465"/>
      <x:c r="M17" s="465"/>
      <x:c r="N17" s="465"/>
      <x:c r="O17" s="465"/>
      <x:c r="P17" s="465"/>
      <x:c r="Q17" s="465"/>
      <x:c r="R17" s="465"/>
      <x:c r="S17" s="465"/>
      <x:c r="T17" s="465"/>
      <x:c r="U17" s="465"/>
      <x:c r="V17" s="465"/>
      <x:c r="W17" s="465"/>
      <x:c r="X17" s="465"/>
      <x:c r="Y17" s="465"/>
      <x:c r="Z17" s="465"/>
    </x:row>
    <x:row r="18">
      <x:c r="A18" s="465" t="str">
        <x:v>高價值核心站</x:v>
      </x:c>
      <x:c r="B18" s="498" t="n">
        <x:f>E6</x:f>
        <x:v>0.06318681318681318</x:v>
      </x:c>
      <x:c r="C18" s="498" t="n">
        <x:f>E10</x:f>
        <x:v>0.010012210012210013</x:v>
      </x:c>
      <x:c r="D18" s="465"/>
      <x:c r="E18" s="465"/>
      <x:c r="F18" s="465"/>
      <x:c r="G18" s="465"/>
      <x:c r="H18" s="465"/>
      <x:c r="I18" s="465"/>
      <x:c r="J18" s="465"/>
      <x:c r="K18" s="465"/>
      <x:c r="L18" s="465"/>
      <x:c r="M18" s="465"/>
      <x:c r="N18" s="465"/>
      <x:c r="O18" s="465"/>
      <x:c r="P18" s="465"/>
      <x:c r="Q18" s="465"/>
      <x:c r="R18" s="465"/>
      <x:c r="S18" s="465"/>
      <x:c r="T18" s="465"/>
      <x:c r="U18" s="465"/>
      <x:c r="V18" s="465"/>
      <x:c r="W18" s="465"/>
      <x:c r="X18" s="465"/>
      <x:c r="Y18" s="465"/>
      <x:c r="Z18" s="465"/>
    </x:row>
    <x:row r="19">
      <x:c r="A19" s="465" t="str">
        <x:v>僅高失衡站</x:v>
      </x:c>
      <x:c r="B19" s="498" t="n">
        <x:f>E7</x:f>
        <x:v>0.05958424572118737</x:v>
      </x:c>
      <x:c r="C19" s="498" t="n">
        <x:f>E11</x:f>
        <x:v>0.012794705368277379</x:v>
      </x:c>
      <x:c r="D19" s="465"/>
      <x:c r="E19" s="465"/>
      <x:c r="F19" s="465"/>
      <x:c r="G19" s="465"/>
      <x:c r="H19" s="465"/>
      <x:c r="I19" s="465"/>
      <x:c r="J19" s="465"/>
      <x:c r="K19" s="465"/>
      <x:c r="L19" s="465"/>
      <x:c r="M19" s="465"/>
      <x:c r="N19" s="465"/>
      <x:c r="O19" s="465"/>
      <x:c r="P19" s="465"/>
      <x:c r="Q19" s="465"/>
      <x:c r="R19" s="465"/>
      <x:c r="S19" s="465"/>
      <x:c r="T19" s="465"/>
      <x:c r="U19" s="465"/>
      <x:c r="V19" s="465"/>
      <x:c r="W19" s="465"/>
      <x:c r="X19" s="465"/>
      <x:c r="Y19" s="465"/>
      <x:c r="Z19" s="465"/>
    </x:row>
    <x:row r="20">
      <x:c r="A20" s="465" t="str">
        <x:v>僅高活動站</x:v>
      </x:c>
      <x:c r="B20" s="498" t="n">
        <x:f>E8</x:f>
        <x:v>0.021701756356316576</x:v>
      </x:c>
      <x:c r="C20" s="498" t="n">
        <x:f>E12</x:f>
        <x:v>0.002522656391737436</x:v>
      </x:c>
      <x:c r="D20" s="465"/>
      <x:c r="E20" s="465"/>
      <x:c r="F20" s="465"/>
      <x:c r="G20" s="465"/>
      <x:c r="H20" s="465"/>
      <x:c r="I20" s="465"/>
      <x:c r="J20" s="465"/>
      <x:c r="K20" s="465"/>
      <x:c r="L20" s="465"/>
      <x:c r="M20" s="465"/>
      <x:c r="N20" s="465"/>
      <x:c r="O20" s="465"/>
      <x:c r="P20" s="465"/>
      <x:c r="Q20" s="465"/>
      <x:c r="R20" s="465"/>
      <x:c r="S20" s="465"/>
      <x:c r="T20" s="465"/>
      <x:c r="U20" s="465"/>
      <x:c r="V20" s="465"/>
      <x:c r="W20" s="465"/>
      <x:c r="X20" s="465"/>
      <x:c r="Y20" s="465"/>
      <x:c r="Z20" s="465"/>
    </x:row>
    <x:row r="21">
      <x:c r="A21" s="465"/>
      <x:c r="B21" s="465"/>
      <x:c r="C21" s="465"/>
      <x:c r="D21" s="465"/>
      <x:c r="E21" s="465"/>
      <x:c r="F21" s="465"/>
      <x:c r="G21" s="465"/>
      <x:c r="H21" s="465"/>
      <x:c r="I21" s="465"/>
      <x:c r="J21" s="465"/>
      <x:c r="K21" s="465"/>
      <x:c r="L21" s="465"/>
      <x:c r="M21" s="465"/>
      <x:c r="N21" s="465"/>
      <x:c r="O21" s="465"/>
      <x:c r="P21" s="465"/>
      <x:c r="Q21" s="465"/>
      <x:c r="R21" s="465"/>
      <x:c r="S21" s="465"/>
      <x:c r="T21" s="465"/>
      <x:c r="U21" s="465"/>
      <x:c r="V21" s="465"/>
      <x:c r="W21" s="465"/>
      <x:c r="X21" s="465"/>
      <x:c r="Y21" s="465"/>
      <x:c r="Z21" s="465"/>
    </x:row>
    <x:row r="22">
      <x:c r="A22" s="465"/>
      <x:c r="B22" s="465"/>
      <x:c r="C22" s="465"/>
      <x:c r="D22" s="465"/>
      <x:c r="E22" s="465"/>
      <x:c r="F22" s="465"/>
      <x:c r="G22" s="465"/>
      <x:c r="H22" s="465"/>
      <x:c r="I22" s="465"/>
      <x:c r="J22" s="465"/>
      <x:c r="K22" s="465"/>
      <x:c r="L22" s="465"/>
      <x:c r="M22" s="465"/>
      <x:c r="N22" s="465"/>
      <x:c r="O22" s="465"/>
      <x:c r="P22" s="465"/>
      <x:c r="Q22" s="465"/>
      <x:c r="R22" s="465"/>
      <x:c r="S22" s="465"/>
      <x:c r="T22" s="465"/>
      <x:c r="U22" s="465"/>
      <x:c r="V22" s="465"/>
      <x:c r="W22" s="465"/>
      <x:c r="X22" s="465"/>
      <x:c r="Y22" s="465"/>
      <x:c r="Z22" s="465"/>
    </x:row>
    <x:row r="23">
      <x:c r="A23" s="465"/>
      <x:c r="B23" s="465"/>
      <x:c r="C23" s="465"/>
      <x:c r="D23" s="465"/>
      <x:c r="E23" s="465"/>
      <x:c r="F23" s="465"/>
      <x:c r="G23" s="465"/>
      <x:c r="H23" s="465"/>
      <x:c r="I23" s="465"/>
      <x:c r="J23" s="465"/>
      <x:c r="K23" s="465"/>
      <x:c r="L23" s="465"/>
      <x:c r="M23" s="465"/>
      <x:c r="N23" s="465"/>
      <x:c r="O23" s="465"/>
      <x:c r="P23" s="465"/>
      <x:c r="Q23" s="465"/>
      <x:c r="R23" s="465"/>
      <x:c r="S23" s="465"/>
      <x:c r="T23" s="465"/>
      <x:c r="U23" s="465"/>
      <x:c r="V23" s="465"/>
      <x:c r="W23" s="465"/>
      <x:c r="X23" s="465"/>
      <x:c r="Y23" s="465"/>
      <x:c r="Z23" s="465"/>
    </x:row>
    <x:row r="24">
      <x:c r="A24" s="465"/>
      <x:c r="B24" s="465"/>
      <x:c r="C24" s="465"/>
      <x:c r="D24" s="465"/>
      <x:c r="E24" s="465"/>
      <x:c r="F24" s="465"/>
      <x:c r="G24" s="465"/>
      <x:c r="H24" s="465"/>
      <x:c r="I24" s="465"/>
      <x:c r="J24" s="465"/>
      <x:c r="K24" s="465"/>
      <x:c r="L24" s="465"/>
      <x:c r="M24" s="465"/>
      <x:c r="N24" s="465"/>
      <x:c r="O24" s="465"/>
      <x:c r="P24" s="465"/>
      <x:c r="Q24" s="465"/>
      <x:c r="R24" s="465"/>
      <x:c r="S24" s="465"/>
      <x:c r="T24" s="465"/>
      <x:c r="U24" s="465"/>
      <x:c r="V24" s="465"/>
      <x:c r="W24" s="465"/>
      <x:c r="X24" s="465"/>
      <x:c r="Y24" s="465"/>
      <x:c r="Z24" s="465"/>
    </x:row>
    <x:row r="25">
      <x:c r="A25" s="465"/>
      <x:c r="B25" s="465"/>
      <x:c r="C25" s="465"/>
      <x:c r="D25" s="465"/>
      <x:c r="E25" s="465"/>
      <x:c r="F25" s="465"/>
      <x:c r="G25" s="465"/>
      <x:c r="H25" s="465"/>
      <x:c r="I25" s="465"/>
      <x:c r="J25" s="465"/>
      <x:c r="K25" s="465"/>
      <x:c r="L25" s="465"/>
      <x:c r="M25" s="465"/>
      <x:c r="N25" s="465"/>
      <x:c r="O25" s="465"/>
      <x:c r="P25" s="465"/>
      <x:c r="Q25" s="465"/>
      <x:c r="R25" s="465"/>
      <x:c r="S25" s="465"/>
      <x:c r="T25" s="465"/>
      <x:c r="U25" s="465"/>
      <x:c r="V25" s="465"/>
      <x:c r="W25" s="465"/>
      <x:c r="X25" s="465"/>
      <x:c r="Y25" s="465"/>
      <x:c r="Z25" s="465"/>
    </x:row>
    <x:row r="26">
      <x:c r="A26" s="465"/>
      <x:c r="B26" s="465"/>
      <x:c r="C26" s="465"/>
      <x:c r="D26" s="465"/>
      <x:c r="E26" s="465"/>
      <x:c r="F26" s="465"/>
      <x:c r="G26" s="465"/>
      <x:c r="H26" s="465"/>
      <x:c r="I26" s="465"/>
      <x:c r="J26" s="465"/>
      <x:c r="K26" s="465"/>
      <x:c r="L26" s="465"/>
      <x:c r="M26" s="465"/>
      <x:c r="N26" s="465"/>
      <x:c r="O26" s="465"/>
      <x:c r="P26" s="465"/>
      <x:c r="Q26" s="465"/>
      <x:c r="R26" s="465"/>
      <x:c r="S26" s="465"/>
      <x:c r="T26" s="465"/>
      <x:c r="U26" s="465"/>
      <x:c r="V26" s="465"/>
      <x:c r="W26" s="465"/>
      <x:c r="X26" s="465"/>
      <x:c r="Y26" s="465"/>
      <x:c r="Z26" s="465"/>
    </x:row>
    <x:row r="27">
      <x:c r="A27" s="465"/>
      <x:c r="B27" s="465"/>
      <x:c r="C27" s="465"/>
      <x:c r="D27" s="465"/>
      <x:c r="E27" s="465"/>
      <x:c r="F27" s="465"/>
      <x:c r="G27" s="465"/>
      <x:c r="H27" s="465"/>
      <x:c r="I27" s="465"/>
      <x:c r="J27" s="465"/>
      <x:c r="K27" s="465"/>
      <x:c r="L27" s="465"/>
      <x:c r="M27" s="465"/>
      <x:c r="N27" s="465"/>
      <x:c r="O27" s="465"/>
      <x:c r="P27" s="465"/>
      <x:c r="Q27" s="465"/>
      <x:c r="R27" s="465"/>
      <x:c r="S27" s="465"/>
      <x:c r="T27" s="465"/>
      <x:c r="U27" s="465"/>
      <x:c r="V27" s="465"/>
      <x:c r="W27" s="465"/>
      <x:c r="X27" s="465"/>
      <x:c r="Y27" s="465"/>
      <x:c r="Z27" s="465"/>
    </x:row>
    <x:row r="28">
      <x:c r="A28" s="465"/>
      <x:c r="B28" s="465"/>
      <x:c r="C28" s="465"/>
      <x:c r="D28" s="465"/>
      <x:c r="E28" s="465"/>
      <x:c r="F28" s="465"/>
      <x:c r="G28" s="465"/>
      <x:c r="H28" s="465"/>
      <x:c r="I28" s="465"/>
      <x:c r="J28" s="465"/>
      <x:c r="K28" s="465"/>
      <x:c r="L28" s="465"/>
      <x:c r="M28" s="465"/>
      <x:c r="N28" s="465"/>
      <x:c r="O28" s="465"/>
      <x:c r="P28" s="465"/>
      <x:c r="Q28" s="465"/>
      <x:c r="R28" s="465"/>
      <x:c r="S28" s="465"/>
      <x:c r="T28" s="465"/>
      <x:c r="U28" s="465"/>
      <x:c r="V28" s="465"/>
      <x:c r="W28" s="465"/>
      <x:c r="X28" s="465"/>
      <x:c r="Y28" s="465"/>
      <x:c r="Z28" s="465"/>
    </x:row>
    <x:row r="29">
      <x:c r="A29" s="465"/>
      <x:c r="B29" s="465"/>
      <x:c r="C29" s="465"/>
      <x:c r="D29" s="465"/>
      <x:c r="E29" s="465"/>
      <x:c r="F29" s="465"/>
      <x:c r="G29" s="465"/>
      <x:c r="H29" s="465"/>
      <x:c r="I29" s="465"/>
      <x:c r="J29" s="465"/>
      <x:c r="K29" s="465"/>
      <x:c r="L29" s="465"/>
      <x:c r="M29" s="465"/>
      <x:c r="N29" s="465"/>
      <x:c r="O29" s="465"/>
      <x:c r="P29" s="465"/>
      <x:c r="Q29" s="465"/>
      <x:c r="R29" s="465"/>
      <x:c r="S29" s="465"/>
      <x:c r="T29" s="465"/>
      <x:c r="U29" s="465"/>
      <x:c r="V29" s="465"/>
      <x:c r="W29" s="465"/>
      <x:c r="X29" s="465"/>
      <x:c r="Y29" s="465"/>
      <x:c r="Z29" s="465"/>
    </x:row>
    <x:row r="30">
      <x:c r="A30" s="465"/>
      <x:c r="B30" s="465"/>
      <x:c r="C30" s="465"/>
      <x:c r="D30" s="465"/>
      <x:c r="E30" s="465"/>
      <x:c r="F30" s="465"/>
      <x:c r="G30" s="465"/>
      <x:c r="H30" s="465"/>
      <x:c r="I30" s="465"/>
      <x:c r="J30" s="465"/>
      <x:c r="K30" s="465"/>
      <x:c r="L30" s="465"/>
      <x:c r="M30" s="465"/>
      <x:c r="N30" s="465"/>
      <x:c r="O30" s="465"/>
      <x:c r="P30" s="465"/>
      <x:c r="Q30" s="465"/>
      <x:c r="R30" s="465"/>
      <x:c r="S30" s="465"/>
      <x:c r="T30" s="465"/>
      <x:c r="U30" s="465"/>
      <x:c r="V30" s="465"/>
      <x:c r="W30" s="465"/>
      <x:c r="X30" s="465"/>
      <x:c r="Y30" s="465"/>
      <x:c r="Z30" s="465"/>
    </x:row>
    <x:row r="31">
      <x:c r="A31" s="465"/>
      <x:c r="B31" s="465"/>
      <x:c r="C31" s="465"/>
      <x:c r="D31" s="465"/>
      <x:c r="E31" s="465"/>
      <x:c r="F31" s="465"/>
      <x:c r="G31" s="465"/>
      <x:c r="H31" s="465"/>
      <x:c r="I31" s="465"/>
      <x:c r="J31" s="465"/>
      <x:c r="K31" s="465"/>
      <x:c r="L31" s="465"/>
      <x:c r="M31" s="465"/>
      <x:c r="N31" s="465"/>
      <x:c r="O31" s="465"/>
      <x:c r="P31" s="465"/>
      <x:c r="Q31" s="465"/>
      <x:c r="R31" s="465"/>
      <x:c r="S31" s="465"/>
      <x:c r="T31" s="465"/>
      <x:c r="U31" s="465"/>
      <x:c r="V31" s="465"/>
      <x:c r="W31" s="465"/>
      <x:c r="X31" s="465"/>
      <x:c r="Y31" s="465"/>
      <x:c r="Z31" s="465"/>
    </x:row>
    <x:row r="32">
      <x:c r="A32" s="465"/>
      <x:c r="B32" s="465"/>
      <x:c r="C32" s="465"/>
      <x:c r="D32" s="465"/>
      <x:c r="E32" s="465"/>
      <x:c r="F32" s="465"/>
      <x:c r="G32" s="465"/>
      <x:c r="H32" s="465"/>
      <x:c r="I32" s="465"/>
      <x:c r="J32" s="465"/>
      <x:c r="K32" s="465"/>
      <x:c r="L32" s="465"/>
      <x:c r="M32" s="465"/>
      <x:c r="N32" s="465"/>
      <x:c r="O32" s="465"/>
      <x:c r="P32" s="465"/>
      <x:c r="Q32" s="465"/>
      <x:c r="R32" s="465"/>
      <x:c r="S32" s="465"/>
      <x:c r="T32" s="465"/>
      <x:c r="U32" s="465"/>
      <x:c r="V32" s="465"/>
      <x:c r="W32" s="465"/>
      <x:c r="X32" s="465"/>
      <x:c r="Y32" s="465"/>
      <x:c r="Z32" s="465"/>
    </x:row>
    <x:row r="33">
      <x:c r="A33" s="79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B33" s="80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C33" s="80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D33" s="80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E33" s="80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F33" s="80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G33" s="80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H33" s="80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I33" s="80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J33" s="80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K33" s="80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L33" s="80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M33" s="81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N33" s="465"/>
      <x:c r="O33" s="465"/>
      <x:c r="P33" s="465"/>
      <x:c r="Q33" s="465"/>
      <x:c r="R33" s="465"/>
      <x:c r="S33" s="465"/>
      <x:c r="T33" s="465"/>
      <x:c r="U33" s="465"/>
      <x:c r="V33" s="465"/>
      <x:c r="W33" s="465"/>
      <x:c r="X33" s="465"/>
      <x:c r="Y33" s="465"/>
      <x:c r="Z33" s="465"/>
    </x:row>
    <x:row r="34">
      <x:c r="A34" s="101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B34" s="102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C34" s="102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D34" s="102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E34" s="102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F34" s="102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G34" s="102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H34" s="102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I34" s="102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J34" s="102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K34" s="102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L34" s="102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M34" s="103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N34" s="465"/>
      <x:c r="O34" s="465"/>
      <x:c r="P34" s="465"/>
      <x:c r="Q34" s="465"/>
      <x:c r="R34" s="465"/>
      <x:c r="S34" s="465"/>
      <x:c r="T34" s="465"/>
      <x:c r="U34" s="465"/>
      <x:c r="V34" s="465"/>
      <x:c r="W34" s="465"/>
      <x:c r="X34" s="465"/>
      <x:c r="Y34" s="465"/>
      <x:c r="Z34" s="465"/>
    </x:row>
    <x:row r="35">
      <x:c r="A35" s="82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B35" s="83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C35" s="83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D35" s="83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E35" s="83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F35" s="83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G35" s="83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H35" s="83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I35" s="83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J35" s="83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K35" s="83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L35" s="83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M35" s="84" t="str">
        <x:v>解讀：高價值核心站＝高活動＋高失衡；僅高失衡站＝平常不一定熱門，但失衡風險集中。分群只作營運優先順序，不是模型特徵。資料注意站在六月有效尖峰樣本為 0，因此未列入模型分群績效。</x:v>
      </x:c>
      <x:c r="N35" s="465"/>
      <x:c r="O35" s="465"/>
      <x:c r="P35" s="465"/>
      <x:c r="Q35" s="465"/>
      <x:c r="R35" s="465"/>
      <x:c r="S35" s="465"/>
      <x:c r="T35" s="465"/>
      <x:c r="U35" s="465"/>
      <x:c r="V35" s="465"/>
      <x:c r="W35" s="465"/>
      <x:c r="X35" s="465"/>
      <x:c r="Y35" s="465"/>
      <x:c r="Z35" s="465"/>
    </x:row>
    <x:row r="36">
      <x:c r="A36" s="465"/>
      <x:c r="B36" s="465"/>
      <x:c r="C36" s="465"/>
      <x:c r="D36" s="465"/>
      <x:c r="E36" s="465"/>
      <x:c r="F36" s="465"/>
      <x:c r="G36" s="465"/>
      <x:c r="H36" s="465"/>
      <x:c r="I36" s="465"/>
      <x:c r="J36" s="465"/>
      <x:c r="K36" s="465"/>
      <x:c r="L36" s="465"/>
      <x:c r="M36" s="465"/>
      <x:c r="N36" s="465"/>
      <x:c r="O36" s="465"/>
      <x:c r="P36" s="465"/>
      <x:c r="Q36" s="465"/>
      <x:c r="R36" s="465"/>
      <x:c r="S36" s="465"/>
      <x:c r="T36" s="465"/>
      <x:c r="U36" s="465"/>
      <x:c r="V36" s="465"/>
      <x:c r="W36" s="465"/>
      <x:c r="X36" s="465"/>
      <x:c r="Y36" s="465"/>
      <x:c r="Z36" s="465"/>
    </x:row>
    <x:row r="37">
      <x:c r="A37" s="465"/>
      <x:c r="B37" s="465"/>
      <x:c r="C37" s="465"/>
      <x:c r="D37" s="465"/>
      <x:c r="E37" s="465"/>
      <x:c r="F37" s="465"/>
      <x:c r="G37" s="465"/>
      <x:c r="H37" s="465"/>
      <x:c r="I37" s="465"/>
      <x:c r="J37" s="465"/>
      <x:c r="K37" s="465"/>
      <x:c r="L37" s="465"/>
      <x:c r="M37" s="465"/>
      <x:c r="N37" s="465"/>
      <x:c r="O37" s="465"/>
      <x:c r="P37" s="465"/>
      <x:c r="Q37" s="465"/>
      <x:c r="R37" s="465"/>
      <x:c r="S37" s="465"/>
      <x:c r="T37" s="465"/>
      <x:c r="U37" s="465"/>
      <x:c r="V37" s="465"/>
      <x:c r="W37" s="465"/>
      <x:c r="X37" s="465"/>
      <x:c r="Y37" s="465"/>
      <x:c r="Z37" s="465"/>
    </x:row>
    <x:row r="38">
      <x:c r="A38" s="465"/>
      <x:c r="B38" s="465"/>
      <x:c r="C38" s="465"/>
      <x:c r="D38" s="465"/>
      <x:c r="E38" s="465"/>
      <x:c r="F38" s="465"/>
      <x:c r="G38" s="465"/>
      <x:c r="H38" s="465"/>
      <x:c r="I38" s="465"/>
      <x:c r="J38" s="465"/>
      <x:c r="K38" s="465"/>
      <x:c r="L38" s="465"/>
      <x:c r="M38" s="465"/>
      <x:c r="N38" s="465"/>
      <x:c r="O38" s="465"/>
      <x:c r="P38" s="465"/>
      <x:c r="Q38" s="465"/>
      <x:c r="R38" s="465"/>
      <x:c r="S38" s="465"/>
      <x:c r="T38" s="465"/>
      <x:c r="U38" s="465"/>
      <x:c r="V38" s="465"/>
      <x:c r="W38" s="465"/>
      <x:c r="X38" s="465"/>
      <x:c r="Y38" s="465"/>
      <x:c r="Z38" s="465"/>
    </x:row>
    <x:row r="39">
      <x:c r="A39" s="465"/>
      <x:c r="B39" s="465"/>
      <x:c r="C39" s="465"/>
      <x:c r="D39" s="465"/>
      <x:c r="E39" s="465"/>
      <x:c r="F39" s="465"/>
      <x:c r="G39" s="465"/>
      <x:c r="H39" s="465"/>
      <x:c r="I39" s="465"/>
      <x:c r="J39" s="465"/>
      <x:c r="K39" s="465"/>
      <x:c r="L39" s="465"/>
      <x:c r="M39" s="465"/>
      <x:c r="N39" s="465"/>
      <x:c r="O39" s="465"/>
      <x:c r="P39" s="465"/>
      <x:c r="Q39" s="465"/>
      <x:c r="R39" s="465"/>
      <x:c r="S39" s="465"/>
      <x:c r="T39" s="465"/>
      <x:c r="U39" s="465"/>
      <x:c r="V39" s="465"/>
      <x:c r="W39" s="465"/>
      <x:c r="X39" s="465"/>
      <x:c r="Y39" s="465"/>
      <x:c r="Z39" s="465"/>
    </x:row>
    <x:row r="40">
      <x:c r="A40" s="465"/>
      <x:c r="B40" s="465"/>
      <x:c r="C40" s="465"/>
      <x:c r="D40" s="465"/>
      <x:c r="E40" s="465"/>
      <x:c r="F40" s="465"/>
      <x:c r="G40" s="465"/>
      <x:c r="H40" s="465"/>
      <x:c r="I40" s="465"/>
      <x:c r="J40" s="465"/>
      <x:c r="K40" s="465"/>
      <x:c r="L40" s="465"/>
      <x:c r="M40" s="465"/>
      <x:c r="N40" s="465"/>
      <x:c r="O40" s="465"/>
      <x:c r="P40" s="465"/>
      <x:c r="Q40" s="465"/>
      <x:c r="R40" s="465"/>
      <x:c r="S40" s="465"/>
      <x:c r="T40" s="465"/>
      <x:c r="U40" s="465"/>
      <x:c r="V40" s="465"/>
      <x:c r="W40" s="465"/>
      <x:c r="X40" s="465"/>
      <x:c r="Y40" s="465"/>
      <x:c r="Z40" s="465"/>
    </x:row>
    <x:row r="41">
      <x:c r="A41" s="465"/>
      <x:c r="B41" s="465"/>
      <x:c r="C41" s="465"/>
      <x:c r="D41" s="465"/>
      <x:c r="E41" s="465"/>
      <x:c r="F41" s="465"/>
      <x:c r="G41" s="465"/>
      <x:c r="H41" s="465"/>
      <x:c r="I41" s="465"/>
      <x:c r="J41" s="465"/>
      <x:c r="K41" s="465"/>
      <x:c r="L41" s="465"/>
      <x:c r="M41" s="465"/>
      <x:c r="N41" s="465"/>
      <x:c r="O41" s="465"/>
      <x:c r="P41" s="465"/>
      <x:c r="Q41" s="465"/>
      <x:c r="R41" s="465"/>
      <x:c r="S41" s="465"/>
      <x:c r="T41" s="465"/>
      <x:c r="U41" s="465"/>
      <x:c r="V41" s="465"/>
      <x:c r="W41" s="465"/>
      <x:c r="X41" s="465"/>
      <x:c r="Y41" s="465"/>
      <x:c r="Z41" s="465"/>
    </x:row>
    <x:row r="42">
      <x:c r="A42" s="465"/>
      <x:c r="B42" s="465"/>
      <x:c r="C42" s="465"/>
      <x:c r="D42" s="465"/>
      <x:c r="E42" s="465"/>
      <x:c r="F42" s="465"/>
      <x:c r="G42" s="465"/>
      <x:c r="H42" s="465"/>
      <x:c r="I42" s="465"/>
      <x:c r="J42" s="465"/>
      <x:c r="K42" s="465"/>
      <x:c r="L42" s="465"/>
      <x:c r="M42" s="465"/>
      <x:c r="N42" s="465"/>
      <x:c r="O42" s="465"/>
      <x:c r="P42" s="465"/>
      <x:c r="Q42" s="465"/>
      <x:c r="R42" s="465"/>
      <x:c r="S42" s="465"/>
      <x:c r="T42" s="465"/>
      <x:c r="U42" s="465"/>
      <x:c r="V42" s="465"/>
      <x:c r="W42" s="465"/>
      <x:c r="X42" s="465"/>
      <x:c r="Y42" s="465"/>
      <x:c r="Z42" s="465"/>
    </x:row>
    <x:row r="43">
      <x:c r="A43" s="465"/>
      <x:c r="B43" s="465"/>
      <x:c r="C43" s="465"/>
      <x:c r="D43" s="465"/>
      <x:c r="E43" s="465"/>
      <x:c r="F43" s="465"/>
      <x:c r="G43" s="465"/>
      <x:c r="H43" s="465"/>
      <x:c r="I43" s="465"/>
      <x:c r="J43" s="465"/>
      <x:c r="K43" s="465"/>
      <x:c r="L43" s="465"/>
      <x:c r="M43" s="465"/>
      <x:c r="N43" s="465"/>
      <x:c r="O43" s="465"/>
      <x:c r="P43" s="465"/>
      <x:c r="Q43" s="465"/>
      <x:c r="R43" s="465"/>
      <x:c r="S43" s="465"/>
      <x:c r="T43" s="465"/>
      <x:c r="U43" s="465"/>
      <x:c r="V43" s="465"/>
      <x:c r="W43" s="465"/>
      <x:c r="X43" s="465"/>
      <x:c r="Y43" s="465"/>
      <x:c r="Z43" s="465"/>
    </x:row>
    <x:row r="44">
      <x:c r="A44" s="465"/>
      <x:c r="B44" s="465"/>
      <x:c r="C44" s="465"/>
      <x:c r="D44" s="465"/>
      <x:c r="E44" s="465"/>
      <x:c r="F44" s="465"/>
      <x:c r="G44" s="465"/>
      <x:c r="H44" s="465"/>
      <x:c r="I44" s="465"/>
      <x:c r="J44" s="465"/>
      <x:c r="K44" s="465"/>
      <x:c r="L44" s="465"/>
      <x:c r="M44" s="465"/>
      <x:c r="N44" s="465"/>
      <x:c r="O44" s="465"/>
      <x:c r="P44" s="465"/>
      <x:c r="Q44" s="465"/>
      <x:c r="R44" s="465"/>
      <x:c r="S44" s="465"/>
      <x:c r="T44" s="465"/>
      <x:c r="U44" s="465"/>
      <x:c r="V44" s="465"/>
      <x:c r="W44" s="465"/>
      <x:c r="X44" s="465"/>
      <x:c r="Y44" s="465"/>
      <x:c r="Z44" s="465"/>
    </x:row>
    <x:row r="45">
      <x:c r="A45" s="465"/>
      <x:c r="B45" s="465"/>
      <x:c r="C45" s="465"/>
      <x:c r="D45" s="465"/>
      <x:c r="E45" s="465"/>
      <x:c r="F45" s="465"/>
      <x:c r="G45" s="465"/>
      <x:c r="H45" s="465"/>
      <x:c r="I45" s="465"/>
      <x:c r="J45" s="465"/>
      <x:c r="K45" s="465"/>
      <x:c r="L45" s="465"/>
      <x:c r="M45" s="465"/>
      <x:c r="N45" s="465"/>
      <x:c r="O45" s="465"/>
      <x:c r="P45" s="465"/>
      <x:c r="Q45" s="465"/>
      <x:c r="R45" s="465"/>
      <x:c r="S45" s="465"/>
      <x:c r="T45" s="465"/>
      <x:c r="U45" s="465"/>
      <x:c r="V45" s="465"/>
      <x:c r="W45" s="465"/>
      <x:c r="X45" s="465"/>
      <x:c r="Y45" s="465"/>
      <x:c r="Z45" s="465"/>
    </x:row>
    <x:row r="46">
      <x:c r="A46" s="465"/>
      <x:c r="B46" s="465"/>
      <x:c r="C46" s="465"/>
      <x:c r="D46" s="465"/>
      <x:c r="E46" s="465"/>
      <x:c r="F46" s="465"/>
      <x:c r="G46" s="465"/>
      <x:c r="H46" s="465"/>
      <x:c r="I46" s="465"/>
      <x:c r="J46" s="465"/>
      <x:c r="K46" s="465"/>
      <x:c r="L46" s="465"/>
      <x:c r="M46" s="465"/>
      <x:c r="N46" s="465"/>
      <x:c r="O46" s="465"/>
      <x:c r="P46" s="465"/>
      <x:c r="Q46" s="465"/>
      <x:c r="R46" s="465"/>
      <x:c r="S46" s="465"/>
      <x:c r="T46" s="465"/>
      <x:c r="U46" s="465"/>
      <x:c r="V46" s="465"/>
      <x:c r="W46" s="465"/>
      <x:c r="X46" s="465"/>
      <x:c r="Y46" s="465"/>
      <x:c r="Z46" s="465"/>
    </x:row>
    <x:row r="47">
      <x:c r="A47" s="465"/>
      <x:c r="B47" s="465"/>
      <x:c r="C47" s="465"/>
      <x:c r="D47" s="465"/>
      <x:c r="E47" s="465"/>
      <x:c r="F47" s="465"/>
      <x:c r="G47" s="465"/>
      <x:c r="H47" s="465"/>
      <x:c r="I47" s="465"/>
      <x:c r="J47" s="465"/>
      <x:c r="K47" s="465"/>
      <x:c r="L47" s="465"/>
      <x:c r="M47" s="465"/>
      <x:c r="N47" s="465"/>
      <x:c r="O47" s="465"/>
      <x:c r="P47" s="465"/>
      <x:c r="Q47" s="465"/>
      <x:c r="R47" s="465"/>
      <x:c r="S47" s="465"/>
      <x:c r="T47" s="465"/>
      <x:c r="U47" s="465"/>
      <x:c r="V47" s="465"/>
      <x:c r="W47" s="465"/>
      <x:c r="X47" s="465"/>
      <x:c r="Y47" s="465"/>
      <x:c r="Z47" s="465"/>
    </x:row>
    <x:row r="48">
      <x:c r="A48" s="465"/>
      <x:c r="B48" s="465"/>
      <x:c r="C48" s="465"/>
      <x:c r="D48" s="465"/>
      <x:c r="E48" s="465"/>
      <x:c r="F48" s="465"/>
      <x:c r="G48" s="465"/>
      <x:c r="H48" s="465"/>
      <x:c r="I48" s="465"/>
      <x:c r="J48" s="465"/>
      <x:c r="K48" s="465"/>
      <x:c r="L48" s="465"/>
      <x:c r="M48" s="465"/>
      <x:c r="N48" s="465"/>
      <x:c r="O48" s="465"/>
      <x:c r="P48" s="465"/>
      <x:c r="Q48" s="465"/>
      <x:c r="R48" s="465"/>
      <x:c r="S48" s="465"/>
      <x:c r="T48" s="465"/>
      <x:c r="U48" s="465"/>
      <x:c r="V48" s="465"/>
      <x:c r="W48" s="465"/>
      <x:c r="X48" s="465"/>
      <x:c r="Y48" s="465"/>
      <x:c r="Z48" s="465"/>
    </x:row>
    <x:row r="49">
      <x:c r="A49" s="465"/>
      <x:c r="B49" s="465"/>
      <x:c r="C49" s="465"/>
      <x:c r="D49" s="465"/>
      <x:c r="E49" s="465"/>
      <x:c r="F49" s="465"/>
      <x:c r="G49" s="465"/>
      <x:c r="H49" s="465"/>
      <x:c r="I49" s="465"/>
      <x:c r="J49" s="465"/>
      <x:c r="K49" s="465"/>
      <x:c r="L49" s="465"/>
      <x:c r="M49" s="465"/>
      <x:c r="N49" s="465"/>
      <x:c r="O49" s="465"/>
      <x:c r="P49" s="465"/>
      <x:c r="Q49" s="465"/>
      <x:c r="R49" s="465"/>
      <x:c r="S49" s="465"/>
      <x:c r="T49" s="465"/>
      <x:c r="U49" s="465"/>
      <x:c r="V49" s="465"/>
      <x:c r="W49" s="465"/>
      <x:c r="X49" s="465"/>
      <x:c r="Y49" s="465"/>
      <x:c r="Z49" s="465"/>
    </x:row>
    <x:row r="50">
      <x:c r="A50" s="465"/>
      <x:c r="B50" s="465"/>
      <x:c r="C50" s="465"/>
      <x:c r="D50" s="465"/>
      <x:c r="E50" s="465"/>
      <x:c r="F50" s="465"/>
      <x:c r="G50" s="465"/>
      <x:c r="H50" s="465"/>
      <x:c r="I50" s="465"/>
      <x:c r="J50" s="465"/>
      <x:c r="K50" s="465"/>
      <x:c r="L50" s="465"/>
      <x:c r="M50" s="465"/>
      <x:c r="N50" s="465"/>
      <x:c r="O50" s="465"/>
      <x:c r="P50" s="465"/>
      <x:c r="Q50" s="465"/>
      <x:c r="R50" s="465"/>
      <x:c r="S50" s="465"/>
      <x:c r="T50" s="465"/>
      <x:c r="U50" s="465"/>
      <x:c r="V50" s="465"/>
      <x:c r="W50" s="465"/>
      <x:c r="X50" s="465"/>
      <x:c r="Y50" s="465"/>
      <x:c r="Z50" s="465"/>
    </x:row>
    <x:row r="51">
      <x:c r="A51" s="465"/>
      <x:c r="B51" s="465"/>
      <x:c r="C51" s="465"/>
      <x:c r="D51" s="465"/>
      <x:c r="E51" s="465"/>
      <x:c r="F51" s="465"/>
      <x:c r="G51" s="465"/>
      <x:c r="H51" s="465"/>
      <x:c r="I51" s="465"/>
      <x:c r="J51" s="465"/>
      <x:c r="K51" s="465"/>
      <x:c r="L51" s="465"/>
      <x:c r="M51" s="465"/>
      <x:c r="N51" s="465"/>
      <x:c r="O51" s="465"/>
      <x:c r="P51" s="465"/>
      <x:c r="Q51" s="465"/>
      <x:c r="R51" s="465"/>
      <x:c r="S51" s="465"/>
      <x:c r="T51" s="465"/>
      <x:c r="U51" s="465"/>
      <x:c r="V51" s="465"/>
      <x:c r="W51" s="465"/>
      <x:c r="X51" s="465"/>
      <x:c r="Y51" s="465"/>
      <x:c r="Z51" s="465"/>
    </x:row>
    <x:row r="52">
      <x:c r="A52" s="465"/>
      <x:c r="B52" s="465"/>
      <x:c r="C52" s="465"/>
      <x:c r="D52" s="465"/>
      <x:c r="E52" s="465"/>
      <x:c r="F52" s="465"/>
      <x:c r="G52" s="465"/>
      <x:c r="H52" s="465"/>
      <x:c r="I52" s="465"/>
      <x:c r="J52" s="465"/>
      <x:c r="K52" s="465"/>
      <x:c r="L52" s="465"/>
      <x:c r="M52" s="465"/>
      <x:c r="N52" s="465"/>
      <x:c r="O52" s="465"/>
      <x:c r="P52" s="465"/>
      <x:c r="Q52" s="465"/>
      <x:c r="R52" s="465"/>
      <x:c r="S52" s="465"/>
      <x:c r="T52" s="465"/>
      <x:c r="U52" s="465"/>
      <x:c r="V52" s="465"/>
      <x:c r="W52" s="465"/>
      <x:c r="X52" s="465"/>
      <x:c r="Y52" s="465"/>
      <x:c r="Z52" s="465"/>
    </x:row>
    <x:row r="53">
      <x:c r="A53" s="465"/>
      <x:c r="B53" s="465"/>
      <x:c r="C53" s="465"/>
      <x:c r="D53" s="465"/>
      <x:c r="E53" s="465"/>
      <x:c r="F53" s="465"/>
      <x:c r="G53" s="465"/>
      <x:c r="H53" s="465"/>
      <x:c r="I53" s="465"/>
      <x:c r="J53" s="465"/>
      <x:c r="K53" s="465"/>
      <x:c r="L53" s="465"/>
      <x:c r="M53" s="465"/>
      <x:c r="N53" s="465"/>
      <x:c r="O53" s="465"/>
      <x:c r="P53" s="465"/>
      <x:c r="Q53" s="465"/>
      <x:c r="R53" s="465"/>
      <x:c r="S53" s="465"/>
      <x:c r="T53" s="465"/>
      <x:c r="U53" s="465"/>
      <x:c r="V53" s="465"/>
      <x:c r="W53" s="465"/>
      <x:c r="X53" s="465"/>
      <x:c r="Y53" s="465"/>
      <x:c r="Z53" s="465"/>
    </x:row>
    <x:row r="54">
      <x:c r="A54" s="465"/>
      <x:c r="B54" s="465"/>
      <x:c r="C54" s="465"/>
      <x:c r="D54" s="465"/>
      <x:c r="E54" s="465"/>
      <x:c r="F54" s="465"/>
      <x:c r="G54" s="465"/>
      <x:c r="H54" s="465"/>
      <x:c r="I54" s="465"/>
      <x:c r="J54" s="465"/>
      <x:c r="K54" s="465"/>
      <x:c r="L54" s="465"/>
      <x:c r="M54" s="465"/>
      <x:c r="N54" s="465"/>
      <x:c r="O54" s="465"/>
      <x:c r="P54" s="465"/>
      <x:c r="Q54" s="465"/>
      <x:c r="R54" s="465"/>
      <x:c r="S54" s="465"/>
      <x:c r="T54" s="465"/>
      <x:c r="U54" s="465"/>
      <x:c r="V54" s="465"/>
      <x:c r="W54" s="465"/>
      <x:c r="X54" s="465"/>
      <x:c r="Y54" s="465"/>
      <x:c r="Z54" s="465"/>
    </x:row>
    <x:row r="55">
      <x:c r="A55" s="465"/>
      <x:c r="B55" s="465"/>
      <x:c r="C55" s="465"/>
      <x:c r="D55" s="465"/>
      <x:c r="E55" s="465"/>
      <x:c r="F55" s="465"/>
      <x:c r="G55" s="465"/>
      <x:c r="H55" s="465"/>
      <x:c r="I55" s="465"/>
      <x:c r="J55" s="465"/>
      <x:c r="K55" s="465"/>
      <x:c r="L55" s="465"/>
      <x:c r="M55" s="465"/>
      <x:c r="N55" s="465"/>
      <x:c r="O55" s="465"/>
      <x:c r="P55" s="465"/>
      <x:c r="Q55" s="465"/>
      <x:c r="R55" s="465"/>
      <x:c r="S55" s="465"/>
      <x:c r="T55" s="465"/>
      <x:c r="U55" s="465"/>
      <x:c r="V55" s="465"/>
      <x:c r="W55" s="465"/>
      <x:c r="X55" s="465"/>
      <x:c r="Y55" s="465"/>
      <x:c r="Z55" s="465"/>
    </x:row>
    <x:row r="56">
      <x:c r="A56" s="465"/>
      <x:c r="B56" s="465"/>
      <x:c r="C56" s="465"/>
      <x:c r="D56" s="465"/>
      <x:c r="E56" s="465"/>
      <x:c r="F56" s="465"/>
      <x:c r="G56" s="465"/>
      <x:c r="H56" s="465"/>
      <x:c r="I56" s="465"/>
      <x:c r="J56" s="465"/>
      <x:c r="K56" s="465"/>
      <x:c r="L56" s="465"/>
      <x:c r="M56" s="465"/>
      <x:c r="N56" s="465"/>
      <x:c r="O56" s="465"/>
      <x:c r="P56" s="465"/>
      <x:c r="Q56" s="465"/>
      <x:c r="R56" s="465"/>
      <x:c r="S56" s="465"/>
      <x:c r="T56" s="465"/>
      <x:c r="U56" s="465"/>
      <x:c r="V56" s="465"/>
      <x:c r="W56" s="465"/>
      <x:c r="X56" s="465"/>
      <x:c r="Y56" s="465"/>
      <x:c r="Z56" s="465"/>
    </x:row>
    <x:row r="57">
      <x:c r="A57" s="465"/>
      <x:c r="B57" s="465"/>
      <x:c r="C57" s="465"/>
      <x:c r="D57" s="465"/>
      <x:c r="E57" s="465"/>
      <x:c r="F57" s="465"/>
      <x:c r="G57" s="465"/>
      <x:c r="H57" s="465"/>
      <x:c r="I57" s="465"/>
      <x:c r="J57" s="465"/>
      <x:c r="K57" s="465"/>
      <x:c r="L57" s="465"/>
      <x:c r="M57" s="465"/>
      <x:c r="N57" s="465"/>
      <x:c r="O57" s="465"/>
      <x:c r="P57" s="465"/>
      <x:c r="Q57" s="465"/>
      <x:c r="R57" s="465"/>
      <x:c r="S57" s="465"/>
      <x:c r="T57" s="465"/>
      <x:c r="U57" s="465"/>
      <x:c r="V57" s="465"/>
      <x:c r="W57" s="465"/>
      <x:c r="X57" s="465"/>
      <x:c r="Y57" s="465"/>
      <x:c r="Z57" s="465"/>
    </x:row>
    <x:row r="58">
      <x:c r="A58" s="465"/>
      <x:c r="B58" s="465"/>
      <x:c r="C58" s="465"/>
      <x:c r="D58" s="465"/>
      <x:c r="E58" s="465"/>
      <x:c r="F58" s="465"/>
      <x:c r="G58" s="465"/>
      <x:c r="H58" s="465"/>
      <x:c r="I58" s="465"/>
      <x:c r="J58" s="465"/>
      <x:c r="K58" s="465"/>
      <x:c r="L58" s="465"/>
      <x:c r="M58" s="465"/>
      <x:c r="N58" s="465"/>
      <x:c r="O58" s="465"/>
      <x:c r="P58" s="465"/>
      <x:c r="Q58" s="465"/>
      <x:c r="R58" s="465"/>
      <x:c r="S58" s="465"/>
      <x:c r="T58" s="465"/>
      <x:c r="U58" s="465"/>
      <x:c r="V58" s="465"/>
      <x:c r="W58" s="465"/>
      <x:c r="X58" s="465"/>
      <x:c r="Y58" s="465"/>
      <x:c r="Z58" s="465"/>
    </x:row>
    <x:row r="59">
      <x:c r="A59" s="465"/>
      <x:c r="B59" s="465"/>
      <x:c r="C59" s="465"/>
      <x:c r="D59" s="465"/>
      <x:c r="E59" s="465"/>
      <x:c r="F59" s="465"/>
      <x:c r="G59" s="465"/>
      <x:c r="H59" s="465"/>
      <x:c r="I59" s="465"/>
      <x:c r="J59" s="465"/>
      <x:c r="K59" s="465"/>
      <x:c r="L59" s="465"/>
      <x:c r="M59" s="465"/>
      <x:c r="N59" s="465"/>
      <x:c r="O59" s="465"/>
      <x:c r="P59" s="465"/>
      <x:c r="Q59" s="465"/>
      <x:c r="R59" s="465"/>
      <x:c r="S59" s="465"/>
      <x:c r="T59" s="465"/>
      <x:c r="U59" s="465"/>
      <x:c r="V59" s="465"/>
      <x:c r="W59" s="465"/>
      <x:c r="X59" s="465"/>
      <x:c r="Y59" s="465"/>
      <x:c r="Z59" s="465"/>
    </x:row>
    <x:row r="60">
      <x:c r="A60" s="465"/>
      <x:c r="B60" s="465"/>
      <x:c r="C60" s="465"/>
      <x:c r="D60" s="465"/>
      <x:c r="E60" s="465"/>
      <x:c r="F60" s="465"/>
      <x:c r="G60" s="465"/>
      <x:c r="H60" s="465"/>
      <x:c r="I60" s="465"/>
      <x:c r="J60" s="465"/>
      <x:c r="K60" s="465"/>
      <x:c r="L60" s="465"/>
      <x:c r="M60" s="465"/>
      <x:c r="N60" s="465"/>
      <x:c r="O60" s="465"/>
      <x:c r="P60" s="465"/>
      <x:c r="Q60" s="465"/>
      <x:c r="R60" s="465"/>
      <x:c r="S60" s="465"/>
      <x:c r="T60" s="465"/>
      <x:c r="U60" s="465"/>
      <x:c r="V60" s="465"/>
      <x:c r="W60" s="465"/>
      <x:c r="X60" s="465"/>
      <x:c r="Y60" s="465"/>
      <x:c r="Z60" s="465"/>
    </x:row>
    <x:row r="61">
      <x:c r="A61" s="465"/>
      <x:c r="B61" s="465"/>
      <x:c r="C61" s="465"/>
      <x:c r="D61" s="465"/>
      <x:c r="E61" s="465"/>
      <x:c r="F61" s="465"/>
      <x:c r="G61" s="465"/>
      <x:c r="H61" s="465"/>
      <x:c r="I61" s="465"/>
      <x:c r="J61" s="465"/>
      <x:c r="K61" s="465"/>
      <x:c r="L61" s="465"/>
      <x:c r="M61" s="465"/>
      <x:c r="N61" s="465"/>
      <x:c r="O61" s="465"/>
      <x:c r="P61" s="465"/>
      <x:c r="Q61" s="465"/>
      <x:c r="R61" s="465"/>
      <x:c r="S61" s="465"/>
      <x:c r="T61" s="465"/>
      <x:c r="U61" s="465"/>
      <x:c r="V61" s="465"/>
      <x:c r="W61" s="465"/>
      <x:c r="X61" s="465"/>
      <x:c r="Y61" s="465"/>
      <x:c r="Z61" s="465"/>
    </x:row>
    <x:row r="62">
      <x:c r="A62" s="465"/>
      <x:c r="B62" s="465"/>
      <x:c r="C62" s="465"/>
      <x:c r="D62" s="465"/>
      <x:c r="E62" s="465"/>
      <x:c r="F62" s="465"/>
      <x:c r="G62" s="465"/>
      <x:c r="H62" s="465"/>
      <x:c r="I62" s="465"/>
      <x:c r="J62" s="465"/>
      <x:c r="K62" s="465"/>
      <x:c r="L62" s="465"/>
      <x:c r="M62" s="465"/>
      <x:c r="N62" s="465"/>
      <x:c r="O62" s="465"/>
      <x:c r="P62" s="465"/>
      <x:c r="Q62" s="465"/>
      <x:c r="R62" s="465"/>
      <x:c r="S62" s="465"/>
      <x:c r="T62" s="465"/>
      <x:c r="U62" s="465"/>
      <x:c r="V62" s="465"/>
      <x:c r="W62" s="465"/>
      <x:c r="X62" s="465"/>
      <x:c r="Y62" s="465"/>
      <x:c r="Z62" s="465"/>
    </x:row>
    <x:row r="63">
      <x:c r="A63" s="465"/>
      <x:c r="B63" s="465"/>
      <x:c r="C63" s="465"/>
      <x:c r="D63" s="465"/>
      <x:c r="E63" s="465"/>
      <x:c r="F63" s="465"/>
      <x:c r="G63" s="465"/>
      <x:c r="H63" s="465"/>
      <x:c r="I63" s="465"/>
      <x:c r="J63" s="465"/>
      <x:c r="K63" s="465"/>
      <x:c r="L63" s="465"/>
      <x:c r="M63" s="465"/>
      <x:c r="N63" s="465"/>
      <x:c r="O63" s="465"/>
      <x:c r="P63" s="465"/>
      <x:c r="Q63" s="465"/>
      <x:c r="R63" s="465"/>
      <x:c r="S63" s="465"/>
      <x:c r="T63" s="465"/>
      <x:c r="U63" s="465"/>
      <x:c r="V63" s="465"/>
      <x:c r="W63" s="465"/>
      <x:c r="X63" s="465"/>
      <x:c r="Y63" s="465"/>
      <x:c r="Z63" s="465"/>
    </x:row>
    <x:row r="64">
      <x:c r="A64" s="465"/>
      <x:c r="B64" s="465"/>
      <x:c r="C64" s="465"/>
      <x:c r="D64" s="465"/>
      <x:c r="E64" s="465"/>
      <x:c r="F64" s="465"/>
      <x:c r="G64" s="465"/>
      <x:c r="H64" s="465"/>
      <x:c r="I64" s="465"/>
      <x:c r="J64" s="465"/>
      <x:c r="K64" s="465"/>
      <x:c r="L64" s="465"/>
      <x:c r="M64" s="465"/>
      <x:c r="N64" s="465"/>
      <x:c r="O64" s="465"/>
      <x:c r="P64" s="465"/>
      <x:c r="Q64" s="465"/>
      <x:c r="R64" s="465"/>
      <x:c r="S64" s="465"/>
      <x:c r="T64" s="465"/>
      <x:c r="U64" s="465"/>
      <x:c r="V64" s="465"/>
      <x:c r="W64" s="465"/>
      <x:c r="X64" s="465"/>
      <x:c r="Y64" s="465"/>
      <x:c r="Z64" s="465"/>
    </x:row>
    <x:row r="65">
      <x:c r="A65" s="465"/>
      <x:c r="B65" s="465"/>
      <x:c r="C65" s="465"/>
      <x:c r="D65" s="465"/>
      <x:c r="E65" s="465"/>
      <x:c r="F65" s="465"/>
      <x:c r="G65" s="465"/>
      <x:c r="H65" s="465"/>
      <x:c r="I65" s="465"/>
      <x:c r="J65" s="465"/>
      <x:c r="K65" s="465"/>
      <x:c r="L65" s="465"/>
      <x:c r="M65" s="465"/>
      <x:c r="N65" s="465"/>
      <x:c r="O65" s="465"/>
      <x:c r="P65" s="465"/>
      <x:c r="Q65" s="465"/>
      <x:c r="R65" s="465"/>
      <x:c r="S65" s="465"/>
      <x:c r="T65" s="465"/>
      <x:c r="U65" s="465"/>
      <x:c r="V65" s="465"/>
      <x:c r="W65" s="465"/>
      <x:c r="X65" s="465"/>
      <x:c r="Y65" s="465"/>
      <x:c r="Z65" s="465"/>
    </x:row>
    <x:row r="66">
      <x:c r="A66" s="465"/>
      <x:c r="B66" s="465"/>
      <x:c r="C66" s="465"/>
      <x:c r="D66" s="465"/>
      <x:c r="E66" s="465"/>
      <x:c r="F66" s="465"/>
      <x:c r="G66" s="465"/>
      <x:c r="H66" s="465"/>
      <x:c r="I66" s="465"/>
      <x:c r="J66" s="465"/>
      <x:c r="K66" s="465"/>
      <x:c r="L66" s="465"/>
      <x:c r="M66" s="465"/>
      <x:c r="N66" s="465"/>
      <x:c r="O66" s="465"/>
      <x:c r="P66" s="465"/>
      <x:c r="Q66" s="465"/>
      <x:c r="R66" s="465"/>
      <x:c r="S66" s="465"/>
      <x:c r="T66" s="465"/>
      <x:c r="U66" s="465"/>
      <x:c r="V66" s="465"/>
      <x:c r="W66" s="465"/>
      <x:c r="X66" s="465"/>
      <x:c r="Y66" s="465"/>
      <x:c r="Z66" s="465"/>
    </x:row>
    <x:row r="67">
      <x:c r="A67" s="465"/>
      <x:c r="B67" s="465"/>
      <x:c r="C67" s="465"/>
      <x:c r="D67" s="465"/>
      <x:c r="E67" s="465"/>
      <x:c r="F67" s="465"/>
      <x:c r="G67" s="465"/>
      <x:c r="H67" s="465"/>
      <x:c r="I67" s="465"/>
      <x:c r="J67" s="465"/>
      <x:c r="K67" s="465"/>
      <x:c r="L67" s="465"/>
      <x:c r="M67" s="465"/>
      <x:c r="N67" s="465"/>
      <x:c r="O67" s="465"/>
      <x:c r="P67" s="465"/>
      <x:c r="Q67" s="465"/>
      <x:c r="R67" s="465"/>
      <x:c r="S67" s="465"/>
      <x:c r="T67" s="465"/>
      <x:c r="U67" s="465"/>
      <x:c r="V67" s="465"/>
      <x:c r="W67" s="465"/>
      <x:c r="X67" s="465"/>
      <x:c r="Y67" s="465"/>
      <x:c r="Z67" s="465"/>
    </x:row>
    <x:row r="68">
      <x:c r="A68" s="465"/>
      <x:c r="B68" s="465"/>
      <x:c r="C68" s="465"/>
      <x:c r="D68" s="465"/>
      <x:c r="E68" s="465"/>
      <x:c r="F68" s="465"/>
      <x:c r="G68" s="465"/>
      <x:c r="H68" s="465"/>
      <x:c r="I68" s="465"/>
      <x:c r="J68" s="465"/>
      <x:c r="K68" s="465"/>
      <x:c r="L68" s="465"/>
      <x:c r="M68" s="465"/>
      <x:c r="N68" s="465"/>
      <x:c r="O68" s="465"/>
      <x:c r="P68" s="465"/>
      <x:c r="Q68" s="465"/>
      <x:c r="R68" s="465"/>
      <x:c r="S68" s="465"/>
      <x:c r="T68" s="465"/>
      <x:c r="U68" s="465"/>
      <x:c r="V68" s="465"/>
      <x:c r="W68" s="465"/>
      <x:c r="X68" s="465"/>
      <x:c r="Y68" s="465"/>
      <x:c r="Z68" s="465"/>
    </x:row>
    <x:row r="69">
      <x:c r="A69" s="465"/>
      <x:c r="B69" s="465"/>
      <x:c r="C69" s="465"/>
      <x:c r="D69" s="465"/>
      <x:c r="E69" s="465"/>
      <x:c r="F69" s="465"/>
      <x:c r="G69" s="465"/>
      <x:c r="H69" s="465"/>
      <x:c r="I69" s="465"/>
      <x:c r="J69" s="465"/>
      <x:c r="K69" s="465"/>
      <x:c r="L69" s="465"/>
      <x:c r="M69" s="465"/>
      <x:c r="N69" s="465"/>
      <x:c r="O69" s="465"/>
      <x:c r="P69" s="465"/>
      <x:c r="Q69" s="465"/>
      <x:c r="R69" s="465"/>
      <x:c r="S69" s="465"/>
      <x:c r="T69" s="465"/>
      <x:c r="U69" s="465"/>
      <x:c r="V69" s="465"/>
      <x:c r="W69" s="465"/>
      <x:c r="X69" s="465"/>
      <x:c r="Y69" s="465"/>
      <x:c r="Z69" s="465"/>
    </x:row>
    <x:row r="70">
      <x:c r="A70" s="465"/>
      <x:c r="B70" s="465"/>
      <x:c r="C70" s="465"/>
      <x:c r="D70" s="465"/>
      <x:c r="E70" s="465"/>
      <x:c r="F70" s="465"/>
      <x:c r="G70" s="465"/>
      <x:c r="H70" s="465"/>
      <x:c r="I70" s="465"/>
      <x:c r="J70" s="465"/>
      <x:c r="K70" s="465"/>
      <x:c r="L70" s="465"/>
      <x:c r="M70" s="465"/>
      <x:c r="N70" s="465"/>
      <x:c r="O70" s="465"/>
      <x:c r="P70" s="465"/>
      <x:c r="Q70" s="465"/>
      <x:c r="R70" s="465"/>
      <x:c r="S70" s="465"/>
      <x:c r="T70" s="465"/>
      <x:c r="U70" s="465"/>
      <x:c r="V70" s="465"/>
      <x:c r="W70" s="465"/>
      <x:c r="X70" s="465"/>
      <x:c r="Y70" s="465"/>
      <x:c r="Z70" s="465"/>
    </x:row>
    <x:row r="71">
      <x:c r="A71" s="465"/>
      <x:c r="B71" s="465"/>
      <x:c r="C71" s="465"/>
      <x:c r="D71" s="465"/>
      <x:c r="E71" s="465"/>
      <x:c r="F71" s="465"/>
      <x:c r="G71" s="465"/>
      <x:c r="H71" s="465"/>
      <x:c r="I71" s="465"/>
      <x:c r="J71" s="465"/>
      <x:c r="K71" s="465"/>
      <x:c r="L71" s="465"/>
      <x:c r="M71" s="465"/>
      <x:c r="N71" s="465"/>
      <x:c r="O71" s="465"/>
      <x:c r="P71" s="465"/>
      <x:c r="Q71" s="465"/>
      <x:c r="R71" s="465"/>
      <x:c r="S71" s="465"/>
      <x:c r="T71" s="465"/>
      <x:c r="U71" s="465"/>
      <x:c r="V71" s="465"/>
      <x:c r="W71" s="465"/>
      <x:c r="X71" s="465"/>
      <x:c r="Y71" s="465"/>
      <x:c r="Z71" s="465"/>
    </x:row>
    <x:row r="72">
      <x:c r="A72" s="465"/>
      <x:c r="B72" s="465"/>
      <x:c r="C72" s="465"/>
      <x:c r="D72" s="465"/>
      <x:c r="E72" s="465"/>
      <x:c r="F72" s="465"/>
      <x:c r="G72" s="465"/>
      <x:c r="H72" s="465"/>
      <x:c r="I72" s="465"/>
      <x:c r="J72" s="465"/>
      <x:c r="K72" s="465"/>
      <x:c r="L72" s="465"/>
      <x:c r="M72" s="465"/>
      <x:c r="N72" s="465"/>
      <x:c r="O72" s="465"/>
      <x:c r="P72" s="465"/>
      <x:c r="Q72" s="465"/>
      <x:c r="R72" s="465"/>
      <x:c r="S72" s="465"/>
      <x:c r="T72" s="465"/>
      <x:c r="U72" s="465"/>
      <x:c r="V72" s="465"/>
      <x:c r="W72" s="465"/>
      <x:c r="X72" s="465"/>
      <x:c r="Y72" s="465"/>
      <x:c r="Z72" s="465"/>
    </x:row>
    <x:row r="73">
      <x:c r="A73" s="465"/>
      <x:c r="B73" s="465"/>
      <x:c r="C73" s="465"/>
      <x:c r="D73" s="465"/>
      <x:c r="E73" s="465"/>
      <x:c r="F73" s="465"/>
      <x:c r="G73" s="465"/>
      <x:c r="H73" s="465"/>
      <x:c r="I73" s="465"/>
      <x:c r="J73" s="465"/>
      <x:c r="K73" s="465"/>
      <x:c r="L73" s="465"/>
      <x:c r="M73" s="465"/>
      <x:c r="N73" s="465"/>
      <x:c r="O73" s="465"/>
      <x:c r="P73" s="465"/>
      <x:c r="Q73" s="465"/>
      <x:c r="R73" s="465"/>
      <x:c r="S73" s="465"/>
      <x:c r="T73" s="465"/>
      <x:c r="U73" s="465"/>
      <x:c r="V73" s="465"/>
      <x:c r="W73" s="465"/>
      <x:c r="X73" s="465"/>
      <x:c r="Y73" s="465"/>
      <x:c r="Z73" s="465"/>
    </x:row>
    <x:row r="74">
      <x:c r="A74" s="465"/>
      <x:c r="B74" s="465"/>
      <x:c r="C74" s="465"/>
      <x:c r="D74" s="465"/>
      <x:c r="E74" s="465"/>
      <x:c r="F74" s="465"/>
      <x:c r="G74" s="465"/>
      <x:c r="H74" s="465"/>
      <x:c r="I74" s="465"/>
      <x:c r="J74" s="465"/>
      <x:c r="K74" s="465"/>
      <x:c r="L74" s="465"/>
      <x:c r="M74" s="465"/>
      <x:c r="N74" s="465"/>
      <x:c r="O74" s="465"/>
      <x:c r="P74" s="465"/>
      <x:c r="Q74" s="465"/>
      <x:c r="R74" s="465"/>
      <x:c r="S74" s="465"/>
      <x:c r="T74" s="465"/>
      <x:c r="U74" s="465"/>
      <x:c r="V74" s="465"/>
      <x:c r="W74" s="465"/>
      <x:c r="X74" s="465"/>
      <x:c r="Y74" s="465"/>
      <x:c r="Z74" s="465"/>
    </x:row>
    <x:row r="75">
      <x:c r="A75" s="465"/>
      <x:c r="B75" s="465"/>
      <x:c r="C75" s="465"/>
      <x:c r="D75" s="465"/>
      <x:c r="E75" s="465"/>
      <x:c r="F75" s="465"/>
      <x:c r="G75" s="465"/>
      <x:c r="H75" s="465"/>
      <x:c r="I75" s="465"/>
      <x:c r="J75" s="465"/>
      <x:c r="K75" s="465"/>
      <x:c r="L75" s="465"/>
      <x:c r="M75" s="465"/>
      <x:c r="N75" s="465"/>
      <x:c r="O75" s="465"/>
      <x:c r="P75" s="465"/>
      <x:c r="Q75" s="465"/>
      <x:c r="R75" s="465"/>
      <x:c r="S75" s="465"/>
      <x:c r="T75" s="465"/>
      <x:c r="U75" s="465"/>
      <x:c r="V75" s="465"/>
      <x:c r="W75" s="465"/>
      <x:c r="X75" s="465"/>
      <x:c r="Y75" s="465"/>
      <x:c r="Z75" s="465"/>
    </x:row>
    <x:row r="76">
      <x:c r="A76" s="465"/>
      <x:c r="B76" s="465"/>
      <x:c r="C76" s="465"/>
      <x:c r="D76" s="465"/>
      <x:c r="E76" s="465"/>
      <x:c r="F76" s="465"/>
      <x:c r="G76" s="465"/>
      <x:c r="H76" s="465"/>
      <x:c r="I76" s="465"/>
      <x:c r="J76" s="465"/>
      <x:c r="K76" s="465"/>
      <x:c r="L76" s="465"/>
      <x:c r="M76" s="465"/>
      <x:c r="N76" s="465"/>
      <x:c r="O76" s="465"/>
      <x:c r="P76" s="465"/>
      <x:c r="Q76" s="465"/>
      <x:c r="R76" s="465"/>
      <x:c r="S76" s="465"/>
      <x:c r="T76" s="465"/>
      <x:c r="U76" s="465"/>
      <x:c r="V76" s="465"/>
      <x:c r="W76" s="465"/>
      <x:c r="X76" s="465"/>
      <x:c r="Y76" s="465"/>
      <x:c r="Z76" s="465"/>
    </x:row>
    <x:row r="77">
      <x:c r="A77" s="465"/>
      <x:c r="B77" s="465"/>
      <x:c r="C77" s="465"/>
      <x:c r="D77" s="465"/>
      <x:c r="E77" s="465"/>
      <x:c r="F77" s="465"/>
      <x:c r="G77" s="465"/>
      <x:c r="H77" s="465"/>
      <x:c r="I77" s="465"/>
      <x:c r="J77" s="465"/>
      <x:c r="K77" s="465"/>
      <x:c r="L77" s="465"/>
      <x:c r="M77" s="465"/>
      <x:c r="N77" s="465"/>
      <x:c r="O77" s="465"/>
      <x:c r="P77" s="465"/>
      <x:c r="Q77" s="465"/>
      <x:c r="R77" s="465"/>
      <x:c r="S77" s="465"/>
      <x:c r="T77" s="465"/>
      <x:c r="U77" s="465"/>
      <x:c r="V77" s="465"/>
      <x:c r="W77" s="465"/>
      <x:c r="X77" s="465"/>
      <x:c r="Y77" s="465"/>
      <x:c r="Z77" s="465"/>
    </x:row>
    <x:row r="78">
      <x:c r="A78" s="465"/>
      <x:c r="B78" s="465"/>
      <x:c r="C78" s="465"/>
      <x:c r="D78" s="465"/>
      <x:c r="E78" s="465"/>
      <x:c r="F78" s="465"/>
      <x:c r="G78" s="465"/>
      <x:c r="H78" s="465"/>
      <x:c r="I78" s="465"/>
      <x:c r="J78" s="465"/>
      <x:c r="K78" s="465"/>
      <x:c r="L78" s="465"/>
      <x:c r="M78" s="465"/>
      <x:c r="N78" s="465"/>
      <x:c r="O78" s="465"/>
      <x:c r="P78" s="465"/>
      <x:c r="Q78" s="465"/>
      <x:c r="R78" s="465"/>
      <x:c r="S78" s="465"/>
      <x:c r="T78" s="465"/>
      <x:c r="U78" s="465"/>
      <x:c r="V78" s="465"/>
      <x:c r="W78" s="465"/>
      <x:c r="X78" s="465"/>
      <x:c r="Y78" s="465"/>
      <x:c r="Z78" s="465"/>
    </x:row>
    <x:row r="79">
      <x:c r="A79" s="465"/>
      <x:c r="B79" s="465"/>
      <x:c r="C79" s="465"/>
      <x:c r="D79" s="465"/>
      <x:c r="E79" s="465"/>
      <x:c r="F79" s="465"/>
      <x:c r="G79" s="465"/>
      <x:c r="H79" s="465"/>
      <x:c r="I79" s="465"/>
      <x:c r="J79" s="465"/>
      <x:c r="K79" s="465"/>
      <x:c r="L79" s="465"/>
      <x:c r="M79" s="465"/>
      <x:c r="N79" s="465"/>
      <x:c r="O79" s="465"/>
      <x:c r="P79" s="465"/>
      <x:c r="Q79" s="465"/>
      <x:c r="R79" s="465"/>
      <x:c r="S79" s="465"/>
      <x:c r="T79" s="465"/>
      <x:c r="U79" s="465"/>
      <x:c r="V79" s="465"/>
      <x:c r="W79" s="465"/>
      <x:c r="X79" s="465"/>
      <x:c r="Y79" s="465"/>
      <x:c r="Z79" s="465"/>
    </x:row>
    <x:row r="80">
      <x:c r="A80" s="465"/>
      <x:c r="B80" s="465"/>
      <x:c r="C80" s="465"/>
      <x:c r="D80" s="465"/>
      <x:c r="E80" s="465"/>
      <x:c r="F80" s="465"/>
      <x:c r="G80" s="465"/>
      <x:c r="H80" s="465"/>
      <x:c r="I80" s="465"/>
      <x:c r="J80" s="465"/>
      <x:c r="K80" s="465"/>
      <x:c r="L80" s="465"/>
      <x:c r="M80" s="465"/>
      <x:c r="N80" s="465"/>
      <x:c r="O80" s="465"/>
      <x:c r="P80" s="465"/>
      <x:c r="Q80" s="465"/>
      <x:c r="R80" s="465"/>
      <x:c r="S80" s="465"/>
      <x:c r="T80" s="465"/>
      <x:c r="U80" s="465"/>
      <x:c r="V80" s="465"/>
      <x:c r="W80" s="465"/>
      <x:c r="X80" s="465"/>
      <x:c r="Y80" s="465"/>
      <x:c r="Z80" s="465"/>
    </x:row>
    <x:row r="81">
      <x:c r="A81" s="465"/>
      <x:c r="B81" s="465"/>
      <x:c r="C81" s="465"/>
      <x:c r="D81" s="465"/>
      <x:c r="E81" s="465"/>
      <x:c r="F81" s="465"/>
      <x:c r="G81" s="465"/>
      <x:c r="H81" s="465"/>
      <x:c r="I81" s="465"/>
      <x:c r="J81" s="465"/>
      <x:c r="K81" s="465"/>
      <x:c r="L81" s="465"/>
      <x:c r="M81" s="465"/>
      <x:c r="N81" s="465"/>
      <x:c r="O81" s="465"/>
      <x:c r="P81" s="465"/>
      <x:c r="Q81" s="465"/>
      <x:c r="R81" s="465"/>
      <x:c r="S81" s="465"/>
      <x:c r="T81" s="465"/>
      <x:c r="U81" s="465"/>
      <x:c r="V81" s="465"/>
      <x:c r="W81" s="465"/>
      <x:c r="X81" s="465"/>
      <x:c r="Y81" s="465"/>
      <x:c r="Z81" s="465"/>
    </x:row>
    <x:row r="82">
      <x:c r="A82" s="465"/>
      <x:c r="B82" s="465"/>
      <x:c r="C82" s="465"/>
      <x:c r="D82" s="465"/>
      <x:c r="E82" s="465"/>
      <x:c r="F82" s="465"/>
      <x:c r="G82" s="465"/>
      <x:c r="H82" s="465"/>
      <x:c r="I82" s="465"/>
      <x:c r="J82" s="465"/>
      <x:c r="K82" s="465"/>
      <x:c r="L82" s="465"/>
      <x:c r="M82" s="465"/>
      <x:c r="N82" s="465"/>
      <x:c r="O82" s="465"/>
      <x:c r="P82" s="465"/>
      <x:c r="Q82" s="465"/>
      <x:c r="R82" s="465"/>
      <x:c r="S82" s="465"/>
      <x:c r="T82" s="465"/>
      <x:c r="U82" s="465"/>
      <x:c r="V82" s="465"/>
      <x:c r="W82" s="465"/>
      <x:c r="X82" s="465"/>
      <x:c r="Y82" s="465"/>
      <x:c r="Z82" s="465"/>
    </x:row>
    <x:row r="83">
      <x:c r="A83" s="465"/>
      <x:c r="B83" s="465"/>
      <x:c r="C83" s="465"/>
      <x:c r="D83" s="465"/>
      <x:c r="E83" s="465"/>
      <x:c r="F83" s="465"/>
      <x:c r="G83" s="465"/>
      <x:c r="H83" s="465"/>
      <x:c r="I83" s="465"/>
      <x:c r="J83" s="465"/>
      <x:c r="K83" s="465"/>
      <x:c r="L83" s="465"/>
      <x:c r="M83" s="465"/>
      <x:c r="N83" s="465"/>
      <x:c r="O83" s="465"/>
      <x:c r="P83" s="465"/>
      <x:c r="Q83" s="465"/>
      <x:c r="R83" s="465"/>
      <x:c r="S83" s="465"/>
      <x:c r="T83" s="465"/>
      <x:c r="U83" s="465"/>
      <x:c r="V83" s="465"/>
      <x:c r="W83" s="465"/>
      <x:c r="X83" s="465"/>
      <x:c r="Y83" s="465"/>
      <x:c r="Z83" s="465"/>
    </x:row>
    <x:row r="84">
      <x:c r="A84" s="465"/>
      <x:c r="B84" s="465"/>
      <x:c r="C84" s="465"/>
      <x:c r="D84" s="465"/>
      <x:c r="E84" s="465"/>
      <x:c r="F84" s="465"/>
      <x:c r="G84" s="465"/>
      <x:c r="H84" s="465"/>
      <x:c r="I84" s="465"/>
      <x:c r="J84" s="465"/>
      <x:c r="K84" s="465"/>
      <x:c r="L84" s="465"/>
      <x:c r="M84" s="465"/>
      <x:c r="N84" s="465"/>
      <x:c r="O84" s="465"/>
      <x:c r="P84" s="465"/>
      <x:c r="Q84" s="465"/>
      <x:c r="R84" s="465"/>
      <x:c r="S84" s="465"/>
      <x:c r="T84" s="465"/>
      <x:c r="U84" s="465"/>
      <x:c r="V84" s="465"/>
      <x:c r="W84" s="465"/>
      <x:c r="X84" s="465"/>
      <x:c r="Y84" s="465"/>
      <x:c r="Z84" s="465"/>
    </x:row>
    <x:row r="85">
      <x:c r="A85" s="465"/>
      <x:c r="B85" s="465"/>
      <x:c r="C85" s="465"/>
      <x:c r="D85" s="465"/>
      <x:c r="E85" s="465"/>
      <x:c r="F85" s="465"/>
      <x:c r="G85" s="465"/>
      <x:c r="H85" s="465"/>
      <x:c r="I85" s="465"/>
      <x:c r="J85" s="465"/>
      <x:c r="K85" s="465"/>
      <x:c r="L85" s="465"/>
      <x:c r="M85" s="465"/>
      <x:c r="N85" s="465"/>
      <x:c r="O85" s="465"/>
      <x:c r="P85" s="465"/>
      <x:c r="Q85" s="465"/>
      <x:c r="R85" s="465"/>
      <x:c r="S85" s="465"/>
      <x:c r="T85" s="465"/>
      <x:c r="U85" s="465"/>
      <x:c r="V85" s="465"/>
      <x:c r="W85" s="465"/>
      <x:c r="X85" s="465"/>
      <x:c r="Y85" s="465"/>
      <x:c r="Z85" s="465"/>
    </x:row>
    <x:row r="86">
      <x:c r="A86" s="465"/>
      <x:c r="B86" s="465"/>
      <x:c r="C86" s="465"/>
      <x:c r="D86" s="465"/>
      <x:c r="E86" s="465"/>
      <x:c r="F86" s="465"/>
      <x:c r="G86" s="465"/>
      <x:c r="H86" s="465"/>
      <x:c r="I86" s="465"/>
      <x:c r="J86" s="465"/>
      <x:c r="K86" s="465"/>
      <x:c r="L86" s="465"/>
      <x:c r="M86" s="465"/>
      <x:c r="N86" s="465"/>
      <x:c r="O86" s="465"/>
      <x:c r="P86" s="465"/>
      <x:c r="Q86" s="465"/>
      <x:c r="R86" s="465"/>
      <x:c r="S86" s="465"/>
      <x:c r="T86" s="465"/>
      <x:c r="U86" s="465"/>
      <x:c r="V86" s="465"/>
      <x:c r="W86" s="465"/>
      <x:c r="X86" s="465"/>
      <x:c r="Y86" s="465"/>
      <x:c r="Z86" s="465"/>
    </x:row>
    <x:row r="87">
      <x:c r="A87" s="465"/>
      <x:c r="B87" s="465"/>
      <x:c r="C87" s="465"/>
      <x:c r="D87" s="465"/>
      <x:c r="E87" s="465"/>
      <x:c r="F87" s="465"/>
      <x:c r="G87" s="465"/>
      <x:c r="H87" s="465"/>
      <x:c r="I87" s="465"/>
      <x:c r="J87" s="465"/>
      <x:c r="K87" s="465"/>
      <x:c r="L87" s="465"/>
      <x:c r="M87" s="465"/>
      <x:c r="N87" s="465"/>
      <x:c r="O87" s="465"/>
      <x:c r="P87" s="465"/>
      <x:c r="Q87" s="465"/>
      <x:c r="R87" s="465"/>
      <x:c r="S87" s="465"/>
      <x:c r="T87" s="465"/>
      <x:c r="U87" s="465"/>
      <x:c r="V87" s="465"/>
      <x:c r="W87" s="465"/>
      <x:c r="X87" s="465"/>
      <x:c r="Y87" s="465"/>
      <x:c r="Z87" s="465"/>
    </x:row>
    <x:row r="88">
      <x:c r="A88" s="465"/>
      <x:c r="B88" s="465"/>
      <x:c r="C88" s="465"/>
      <x:c r="D88" s="465"/>
      <x:c r="E88" s="465"/>
      <x:c r="F88" s="465"/>
      <x:c r="G88" s="465"/>
      <x:c r="H88" s="465"/>
      <x:c r="I88" s="465"/>
      <x:c r="J88" s="465"/>
      <x:c r="K88" s="465"/>
      <x:c r="L88" s="465"/>
      <x:c r="M88" s="465"/>
      <x:c r="N88" s="465"/>
      <x:c r="O88" s="465"/>
      <x:c r="P88" s="465"/>
      <x:c r="Q88" s="465"/>
      <x:c r="R88" s="465"/>
      <x:c r="S88" s="465"/>
      <x:c r="T88" s="465"/>
      <x:c r="U88" s="465"/>
      <x:c r="V88" s="465"/>
      <x:c r="W88" s="465"/>
      <x:c r="X88" s="465"/>
      <x:c r="Y88" s="465"/>
      <x:c r="Z88" s="465"/>
    </x:row>
    <x:row r="89">
      <x:c r="A89" s="465"/>
      <x:c r="B89" s="465"/>
      <x:c r="C89" s="465"/>
      <x:c r="D89" s="465"/>
      <x:c r="E89" s="465"/>
      <x:c r="F89" s="465"/>
      <x:c r="G89" s="465"/>
      <x:c r="H89" s="465"/>
      <x:c r="I89" s="465"/>
      <x:c r="J89" s="465"/>
      <x:c r="K89" s="465"/>
      <x:c r="L89" s="465"/>
      <x:c r="M89" s="465"/>
      <x:c r="N89" s="465"/>
      <x:c r="O89" s="465"/>
      <x:c r="P89" s="465"/>
      <x:c r="Q89" s="465"/>
      <x:c r="R89" s="465"/>
      <x:c r="S89" s="465"/>
      <x:c r="T89" s="465"/>
      <x:c r="U89" s="465"/>
      <x:c r="V89" s="465"/>
      <x:c r="W89" s="465"/>
      <x:c r="X89" s="465"/>
      <x:c r="Y89" s="465"/>
      <x:c r="Z89" s="465"/>
    </x:row>
    <x:row r="90">
      <x:c r="A90" s="465"/>
      <x:c r="B90" s="465"/>
      <x:c r="C90" s="465"/>
      <x:c r="D90" s="465"/>
      <x:c r="E90" s="465"/>
      <x:c r="F90" s="465"/>
      <x:c r="G90" s="465"/>
      <x:c r="H90" s="465"/>
      <x:c r="I90" s="465"/>
      <x:c r="J90" s="465"/>
      <x:c r="K90" s="465"/>
      <x:c r="L90" s="465"/>
      <x:c r="M90" s="465"/>
      <x:c r="N90" s="465"/>
      <x:c r="O90" s="465"/>
      <x:c r="P90" s="465"/>
      <x:c r="Q90" s="465"/>
      <x:c r="R90" s="465"/>
      <x:c r="S90" s="465"/>
      <x:c r="T90" s="465"/>
      <x:c r="U90" s="465"/>
      <x:c r="V90" s="465"/>
      <x:c r="W90" s="465"/>
      <x:c r="X90" s="465"/>
      <x:c r="Y90" s="465"/>
      <x:c r="Z90" s="465"/>
    </x:row>
    <x:row r="91">
      <x:c r="A91" s="465"/>
      <x:c r="B91" s="465"/>
      <x:c r="C91" s="465"/>
      <x:c r="D91" s="465"/>
      <x:c r="E91" s="465"/>
      <x:c r="F91" s="465"/>
      <x:c r="G91" s="465"/>
      <x:c r="H91" s="465"/>
      <x:c r="I91" s="465"/>
      <x:c r="J91" s="465"/>
      <x:c r="K91" s="465"/>
      <x:c r="L91" s="465"/>
      <x:c r="M91" s="465"/>
      <x:c r="N91" s="465"/>
      <x:c r="O91" s="465"/>
      <x:c r="P91" s="465"/>
      <x:c r="Q91" s="465"/>
      <x:c r="R91" s="465"/>
      <x:c r="S91" s="465"/>
      <x:c r="T91" s="465"/>
      <x:c r="U91" s="465"/>
      <x:c r="V91" s="465"/>
      <x:c r="W91" s="465"/>
      <x:c r="X91" s="465"/>
      <x:c r="Y91" s="465"/>
      <x:c r="Z91" s="465"/>
    </x:row>
    <x:row r="92">
      <x:c r="A92" s="465"/>
      <x:c r="B92" s="465"/>
      <x:c r="C92" s="465"/>
      <x:c r="D92" s="465"/>
      <x:c r="E92" s="465"/>
      <x:c r="F92" s="465"/>
      <x:c r="G92" s="465"/>
      <x:c r="H92" s="465"/>
      <x:c r="I92" s="465"/>
      <x:c r="J92" s="465"/>
      <x:c r="K92" s="465"/>
      <x:c r="L92" s="465"/>
      <x:c r="M92" s="465"/>
      <x:c r="N92" s="465"/>
      <x:c r="O92" s="465"/>
      <x:c r="P92" s="465"/>
      <x:c r="Q92" s="465"/>
      <x:c r="R92" s="465"/>
      <x:c r="S92" s="465"/>
      <x:c r="T92" s="465"/>
      <x:c r="U92" s="465"/>
      <x:c r="V92" s="465"/>
      <x:c r="W92" s="465"/>
      <x:c r="X92" s="465"/>
      <x:c r="Y92" s="465"/>
      <x:c r="Z92" s="465"/>
    </x:row>
    <x:row r="93">
      <x:c r="A93" s="465"/>
      <x:c r="B93" s="465"/>
      <x:c r="C93" s="465"/>
      <x:c r="D93" s="465"/>
      <x:c r="E93" s="465"/>
      <x:c r="F93" s="465"/>
      <x:c r="G93" s="465"/>
      <x:c r="H93" s="465"/>
      <x:c r="I93" s="465"/>
      <x:c r="J93" s="465"/>
      <x:c r="K93" s="465"/>
      <x:c r="L93" s="465"/>
      <x:c r="M93" s="465"/>
      <x:c r="N93" s="465"/>
      <x:c r="O93" s="465"/>
      <x:c r="P93" s="465"/>
      <x:c r="Q93" s="465"/>
      <x:c r="R93" s="465"/>
      <x:c r="S93" s="465"/>
      <x:c r="T93" s="465"/>
      <x:c r="U93" s="465"/>
      <x:c r="V93" s="465"/>
      <x:c r="W93" s="465"/>
      <x:c r="X93" s="465"/>
      <x:c r="Y93" s="465"/>
      <x:c r="Z93" s="465"/>
    </x:row>
    <x:row r="94">
      <x:c r="A94" s="465"/>
      <x:c r="B94" s="465"/>
      <x:c r="C94" s="465"/>
      <x:c r="D94" s="465"/>
      <x:c r="E94" s="465"/>
      <x:c r="F94" s="465"/>
      <x:c r="G94" s="465"/>
      <x:c r="H94" s="465"/>
      <x:c r="I94" s="465"/>
      <x:c r="J94" s="465"/>
      <x:c r="K94" s="465"/>
      <x:c r="L94" s="465"/>
      <x:c r="M94" s="465"/>
      <x:c r="N94" s="465"/>
      <x:c r="O94" s="465"/>
      <x:c r="P94" s="465"/>
      <x:c r="Q94" s="465"/>
      <x:c r="R94" s="465"/>
      <x:c r="S94" s="465"/>
      <x:c r="T94" s="465"/>
      <x:c r="U94" s="465"/>
      <x:c r="V94" s="465"/>
      <x:c r="W94" s="465"/>
      <x:c r="X94" s="465"/>
      <x:c r="Y94" s="465"/>
      <x:c r="Z94" s="465"/>
    </x:row>
    <x:row r="95">
      <x:c r="A95" s="465"/>
      <x:c r="B95" s="465"/>
      <x:c r="C95" s="465"/>
      <x:c r="D95" s="465"/>
      <x:c r="E95" s="465"/>
      <x:c r="F95" s="465"/>
      <x:c r="G95" s="465"/>
      <x:c r="H95" s="465"/>
      <x:c r="I95" s="465"/>
      <x:c r="J95" s="465"/>
      <x:c r="K95" s="465"/>
      <x:c r="L95" s="465"/>
      <x:c r="M95" s="465"/>
      <x:c r="N95" s="465"/>
      <x:c r="O95" s="465"/>
      <x:c r="P95" s="465"/>
      <x:c r="Q95" s="465"/>
      <x:c r="R95" s="465"/>
      <x:c r="S95" s="465"/>
      <x:c r="T95" s="465"/>
      <x:c r="U95" s="465"/>
      <x:c r="V95" s="465"/>
      <x:c r="W95" s="465"/>
      <x:c r="X95" s="465"/>
      <x:c r="Y95" s="465"/>
      <x:c r="Z95" s="465"/>
    </x:row>
    <x:row r="96">
      <x:c r="A96" s="465"/>
      <x:c r="B96" s="465"/>
      <x:c r="C96" s="465"/>
      <x:c r="D96" s="465"/>
      <x:c r="E96" s="465"/>
      <x:c r="F96" s="465"/>
      <x:c r="G96" s="465"/>
      <x:c r="H96" s="465"/>
      <x:c r="I96" s="465"/>
      <x:c r="J96" s="465"/>
      <x:c r="K96" s="465"/>
      <x:c r="L96" s="465"/>
      <x:c r="M96" s="465"/>
      <x:c r="N96" s="465"/>
      <x:c r="O96" s="465"/>
      <x:c r="P96" s="465"/>
      <x:c r="Q96" s="465"/>
      <x:c r="R96" s="465"/>
      <x:c r="S96" s="465"/>
      <x:c r="T96" s="465"/>
      <x:c r="U96" s="465"/>
      <x:c r="V96" s="465"/>
      <x:c r="W96" s="465"/>
      <x:c r="X96" s="465"/>
      <x:c r="Y96" s="465"/>
      <x:c r="Z96" s="465"/>
    </x:row>
    <x:row r="97">
      <x:c r="A97" s="465"/>
      <x:c r="B97" s="465"/>
      <x:c r="C97" s="465"/>
      <x:c r="D97" s="465"/>
      <x:c r="E97" s="465"/>
      <x:c r="F97" s="465"/>
      <x:c r="G97" s="465"/>
      <x:c r="H97" s="465"/>
      <x:c r="I97" s="465"/>
      <x:c r="J97" s="465"/>
      <x:c r="K97" s="465"/>
      <x:c r="L97" s="465"/>
      <x:c r="M97" s="465"/>
      <x:c r="N97" s="465"/>
      <x:c r="O97" s="465"/>
      <x:c r="P97" s="465"/>
      <x:c r="Q97" s="465"/>
      <x:c r="R97" s="465"/>
      <x:c r="S97" s="465"/>
      <x:c r="T97" s="465"/>
      <x:c r="U97" s="465"/>
      <x:c r="V97" s="465"/>
      <x:c r="W97" s="465"/>
      <x:c r="X97" s="465"/>
      <x:c r="Y97" s="465"/>
      <x:c r="Z97" s="465"/>
    </x:row>
    <x:row r="98">
      <x:c r="A98" s="465"/>
      <x:c r="B98" s="465"/>
      <x:c r="C98" s="465"/>
      <x:c r="D98" s="465"/>
      <x:c r="E98" s="465"/>
      <x:c r="F98" s="465"/>
      <x:c r="G98" s="465"/>
      <x:c r="H98" s="465"/>
      <x:c r="I98" s="465"/>
      <x:c r="J98" s="465"/>
      <x:c r="K98" s="465"/>
      <x:c r="L98" s="465"/>
      <x:c r="M98" s="465"/>
      <x:c r="N98" s="465"/>
      <x:c r="O98" s="465"/>
      <x:c r="P98" s="465"/>
      <x:c r="Q98" s="465"/>
      <x:c r="R98" s="465"/>
      <x:c r="S98" s="465"/>
      <x:c r="T98" s="465"/>
      <x:c r="U98" s="465"/>
      <x:c r="V98" s="465"/>
      <x:c r="W98" s="465"/>
      <x:c r="X98" s="465"/>
      <x:c r="Y98" s="465"/>
      <x:c r="Z98" s="465"/>
    </x:row>
    <x:row r="99">
      <x:c r="A99" s="465"/>
      <x:c r="B99" s="465"/>
      <x:c r="C99" s="465"/>
      <x:c r="D99" s="465"/>
      <x:c r="E99" s="465"/>
      <x:c r="F99" s="465"/>
      <x:c r="G99" s="465"/>
      <x:c r="H99" s="465"/>
      <x:c r="I99" s="465"/>
      <x:c r="J99" s="465"/>
      <x:c r="K99" s="465"/>
      <x:c r="L99" s="465"/>
      <x:c r="M99" s="465"/>
      <x:c r="N99" s="465"/>
      <x:c r="O99" s="465"/>
      <x:c r="P99" s="465"/>
      <x:c r="Q99" s="465"/>
      <x:c r="R99" s="465"/>
      <x:c r="S99" s="465"/>
      <x:c r="T99" s="465"/>
      <x:c r="U99" s="465"/>
      <x:c r="V99" s="465"/>
      <x:c r="W99" s="465"/>
      <x:c r="X99" s="465"/>
      <x:c r="Y99" s="465"/>
      <x:c r="Z99" s="465"/>
    </x:row>
    <x:row r="100">
      <x:c r="A100" s="465"/>
      <x:c r="B100" s="465"/>
      <x:c r="C100" s="465"/>
      <x:c r="D100" s="465"/>
      <x:c r="E100" s="465"/>
      <x:c r="F100" s="465"/>
      <x:c r="G100" s="465"/>
      <x:c r="H100" s="465"/>
      <x:c r="I100" s="465"/>
      <x:c r="J100" s="465"/>
      <x:c r="K100" s="465"/>
      <x:c r="L100" s="465"/>
      <x:c r="M100" s="465"/>
      <x:c r="N100" s="465"/>
      <x:c r="O100" s="465"/>
      <x:c r="P100" s="465"/>
      <x:c r="Q100" s="465"/>
      <x:c r="R100" s="465"/>
      <x:c r="S100" s="465"/>
      <x:c r="T100" s="465"/>
      <x:c r="U100" s="465"/>
      <x:c r="V100" s="465"/>
      <x:c r="W100" s="465"/>
      <x:c r="X100" s="465"/>
      <x:c r="Y100" s="465"/>
      <x:c r="Z100" s="465"/>
    </x:row>
    <x:row r="101">
      <x:c r="A101" s="465"/>
      <x:c r="B101" s="465"/>
      <x:c r="C101" s="465"/>
      <x:c r="D101" s="465"/>
      <x:c r="E101" s="465"/>
      <x:c r="F101" s="465"/>
      <x:c r="G101" s="465"/>
      <x:c r="H101" s="465"/>
      <x:c r="I101" s="465"/>
      <x:c r="J101" s="465"/>
      <x:c r="K101" s="465"/>
      <x:c r="L101" s="465"/>
      <x:c r="M101" s="465"/>
      <x:c r="N101" s="465"/>
      <x:c r="O101" s="465"/>
      <x:c r="P101" s="465"/>
      <x:c r="Q101" s="465"/>
      <x:c r="R101" s="465"/>
      <x:c r="S101" s="465"/>
      <x:c r="T101" s="465"/>
      <x:c r="U101" s="465"/>
      <x:c r="V101" s="465"/>
      <x:c r="W101" s="465"/>
      <x:c r="X101" s="465"/>
      <x:c r="Y101" s="465"/>
      <x:c r="Z101" s="465"/>
    </x:row>
    <x:row r="102">
      <x:c r="A102" s="465"/>
      <x:c r="B102" s="465"/>
      <x:c r="C102" s="465"/>
      <x:c r="D102" s="465"/>
      <x:c r="E102" s="465"/>
      <x:c r="F102" s="465"/>
      <x:c r="G102" s="465"/>
      <x:c r="H102" s="465"/>
      <x:c r="I102" s="465"/>
      <x:c r="J102" s="465"/>
      <x:c r="K102" s="465"/>
      <x:c r="L102" s="465"/>
      <x:c r="M102" s="465"/>
      <x:c r="N102" s="465"/>
      <x:c r="O102" s="465"/>
      <x:c r="P102" s="465"/>
      <x:c r="Q102" s="465"/>
      <x:c r="R102" s="465"/>
      <x:c r="S102" s="465"/>
      <x:c r="T102" s="465"/>
      <x:c r="U102" s="465"/>
      <x:c r="V102" s="465"/>
      <x:c r="W102" s="465"/>
      <x:c r="X102" s="465"/>
      <x:c r="Y102" s="465"/>
      <x:c r="Z102" s="465"/>
    </x:row>
    <x:row r="103">
      <x:c r="A103" s="465"/>
      <x:c r="B103" s="465"/>
      <x:c r="C103" s="465"/>
      <x:c r="D103" s="465"/>
      <x:c r="E103" s="465"/>
      <x:c r="F103" s="465"/>
      <x:c r="G103" s="465"/>
      <x:c r="H103" s="465"/>
      <x:c r="I103" s="465"/>
      <x:c r="J103" s="465"/>
      <x:c r="K103" s="465"/>
      <x:c r="L103" s="465"/>
      <x:c r="M103" s="465"/>
      <x:c r="N103" s="465"/>
      <x:c r="O103" s="465"/>
      <x:c r="P103" s="465"/>
      <x:c r="Q103" s="465"/>
      <x:c r="R103" s="465"/>
      <x:c r="S103" s="465"/>
      <x:c r="T103" s="465"/>
      <x:c r="U103" s="465"/>
      <x:c r="V103" s="465"/>
      <x:c r="W103" s="465"/>
      <x:c r="X103" s="465"/>
      <x:c r="Y103" s="465"/>
      <x:c r="Z103" s="465"/>
    </x:row>
    <x:row r="104">
      <x:c r="A104" s="465"/>
      <x:c r="B104" s="465"/>
      <x:c r="C104" s="465"/>
      <x:c r="D104" s="465"/>
      <x:c r="E104" s="465"/>
      <x:c r="F104" s="465"/>
      <x:c r="G104" s="465"/>
      <x:c r="H104" s="465"/>
      <x:c r="I104" s="465"/>
      <x:c r="J104" s="465"/>
      <x:c r="K104" s="465"/>
      <x:c r="L104" s="465"/>
      <x:c r="M104" s="465"/>
      <x:c r="N104" s="465"/>
      <x:c r="O104" s="465"/>
      <x:c r="P104" s="465"/>
      <x:c r="Q104" s="465"/>
      <x:c r="R104" s="465"/>
      <x:c r="S104" s="465"/>
      <x:c r="T104" s="465"/>
      <x:c r="U104" s="465"/>
      <x:c r="V104" s="465"/>
      <x:c r="W104" s="465"/>
      <x:c r="X104" s="465"/>
      <x:c r="Y104" s="465"/>
      <x:c r="Z104" s="465"/>
    </x:row>
    <x:row r="105">
      <x:c r="A105" s="465"/>
      <x:c r="B105" s="465"/>
      <x:c r="C105" s="465"/>
      <x:c r="D105" s="465"/>
      <x:c r="E105" s="465"/>
      <x:c r="F105" s="465"/>
      <x:c r="G105" s="465"/>
      <x:c r="H105" s="465"/>
      <x:c r="I105" s="465"/>
      <x:c r="J105" s="465"/>
      <x:c r="K105" s="465"/>
      <x:c r="L105" s="465"/>
      <x:c r="M105" s="465"/>
      <x:c r="N105" s="465"/>
      <x:c r="O105" s="465"/>
      <x:c r="P105" s="465"/>
      <x:c r="Q105" s="465"/>
      <x:c r="R105" s="465"/>
      <x:c r="S105" s="465"/>
      <x:c r="T105" s="465"/>
      <x:c r="U105" s="465"/>
      <x:c r="V105" s="465"/>
      <x:c r="W105" s="465"/>
      <x:c r="X105" s="465"/>
      <x:c r="Y105" s="465"/>
      <x:c r="Z105" s="465"/>
    </x:row>
    <x:row r="106">
      <x:c r="A106" s="465"/>
      <x:c r="B106" s="465"/>
      <x:c r="C106" s="465"/>
      <x:c r="D106" s="465"/>
      <x:c r="E106" s="465"/>
      <x:c r="F106" s="465"/>
      <x:c r="G106" s="465"/>
      <x:c r="H106" s="465"/>
      <x:c r="I106" s="465"/>
      <x:c r="J106" s="465"/>
      <x:c r="K106" s="465"/>
      <x:c r="L106" s="465"/>
      <x:c r="M106" s="465"/>
      <x:c r="N106" s="465"/>
      <x:c r="O106" s="465"/>
      <x:c r="P106" s="465"/>
      <x:c r="Q106" s="465"/>
      <x:c r="R106" s="465"/>
      <x:c r="S106" s="465"/>
      <x:c r="T106" s="465"/>
      <x:c r="U106" s="465"/>
      <x:c r="V106" s="465"/>
      <x:c r="W106" s="465"/>
      <x:c r="X106" s="465"/>
      <x:c r="Y106" s="465"/>
      <x:c r="Z106" s="465"/>
    </x:row>
    <x:row r="107">
      <x:c r="A107" s="465"/>
      <x:c r="B107" s="465"/>
      <x:c r="C107" s="465"/>
      <x:c r="D107" s="465"/>
      <x:c r="E107" s="465"/>
      <x:c r="F107" s="465"/>
      <x:c r="G107" s="465"/>
      <x:c r="H107" s="465"/>
      <x:c r="I107" s="465"/>
      <x:c r="J107" s="465"/>
      <x:c r="K107" s="465"/>
      <x:c r="L107" s="465"/>
      <x:c r="M107" s="465"/>
      <x:c r="N107" s="465"/>
      <x:c r="O107" s="465"/>
      <x:c r="P107" s="465"/>
      <x:c r="Q107" s="465"/>
      <x:c r="R107" s="465"/>
      <x:c r="S107" s="465"/>
      <x:c r="T107" s="465"/>
      <x:c r="U107" s="465"/>
      <x:c r="V107" s="465"/>
      <x:c r="W107" s="465"/>
      <x:c r="X107" s="465"/>
      <x:c r="Y107" s="465"/>
      <x:c r="Z107" s="465"/>
    </x:row>
    <x:row r="108">
      <x:c r="A108" s="465"/>
      <x:c r="B108" s="465"/>
      <x:c r="C108" s="465"/>
      <x:c r="D108" s="465"/>
      <x:c r="E108" s="465"/>
      <x:c r="F108" s="465"/>
      <x:c r="G108" s="465"/>
      <x:c r="H108" s="465"/>
      <x:c r="I108" s="465"/>
      <x:c r="J108" s="465"/>
      <x:c r="K108" s="465"/>
      <x:c r="L108" s="465"/>
      <x:c r="M108" s="465"/>
      <x:c r="N108" s="465"/>
      <x:c r="O108" s="465"/>
      <x:c r="P108" s="465"/>
      <x:c r="Q108" s="465"/>
      <x:c r="R108" s="465"/>
      <x:c r="S108" s="465"/>
      <x:c r="T108" s="465"/>
      <x:c r="U108" s="465"/>
      <x:c r="V108" s="465"/>
      <x:c r="W108" s="465"/>
      <x:c r="X108" s="465"/>
      <x:c r="Y108" s="465"/>
      <x:c r="Z108" s="465"/>
    </x:row>
    <x:row r="109">
      <x:c r="A109" s="465"/>
      <x:c r="B109" s="465"/>
      <x:c r="C109" s="465"/>
      <x:c r="D109" s="465"/>
      <x:c r="E109" s="465"/>
      <x:c r="F109" s="465"/>
      <x:c r="G109" s="465"/>
      <x:c r="H109" s="465"/>
      <x:c r="I109" s="465"/>
      <x:c r="J109" s="465"/>
      <x:c r="K109" s="465"/>
      <x:c r="L109" s="465"/>
      <x:c r="M109" s="465"/>
      <x:c r="N109" s="465"/>
      <x:c r="O109" s="465"/>
      <x:c r="P109" s="465"/>
      <x:c r="Q109" s="465"/>
      <x:c r="R109" s="465"/>
      <x:c r="S109" s="465"/>
      <x:c r="T109" s="465"/>
      <x:c r="U109" s="465"/>
      <x:c r="V109" s="465"/>
      <x:c r="W109" s="465"/>
      <x:c r="X109" s="465"/>
      <x:c r="Y109" s="465"/>
      <x:c r="Z109" s="465"/>
    </x:row>
    <x:row r="110">
      <x:c r="A110" s="465"/>
      <x:c r="B110" s="465"/>
      <x:c r="C110" s="465"/>
      <x:c r="D110" s="465"/>
      <x:c r="E110" s="465"/>
      <x:c r="F110" s="465"/>
      <x:c r="G110" s="465"/>
      <x:c r="H110" s="465"/>
      <x:c r="I110" s="465"/>
      <x:c r="J110" s="465"/>
      <x:c r="K110" s="465"/>
      <x:c r="L110" s="465"/>
      <x:c r="M110" s="465"/>
      <x:c r="N110" s="465"/>
      <x:c r="O110" s="465"/>
      <x:c r="P110" s="465"/>
      <x:c r="Q110" s="465"/>
      <x:c r="R110" s="465"/>
      <x:c r="S110" s="465"/>
      <x:c r="T110" s="465"/>
      <x:c r="U110" s="465"/>
      <x:c r="V110" s="465"/>
      <x:c r="W110" s="465"/>
      <x:c r="X110" s="465"/>
      <x:c r="Y110" s="465"/>
      <x:c r="Z110" s="465"/>
    </x:row>
    <x:row r="111">
      <x:c r="A111" s="465"/>
      <x:c r="B111" s="465"/>
      <x:c r="C111" s="465"/>
      <x:c r="D111" s="465"/>
      <x:c r="E111" s="465"/>
      <x:c r="F111" s="465"/>
      <x:c r="G111" s="465"/>
      <x:c r="H111" s="465"/>
      <x:c r="I111" s="465"/>
      <x:c r="J111" s="465"/>
      <x:c r="K111" s="465"/>
      <x:c r="L111" s="465"/>
      <x:c r="M111" s="465"/>
      <x:c r="N111" s="465"/>
      <x:c r="O111" s="465"/>
      <x:c r="P111" s="465"/>
      <x:c r="Q111" s="465"/>
      <x:c r="R111" s="465"/>
      <x:c r="S111" s="465"/>
      <x:c r="T111" s="465"/>
      <x:c r="U111" s="465"/>
      <x:c r="V111" s="465"/>
      <x:c r="W111" s="465"/>
      <x:c r="X111" s="465"/>
      <x:c r="Y111" s="465"/>
      <x:c r="Z111" s="465"/>
    </x:row>
    <x:row r="112">
      <x:c r="A112" s="465"/>
      <x:c r="B112" s="465"/>
      <x:c r="C112" s="465"/>
      <x:c r="D112" s="465"/>
      <x:c r="E112" s="465"/>
      <x:c r="F112" s="465"/>
      <x:c r="G112" s="465"/>
      <x:c r="H112" s="465"/>
      <x:c r="I112" s="465"/>
      <x:c r="J112" s="465"/>
      <x:c r="K112" s="465"/>
      <x:c r="L112" s="465"/>
      <x:c r="M112" s="465"/>
      <x:c r="N112" s="465"/>
      <x:c r="O112" s="465"/>
      <x:c r="P112" s="465"/>
      <x:c r="Q112" s="465"/>
      <x:c r="R112" s="465"/>
      <x:c r="S112" s="465"/>
      <x:c r="T112" s="465"/>
      <x:c r="U112" s="465"/>
      <x:c r="V112" s="465"/>
      <x:c r="W112" s="465"/>
      <x:c r="X112" s="465"/>
      <x:c r="Y112" s="465"/>
      <x:c r="Z112" s="465"/>
    </x:row>
    <x:row r="113">
      <x:c r="A113" s="465"/>
      <x:c r="B113" s="465"/>
      <x:c r="C113" s="465"/>
      <x:c r="D113" s="465"/>
      <x:c r="E113" s="465"/>
      <x:c r="F113" s="465"/>
      <x:c r="G113" s="465"/>
      <x:c r="H113" s="465"/>
      <x:c r="I113" s="465"/>
      <x:c r="J113" s="465"/>
      <x:c r="K113" s="465"/>
      <x:c r="L113" s="465"/>
      <x:c r="M113" s="465"/>
      <x:c r="N113" s="465"/>
      <x:c r="O113" s="465"/>
      <x:c r="P113" s="465"/>
      <x:c r="Q113" s="465"/>
      <x:c r="R113" s="465"/>
      <x:c r="S113" s="465"/>
      <x:c r="T113" s="465"/>
      <x:c r="U113" s="465"/>
      <x:c r="V113" s="465"/>
      <x:c r="W113" s="465"/>
      <x:c r="X113" s="465"/>
      <x:c r="Y113" s="465"/>
      <x:c r="Z113" s="465"/>
    </x:row>
    <x:row r="114">
      <x:c r="A114" s="465"/>
      <x:c r="B114" s="465"/>
      <x:c r="C114" s="465"/>
      <x:c r="D114" s="465"/>
      <x:c r="E114" s="465"/>
      <x:c r="F114" s="465"/>
      <x:c r="G114" s="465"/>
      <x:c r="H114" s="465"/>
      <x:c r="I114" s="465"/>
      <x:c r="J114" s="465"/>
      <x:c r="K114" s="465"/>
      <x:c r="L114" s="465"/>
      <x:c r="M114" s="465"/>
      <x:c r="N114" s="465"/>
      <x:c r="O114" s="465"/>
      <x:c r="P114" s="465"/>
      <x:c r="Q114" s="465"/>
      <x:c r="R114" s="465"/>
      <x:c r="S114" s="465"/>
      <x:c r="T114" s="465"/>
      <x:c r="U114" s="465"/>
      <x:c r="V114" s="465"/>
      <x:c r="W114" s="465"/>
      <x:c r="X114" s="465"/>
      <x:c r="Y114" s="465"/>
      <x:c r="Z114" s="465"/>
    </x:row>
    <x:row r="115">
      <x:c r="A115" s="465"/>
      <x:c r="B115" s="465"/>
      <x:c r="C115" s="465"/>
      <x:c r="D115" s="465"/>
      <x:c r="E115" s="465"/>
      <x:c r="F115" s="465"/>
      <x:c r="G115" s="465"/>
      <x:c r="H115" s="465"/>
      <x:c r="I115" s="465"/>
      <x:c r="J115" s="465"/>
      <x:c r="K115" s="465"/>
      <x:c r="L115" s="465"/>
      <x:c r="M115" s="465"/>
      <x:c r="N115" s="465"/>
      <x:c r="O115" s="465"/>
      <x:c r="P115" s="465"/>
      <x:c r="Q115" s="465"/>
      <x:c r="R115" s="465"/>
      <x:c r="S115" s="465"/>
      <x:c r="T115" s="465"/>
      <x:c r="U115" s="465"/>
      <x:c r="V115" s="465"/>
      <x:c r="W115" s="465"/>
      <x:c r="X115" s="465"/>
      <x:c r="Y115" s="465"/>
      <x:c r="Z115" s="465"/>
    </x:row>
    <x:row r="116">
      <x:c r="A116" s="465"/>
      <x:c r="B116" s="465"/>
      <x:c r="C116" s="465"/>
      <x:c r="D116" s="465"/>
      <x:c r="E116" s="465"/>
      <x:c r="F116" s="465"/>
      <x:c r="G116" s="465"/>
      <x:c r="H116" s="465"/>
      <x:c r="I116" s="465"/>
      <x:c r="J116" s="465"/>
      <x:c r="K116" s="465"/>
      <x:c r="L116" s="465"/>
      <x:c r="M116" s="465"/>
      <x:c r="N116" s="465"/>
      <x:c r="O116" s="465"/>
      <x:c r="P116" s="465"/>
      <x:c r="Q116" s="465"/>
      <x:c r="R116" s="465"/>
      <x:c r="S116" s="465"/>
      <x:c r="T116" s="465"/>
      <x:c r="U116" s="465"/>
      <x:c r="V116" s="465"/>
      <x:c r="W116" s="465"/>
      <x:c r="X116" s="465"/>
      <x:c r="Y116" s="465"/>
      <x:c r="Z116" s="465"/>
    </x:row>
    <x:row r="117">
      <x:c r="A117" s="465"/>
      <x:c r="B117" s="465"/>
      <x:c r="C117" s="465"/>
      <x:c r="D117" s="465"/>
      <x:c r="E117" s="465"/>
      <x:c r="F117" s="465"/>
      <x:c r="G117" s="465"/>
      <x:c r="H117" s="465"/>
      <x:c r="I117" s="465"/>
      <x:c r="J117" s="465"/>
      <x:c r="K117" s="465"/>
      <x:c r="L117" s="465"/>
      <x:c r="M117" s="465"/>
      <x:c r="N117" s="465"/>
      <x:c r="O117" s="465"/>
      <x:c r="P117" s="465"/>
      <x:c r="Q117" s="465"/>
      <x:c r="R117" s="465"/>
      <x:c r="S117" s="465"/>
      <x:c r="T117" s="465"/>
      <x:c r="U117" s="465"/>
      <x:c r="V117" s="465"/>
      <x:c r="W117" s="465"/>
      <x:c r="X117" s="465"/>
      <x:c r="Y117" s="465"/>
      <x:c r="Z117" s="465"/>
    </x:row>
    <x:row r="118">
      <x:c r="A118" s="465"/>
      <x:c r="B118" s="465"/>
      <x:c r="C118" s="465"/>
      <x:c r="D118" s="465"/>
      <x:c r="E118" s="465"/>
      <x:c r="F118" s="465"/>
      <x:c r="G118" s="465"/>
      <x:c r="H118" s="465"/>
      <x:c r="I118" s="465"/>
      <x:c r="J118" s="465"/>
      <x:c r="K118" s="465"/>
      <x:c r="L118" s="465"/>
      <x:c r="M118" s="465"/>
      <x:c r="N118" s="465"/>
      <x:c r="O118" s="465"/>
      <x:c r="P118" s="465"/>
      <x:c r="Q118" s="465"/>
      <x:c r="R118" s="465"/>
      <x:c r="S118" s="465"/>
      <x:c r="T118" s="465"/>
      <x:c r="U118" s="465"/>
      <x:c r="V118" s="465"/>
      <x:c r="W118" s="465"/>
      <x:c r="X118" s="465"/>
      <x:c r="Y118" s="465"/>
      <x:c r="Z118" s="465"/>
    </x:row>
    <x:row r="119">
      <x:c r="A119" s="465"/>
      <x:c r="B119" s="465"/>
      <x:c r="C119" s="465"/>
      <x:c r="D119" s="465"/>
      <x:c r="E119" s="465"/>
      <x:c r="F119" s="465"/>
      <x:c r="G119" s="465"/>
      <x:c r="H119" s="465"/>
      <x:c r="I119" s="465"/>
      <x:c r="J119" s="465"/>
      <x:c r="K119" s="465"/>
      <x:c r="L119" s="465"/>
      <x:c r="M119" s="465"/>
      <x:c r="N119" s="465"/>
      <x:c r="O119" s="465"/>
      <x:c r="P119" s="465"/>
      <x:c r="Q119" s="465"/>
      <x:c r="R119" s="465"/>
      <x:c r="S119" s="465"/>
      <x:c r="T119" s="465"/>
      <x:c r="U119" s="465"/>
      <x:c r="V119" s="465"/>
      <x:c r="W119" s="465"/>
      <x:c r="X119" s="465"/>
      <x:c r="Y119" s="465"/>
      <x:c r="Z119" s="465"/>
    </x:row>
    <x:row r="120">
      <x:c r="A120" s="465"/>
      <x:c r="B120" s="465"/>
      <x:c r="C120" s="465"/>
      <x:c r="D120" s="465"/>
      <x:c r="E120" s="465"/>
      <x:c r="F120" s="465"/>
      <x:c r="G120" s="465"/>
      <x:c r="H120" s="465"/>
      <x:c r="I120" s="465"/>
      <x:c r="J120" s="465"/>
      <x:c r="K120" s="465"/>
      <x:c r="L120" s="465"/>
      <x:c r="M120" s="465"/>
      <x:c r="N120" s="465"/>
      <x:c r="O120" s="465"/>
      <x:c r="P120" s="465"/>
      <x:c r="Q120" s="465"/>
      <x:c r="R120" s="465"/>
      <x:c r="S120" s="465"/>
      <x:c r="T120" s="465"/>
      <x:c r="U120" s="465"/>
      <x:c r="V120" s="465"/>
      <x:c r="W120" s="465"/>
      <x:c r="X120" s="465"/>
      <x:c r="Y120" s="465"/>
      <x:c r="Z120" s="465"/>
    </x:row>
    <x:row r="121">
      <x:c r="A121" s="465"/>
      <x:c r="B121" s="465"/>
      <x:c r="C121" s="465"/>
      <x:c r="D121" s="465"/>
      <x:c r="E121" s="465"/>
      <x:c r="F121" s="465"/>
      <x:c r="G121" s="465"/>
      <x:c r="H121" s="465"/>
      <x:c r="I121" s="465"/>
      <x:c r="J121" s="465"/>
      <x:c r="K121" s="465"/>
      <x:c r="L121" s="465"/>
      <x:c r="M121" s="465"/>
      <x:c r="N121" s="465"/>
      <x:c r="O121" s="465"/>
      <x:c r="P121" s="465"/>
      <x:c r="Q121" s="465"/>
      <x:c r="R121" s="465"/>
      <x:c r="S121" s="465"/>
      <x:c r="T121" s="465"/>
      <x:c r="U121" s="465"/>
      <x:c r="V121" s="465"/>
      <x:c r="W121" s="465"/>
      <x:c r="X121" s="465"/>
      <x:c r="Y121" s="465"/>
      <x:c r="Z121" s="465"/>
    </x:row>
    <x:row r="122">
      <x:c r="A122" s="465"/>
      <x:c r="B122" s="465"/>
      <x:c r="C122" s="465"/>
      <x:c r="D122" s="465"/>
      <x:c r="E122" s="465"/>
      <x:c r="F122" s="465"/>
      <x:c r="G122" s="465"/>
      <x:c r="H122" s="465"/>
      <x:c r="I122" s="465"/>
      <x:c r="J122" s="465"/>
      <x:c r="K122" s="465"/>
      <x:c r="L122" s="465"/>
      <x:c r="M122" s="465"/>
      <x:c r="N122" s="465"/>
      <x:c r="O122" s="465"/>
      <x:c r="P122" s="465"/>
      <x:c r="Q122" s="465"/>
      <x:c r="R122" s="465"/>
      <x:c r="S122" s="465"/>
      <x:c r="T122" s="465"/>
      <x:c r="U122" s="465"/>
      <x:c r="V122" s="465"/>
      <x:c r="W122" s="465"/>
      <x:c r="X122" s="465"/>
      <x:c r="Y122" s="465"/>
      <x:c r="Z122" s="465"/>
    </x:row>
    <x:row r="123">
      <x:c r="A123" s="465"/>
      <x:c r="B123" s="465"/>
      <x:c r="C123" s="465"/>
      <x:c r="D123" s="465"/>
      <x:c r="E123" s="465"/>
      <x:c r="F123" s="465"/>
      <x:c r="G123" s="465"/>
      <x:c r="H123" s="465"/>
      <x:c r="I123" s="465"/>
      <x:c r="J123" s="465"/>
      <x:c r="K123" s="465"/>
      <x:c r="L123" s="465"/>
      <x:c r="M123" s="465"/>
      <x:c r="N123" s="465"/>
      <x:c r="O123" s="465"/>
      <x:c r="P123" s="465"/>
      <x:c r="Q123" s="465"/>
      <x:c r="R123" s="465"/>
      <x:c r="S123" s="465"/>
      <x:c r="T123" s="465"/>
      <x:c r="U123" s="465"/>
      <x:c r="V123" s="465"/>
      <x:c r="W123" s="465"/>
      <x:c r="X123" s="465"/>
      <x:c r="Y123" s="465"/>
      <x:c r="Z123" s="465"/>
    </x:row>
    <x:row r="124">
      <x:c r="A124" s="465"/>
      <x:c r="B124" s="465"/>
      <x:c r="C124" s="465"/>
      <x:c r="D124" s="465"/>
      <x:c r="E124" s="465"/>
      <x:c r="F124" s="465"/>
      <x:c r="G124" s="465"/>
      <x:c r="H124" s="465"/>
      <x:c r="I124" s="465"/>
      <x:c r="J124" s="465"/>
      <x:c r="K124" s="465"/>
      <x:c r="L124" s="465"/>
      <x:c r="M124" s="465"/>
      <x:c r="N124" s="465"/>
      <x:c r="O124" s="465"/>
      <x:c r="P124" s="465"/>
      <x:c r="Q124" s="465"/>
      <x:c r="R124" s="465"/>
      <x:c r="S124" s="465"/>
      <x:c r="T124" s="465"/>
      <x:c r="U124" s="465"/>
      <x:c r="V124" s="465"/>
      <x:c r="W124" s="465"/>
      <x:c r="X124" s="465"/>
      <x:c r="Y124" s="465"/>
      <x:c r="Z124" s="465"/>
    </x:row>
    <x:row r="125">
      <x:c r="A125" s="465"/>
      <x:c r="B125" s="465"/>
      <x:c r="C125" s="465"/>
      <x:c r="D125" s="465"/>
      <x:c r="E125" s="465"/>
      <x:c r="F125" s="465"/>
      <x:c r="G125" s="465"/>
      <x:c r="H125" s="465"/>
      <x:c r="I125" s="465"/>
      <x:c r="J125" s="465"/>
      <x:c r="K125" s="465"/>
      <x:c r="L125" s="465"/>
      <x:c r="M125" s="465"/>
      <x:c r="N125" s="465"/>
      <x:c r="O125" s="465"/>
      <x:c r="P125" s="465"/>
      <x:c r="Q125" s="465"/>
      <x:c r="R125" s="465"/>
      <x:c r="S125" s="465"/>
      <x:c r="T125" s="465"/>
      <x:c r="U125" s="465"/>
      <x:c r="V125" s="465"/>
      <x:c r="W125" s="465"/>
      <x:c r="X125" s="465"/>
      <x:c r="Y125" s="465"/>
      <x:c r="Z125" s="465"/>
    </x:row>
    <x:row r="126">
      <x:c r="A126" s="465"/>
      <x:c r="B126" s="465"/>
      <x:c r="C126" s="465"/>
      <x:c r="D126" s="465"/>
      <x:c r="E126" s="465"/>
      <x:c r="F126" s="465"/>
      <x:c r="G126" s="465"/>
      <x:c r="H126" s="465"/>
      <x:c r="I126" s="465"/>
      <x:c r="J126" s="465"/>
      <x:c r="K126" s="465"/>
      <x:c r="L126" s="465"/>
      <x:c r="M126" s="465"/>
      <x:c r="N126" s="465"/>
      <x:c r="O126" s="465"/>
      <x:c r="P126" s="465"/>
      <x:c r="Q126" s="465"/>
      <x:c r="R126" s="465"/>
      <x:c r="S126" s="465"/>
      <x:c r="T126" s="465"/>
      <x:c r="U126" s="465"/>
      <x:c r="V126" s="465"/>
      <x:c r="W126" s="465"/>
      <x:c r="X126" s="465"/>
      <x:c r="Y126" s="465"/>
      <x:c r="Z126" s="465"/>
    </x:row>
    <x:row r="127">
      <x:c r="A127" s="465"/>
      <x:c r="B127" s="465"/>
      <x:c r="C127" s="465"/>
      <x:c r="D127" s="465"/>
      <x:c r="E127" s="465"/>
      <x:c r="F127" s="465"/>
      <x:c r="G127" s="465"/>
      <x:c r="H127" s="465"/>
      <x:c r="I127" s="465"/>
      <x:c r="J127" s="465"/>
      <x:c r="K127" s="465"/>
      <x:c r="L127" s="465"/>
      <x:c r="M127" s="465"/>
      <x:c r="N127" s="465"/>
      <x:c r="O127" s="465"/>
      <x:c r="P127" s="465"/>
      <x:c r="Q127" s="465"/>
      <x:c r="R127" s="465"/>
      <x:c r="S127" s="465"/>
      <x:c r="T127" s="465"/>
      <x:c r="U127" s="465"/>
      <x:c r="V127" s="465"/>
      <x:c r="W127" s="465"/>
      <x:c r="X127" s="465"/>
      <x:c r="Y127" s="465"/>
      <x:c r="Z127" s="465"/>
    </x:row>
    <x:row r="128">
      <x:c r="A128" s="465"/>
      <x:c r="B128" s="465"/>
      <x:c r="C128" s="465"/>
      <x:c r="D128" s="465"/>
      <x:c r="E128" s="465"/>
      <x:c r="F128" s="465"/>
      <x:c r="G128" s="465"/>
      <x:c r="H128" s="465"/>
      <x:c r="I128" s="465"/>
      <x:c r="J128" s="465"/>
      <x:c r="K128" s="465"/>
      <x:c r="L128" s="465"/>
      <x:c r="M128" s="465"/>
      <x:c r="N128" s="465"/>
      <x:c r="O128" s="465"/>
      <x:c r="P128" s="465"/>
      <x:c r="Q128" s="465"/>
      <x:c r="R128" s="465"/>
      <x:c r="S128" s="465"/>
      <x:c r="T128" s="465"/>
      <x:c r="U128" s="465"/>
      <x:c r="V128" s="465"/>
      <x:c r="W128" s="465"/>
      <x:c r="X128" s="465"/>
      <x:c r="Y128" s="465"/>
      <x:c r="Z128" s="465"/>
    </x:row>
    <x:row r="129">
      <x:c r="A129" s="465"/>
      <x:c r="B129" s="465"/>
      <x:c r="C129" s="465"/>
      <x:c r="D129" s="465"/>
      <x:c r="E129" s="465"/>
      <x:c r="F129" s="465"/>
      <x:c r="G129" s="465"/>
      <x:c r="H129" s="465"/>
      <x:c r="I129" s="465"/>
      <x:c r="J129" s="465"/>
      <x:c r="K129" s="465"/>
      <x:c r="L129" s="465"/>
      <x:c r="M129" s="465"/>
      <x:c r="N129" s="465"/>
      <x:c r="O129" s="465"/>
      <x:c r="P129" s="465"/>
      <x:c r="Q129" s="465"/>
      <x:c r="R129" s="465"/>
      <x:c r="S129" s="465"/>
      <x:c r="T129" s="465"/>
      <x:c r="U129" s="465"/>
      <x:c r="V129" s="465"/>
      <x:c r="W129" s="465"/>
      <x:c r="X129" s="465"/>
      <x:c r="Y129" s="465"/>
      <x:c r="Z129" s="465"/>
    </x:row>
    <x:row r="130">
      <x:c r="A130" s="465"/>
      <x:c r="B130" s="465"/>
      <x:c r="C130" s="465"/>
      <x:c r="D130" s="465"/>
      <x:c r="E130" s="465"/>
      <x:c r="F130" s="465"/>
      <x:c r="G130" s="465"/>
      <x:c r="H130" s="465"/>
      <x:c r="I130" s="465"/>
      <x:c r="J130" s="465"/>
      <x:c r="K130" s="465"/>
      <x:c r="L130" s="465"/>
      <x:c r="M130" s="465"/>
      <x:c r="N130" s="465"/>
      <x:c r="O130" s="465"/>
      <x:c r="P130" s="465"/>
      <x:c r="Q130" s="465"/>
      <x:c r="R130" s="465"/>
      <x:c r="S130" s="465"/>
      <x:c r="T130" s="465"/>
      <x:c r="U130" s="465"/>
      <x:c r="V130" s="465"/>
      <x:c r="W130" s="465"/>
      <x:c r="X130" s="465"/>
      <x:c r="Y130" s="465"/>
      <x:c r="Z130" s="465"/>
    </x:row>
    <x:row r="131">
      <x:c r="A131" s="465"/>
      <x:c r="B131" s="465"/>
      <x:c r="C131" s="465"/>
      <x:c r="D131" s="465"/>
      <x:c r="E131" s="465"/>
      <x:c r="F131" s="465"/>
      <x:c r="G131" s="465"/>
      <x:c r="H131" s="465"/>
      <x:c r="I131" s="465"/>
      <x:c r="J131" s="465"/>
      <x:c r="K131" s="465"/>
      <x:c r="L131" s="465"/>
      <x:c r="M131" s="465"/>
      <x:c r="N131" s="465"/>
      <x:c r="O131" s="465"/>
      <x:c r="P131" s="465"/>
      <x:c r="Q131" s="465"/>
      <x:c r="R131" s="465"/>
      <x:c r="S131" s="465"/>
      <x:c r="T131" s="465"/>
      <x:c r="U131" s="465"/>
      <x:c r="V131" s="465"/>
      <x:c r="W131" s="465"/>
      <x:c r="X131" s="465"/>
      <x:c r="Y131" s="465"/>
      <x:c r="Z131" s="465"/>
    </x:row>
    <x:row r="132">
      <x:c r="A132" s="465"/>
      <x:c r="B132" s="465"/>
      <x:c r="C132" s="465"/>
      <x:c r="D132" s="465"/>
      <x:c r="E132" s="465"/>
      <x:c r="F132" s="465"/>
      <x:c r="G132" s="465"/>
      <x:c r="H132" s="465"/>
      <x:c r="I132" s="465"/>
      <x:c r="J132" s="465"/>
      <x:c r="K132" s="465"/>
      <x:c r="L132" s="465"/>
      <x:c r="M132" s="465"/>
      <x:c r="N132" s="465"/>
      <x:c r="O132" s="465"/>
      <x:c r="P132" s="465"/>
      <x:c r="Q132" s="465"/>
      <x:c r="R132" s="465"/>
      <x:c r="S132" s="465"/>
      <x:c r="T132" s="465"/>
      <x:c r="U132" s="465"/>
      <x:c r="V132" s="465"/>
      <x:c r="W132" s="465"/>
      <x:c r="X132" s="465"/>
      <x:c r="Y132" s="465"/>
      <x:c r="Z132" s="465"/>
    </x:row>
    <x:row r="133">
      <x:c r="A133" s="465"/>
      <x:c r="B133" s="465"/>
      <x:c r="C133" s="465"/>
      <x:c r="D133" s="465"/>
      <x:c r="E133" s="465"/>
      <x:c r="F133" s="465"/>
      <x:c r="G133" s="465"/>
      <x:c r="H133" s="465"/>
      <x:c r="I133" s="465"/>
      <x:c r="J133" s="465"/>
      <x:c r="K133" s="465"/>
      <x:c r="L133" s="465"/>
      <x:c r="M133" s="465"/>
      <x:c r="N133" s="465"/>
      <x:c r="O133" s="465"/>
      <x:c r="P133" s="465"/>
      <x:c r="Q133" s="465"/>
      <x:c r="R133" s="465"/>
      <x:c r="S133" s="465"/>
      <x:c r="T133" s="465"/>
      <x:c r="U133" s="465"/>
      <x:c r="V133" s="465"/>
      <x:c r="W133" s="465"/>
      <x:c r="X133" s="465"/>
      <x:c r="Y133" s="465"/>
      <x:c r="Z133" s="465"/>
    </x:row>
    <x:row r="134">
      <x:c r="A134" s="465"/>
      <x:c r="B134" s="465"/>
      <x:c r="C134" s="465"/>
      <x:c r="D134" s="465"/>
      <x:c r="E134" s="465"/>
      <x:c r="F134" s="465"/>
      <x:c r="G134" s="465"/>
      <x:c r="H134" s="465"/>
      <x:c r="I134" s="465"/>
      <x:c r="J134" s="465"/>
      <x:c r="K134" s="465"/>
      <x:c r="L134" s="465"/>
      <x:c r="M134" s="465"/>
      <x:c r="N134" s="465"/>
      <x:c r="O134" s="465"/>
      <x:c r="P134" s="465"/>
      <x:c r="Q134" s="465"/>
      <x:c r="R134" s="465"/>
      <x:c r="S134" s="465"/>
      <x:c r="T134" s="465"/>
      <x:c r="U134" s="465"/>
      <x:c r="V134" s="465"/>
      <x:c r="W134" s="465"/>
      <x:c r="X134" s="465"/>
      <x:c r="Y134" s="465"/>
      <x:c r="Z134" s="465"/>
    </x:row>
    <x:row r="135">
      <x:c r="A135" s="465"/>
      <x:c r="B135" s="465"/>
      <x:c r="C135" s="465"/>
      <x:c r="D135" s="465"/>
      <x:c r="E135" s="465"/>
      <x:c r="F135" s="465"/>
      <x:c r="G135" s="465"/>
      <x:c r="H135" s="465"/>
      <x:c r="I135" s="465"/>
      <x:c r="J135" s="465"/>
      <x:c r="K135" s="465"/>
      <x:c r="L135" s="465"/>
      <x:c r="M135" s="465"/>
      <x:c r="N135" s="465"/>
      <x:c r="O135" s="465"/>
      <x:c r="P135" s="465"/>
      <x:c r="Q135" s="465"/>
      <x:c r="R135" s="465"/>
      <x:c r="S135" s="465"/>
      <x:c r="T135" s="465"/>
      <x:c r="U135" s="465"/>
      <x:c r="V135" s="465"/>
      <x:c r="W135" s="465"/>
      <x:c r="X135" s="465"/>
      <x:c r="Y135" s="465"/>
      <x:c r="Z135" s="465"/>
    </x:row>
    <x:row r="136">
      <x:c r="A136" s="465"/>
      <x:c r="B136" s="465"/>
      <x:c r="C136" s="465"/>
      <x:c r="D136" s="465"/>
      <x:c r="E136" s="465"/>
      <x:c r="F136" s="465"/>
      <x:c r="G136" s="465"/>
      <x:c r="H136" s="465"/>
      <x:c r="I136" s="465"/>
      <x:c r="J136" s="465"/>
      <x:c r="K136" s="465"/>
      <x:c r="L136" s="465"/>
      <x:c r="M136" s="465"/>
      <x:c r="N136" s="465"/>
      <x:c r="O136" s="465"/>
      <x:c r="P136" s="465"/>
      <x:c r="Q136" s="465"/>
      <x:c r="R136" s="465"/>
      <x:c r="S136" s="465"/>
      <x:c r="T136" s="465"/>
      <x:c r="U136" s="465"/>
      <x:c r="V136" s="465"/>
      <x:c r="W136" s="465"/>
      <x:c r="X136" s="465"/>
      <x:c r="Y136" s="465"/>
      <x:c r="Z136" s="465"/>
    </x:row>
    <x:row r="137">
      <x:c r="A137" s="465"/>
      <x:c r="B137" s="465"/>
      <x:c r="C137" s="465"/>
      <x:c r="D137" s="465"/>
      <x:c r="E137" s="465"/>
      <x:c r="F137" s="465"/>
      <x:c r="G137" s="465"/>
      <x:c r="H137" s="465"/>
      <x:c r="I137" s="465"/>
      <x:c r="J137" s="465"/>
      <x:c r="K137" s="465"/>
      <x:c r="L137" s="465"/>
      <x:c r="M137" s="465"/>
      <x:c r="N137" s="465"/>
      <x:c r="O137" s="465"/>
      <x:c r="P137" s="465"/>
      <x:c r="Q137" s="465"/>
      <x:c r="R137" s="465"/>
      <x:c r="S137" s="465"/>
      <x:c r="T137" s="465"/>
      <x:c r="U137" s="465"/>
      <x:c r="V137" s="465"/>
      <x:c r="W137" s="465"/>
      <x:c r="X137" s="465"/>
      <x:c r="Y137" s="465"/>
      <x:c r="Z137" s="465"/>
    </x:row>
    <x:row r="138">
      <x:c r="A138" s="465"/>
      <x:c r="B138" s="465"/>
      <x:c r="C138" s="465"/>
      <x:c r="D138" s="465"/>
      <x:c r="E138" s="465"/>
      <x:c r="F138" s="465"/>
      <x:c r="G138" s="465"/>
      <x:c r="H138" s="465"/>
      <x:c r="I138" s="465"/>
      <x:c r="J138" s="465"/>
      <x:c r="K138" s="465"/>
      <x:c r="L138" s="465"/>
      <x:c r="M138" s="465"/>
      <x:c r="N138" s="465"/>
      <x:c r="O138" s="465"/>
      <x:c r="P138" s="465"/>
      <x:c r="Q138" s="465"/>
      <x:c r="R138" s="465"/>
      <x:c r="S138" s="465"/>
      <x:c r="T138" s="465"/>
      <x:c r="U138" s="465"/>
      <x:c r="V138" s="465"/>
      <x:c r="W138" s="465"/>
      <x:c r="X138" s="465"/>
      <x:c r="Y138" s="465"/>
      <x:c r="Z138" s="465"/>
    </x:row>
    <x:row r="139">
      <x:c r="A139" s="465"/>
      <x:c r="B139" s="465"/>
      <x:c r="C139" s="465"/>
      <x:c r="D139" s="465"/>
      <x:c r="E139" s="465"/>
      <x:c r="F139" s="465"/>
      <x:c r="G139" s="465"/>
      <x:c r="H139" s="465"/>
      <x:c r="I139" s="465"/>
      <x:c r="J139" s="465"/>
      <x:c r="K139" s="465"/>
      <x:c r="L139" s="465"/>
      <x:c r="M139" s="465"/>
      <x:c r="N139" s="465"/>
      <x:c r="O139" s="465"/>
      <x:c r="P139" s="465"/>
      <x:c r="Q139" s="465"/>
      <x:c r="R139" s="465"/>
      <x:c r="S139" s="465"/>
      <x:c r="T139" s="465"/>
      <x:c r="U139" s="465"/>
      <x:c r="V139" s="465"/>
      <x:c r="W139" s="465"/>
      <x:c r="X139" s="465"/>
      <x:c r="Y139" s="465"/>
      <x:c r="Z139" s="465"/>
    </x:row>
    <x:row r="140">
      <x:c r="A140" s="465"/>
      <x:c r="B140" s="465"/>
      <x:c r="C140" s="465"/>
      <x:c r="D140" s="465"/>
      <x:c r="E140" s="465"/>
      <x:c r="F140" s="465"/>
      <x:c r="G140" s="465"/>
      <x:c r="H140" s="465"/>
      <x:c r="I140" s="465"/>
      <x:c r="J140" s="465"/>
      <x:c r="K140" s="465"/>
      <x:c r="L140" s="465"/>
      <x:c r="M140" s="465"/>
      <x:c r="N140" s="465"/>
      <x:c r="O140" s="465"/>
      <x:c r="P140" s="465"/>
      <x:c r="Q140" s="465"/>
      <x:c r="R140" s="465"/>
      <x:c r="S140" s="465"/>
      <x:c r="T140" s="465"/>
      <x:c r="U140" s="465"/>
      <x:c r="V140" s="465"/>
      <x:c r="W140" s="465"/>
      <x:c r="X140" s="465"/>
      <x:c r="Y140" s="465"/>
      <x:c r="Z140" s="465"/>
    </x:row>
    <x:row r="141">
      <x:c r="A141" s="465"/>
      <x:c r="B141" s="465"/>
      <x:c r="C141" s="465"/>
      <x:c r="D141" s="465"/>
      <x:c r="E141" s="465"/>
      <x:c r="F141" s="465"/>
      <x:c r="G141" s="465"/>
      <x:c r="H141" s="465"/>
      <x:c r="I141" s="465"/>
      <x:c r="J141" s="465"/>
      <x:c r="K141" s="465"/>
      <x:c r="L141" s="465"/>
      <x:c r="M141" s="465"/>
      <x:c r="N141" s="465"/>
      <x:c r="O141" s="465"/>
      <x:c r="P141" s="465"/>
      <x:c r="Q141" s="465"/>
      <x:c r="R141" s="465"/>
      <x:c r="S141" s="465"/>
      <x:c r="T141" s="465"/>
      <x:c r="U141" s="465"/>
      <x:c r="V141" s="465"/>
      <x:c r="W141" s="465"/>
      <x:c r="X141" s="465"/>
      <x:c r="Y141" s="465"/>
      <x:c r="Z141" s="465"/>
    </x:row>
    <x:row r="142">
      <x:c r="A142" s="465"/>
      <x:c r="B142" s="465"/>
      <x:c r="C142" s="465"/>
      <x:c r="D142" s="465"/>
      <x:c r="E142" s="465"/>
      <x:c r="F142" s="465"/>
      <x:c r="G142" s="465"/>
      <x:c r="H142" s="465"/>
      <x:c r="I142" s="465"/>
      <x:c r="J142" s="465"/>
      <x:c r="K142" s="465"/>
      <x:c r="L142" s="465"/>
      <x:c r="M142" s="465"/>
      <x:c r="N142" s="465"/>
      <x:c r="O142" s="465"/>
      <x:c r="P142" s="465"/>
      <x:c r="Q142" s="465"/>
      <x:c r="R142" s="465"/>
      <x:c r="S142" s="465"/>
      <x:c r="T142" s="465"/>
      <x:c r="U142" s="465"/>
      <x:c r="V142" s="465"/>
      <x:c r="W142" s="465"/>
      <x:c r="X142" s="465"/>
      <x:c r="Y142" s="465"/>
      <x:c r="Z142" s="465"/>
    </x:row>
    <x:row r="143">
      <x:c r="A143" s="465"/>
      <x:c r="B143" s="465"/>
      <x:c r="C143" s="465"/>
      <x:c r="D143" s="465"/>
      <x:c r="E143" s="465"/>
      <x:c r="F143" s="465"/>
      <x:c r="G143" s="465"/>
      <x:c r="H143" s="465"/>
      <x:c r="I143" s="465"/>
      <x:c r="J143" s="465"/>
      <x:c r="K143" s="465"/>
      <x:c r="L143" s="465"/>
      <x:c r="M143" s="465"/>
      <x:c r="N143" s="465"/>
      <x:c r="O143" s="465"/>
      <x:c r="P143" s="465"/>
      <x:c r="Q143" s="465"/>
      <x:c r="R143" s="465"/>
      <x:c r="S143" s="465"/>
      <x:c r="T143" s="465"/>
      <x:c r="U143" s="465"/>
      <x:c r="V143" s="465"/>
      <x:c r="W143" s="465"/>
      <x:c r="X143" s="465"/>
      <x:c r="Y143" s="465"/>
      <x:c r="Z143" s="465"/>
    </x:row>
    <x:row r="144">
      <x:c r="A144" s="465"/>
      <x:c r="B144" s="465"/>
      <x:c r="C144" s="465"/>
      <x:c r="D144" s="465"/>
      <x:c r="E144" s="465"/>
      <x:c r="F144" s="465"/>
      <x:c r="G144" s="465"/>
      <x:c r="H144" s="465"/>
      <x:c r="I144" s="465"/>
      <x:c r="J144" s="465"/>
      <x:c r="K144" s="465"/>
      <x:c r="L144" s="465"/>
      <x:c r="M144" s="465"/>
      <x:c r="N144" s="465"/>
      <x:c r="O144" s="465"/>
      <x:c r="P144" s="465"/>
      <x:c r="Q144" s="465"/>
      <x:c r="R144" s="465"/>
      <x:c r="S144" s="465"/>
      <x:c r="T144" s="465"/>
      <x:c r="U144" s="465"/>
      <x:c r="V144" s="465"/>
      <x:c r="W144" s="465"/>
      <x:c r="X144" s="465"/>
      <x:c r="Y144" s="465"/>
      <x:c r="Z144" s="465"/>
    </x:row>
    <x:row r="145">
      <x:c r="A145" s="465"/>
      <x:c r="B145" s="465"/>
      <x:c r="C145" s="465"/>
      <x:c r="D145" s="465"/>
      <x:c r="E145" s="465"/>
      <x:c r="F145" s="465"/>
      <x:c r="G145" s="465"/>
      <x:c r="H145" s="465"/>
      <x:c r="I145" s="465"/>
      <x:c r="J145" s="465"/>
      <x:c r="K145" s="465"/>
      <x:c r="L145" s="465"/>
      <x:c r="M145" s="465"/>
      <x:c r="N145" s="465"/>
      <x:c r="O145" s="465"/>
      <x:c r="P145" s="465"/>
      <x:c r="Q145" s="465"/>
      <x:c r="R145" s="465"/>
      <x:c r="S145" s="465"/>
      <x:c r="T145" s="465"/>
      <x:c r="U145" s="465"/>
      <x:c r="V145" s="465"/>
      <x:c r="W145" s="465"/>
      <x:c r="X145" s="465"/>
      <x:c r="Y145" s="465"/>
      <x:c r="Z145" s="465"/>
    </x:row>
    <x:row r="146">
      <x:c r="A146" s="465"/>
      <x:c r="B146" s="465"/>
      <x:c r="C146" s="465"/>
      <x:c r="D146" s="465"/>
      <x:c r="E146" s="465"/>
      <x:c r="F146" s="465"/>
      <x:c r="G146" s="465"/>
      <x:c r="H146" s="465"/>
      <x:c r="I146" s="465"/>
      <x:c r="J146" s="465"/>
      <x:c r="K146" s="465"/>
      <x:c r="L146" s="465"/>
      <x:c r="M146" s="465"/>
      <x:c r="N146" s="465"/>
      <x:c r="O146" s="465"/>
      <x:c r="P146" s="465"/>
      <x:c r="Q146" s="465"/>
      <x:c r="R146" s="465"/>
      <x:c r="S146" s="465"/>
      <x:c r="T146" s="465"/>
      <x:c r="U146" s="465"/>
      <x:c r="V146" s="465"/>
      <x:c r="W146" s="465"/>
      <x:c r="X146" s="465"/>
      <x:c r="Y146" s="465"/>
      <x:c r="Z146" s="465"/>
    </x:row>
    <x:row r="147">
      <x:c r="A147" s="465"/>
      <x:c r="B147" s="465"/>
      <x:c r="C147" s="465"/>
      <x:c r="D147" s="465"/>
      <x:c r="E147" s="465"/>
      <x:c r="F147" s="465"/>
      <x:c r="G147" s="465"/>
      <x:c r="H147" s="465"/>
      <x:c r="I147" s="465"/>
      <x:c r="J147" s="465"/>
      <x:c r="K147" s="465"/>
      <x:c r="L147" s="465"/>
      <x:c r="M147" s="465"/>
      <x:c r="N147" s="465"/>
      <x:c r="O147" s="465"/>
      <x:c r="P147" s="465"/>
      <x:c r="Q147" s="465"/>
      <x:c r="R147" s="465"/>
      <x:c r="S147" s="465"/>
      <x:c r="T147" s="465"/>
      <x:c r="U147" s="465"/>
      <x:c r="V147" s="465"/>
      <x:c r="W147" s="465"/>
      <x:c r="X147" s="465"/>
      <x:c r="Y147" s="465"/>
      <x:c r="Z147" s="465"/>
    </x:row>
    <x:row r="148">
      <x:c r="A148" s="465"/>
      <x:c r="B148" s="465"/>
      <x:c r="C148" s="465"/>
      <x:c r="D148" s="465"/>
      <x:c r="E148" s="465"/>
      <x:c r="F148" s="465"/>
      <x:c r="G148" s="465"/>
      <x:c r="H148" s="465"/>
      <x:c r="I148" s="465"/>
      <x:c r="J148" s="465"/>
      <x:c r="K148" s="465"/>
      <x:c r="L148" s="465"/>
      <x:c r="M148" s="465"/>
      <x:c r="N148" s="465"/>
      <x:c r="O148" s="465"/>
      <x:c r="P148" s="465"/>
      <x:c r="Q148" s="465"/>
      <x:c r="R148" s="465"/>
      <x:c r="S148" s="465"/>
      <x:c r="T148" s="465"/>
      <x:c r="U148" s="465"/>
      <x:c r="V148" s="465"/>
      <x:c r="W148" s="465"/>
      <x:c r="X148" s="465"/>
      <x:c r="Y148" s="465"/>
      <x:c r="Z148" s="465"/>
    </x:row>
    <x:row r="149">
      <x:c r="A149" s="465"/>
      <x:c r="B149" s="465"/>
      <x:c r="C149" s="465"/>
      <x:c r="D149" s="465"/>
      <x:c r="E149" s="465"/>
      <x:c r="F149" s="465"/>
      <x:c r="G149" s="465"/>
      <x:c r="H149" s="465"/>
      <x:c r="I149" s="465"/>
      <x:c r="J149" s="465"/>
      <x:c r="K149" s="465"/>
      <x:c r="L149" s="465"/>
      <x:c r="M149" s="465"/>
      <x:c r="N149" s="465"/>
      <x:c r="O149" s="465"/>
      <x:c r="P149" s="465"/>
      <x:c r="Q149" s="465"/>
      <x:c r="R149" s="465"/>
      <x:c r="S149" s="465"/>
      <x:c r="T149" s="465"/>
      <x:c r="U149" s="465"/>
      <x:c r="V149" s="465"/>
      <x:c r="W149" s="465"/>
      <x:c r="X149" s="465"/>
      <x:c r="Y149" s="465"/>
      <x:c r="Z149" s="465"/>
    </x:row>
    <x:row r="150">
      <x:c r="A150" s="465"/>
      <x:c r="B150" s="465"/>
      <x:c r="C150" s="465"/>
      <x:c r="D150" s="465"/>
      <x:c r="E150" s="465"/>
      <x:c r="F150" s="465"/>
      <x:c r="G150" s="465"/>
      <x:c r="H150" s="465"/>
      <x:c r="I150" s="465"/>
      <x:c r="J150" s="465"/>
      <x:c r="K150" s="465"/>
      <x:c r="L150" s="465"/>
      <x:c r="M150" s="465"/>
      <x:c r="N150" s="465"/>
      <x:c r="O150" s="465"/>
      <x:c r="P150" s="465"/>
      <x:c r="Q150" s="465"/>
      <x:c r="R150" s="465"/>
      <x:c r="S150" s="465"/>
      <x:c r="T150" s="465"/>
      <x:c r="U150" s="465"/>
      <x:c r="V150" s="465"/>
      <x:c r="W150" s="465"/>
      <x:c r="X150" s="465"/>
      <x:c r="Y150" s="465"/>
      <x:c r="Z150" s="465"/>
    </x:row>
    <x:row r="151">
      <x:c r="A151" s="465"/>
      <x:c r="B151" s="465"/>
      <x:c r="C151" s="465"/>
      <x:c r="D151" s="465"/>
      <x:c r="E151" s="465"/>
      <x:c r="F151" s="465"/>
      <x:c r="G151" s="465"/>
      <x:c r="H151" s="465"/>
      <x:c r="I151" s="465"/>
      <x:c r="J151" s="465"/>
      <x:c r="K151" s="465"/>
      <x:c r="L151" s="465"/>
      <x:c r="M151" s="465"/>
      <x:c r="N151" s="465"/>
      <x:c r="O151" s="465"/>
      <x:c r="P151" s="465"/>
      <x:c r="Q151" s="465"/>
      <x:c r="R151" s="465"/>
      <x:c r="S151" s="465"/>
      <x:c r="T151" s="465"/>
      <x:c r="U151" s="465"/>
      <x:c r="V151" s="465"/>
      <x:c r="W151" s="465"/>
      <x:c r="X151" s="465"/>
      <x:c r="Y151" s="465"/>
      <x:c r="Z151" s="465"/>
    </x:row>
    <x:row r="152">
      <x:c r="A152" s="465"/>
      <x:c r="B152" s="465"/>
      <x:c r="C152" s="465"/>
      <x:c r="D152" s="465"/>
      <x:c r="E152" s="465"/>
      <x:c r="F152" s="465"/>
      <x:c r="G152" s="465"/>
      <x:c r="H152" s="465"/>
      <x:c r="I152" s="465"/>
      <x:c r="J152" s="465"/>
      <x:c r="K152" s="465"/>
      <x:c r="L152" s="465"/>
      <x:c r="M152" s="465"/>
      <x:c r="N152" s="465"/>
      <x:c r="O152" s="465"/>
      <x:c r="P152" s="465"/>
      <x:c r="Q152" s="465"/>
      <x:c r="R152" s="465"/>
      <x:c r="S152" s="465"/>
      <x:c r="T152" s="465"/>
      <x:c r="U152" s="465"/>
      <x:c r="V152" s="465"/>
      <x:c r="W152" s="465"/>
      <x:c r="X152" s="465"/>
      <x:c r="Y152" s="465"/>
      <x:c r="Z152" s="465"/>
    </x:row>
    <x:row r="153">
      <x:c r="A153" s="465"/>
      <x:c r="B153" s="465"/>
      <x:c r="C153" s="465"/>
      <x:c r="D153" s="465"/>
      <x:c r="E153" s="465"/>
      <x:c r="F153" s="465"/>
      <x:c r="G153" s="465"/>
      <x:c r="H153" s="465"/>
      <x:c r="I153" s="465"/>
      <x:c r="J153" s="465"/>
      <x:c r="K153" s="465"/>
      <x:c r="L153" s="465"/>
      <x:c r="M153" s="465"/>
      <x:c r="N153" s="465"/>
      <x:c r="O153" s="465"/>
      <x:c r="P153" s="465"/>
      <x:c r="Q153" s="465"/>
      <x:c r="R153" s="465"/>
      <x:c r="S153" s="465"/>
      <x:c r="T153" s="465"/>
      <x:c r="U153" s="465"/>
      <x:c r="V153" s="465"/>
      <x:c r="W153" s="465"/>
      <x:c r="X153" s="465"/>
      <x:c r="Y153" s="465"/>
      <x:c r="Z153" s="465"/>
    </x:row>
    <x:row r="154">
      <x:c r="A154" s="465"/>
      <x:c r="B154" s="465"/>
      <x:c r="C154" s="465"/>
      <x:c r="D154" s="465"/>
      <x:c r="E154" s="465"/>
      <x:c r="F154" s="465"/>
      <x:c r="G154" s="465"/>
      <x:c r="H154" s="465"/>
      <x:c r="I154" s="465"/>
      <x:c r="J154" s="465"/>
      <x:c r="K154" s="465"/>
      <x:c r="L154" s="465"/>
      <x:c r="M154" s="465"/>
      <x:c r="N154" s="465"/>
      <x:c r="O154" s="465"/>
      <x:c r="P154" s="465"/>
      <x:c r="Q154" s="465"/>
      <x:c r="R154" s="465"/>
      <x:c r="S154" s="465"/>
      <x:c r="T154" s="465"/>
      <x:c r="U154" s="465"/>
      <x:c r="V154" s="465"/>
      <x:c r="W154" s="465"/>
      <x:c r="X154" s="465"/>
      <x:c r="Y154" s="465"/>
      <x:c r="Z154" s="465"/>
    </x:row>
    <x:row r="155">
      <x:c r="A155" s="465"/>
      <x:c r="B155" s="465"/>
      <x:c r="C155" s="465"/>
      <x:c r="D155" s="465"/>
      <x:c r="E155" s="465"/>
      <x:c r="F155" s="465"/>
      <x:c r="G155" s="465"/>
      <x:c r="H155" s="465"/>
      <x:c r="I155" s="465"/>
      <x:c r="J155" s="465"/>
      <x:c r="K155" s="465"/>
      <x:c r="L155" s="465"/>
      <x:c r="M155" s="465"/>
      <x:c r="N155" s="465"/>
      <x:c r="O155" s="465"/>
      <x:c r="P155" s="465"/>
      <x:c r="Q155" s="465"/>
      <x:c r="R155" s="465"/>
      <x:c r="S155" s="465"/>
      <x:c r="T155" s="465"/>
      <x:c r="U155" s="465"/>
      <x:c r="V155" s="465"/>
      <x:c r="W155" s="465"/>
      <x:c r="X155" s="465"/>
      <x:c r="Y155" s="465"/>
      <x:c r="Z155" s="465"/>
    </x:row>
    <x:row r="156">
      <x:c r="A156" s="465"/>
      <x:c r="B156" s="465"/>
      <x:c r="C156" s="465"/>
      <x:c r="D156" s="465"/>
      <x:c r="E156" s="465"/>
      <x:c r="F156" s="465"/>
      <x:c r="G156" s="465"/>
      <x:c r="H156" s="465"/>
      <x:c r="I156" s="465"/>
      <x:c r="J156" s="465"/>
      <x:c r="K156" s="465"/>
      <x:c r="L156" s="465"/>
      <x:c r="M156" s="465"/>
      <x:c r="N156" s="465"/>
      <x:c r="O156" s="465"/>
      <x:c r="P156" s="465"/>
      <x:c r="Q156" s="465"/>
      <x:c r="R156" s="465"/>
      <x:c r="S156" s="465"/>
      <x:c r="T156" s="465"/>
      <x:c r="U156" s="465"/>
      <x:c r="V156" s="465"/>
      <x:c r="W156" s="465"/>
      <x:c r="X156" s="465"/>
      <x:c r="Y156" s="465"/>
      <x:c r="Z156" s="465"/>
    </x:row>
    <x:row r="157">
      <x:c r="A157" s="465"/>
      <x:c r="B157" s="465"/>
      <x:c r="C157" s="465"/>
      <x:c r="D157" s="465"/>
      <x:c r="E157" s="465"/>
      <x:c r="F157" s="465"/>
      <x:c r="G157" s="465"/>
      <x:c r="H157" s="465"/>
      <x:c r="I157" s="465"/>
      <x:c r="J157" s="465"/>
      <x:c r="K157" s="465"/>
      <x:c r="L157" s="465"/>
      <x:c r="M157" s="465"/>
      <x:c r="N157" s="465"/>
      <x:c r="O157" s="465"/>
      <x:c r="P157" s="465"/>
      <x:c r="Q157" s="465"/>
      <x:c r="R157" s="465"/>
      <x:c r="S157" s="465"/>
      <x:c r="T157" s="465"/>
      <x:c r="U157" s="465"/>
      <x:c r="V157" s="465"/>
      <x:c r="W157" s="465"/>
      <x:c r="X157" s="465"/>
      <x:c r="Y157" s="465"/>
      <x:c r="Z157" s="465"/>
    </x:row>
    <x:row r="158">
      <x:c r="A158" s="465"/>
      <x:c r="B158" s="465"/>
      <x:c r="C158" s="465"/>
      <x:c r="D158" s="465"/>
      <x:c r="E158" s="465"/>
      <x:c r="F158" s="465"/>
      <x:c r="G158" s="465"/>
      <x:c r="H158" s="465"/>
      <x:c r="I158" s="465"/>
      <x:c r="J158" s="465"/>
      <x:c r="K158" s="465"/>
      <x:c r="L158" s="465"/>
      <x:c r="M158" s="465"/>
      <x:c r="N158" s="465"/>
      <x:c r="O158" s="465"/>
      <x:c r="P158" s="465"/>
      <x:c r="Q158" s="465"/>
      <x:c r="R158" s="465"/>
      <x:c r="S158" s="465"/>
      <x:c r="T158" s="465"/>
      <x:c r="U158" s="465"/>
      <x:c r="V158" s="465"/>
      <x:c r="W158" s="465"/>
      <x:c r="X158" s="465"/>
      <x:c r="Y158" s="465"/>
      <x:c r="Z158" s="465"/>
    </x:row>
    <x:row r="159">
      <x:c r="A159" s="465"/>
      <x:c r="B159" s="465"/>
      <x:c r="C159" s="465"/>
      <x:c r="D159" s="465"/>
      <x:c r="E159" s="465"/>
      <x:c r="F159" s="465"/>
      <x:c r="G159" s="465"/>
      <x:c r="H159" s="465"/>
      <x:c r="I159" s="465"/>
      <x:c r="J159" s="465"/>
      <x:c r="K159" s="465"/>
      <x:c r="L159" s="465"/>
      <x:c r="M159" s="465"/>
      <x:c r="N159" s="465"/>
      <x:c r="O159" s="465"/>
      <x:c r="P159" s="465"/>
      <x:c r="Q159" s="465"/>
      <x:c r="R159" s="465"/>
      <x:c r="S159" s="465"/>
      <x:c r="T159" s="465"/>
      <x:c r="U159" s="465"/>
      <x:c r="V159" s="465"/>
      <x:c r="W159" s="465"/>
      <x:c r="X159" s="465"/>
      <x:c r="Y159" s="465"/>
      <x:c r="Z159" s="465"/>
    </x:row>
    <x:row r="160">
      <x:c r="A160" s="465"/>
      <x:c r="B160" s="465"/>
      <x:c r="C160" s="465"/>
      <x:c r="D160" s="465"/>
      <x:c r="E160" s="465"/>
      <x:c r="F160" s="465"/>
      <x:c r="G160" s="465"/>
      <x:c r="H160" s="465"/>
      <x:c r="I160" s="465"/>
      <x:c r="J160" s="465"/>
      <x:c r="K160" s="465"/>
      <x:c r="L160" s="465"/>
      <x:c r="M160" s="465"/>
      <x:c r="N160" s="465"/>
      <x:c r="O160" s="465"/>
      <x:c r="P160" s="465"/>
      <x:c r="Q160" s="465"/>
      <x:c r="R160" s="465"/>
      <x:c r="S160" s="465"/>
      <x:c r="T160" s="465"/>
      <x:c r="U160" s="465"/>
      <x:c r="V160" s="465"/>
      <x:c r="W160" s="465"/>
      <x:c r="X160" s="465"/>
      <x:c r="Y160" s="465"/>
      <x:c r="Z160" s="465"/>
    </x:row>
    <x:row r="161">
      <x:c r="A161" s="465"/>
      <x:c r="B161" s="465"/>
      <x:c r="C161" s="465"/>
      <x:c r="D161" s="465"/>
      <x:c r="E161" s="465"/>
      <x:c r="F161" s="465"/>
      <x:c r="G161" s="465"/>
      <x:c r="H161" s="465"/>
      <x:c r="I161" s="465"/>
      <x:c r="J161" s="465"/>
      <x:c r="K161" s="465"/>
      <x:c r="L161" s="465"/>
      <x:c r="M161" s="465"/>
      <x:c r="N161" s="465"/>
      <x:c r="O161" s="465"/>
      <x:c r="P161" s="465"/>
      <x:c r="Q161" s="465"/>
      <x:c r="R161" s="465"/>
      <x:c r="S161" s="465"/>
      <x:c r="T161" s="465"/>
      <x:c r="U161" s="465"/>
      <x:c r="V161" s="465"/>
      <x:c r="W161" s="465"/>
      <x:c r="X161" s="465"/>
      <x:c r="Y161" s="465"/>
      <x:c r="Z161" s="465"/>
    </x:row>
    <x:row r="162">
      <x:c r="A162" s="465"/>
      <x:c r="B162" s="465"/>
      <x:c r="C162" s="465"/>
      <x:c r="D162" s="465"/>
      <x:c r="E162" s="465"/>
      <x:c r="F162" s="465"/>
      <x:c r="G162" s="465"/>
      <x:c r="H162" s="465"/>
      <x:c r="I162" s="465"/>
      <x:c r="J162" s="465"/>
      <x:c r="K162" s="465"/>
      <x:c r="L162" s="465"/>
      <x:c r="M162" s="465"/>
      <x:c r="N162" s="465"/>
      <x:c r="O162" s="465"/>
      <x:c r="P162" s="465"/>
      <x:c r="Q162" s="465"/>
      <x:c r="R162" s="465"/>
      <x:c r="S162" s="465"/>
      <x:c r="T162" s="465"/>
      <x:c r="U162" s="465"/>
      <x:c r="V162" s="465"/>
      <x:c r="W162" s="465"/>
      <x:c r="X162" s="465"/>
      <x:c r="Y162" s="465"/>
      <x:c r="Z162" s="465"/>
    </x:row>
    <x:row r="163">
      <x:c r="A163" s="465"/>
      <x:c r="B163" s="465"/>
      <x:c r="C163" s="465"/>
      <x:c r="D163" s="465"/>
      <x:c r="E163" s="465"/>
      <x:c r="F163" s="465"/>
      <x:c r="G163" s="465"/>
      <x:c r="H163" s="465"/>
      <x:c r="I163" s="465"/>
      <x:c r="J163" s="465"/>
      <x:c r="K163" s="465"/>
      <x:c r="L163" s="465"/>
      <x:c r="M163" s="465"/>
      <x:c r="N163" s="465"/>
      <x:c r="O163" s="465"/>
      <x:c r="P163" s="465"/>
      <x:c r="Q163" s="465"/>
      <x:c r="R163" s="465"/>
      <x:c r="S163" s="465"/>
      <x:c r="T163" s="465"/>
      <x:c r="U163" s="465"/>
      <x:c r="V163" s="465"/>
      <x:c r="W163" s="465"/>
      <x:c r="X163" s="465"/>
      <x:c r="Y163" s="465"/>
      <x:c r="Z163" s="465"/>
    </x:row>
    <x:row r="164">
      <x:c r="A164" s="465"/>
      <x:c r="B164" s="465"/>
      <x:c r="C164" s="465"/>
      <x:c r="D164" s="465"/>
      <x:c r="E164" s="465"/>
      <x:c r="F164" s="465"/>
      <x:c r="G164" s="465"/>
      <x:c r="H164" s="465"/>
      <x:c r="I164" s="465"/>
      <x:c r="J164" s="465"/>
      <x:c r="K164" s="465"/>
      <x:c r="L164" s="465"/>
      <x:c r="M164" s="465"/>
      <x:c r="N164" s="465"/>
      <x:c r="O164" s="465"/>
      <x:c r="P164" s="465"/>
      <x:c r="Q164" s="465"/>
      <x:c r="R164" s="465"/>
      <x:c r="S164" s="465"/>
      <x:c r="T164" s="465"/>
      <x:c r="U164" s="465"/>
      <x:c r="V164" s="465"/>
      <x:c r="W164" s="465"/>
      <x:c r="X164" s="465"/>
      <x:c r="Y164" s="465"/>
      <x:c r="Z164" s="465"/>
    </x:row>
    <x:row r="165">
      <x:c r="A165" s="465"/>
      <x:c r="B165" s="465"/>
      <x:c r="C165" s="465"/>
      <x:c r="D165" s="465"/>
      <x:c r="E165" s="465"/>
      <x:c r="F165" s="465"/>
      <x:c r="G165" s="465"/>
      <x:c r="H165" s="465"/>
      <x:c r="I165" s="465"/>
      <x:c r="J165" s="465"/>
      <x:c r="K165" s="465"/>
      <x:c r="L165" s="465"/>
      <x:c r="M165" s="465"/>
      <x:c r="N165" s="465"/>
      <x:c r="O165" s="465"/>
      <x:c r="P165" s="465"/>
      <x:c r="Q165" s="465"/>
      <x:c r="R165" s="465"/>
      <x:c r="S165" s="465"/>
      <x:c r="T165" s="465"/>
      <x:c r="U165" s="465"/>
      <x:c r="V165" s="465"/>
      <x:c r="W165" s="465"/>
      <x:c r="X165" s="465"/>
      <x:c r="Y165" s="465"/>
      <x:c r="Z165" s="465"/>
    </x:row>
    <x:row r="166">
      <x:c r="A166" s="465"/>
      <x:c r="B166" s="465"/>
      <x:c r="C166" s="465"/>
      <x:c r="D166" s="465"/>
      <x:c r="E166" s="465"/>
      <x:c r="F166" s="465"/>
      <x:c r="G166" s="465"/>
      <x:c r="H166" s="465"/>
      <x:c r="I166" s="465"/>
      <x:c r="J166" s="465"/>
      <x:c r="K166" s="465"/>
      <x:c r="L166" s="465"/>
      <x:c r="M166" s="465"/>
      <x:c r="N166" s="465"/>
      <x:c r="O166" s="465"/>
      <x:c r="P166" s="465"/>
      <x:c r="Q166" s="465"/>
      <x:c r="R166" s="465"/>
      <x:c r="S166" s="465"/>
      <x:c r="T166" s="465"/>
      <x:c r="U166" s="465"/>
      <x:c r="V166" s="465"/>
      <x:c r="W166" s="465"/>
      <x:c r="X166" s="465"/>
      <x:c r="Y166" s="465"/>
      <x:c r="Z166" s="465"/>
    </x:row>
    <x:row r="167">
      <x:c r="A167" s="465"/>
      <x:c r="B167" s="465"/>
      <x:c r="C167" s="465"/>
      <x:c r="D167" s="465"/>
      <x:c r="E167" s="465"/>
      <x:c r="F167" s="465"/>
      <x:c r="G167" s="465"/>
      <x:c r="H167" s="465"/>
      <x:c r="I167" s="465"/>
      <x:c r="J167" s="465"/>
      <x:c r="K167" s="465"/>
      <x:c r="L167" s="465"/>
      <x:c r="M167" s="465"/>
      <x:c r="N167" s="465"/>
      <x:c r="O167" s="465"/>
      <x:c r="P167" s="465"/>
      <x:c r="Q167" s="465"/>
      <x:c r="R167" s="465"/>
      <x:c r="S167" s="465"/>
      <x:c r="T167" s="465"/>
      <x:c r="U167" s="465"/>
      <x:c r="V167" s="465"/>
      <x:c r="W167" s="465"/>
      <x:c r="X167" s="465"/>
      <x:c r="Y167" s="465"/>
      <x:c r="Z167" s="465"/>
    </x:row>
    <x:row r="168">
      <x:c r="A168" s="465"/>
      <x:c r="B168" s="465"/>
      <x:c r="C168" s="465"/>
      <x:c r="D168" s="465"/>
      <x:c r="E168" s="465"/>
      <x:c r="F168" s="465"/>
      <x:c r="G168" s="465"/>
      <x:c r="H168" s="465"/>
      <x:c r="I168" s="465"/>
      <x:c r="J168" s="465"/>
      <x:c r="K168" s="465"/>
      <x:c r="L168" s="465"/>
      <x:c r="M168" s="465"/>
      <x:c r="N168" s="465"/>
      <x:c r="O168" s="465"/>
      <x:c r="P168" s="465"/>
      <x:c r="Q168" s="465"/>
      <x:c r="R168" s="465"/>
      <x:c r="S168" s="465"/>
      <x:c r="T168" s="465"/>
      <x:c r="U168" s="465"/>
      <x:c r="V168" s="465"/>
      <x:c r="W168" s="465"/>
      <x:c r="X168" s="465"/>
      <x:c r="Y168" s="465"/>
      <x:c r="Z168" s="465"/>
    </x:row>
    <x:row r="169">
      <x:c r="A169" s="465"/>
      <x:c r="B169" s="465"/>
      <x:c r="C169" s="465"/>
      <x:c r="D169" s="465"/>
      <x:c r="E169" s="465"/>
      <x:c r="F169" s="465"/>
      <x:c r="G169" s="465"/>
      <x:c r="H169" s="465"/>
      <x:c r="I169" s="465"/>
      <x:c r="J169" s="465"/>
      <x:c r="K169" s="465"/>
      <x:c r="L169" s="465"/>
      <x:c r="M169" s="465"/>
      <x:c r="N169" s="465"/>
      <x:c r="O169" s="465"/>
      <x:c r="P169" s="465"/>
      <x:c r="Q169" s="465"/>
      <x:c r="R169" s="465"/>
      <x:c r="S169" s="465"/>
      <x:c r="T169" s="465"/>
      <x:c r="U169" s="465"/>
      <x:c r="V169" s="465"/>
      <x:c r="W169" s="465"/>
      <x:c r="X169" s="465"/>
      <x:c r="Y169" s="465"/>
      <x:c r="Z169" s="465"/>
    </x:row>
    <x:row r="170">
      <x:c r="A170" s="465"/>
      <x:c r="B170" s="465"/>
      <x:c r="C170" s="465"/>
      <x:c r="D170" s="465"/>
      <x:c r="E170" s="465"/>
      <x:c r="F170" s="465"/>
      <x:c r="G170" s="465"/>
      <x:c r="H170" s="465"/>
      <x:c r="I170" s="465"/>
      <x:c r="J170" s="465"/>
      <x:c r="K170" s="465"/>
      <x:c r="L170" s="465"/>
      <x:c r="M170" s="465"/>
      <x:c r="N170" s="465"/>
      <x:c r="O170" s="465"/>
      <x:c r="P170" s="465"/>
      <x:c r="Q170" s="465"/>
      <x:c r="R170" s="465"/>
      <x:c r="S170" s="465"/>
      <x:c r="T170" s="465"/>
      <x:c r="U170" s="465"/>
      <x:c r="V170" s="465"/>
      <x:c r="W170" s="465"/>
      <x:c r="X170" s="465"/>
      <x:c r="Y170" s="465"/>
      <x:c r="Z170" s="465"/>
    </x:row>
    <x:row r="171">
      <x:c r="A171" s="465"/>
      <x:c r="B171" s="465"/>
      <x:c r="C171" s="465"/>
      <x:c r="D171" s="465"/>
      <x:c r="E171" s="465"/>
      <x:c r="F171" s="465"/>
      <x:c r="G171" s="465"/>
      <x:c r="H171" s="465"/>
      <x:c r="I171" s="465"/>
      <x:c r="J171" s="465"/>
      <x:c r="K171" s="465"/>
      <x:c r="L171" s="465"/>
      <x:c r="M171" s="465"/>
      <x:c r="N171" s="465"/>
      <x:c r="O171" s="465"/>
      <x:c r="P171" s="465"/>
      <x:c r="Q171" s="465"/>
      <x:c r="R171" s="465"/>
      <x:c r="S171" s="465"/>
      <x:c r="T171" s="465"/>
      <x:c r="U171" s="465"/>
      <x:c r="V171" s="465"/>
      <x:c r="W171" s="465"/>
      <x:c r="X171" s="465"/>
      <x:c r="Y171" s="465"/>
      <x:c r="Z171" s="465"/>
    </x:row>
    <x:row r="172">
      <x:c r="A172" s="465"/>
      <x:c r="B172" s="465"/>
      <x:c r="C172" s="465"/>
      <x:c r="D172" s="465"/>
      <x:c r="E172" s="465"/>
      <x:c r="F172" s="465"/>
      <x:c r="G172" s="465"/>
      <x:c r="H172" s="465"/>
      <x:c r="I172" s="465"/>
      <x:c r="J172" s="465"/>
      <x:c r="K172" s="465"/>
      <x:c r="L172" s="465"/>
      <x:c r="M172" s="465"/>
      <x:c r="N172" s="465"/>
      <x:c r="O172" s="465"/>
      <x:c r="P172" s="465"/>
      <x:c r="Q172" s="465"/>
      <x:c r="R172" s="465"/>
      <x:c r="S172" s="465"/>
      <x:c r="T172" s="465"/>
      <x:c r="U172" s="465"/>
      <x:c r="V172" s="465"/>
      <x:c r="W172" s="465"/>
      <x:c r="X172" s="465"/>
      <x:c r="Y172" s="465"/>
      <x:c r="Z172" s="465"/>
    </x:row>
    <x:row r="173">
      <x:c r="A173" s="465"/>
      <x:c r="B173" s="465"/>
      <x:c r="C173" s="465"/>
      <x:c r="D173" s="465"/>
      <x:c r="E173" s="465"/>
      <x:c r="F173" s="465"/>
      <x:c r="G173" s="465"/>
      <x:c r="H173" s="465"/>
      <x:c r="I173" s="465"/>
      <x:c r="J173" s="465"/>
      <x:c r="K173" s="465"/>
      <x:c r="L173" s="465"/>
      <x:c r="M173" s="465"/>
      <x:c r="N173" s="465"/>
      <x:c r="O173" s="465"/>
      <x:c r="P173" s="465"/>
      <x:c r="Q173" s="465"/>
      <x:c r="R173" s="465"/>
      <x:c r="S173" s="465"/>
      <x:c r="T173" s="465"/>
      <x:c r="U173" s="465"/>
      <x:c r="V173" s="465"/>
      <x:c r="W173" s="465"/>
      <x:c r="X173" s="465"/>
      <x:c r="Y173" s="465"/>
      <x:c r="Z173" s="465"/>
    </x:row>
    <x:row r="174">
      <x:c r="A174" s="465"/>
      <x:c r="B174" s="465"/>
      <x:c r="C174" s="465"/>
      <x:c r="D174" s="465"/>
      <x:c r="E174" s="465"/>
      <x:c r="F174" s="465"/>
      <x:c r="G174" s="465"/>
      <x:c r="H174" s="465"/>
      <x:c r="I174" s="465"/>
      <x:c r="J174" s="465"/>
      <x:c r="K174" s="465"/>
      <x:c r="L174" s="465"/>
      <x:c r="M174" s="465"/>
      <x:c r="N174" s="465"/>
      <x:c r="O174" s="465"/>
      <x:c r="P174" s="465"/>
      <x:c r="Q174" s="465"/>
      <x:c r="R174" s="465"/>
      <x:c r="S174" s="465"/>
      <x:c r="T174" s="465"/>
      <x:c r="U174" s="465"/>
      <x:c r="V174" s="465"/>
      <x:c r="W174" s="465"/>
      <x:c r="X174" s="465"/>
      <x:c r="Y174" s="465"/>
      <x:c r="Z174" s="465"/>
    </x:row>
    <x:row r="175">
      <x:c r="A175" s="465"/>
      <x:c r="B175" s="465"/>
      <x:c r="C175" s="465"/>
      <x:c r="D175" s="465"/>
      <x:c r="E175" s="465"/>
      <x:c r="F175" s="465"/>
      <x:c r="G175" s="465"/>
      <x:c r="H175" s="465"/>
      <x:c r="I175" s="465"/>
      <x:c r="J175" s="465"/>
      <x:c r="K175" s="465"/>
      <x:c r="L175" s="465"/>
      <x:c r="M175" s="465"/>
      <x:c r="N175" s="465"/>
      <x:c r="O175" s="465"/>
      <x:c r="P175" s="465"/>
      <x:c r="Q175" s="465"/>
      <x:c r="R175" s="465"/>
      <x:c r="S175" s="465"/>
      <x:c r="T175" s="465"/>
      <x:c r="U175" s="465"/>
      <x:c r="V175" s="465"/>
      <x:c r="W175" s="465"/>
      <x:c r="X175" s="465"/>
      <x:c r="Y175" s="465"/>
      <x:c r="Z175" s="465"/>
    </x:row>
    <x:row r="176">
      <x:c r="A176" s="465"/>
      <x:c r="B176" s="465"/>
      <x:c r="C176" s="465"/>
      <x:c r="D176" s="465"/>
      <x:c r="E176" s="465"/>
      <x:c r="F176" s="465"/>
      <x:c r="G176" s="465"/>
      <x:c r="H176" s="465"/>
      <x:c r="I176" s="465"/>
      <x:c r="J176" s="465"/>
      <x:c r="K176" s="465"/>
      <x:c r="L176" s="465"/>
      <x:c r="M176" s="465"/>
      <x:c r="N176" s="465"/>
      <x:c r="O176" s="465"/>
      <x:c r="P176" s="465"/>
      <x:c r="Q176" s="465"/>
      <x:c r="R176" s="465"/>
      <x:c r="S176" s="465"/>
      <x:c r="T176" s="465"/>
      <x:c r="U176" s="465"/>
      <x:c r="V176" s="465"/>
      <x:c r="W176" s="465"/>
      <x:c r="X176" s="465"/>
      <x:c r="Y176" s="465"/>
      <x:c r="Z176" s="465"/>
    </x:row>
    <x:row r="177">
      <x:c r="A177" s="465"/>
      <x:c r="B177" s="465"/>
      <x:c r="C177" s="465"/>
      <x:c r="D177" s="465"/>
      <x:c r="E177" s="465"/>
      <x:c r="F177" s="465"/>
      <x:c r="G177" s="465"/>
      <x:c r="H177" s="465"/>
      <x:c r="I177" s="465"/>
      <x:c r="J177" s="465"/>
      <x:c r="K177" s="465"/>
      <x:c r="L177" s="465"/>
      <x:c r="M177" s="465"/>
      <x:c r="N177" s="465"/>
      <x:c r="O177" s="465"/>
      <x:c r="P177" s="465"/>
      <x:c r="Q177" s="465"/>
      <x:c r="R177" s="465"/>
      <x:c r="S177" s="465"/>
      <x:c r="T177" s="465"/>
      <x:c r="U177" s="465"/>
      <x:c r="V177" s="465"/>
      <x:c r="W177" s="465"/>
      <x:c r="X177" s="465"/>
      <x:c r="Y177" s="465"/>
      <x:c r="Z177" s="465"/>
    </x:row>
    <x:row r="178">
      <x:c r="A178" s="465"/>
      <x:c r="B178" s="465"/>
      <x:c r="C178" s="465"/>
      <x:c r="D178" s="465"/>
      <x:c r="E178" s="465"/>
      <x:c r="F178" s="465"/>
      <x:c r="G178" s="465"/>
      <x:c r="H178" s="465"/>
      <x:c r="I178" s="465"/>
      <x:c r="J178" s="465"/>
      <x:c r="K178" s="465"/>
      <x:c r="L178" s="465"/>
      <x:c r="M178" s="465"/>
      <x:c r="N178" s="465"/>
      <x:c r="O178" s="465"/>
      <x:c r="P178" s="465"/>
      <x:c r="Q178" s="465"/>
      <x:c r="R178" s="465"/>
      <x:c r="S178" s="465"/>
      <x:c r="T178" s="465"/>
      <x:c r="U178" s="465"/>
      <x:c r="V178" s="465"/>
      <x:c r="W178" s="465"/>
      <x:c r="X178" s="465"/>
      <x:c r="Y178" s="465"/>
      <x:c r="Z178" s="465"/>
    </x:row>
    <x:row r="179">
      <x:c r="A179" s="465"/>
      <x:c r="B179" s="465"/>
      <x:c r="C179" s="465"/>
      <x:c r="D179" s="465"/>
      <x:c r="E179" s="465"/>
      <x:c r="F179" s="465"/>
      <x:c r="G179" s="465"/>
      <x:c r="H179" s="465"/>
      <x:c r="I179" s="465"/>
      <x:c r="J179" s="465"/>
      <x:c r="K179" s="465"/>
      <x:c r="L179" s="465"/>
      <x:c r="M179" s="465"/>
      <x:c r="N179" s="465"/>
      <x:c r="O179" s="465"/>
      <x:c r="P179" s="465"/>
      <x:c r="Q179" s="465"/>
      <x:c r="R179" s="465"/>
      <x:c r="S179" s="465"/>
      <x:c r="T179" s="465"/>
      <x:c r="U179" s="465"/>
      <x:c r="V179" s="465"/>
      <x:c r="W179" s="465"/>
      <x:c r="X179" s="465"/>
      <x:c r="Y179" s="465"/>
      <x:c r="Z179" s="465"/>
    </x:row>
    <x:row r="180">
      <x:c r="A180" s="465"/>
      <x:c r="B180" s="465"/>
      <x:c r="C180" s="465"/>
      <x:c r="D180" s="465"/>
      <x:c r="E180" s="465"/>
      <x:c r="F180" s="465"/>
      <x:c r="G180" s="465"/>
      <x:c r="H180" s="465"/>
      <x:c r="I180" s="465"/>
      <x:c r="J180" s="465"/>
      <x:c r="K180" s="465"/>
      <x:c r="L180" s="465"/>
      <x:c r="M180" s="465"/>
      <x:c r="N180" s="465"/>
      <x:c r="O180" s="465"/>
      <x:c r="P180" s="465"/>
      <x:c r="Q180" s="465"/>
      <x:c r="R180" s="465"/>
      <x:c r="S180" s="465"/>
      <x:c r="T180" s="465"/>
      <x:c r="U180" s="465"/>
      <x:c r="V180" s="465"/>
      <x:c r="W180" s="465"/>
      <x:c r="X180" s="465"/>
      <x:c r="Y180" s="465"/>
      <x:c r="Z180" s="465"/>
    </x:row>
    <x:row r="181">
      <x:c r="A181" s="465"/>
      <x:c r="B181" s="465"/>
      <x:c r="C181" s="465"/>
      <x:c r="D181" s="465"/>
      <x:c r="E181" s="465"/>
      <x:c r="F181" s="465"/>
      <x:c r="G181" s="465"/>
      <x:c r="H181" s="465"/>
      <x:c r="I181" s="465"/>
      <x:c r="J181" s="465"/>
      <x:c r="K181" s="465"/>
      <x:c r="L181" s="465"/>
      <x:c r="M181" s="465"/>
      <x:c r="N181" s="465"/>
      <x:c r="O181" s="465"/>
      <x:c r="P181" s="465"/>
      <x:c r="Q181" s="465"/>
      <x:c r="R181" s="465"/>
      <x:c r="S181" s="465"/>
      <x:c r="T181" s="465"/>
      <x:c r="U181" s="465"/>
      <x:c r="V181" s="465"/>
      <x:c r="W181" s="465"/>
      <x:c r="X181" s="465"/>
      <x:c r="Y181" s="465"/>
      <x:c r="Z181" s="465"/>
    </x:row>
    <x:row r="182">
      <x:c r="A182" s="465"/>
      <x:c r="B182" s="465"/>
      <x:c r="C182" s="465"/>
      <x:c r="D182" s="465"/>
      <x:c r="E182" s="465"/>
      <x:c r="F182" s="465"/>
      <x:c r="G182" s="465"/>
      <x:c r="H182" s="465"/>
      <x:c r="I182" s="465"/>
      <x:c r="J182" s="465"/>
      <x:c r="K182" s="465"/>
      <x:c r="L182" s="465"/>
      <x:c r="M182" s="465"/>
      <x:c r="N182" s="465"/>
      <x:c r="O182" s="465"/>
      <x:c r="P182" s="465"/>
      <x:c r="Q182" s="465"/>
      <x:c r="R182" s="465"/>
      <x:c r="S182" s="465"/>
      <x:c r="T182" s="465"/>
      <x:c r="U182" s="465"/>
      <x:c r="V182" s="465"/>
      <x:c r="W182" s="465"/>
      <x:c r="X182" s="465"/>
      <x:c r="Y182" s="465"/>
      <x:c r="Z182" s="465"/>
    </x:row>
    <x:row r="183">
      <x:c r="A183" s="465"/>
      <x:c r="B183" s="465"/>
      <x:c r="C183" s="465"/>
      <x:c r="D183" s="465"/>
      <x:c r="E183" s="465"/>
      <x:c r="F183" s="465"/>
      <x:c r="G183" s="465"/>
      <x:c r="H183" s="465"/>
      <x:c r="I183" s="465"/>
      <x:c r="J183" s="465"/>
      <x:c r="K183" s="465"/>
      <x:c r="L183" s="465"/>
      <x:c r="M183" s="465"/>
      <x:c r="N183" s="465"/>
      <x:c r="O183" s="465"/>
      <x:c r="P183" s="465"/>
      <x:c r="Q183" s="465"/>
      <x:c r="R183" s="465"/>
      <x:c r="S183" s="465"/>
      <x:c r="T183" s="465"/>
      <x:c r="U183" s="465"/>
      <x:c r="V183" s="465"/>
      <x:c r="W183" s="465"/>
      <x:c r="X183" s="465"/>
      <x:c r="Y183" s="465"/>
      <x:c r="Z183" s="465"/>
    </x:row>
    <x:row r="184">
      <x:c r="A184" s="465"/>
      <x:c r="B184" s="465"/>
      <x:c r="C184" s="465"/>
      <x:c r="D184" s="465"/>
      <x:c r="E184" s="465"/>
      <x:c r="F184" s="465"/>
      <x:c r="G184" s="465"/>
      <x:c r="H184" s="465"/>
      <x:c r="I184" s="465"/>
      <x:c r="J184" s="465"/>
      <x:c r="K184" s="465"/>
      <x:c r="L184" s="465"/>
      <x:c r="M184" s="465"/>
      <x:c r="N184" s="465"/>
      <x:c r="O184" s="465"/>
      <x:c r="P184" s="465"/>
      <x:c r="Q184" s="465"/>
      <x:c r="R184" s="465"/>
      <x:c r="S184" s="465"/>
      <x:c r="T184" s="465"/>
      <x:c r="U184" s="465"/>
      <x:c r="V184" s="465"/>
      <x:c r="W184" s="465"/>
      <x:c r="X184" s="465"/>
      <x:c r="Y184" s="465"/>
      <x:c r="Z184" s="465"/>
    </x:row>
    <x:row r="185">
      <x:c r="A185" s="465"/>
      <x:c r="B185" s="465"/>
      <x:c r="C185" s="465"/>
      <x:c r="D185" s="465"/>
      <x:c r="E185" s="465"/>
      <x:c r="F185" s="465"/>
      <x:c r="G185" s="465"/>
      <x:c r="H185" s="465"/>
      <x:c r="I185" s="465"/>
      <x:c r="J185" s="465"/>
      <x:c r="K185" s="465"/>
      <x:c r="L185" s="465"/>
      <x:c r="M185" s="465"/>
      <x:c r="N185" s="465"/>
      <x:c r="O185" s="465"/>
      <x:c r="P185" s="465"/>
      <x:c r="Q185" s="465"/>
      <x:c r="R185" s="465"/>
      <x:c r="S185" s="465"/>
      <x:c r="T185" s="465"/>
      <x:c r="U185" s="465"/>
      <x:c r="V185" s="465"/>
      <x:c r="W185" s="465"/>
      <x:c r="X185" s="465"/>
      <x:c r="Y185" s="465"/>
      <x:c r="Z185" s="465"/>
    </x:row>
    <x:row r="186">
      <x:c r="A186" s="465"/>
      <x:c r="B186" s="465"/>
      <x:c r="C186" s="465"/>
      <x:c r="D186" s="465"/>
      <x:c r="E186" s="465"/>
      <x:c r="F186" s="465"/>
      <x:c r="G186" s="465"/>
      <x:c r="H186" s="465"/>
      <x:c r="I186" s="465"/>
      <x:c r="J186" s="465"/>
      <x:c r="K186" s="465"/>
      <x:c r="L186" s="465"/>
      <x:c r="M186" s="465"/>
      <x:c r="N186" s="465"/>
      <x:c r="O186" s="465"/>
      <x:c r="P186" s="465"/>
      <x:c r="Q186" s="465"/>
      <x:c r="R186" s="465"/>
      <x:c r="S186" s="465"/>
      <x:c r="T186" s="465"/>
      <x:c r="U186" s="465"/>
      <x:c r="V186" s="465"/>
      <x:c r="W186" s="465"/>
      <x:c r="X186" s="465"/>
      <x:c r="Y186" s="465"/>
      <x:c r="Z186" s="465"/>
    </x:row>
    <x:row r="187">
      <x:c r="A187" s="465"/>
      <x:c r="B187" s="465"/>
      <x:c r="C187" s="465"/>
      <x:c r="D187" s="465"/>
      <x:c r="E187" s="465"/>
      <x:c r="F187" s="465"/>
      <x:c r="G187" s="465"/>
      <x:c r="H187" s="465"/>
      <x:c r="I187" s="465"/>
      <x:c r="J187" s="465"/>
      <x:c r="K187" s="465"/>
      <x:c r="L187" s="465"/>
      <x:c r="M187" s="465"/>
      <x:c r="N187" s="465"/>
      <x:c r="O187" s="465"/>
      <x:c r="P187" s="465"/>
      <x:c r="Q187" s="465"/>
      <x:c r="R187" s="465"/>
      <x:c r="S187" s="465"/>
      <x:c r="T187" s="465"/>
      <x:c r="U187" s="465"/>
      <x:c r="V187" s="465"/>
      <x:c r="W187" s="465"/>
      <x:c r="X187" s="465"/>
      <x:c r="Y187" s="465"/>
      <x:c r="Z187" s="465"/>
    </x:row>
    <x:row r="188">
      <x:c r="A188" s="465"/>
      <x:c r="B188" s="465"/>
      <x:c r="C188" s="465"/>
      <x:c r="D188" s="465"/>
      <x:c r="E188" s="465"/>
      <x:c r="F188" s="465"/>
      <x:c r="G188" s="465"/>
      <x:c r="H188" s="465"/>
      <x:c r="I188" s="465"/>
      <x:c r="J188" s="465"/>
      <x:c r="K188" s="465"/>
      <x:c r="L188" s="465"/>
      <x:c r="M188" s="465"/>
      <x:c r="N188" s="465"/>
      <x:c r="O188" s="465"/>
      <x:c r="P188" s="465"/>
      <x:c r="Q188" s="465"/>
      <x:c r="R188" s="465"/>
      <x:c r="S188" s="465"/>
      <x:c r="T188" s="465"/>
      <x:c r="U188" s="465"/>
      <x:c r="V188" s="465"/>
      <x:c r="W188" s="465"/>
      <x:c r="X188" s="465"/>
      <x:c r="Y188" s="465"/>
      <x:c r="Z188" s="465"/>
    </x:row>
    <x:row r="189">
      <x:c r="A189" s="465"/>
      <x:c r="B189" s="465"/>
      <x:c r="C189" s="465"/>
      <x:c r="D189" s="465"/>
      <x:c r="E189" s="465"/>
      <x:c r="F189" s="465"/>
      <x:c r="G189" s="465"/>
      <x:c r="H189" s="465"/>
      <x:c r="I189" s="465"/>
      <x:c r="J189" s="465"/>
      <x:c r="K189" s="465"/>
      <x:c r="L189" s="465"/>
      <x:c r="M189" s="465"/>
      <x:c r="N189" s="465"/>
      <x:c r="O189" s="465"/>
      <x:c r="P189" s="465"/>
      <x:c r="Q189" s="465"/>
      <x:c r="R189" s="465"/>
      <x:c r="S189" s="465"/>
      <x:c r="T189" s="465"/>
      <x:c r="U189" s="465"/>
      <x:c r="V189" s="465"/>
      <x:c r="W189" s="465"/>
      <x:c r="X189" s="465"/>
      <x:c r="Y189" s="465"/>
      <x:c r="Z189" s="465"/>
    </x:row>
    <x:row r="190">
      <x:c r="A190" s="465"/>
      <x:c r="B190" s="465"/>
      <x:c r="C190" s="465"/>
      <x:c r="D190" s="465"/>
      <x:c r="E190" s="465"/>
      <x:c r="F190" s="465"/>
      <x:c r="G190" s="465"/>
      <x:c r="H190" s="465"/>
      <x:c r="I190" s="465"/>
      <x:c r="J190" s="465"/>
      <x:c r="K190" s="465"/>
      <x:c r="L190" s="465"/>
      <x:c r="M190" s="465"/>
      <x:c r="N190" s="465"/>
      <x:c r="O190" s="465"/>
      <x:c r="P190" s="465"/>
      <x:c r="Q190" s="465"/>
      <x:c r="R190" s="465"/>
      <x:c r="S190" s="465"/>
      <x:c r="T190" s="465"/>
      <x:c r="U190" s="465"/>
      <x:c r="V190" s="465"/>
      <x:c r="W190" s="465"/>
      <x:c r="X190" s="465"/>
      <x:c r="Y190" s="465"/>
      <x:c r="Z190" s="465"/>
    </x:row>
    <x:row r="191">
      <x:c r="A191" s="465"/>
      <x:c r="B191" s="465"/>
      <x:c r="C191" s="465"/>
      <x:c r="D191" s="465"/>
      <x:c r="E191" s="465"/>
      <x:c r="F191" s="465"/>
      <x:c r="G191" s="465"/>
      <x:c r="H191" s="465"/>
      <x:c r="I191" s="465"/>
      <x:c r="J191" s="465"/>
      <x:c r="K191" s="465"/>
      <x:c r="L191" s="465"/>
      <x:c r="M191" s="465"/>
      <x:c r="N191" s="465"/>
      <x:c r="O191" s="465"/>
      <x:c r="P191" s="465"/>
      <x:c r="Q191" s="465"/>
      <x:c r="R191" s="465"/>
      <x:c r="S191" s="465"/>
      <x:c r="T191" s="465"/>
      <x:c r="U191" s="465"/>
      <x:c r="V191" s="465"/>
      <x:c r="W191" s="465"/>
      <x:c r="X191" s="465"/>
      <x:c r="Y191" s="465"/>
      <x:c r="Z191" s="465"/>
    </x:row>
    <x:row r="192">
      <x:c r="A192" s="465"/>
      <x:c r="B192" s="465"/>
      <x:c r="C192" s="465"/>
      <x:c r="D192" s="465"/>
      <x:c r="E192" s="465"/>
      <x:c r="F192" s="465"/>
      <x:c r="G192" s="465"/>
      <x:c r="H192" s="465"/>
      <x:c r="I192" s="465"/>
      <x:c r="J192" s="465"/>
      <x:c r="K192" s="465"/>
      <x:c r="L192" s="465"/>
      <x:c r="M192" s="465"/>
      <x:c r="N192" s="465"/>
      <x:c r="O192" s="465"/>
      <x:c r="P192" s="465"/>
      <x:c r="Q192" s="465"/>
      <x:c r="R192" s="465"/>
      <x:c r="S192" s="465"/>
      <x:c r="T192" s="465"/>
      <x:c r="U192" s="465"/>
      <x:c r="V192" s="465"/>
      <x:c r="W192" s="465"/>
      <x:c r="X192" s="465"/>
      <x:c r="Y192" s="465"/>
      <x:c r="Z192" s="465"/>
    </x:row>
    <x:row r="193">
      <x:c r="A193" s="465"/>
      <x:c r="B193" s="465"/>
      <x:c r="C193" s="465"/>
      <x:c r="D193" s="465"/>
      <x:c r="E193" s="465"/>
      <x:c r="F193" s="465"/>
      <x:c r="G193" s="465"/>
      <x:c r="H193" s="465"/>
      <x:c r="I193" s="465"/>
      <x:c r="J193" s="465"/>
      <x:c r="K193" s="465"/>
      <x:c r="L193" s="465"/>
      <x:c r="M193" s="465"/>
      <x:c r="N193" s="465"/>
      <x:c r="O193" s="465"/>
      <x:c r="P193" s="465"/>
      <x:c r="Q193" s="465"/>
      <x:c r="R193" s="465"/>
      <x:c r="S193" s="465"/>
      <x:c r="T193" s="465"/>
      <x:c r="U193" s="465"/>
      <x:c r="V193" s="465"/>
      <x:c r="W193" s="465"/>
      <x:c r="X193" s="465"/>
      <x:c r="Y193" s="465"/>
      <x:c r="Z193" s="465"/>
    </x:row>
    <x:row r="194">
      <x:c r="A194" s="465"/>
      <x:c r="B194" s="465"/>
      <x:c r="C194" s="465"/>
      <x:c r="D194" s="465"/>
      <x:c r="E194" s="465"/>
      <x:c r="F194" s="465"/>
      <x:c r="G194" s="465"/>
      <x:c r="H194" s="465"/>
      <x:c r="I194" s="465"/>
      <x:c r="J194" s="465"/>
      <x:c r="K194" s="465"/>
      <x:c r="L194" s="465"/>
      <x:c r="M194" s="465"/>
      <x:c r="N194" s="465"/>
      <x:c r="O194" s="465"/>
      <x:c r="P194" s="465"/>
      <x:c r="Q194" s="465"/>
      <x:c r="R194" s="465"/>
      <x:c r="S194" s="465"/>
      <x:c r="T194" s="465"/>
      <x:c r="U194" s="465"/>
      <x:c r="V194" s="465"/>
      <x:c r="W194" s="465"/>
      <x:c r="X194" s="465"/>
      <x:c r="Y194" s="465"/>
      <x:c r="Z194" s="465"/>
    </x:row>
    <x:row r="195">
      <x:c r="A195" s="465"/>
      <x:c r="B195" s="465"/>
      <x:c r="C195" s="465"/>
      <x:c r="D195" s="465"/>
      <x:c r="E195" s="465"/>
      <x:c r="F195" s="465"/>
      <x:c r="G195" s="465"/>
      <x:c r="H195" s="465"/>
      <x:c r="I195" s="465"/>
      <x:c r="J195" s="465"/>
      <x:c r="K195" s="465"/>
      <x:c r="L195" s="465"/>
      <x:c r="M195" s="465"/>
      <x:c r="N195" s="465"/>
      <x:c r="O195" s="465"/>
      <x:c r="P195" s="465"/>
      <x:c r="Q195" s="465"/>
      <x:c r="R195" s="465"/>
      <x:c r="S195" s="465"/>
      <x:c r="T195" s="465"/>
      <x:c r="U195" s="465"/>
      <x:c r="V195" s="465"/>
      <x:c r="W195" s="465"/>
      <x:c r="X195" s="465"/>
      <x:c r="Y195" s="465"/>
      <x:c r="Z195" s="465"/>
    </x:row>
    <x:row r="196">
      <x:c r="A196" s="465"/>
      <x:c r="B196" s="465"/>
      <x:c r="C196" s="465"/>
      <x:c r="D196" s="465"/>
      <x:c r="E196" s="465"/>
      <x:c r="F196" s="465"/>
      <x:c r="G196" s="465"/>
      <x:c r="H196" s="465"/>
      <x:c r="I196" s="465"/>
      <x:c r="J196" s="465"/>
      <x:c r="K196" s="465"/>
      <x:c r="L196" s="465"/>
      <x:c r="M196" s="465"/>
      <x:c r="N196" s="465"/>
      <x:c r="O196" s="465"/>
      <x:c r="P196" s="465"/>
      <x:c r="Q196" s="465"/>
      <x:c r="R196" s="465"/>
      <x:c r="S196" s="465"/>
      <x:c r="T196" s="465"/>
      <x:c r="U196" s="465"/>
      <x:c r="V196" s="465"/>
      <x:c r="W196" s="465"/>
      <x:c r="X196" s="465"/>
      <x:c r="Y196" s="465"/>
      <x:c r="Z196" s="465"/>
    </x:row>
    <x:row r="197">
      <x:c r="A197" s="465"/>
      <x:c r="B197" s="465"/>
      <x:c r="C197" s="465"/>
      <x:c r="D197" s="465"/>
      <x:c r="E197" s="465"/>
      <x:c r="F197" s="465"/>
      <x:c r="G197" s="465"/>
      <x:c r="H197" s="465"/>
      <x:c r="I197" s="465"/>
      <x:c r="J197" s="465"/>
      <x:c r="K197" s="465"/>
      <x:c r="L197" s="465"/>
      <x:c r="M197" s="465"/>
      <x:c r="N197" s="465"/>
      <x:c r="O197" s="465"/>
      <x:c r="P197" s="465"/>
      <x:c r="Q197" s="465"/>
      <x:c r="R197" s="465"/>
      <x:c r="S197" s="465"/>
      <x:c r="T197" s="465"/>
      <x:c r="U197" s="465"/>
      <x:c r="V197" s="465"/>
      <x:c r="W197" s="465"/>
      <x:c r="X197" s="465"/>
      <x:c r="Y197" s="465"/>
      <x:c r="Z197" s="465"/>
    </x:row>
    <x:row r="198">
      <x:c r="A198" s="465"/>
      <x:c r="B198" s="465"/>
      <x:c r="C198" s="465"/>
      <x:c r="D198" s="465"/>
      <x:c r="E198" s="465"/>
      <x:c r="F198" s="465"/>
      <x:c r="G198" s="465"/>
      <x:c r="H198" s="465"/>
      <x:c r="I198" s="465"/>
      <x:c r="J198" s="465"/>
      <x:c r="K198" s="465"/>
      <x:c r="L198" s="465"/>
      <x:c r="M198" s="465"/>
      <x:c r="N198" s="465"/>
      <x:c r="O198" s="465"/>
      <x:c r="P198" s="465"/>
      <x:c r="Q198" s="465"/>
      <x:c r="R198" s="465"/>
      <x:c r="S198" s="465"/>
      <x:c r="T198" s="465"/>
      <x:c r="U198" s="465"/>
      <x:c r="V198" s="465"/>
      <x:c r="W198" s="465"/>
      <x:c r="X198" s="465"/>
      <x:c r="Y198" s="465"/>
      <x:c r="Z198" s="465"/>
    </x:row>
    <x:row r="199">
      <x:c r="A199" s="465"/>
      <x:c r="B199" s="465"/>
      <x:c r="C199" s="465"/>
      <x:c r="D199" s="465"/>
      <x:c r="E199" s="465"/>
      <x:c r="F199" s="465"/>
      <x:c r="G199" s="465"/>
      <x:c r="H199" s="465"/>
      <x:c r="I199" s="465"/>
      <x:c r="J199" s="465"/>
      <x:c r="K199" s="465"/>
      <x:c r="L199" s="465"/>
      <x:c r="M199" s="465"/>
      <x:c r="N199" s="465"/>
      <x:c r="O199" s="465"/>
      <x:c r="P199" s="465"/>
      <x:c r="Q199" s="465"/>
      <x:c r="R199" s="465"/>
      <x:c r="S199" s="465"/>
      <x:c r="T199" s="465"/>
      <x:c r="U199" s="465"/>
      <x:c r="V199" s="465"/>
      <x:c r="W199" s="465"/>
      <x:c r="X199" s="465"/>
      <x:c r="Y199" s="465"/>
      <x:c r="Z199" s="465"/>
    </x:row>
    <x:row r="200">
      <x:c r="A200" s="465"/>
      <x:c r="B200" s="465"/>
      <x:c r="C200" s="465"/>
      <x:c r="D200" s="465"/>
      <x:c r="E200" s="465"/>
      <x:c r="F200" s="465"/>
      <x:c r="G200" s="465"/>
      <x:c r="H200" s="465"/>
      <x:c r="I200" s="465"/>
      <x:c r="J200" s="465"/>
      <x:c r="K200" s="465"/>
      <x:c r="L200" s="465"/>
      <x:c r="M200" s="465"/>
      <x:c r="N200" s="465"/>
      <x:c r="O200" s="465"/>
      <x:c r="P200" s="465"/>
      <x:c r="Q200" s="465"/>
      <x:c r="R200" s="465"/>
      <x:c r="S200" s="465"/>
      <x:c r="T200" s="465"/>
      <x:c r="U200" s="465"/>
      <x:c r="V200" s="465"/>
      <x:c r="W200" s="465"/>
      <x:c r="X200" s="465"/>
      <x:c r="Y200" s="465"/>
      <x:c r="Z200" s="465"/>
    </x:row>
  </x:sheetData>
  <x:mergeCells>
    <x:mergeCell ref="A1:M2"/>
    <x:mergeCell ref="A3:M3"/>
    <x:mergeCell ref="A15:C15"/>
    <x:mergeCell ref="A33:M35"/>
  </x:mergeCells>
  <x:pageMargins left="0.7" right="0.7" top="0.75" bottom="0.75" header="0.3" footer="0.3"/>
  <x:drawing xmlns:r="http://schemas.openxmlformats.org/officeDocument/2006/relationships" r:id="Rd53b3d09736b4485"/>
  <x:tableParts count="1">
    <x:tablePart xmlns:r="http://schemas.openxmlformats.org/officeDocument/2006/relationships" r:id="R1289e173ae84463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3" hidden="0" customWidth="1"/>
    <x:col min="8" max="8" width="20" hidden="0" customWidth="1"/>
    <x:col min="9" max="9" width="12" hidden="0" customWidth="1"/>
    <x:col min="10" max="10" width="3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</x:cols>
  <x:sheetData>
    <x:row r="1" ht="28" customHeight="1">
      <x:c r="A1" s="5" t="str">
        <x:v>LightGBM 特徵重要性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465"/>
      <x:c r="U1" s="465"/>
      <x:c r="V1" s="465"/>
      <x:c r="W1" s="465"/>
      <x:c r="X1" s="465"/>
      <x:c r="Y1" s="465"/>
      <x:c r="Z1" s="465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465"/>
      <x:c r="U2" s="465"/>
      <x:c r="V2" s="465"/>
      <x:c r="W2" s="465"/>
      <x:c r="X2" s="465"/>
      <x:c r="Y2" s="465"/>
      <x:c r="Z2" s="465"/>
    </x:row>
    <x:row r="3" ht="24" customHeight="1">
      <x:c r="A3" s="8" t="str">
        <x:v>Gain 代表該特徵在樹模型分裂中帶來的相對資訊增益；它不是因果，也不能單獨證明某特徵造成失衡。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465"/>
      <x:c r="U3" s="465"/>
      <x:c r="V3" s="465"/>
      <x:c r="W3" s="465"/>
      <x:c r="X3" s="465"/>
      <x:c r="Y3" s="465"/>
      <x:c r="Z3" s="465"/>
    </x:row>
    <x:row r="4" ht="30" customHeight="1">
      <x:c r="A4" s="20" t="str">
        <x:v>事件</x:v>
      </x:c>
      <x:c r="B4" s="21" t="str">
        <x:v>特徵</x:v>
      </x:c>
      <x:c r="C4" s="21" t="str">
        <x:v>Gain</x:v>
      </x:c>
      <x:c r="D4" s="21" t="str">
        <x:v>分裂次數</x:v>
      </x:c>
      <x:c r="E4" s="21" t="str">
        <x:v>事件總Gain</x:v>
      </x:c>
      <x:c r="F4" s="22" t="str">
        <x:v>Gain占比</x:v>
      </x:c>
      <x:c r="G4" s="465"/>
      <x:c r="H4" s="20" t="str">
        <x:v>缺車 Top 10 特徵</x:v>
      </x:c>
      <x:c r="I4" s="22" t="str">
        <x:v>Gain占比</x:v>
      </x:c>
      <x:c r="J4" s="465"/>
      <x:c r="K4" s="465"/>
      <x:c r="L4" s="465"/>
      <x:c r="M4" s="465"/>
      <x:c r="N4" s="465"/>
      <x:c r="O4" s="465"/>
      <x:c r="P4" s="465"/>
      <x:c r="Q4" s="465"/>
      <x:c r="R4" s="465"/>
      <x:c r="S4" s="465"/>
      <x:c r="T4" s="465"/>
      <x:c r="U4" s="465"/>
      <x:c r="V4" s="465"/>
      <x:c r="W4" s="465"/>
      <x:c r="X4" s="465"/>
      <x:c r="Y4" s="465"/>
      <x:c r="Z4" s="465"/>
    </x:row>
    <x:row r="5">
      <x:c r="A5" s="465" t="str">
        <x:v>缺車</x:v>
      </x:c>
      <x:c r="B5" s="465" t="str">
        <x:v>available_bikes</x:v>
      </x:c>
      <x:c r="C5" s="508" t="n">
        <x:v>1970140.558139801</x:v>
      </x:c>
      <x:c r="D5" s="508" t="n">
        <x:v>463</x:v>
      </x:c>
      <x:c r="E5" s="508" t="n">
        <x:f>SUMIF($A$5:$A$116,A5,$C$5:$C$116)</x:f>
        <x:v>5027445.73532486</x:v>
      </x:c>
      <x:c r="F5" s="498" t="n">
        <x:f>C5/E5</x:f>
        <x:v>0.39187704091896997</x:v>
      </x:c>
      <x:c r="G5" s="465"/>
      <x:c r="H5" s="465" t="str">
        <x:v>現有可借車</x:v>
      </x:c>
      <x:c r="I5" s="498" t="n">
        <x:f>F5</x:f>
        <x:v>0.39187704091896997</x:v>
      </x:c>
      <x:c r="J5" s="465"/>
      <x:c r="K5" s="465"/>
      <x:c r="L5" s="465"/>
      <x:c r="M5" s="465"/>
      <x:c r="N5" s="465"/>
      <x:c r="O5" s="465"/>
      <x:c r="P5" s="465"/>
      <x:c r="Q5" s="465"/>
      <x:c r="R5" s="465"/>
      <x:c r="S5" s="465"/>
      <x:c r="T5" s="465"/>
      <x:c r="U5" s="465"/>
      <x:c r="V5" s="465"/>
      <x:c r="W5" s="465"/>
      <x:c r="X5" s="465"/>
      <x:c r="Y5" s="465"/>
      <x:c r="Z5" s="465"/>
    </x:row>
    <x:row r="6">
      <x:c r="A6" s="465" t="str">
        <x:v>缺車</x:v>
      </x:c>
      <x:c r="B6" s="465" t="str">
        <x:v>available_docks</x:v>
      </x:c>
      <x:c r="C6" s="508" t="n">
        <x:v>3251.116653442383</x:v>
      </x:c>
      <x:c r="D6" s="508" t="n">
        <x:v>86</x:v>
      </x:c>
      <x:c r="E6" s="508" t="n">
        <x:f>SUMIF($A$5:$A$116,A6,$C$5:$C$116)</x:f>
        <x:v>5027445.73532486</x:v>
      </x:c>
      <x:c r="F6" s="498" t="n">
        <x:f>C6/E6</x:f>
        <x:v>0.000646673643953773</x:v>
      </x:c>
      <x:c r="G6" s="465"/>
      <x:c r="H6" s="465" t="str">
        <x:v>站點 ID</x:v>
      </x:c>
      <x:c r="I6" s="498" t="n">
        <x:f>F55</x:f>
        <x:v>0.2112558023120818</x:v>
      </x:c>
      <x:c r="J6" s="465"/>
      <x:c r="K6" s="465"/>
      <x:c r="L6" s="465"/>
      <x:c r="M6" s="465"/>
      <x:c r="N6" s="465"/>
      <x:c r="O6" s="465"/>
      <x:c r="P6" s="465"/>
      <x:c r="Q6" s="465"/>
      <x:c r="R6" s="465"/>
      <x:c r="S6" s="465"/>
      <x:c r="T6" s="465"/>
      <x:c r="U6" s="465"/>
      <x:c r="V6" s="465"/>
      <x:c r="W6" s="465"/>
      <x:c r="X6" s="465"/>
      <x:c r="Y6" s="465"/>
      <x:c r="Z6" s="465"/>
    </x:row>
    <x:row r="7">
      <x:c r="A7" s="465" t="str">
        <x:v>缺車</x:v>
      </x:c>
      <x:c r="B7" s="465" t="str">
        <x:v>capacity</x:v>
      </x:c>
      <x:c r="C7" s="508" t="n">
        <x:v>7064.213991641998</x:v>
      </x:c>
      <x:c r="D7" s="508" t="n">
        <x:v>132</x:v>
      </x:c>
      <x:c r="E7" s="508" t="n">
        <x:f>SUMIF($A$5:$A$116,A7,$C$5:$C$116)</x:f>
        <x:v>5027445.73532486</x:v>
      </x:c>
      <x:c r="F7" s="498" t="n">
        <x:f>C7/E7</x:f>
        <x:v>0.001405129834024062</x:v>
      </x:c>
      <x:c r="G7" s="465"/>
      <x:c r="H7" s="465" t="str">
        <x:v>目標時段</x:v>
      </x:c>
      <x:c r="I7" s="498" t="n">
        <x:f>F57</x:f>
        <x:v>0.10102595001664742</x:v>
      </x:c>
      <x:c r="J7" s="465"/>
      <x:c r="K7" s="465"/>
      <x:c r="L7" s="465"/>
      <x:c r="M7" s="465"/>
      <x:c r="N7" s="465"/>
      <x:c r="O7" s="465"/>
      <x:c r="P7" s="465"/>
      <x:c r="Q7" s="465"/>
      <x:c r="R7" s="465"/>
      <x:c r="S7" s="465"/>
      <x:c r="T7" s="465"/>
      <x:c r="U7" s="465"/>
      <x:c r="V7" s="465"/>
      <x:c r="W7" s="465"/>
      <x:c r="X7" s="465"/>
      <x:c r="Y7" s="465"/>
      <x:c r="Z7" s="465"/>
    </x:row>
    <x:row r="8">
      <x:c r="A8" s="465" t="str">
        <x:v>缺車</x:v>
      </x:c>
      <x:c r="B8" s="465" t="str">
        <x:v>unavailable_count</x:v>
      </x:c>
      <x:c r="C8" s="508" t="n">
        <x:v>662.3246717453003</x:v>
      </x:c>
      <x:c r="D8" s="508" t="n">
        <x:v>33</x:v>
      </x:c>
      <x:c r="E8" s="508" t="n">
        <x:f>SUMIF($A$5:$A$116,A8,$C$5:$C$116)</x:f>
        <x:v>5027445.73532486</x:v>
      </x:c>
      <x:c r="F8" s="498" t="n">
        <x:f>C8/E8</x:f>
        <x:v>0.000131741784320324</x:v>
      </x:c>
      <x:c r="G8" s="465"/>
      <x:c r="H8" s="465" t="str">
        <x:v>30分車量變動</x:v>
      </x:c>
      <x:c r="I8" s="498" t="n">
        <x:f>F30</x:f>
        <x:v>0.07072829282218003</x:v>
      </x:c>
      <x:c r="J8" s="465"/>
      <x:c r="K8" s="465"/>
      <x:c r="L8" s="465"/>
      <x:c r="M8" s="465"/>
      <x:c r="N8" s="465"/>
      <x:c r="O8" s="465"/>
      <x:c r="P8" s="465"/>
      <x:c r="Q8" s="465"/>
      <x:c r="R8" s="465"/>
      <x:c r="S8" s="465"/>
      <x:c r="T8" s="465"/>
      <x:c r="U8" s="465"/>
      <x:c r="V8" s="465"/>
      <x:c r="W8" s="465"/>
      <x:c r="X8" s="465"/>
      <x:c r="Y8" s="465"/>
      <x:c r="Z8" s="465"/>
    </x:row>
    <x:row r="9">
      <x:c r="A9" s="465" t="str">
        <x:v>缺車</x:v>
      </x:c>
      <x:c r="B9" s="465" t="str">
        <x:v>bike_ratio</x:v>
      </x:c>
      <x:c r="C9" s="508" t="n">
        <x:v>148406.07793998718</x:v>
      </x:c>
      <x:c r="D9" s="508" t="n">
        <x:v>249</x:v>
      </x:c>
      <x:c r="E9" s="508" t="n">
        <x:f>SUMIF($A$5:$A$116,A9,$C$5:$C$116)</x:f>
        <x:v>5027445.73532486</x:v>
      </x:c>
      <x:c r="F9" s="498" t="n">
        <x:f>C9/E9</x:f>
        <x:v>0.029519180465186583</x:v>
      </x:c>
      <x:c r="G9" s="465"/>
      <x:c r="H9" s="465" t="str">
        <x:v>90分最低車比</x:v>
      </x:c>
      <x:c r="I9" s="498" t="n">
        <x:f>F36</x:f>
        <x:v>0.06410573077860596</x:v>
      </x:c>
      <x:c r="J9" s="465"/>
      <x:c r="K9" s="465"/>
      <x:c r="L9" s="465"/>
      <x:c r="M9" s="465"/>
      <x:c r="N9" s="465"/>
      <x:c r="O9" s="465"/>
      <x:c r="P9" s="465"/>
      <x:c r="Q9" s="465"/>
      <x:c r="R9" s="465"/>
      <x:c r="S9" s="465"/>
      <x:c r="T9" s="465"/>
      <x:c r="U9" s="465"/>
      <x:c r="V9" s="465"/>
      <x:c r="W9" s="465"/>
      <x:c r="X9" s="465"/>
      <x:c r="Y9" s="465"/>
      <x:c r="Z9" s="465"/>
    </x:row>
    <x:row r="10">
      <x:c r="A10" s="465" t="str">
        <x:v>缺車</x:v>
      </x:c>
      <x:c r="B10" s="465" t="str">
        <x:v>dock_ratio</x:v>
      </x:c>
      <x:c r="C10" s="508" t="n">
        <x:v>36466.45985221863</x:v>
      </x:c>
      <x:c r="D10" s="508" t="n">
        <x:v>166</x:v>
      </x:c>
      <x:c r="E10" s="508" t="n">
        <x:f>SUMIF($A$5:$A$116,A10,$C$5:$C$116)</x:f>
        <x:v>5027445.73532486</x:v>
      </x:c>
      <x:c r="F10" s="498" t="n">
        <x:f>C10/E10</x:f>
        <x:v>0.007253476570814198</x:v>
      </x:c>
      <x:c r="G10" s="465"/>
      <x:c r="H10" s="465" t="str">
        <x:v>現有車比</x:v>
      </x:c>
      <x:c r="I10" s="498" t="n">
        <x:f>F9</x:f>
        <x:v>0.029519180465186583</x:v>
      </x:c>
      <x:c r="J10" s="465"/>
      <x:c r="K10" s="465"/>
      <x:c r="L10" s="465"/>
      <x:c r="M10" s="465"/>
      <x:c r="N10" s="465"/>
      <x:c r="O10" s="465"/>
      <x:c r="P10" s="465"/>
      <x:c r="Q10" s="465"/>
      <x:c r="R10" s="465"/>
      <x:c r="S10" s="465"/>
      <x:c r="T10" s="465"/>
      <x:c r="U10" s="465"/>
      <x:c r="V10" s="465"/>
      <x:c r="W10" s="465"/>
      <x:c r="X10" s="465"/>
      <x:c r="Y10" s="465"/>
      <x:c r="Z10" s="465"/>
    </x:row>
    <x:row r="11">
      <x:c r="A11" s="465" t="str">
        <x:v>缺車</x:v>
      </x:c>
      <x:c r="B11" s="465" t="str">
        <x:v>unavailable_ratio</x:v>
      </x:c>
      <x:c r="C11" s="508" t="n">
        <x:v>1307.6805028915405</x:v>
      </x:c>
      <x:c r="D11" s="508" t="n">
        <x:v>66</x:v>
      </x:c>
      <x:c r="E11" s="508" t="n">
        <x:f>SUMIF($A$5:$A$116,A11,$C$5:$C$116)</x:f>
        <x:v>5027445.73532486</x:v>
      </x:c>
      <x:c r="F11" s="498" t="n">
        <x:f>C11/E11</x:f>
        <x:v>0.0002601083277146584</x:v>
      </x:c>
      <x:c r="G11" s="465"/>
      <x:c r="H11" s="465" t="str">
        <x:v>90分空位變動</x:v>
      </x:c>
      <x:c r="I11" s="498" t="n">
        <x:f>F29</x:f>
        <x:v>0.018104468087329344</x:v>
      </x:c>
      <x:c r="J11" s="465"/>
      <x:c r="K11" s="465"/>
      <x:c r="L11" s="465"/>
      <x:c r="M11" s="465"/>
      <x:c r="N11" s="465"/>
      <x:c r="O11" s="465"/>
      <x:c r="P11" s="465"/>
      <x:c r="Q11" s="465"/>
      <x:c r="R11" s="465"/>
      <x:c r="S11" s="465"/>
      <x:c r="T11" s="465"/>
      <x:c r="U11" s="465"/>
      <x:c r="V11" s="465"/>
      <x:c r="W11" s="465"/>
      <x:c r="X11" s="465"/>
      <x:c r="Y11" s="465"/>
      <x:c r="Z11" s="465"/>
    </x:row>
    <x:row r="12">
      <x:c r="A12" s="465" t="str">
        <x:v>缺車</x:v>
      </x:c>
      <x:c r="B12" s="465" t="str">
        <x:v>bikes_lag_30</x:v>
      </x:c>
      <x:c r="C12" s="508" t="n">
        <x:v>8147.341763019562</x:v>
      </x:c>
      <x:c r="D12" s="508" t="n">
        <x:v>95</x:v>
      </x:c>
      <x:c r="E12" s="508" t="n">
        <x:f>SUMIF($A$5:$A$116,A12,$C$5:$C$116)</x:f>
        <x:v>5027445.73532486</x:v>
      </x:c>
      <x:c r="F12" s="498" t="n">
        <x:f>C12/E12</x:f>
        <x:v>0.0016205727902288542</x:v>
      </x:c>
      <x:c r="G12" s="465"/>
      <x:c r="H12" s="465" t="str">
        <x:v>前日車比</x:v>
      </x:c>
      <x:c r="I12" s="498" t="n">
        <x:f>F41</x:f>
        <x:v>0.012375186543056334</x:v>
      </x:c>
      <x:c r="J12" s="465"/>
      <x:c r="K12" s="465"/>
      <x:c r="L12" s="465"/>
      <x:c r="M12" s="465"/>
      <x:c r="N12" s="465"/>
      <x:c r="O12" s="465"/>
      <x:c r="P12" s="465"/>
      <x:c r="Q12" s="465"/>
      <x:c r="R12" s="465"/>
      <x:c r="S12" s="465"/>
      <x:c r="T12" s="465"/>
      <x:c r="U12" s="465"/>
      <x:c r="V12" s="465"/>
      <x:c r="W12" s="465"/>
      <x:c r="X12" s="465"/>
      <x:c r="Y12" s="465"/>
      <x:c r="Z12" s="465"/>
    </x:row>
    <x:row r="13">
      <x:c r="A13" s="465" t="str">
        <x:v>缺車</x:v>
      </x:c>
      <x:c r="B13" s="465" t="str">
        <x:v>bikes_lag_60</x:v>
      </x:c>
      <x:c r="C13" s="508" t="n">
        <x:v>6641.655879020691</x:v>
      </x:c>
      <x:c r="D13" s="508" t="n">
        <x:v>64</x:v>
      </x:c>
      <x:c r="E13" s="508" t="n">
        <x:f>SUMIF($A$5:$A$116,A13,$C$5:$C$116)</x:f>
        <x:v>5027445.73532486</x:v>
      </x:c>
      <x:c r="F13" s="498" t="n">
        <x:f>C13/E13</x:f>
        <x:v>0.001321079575728434</x:v>
      </x:c>
      <x:c r="G13" s="465"/>
      <x:c r="H13" s="465" t="str">
        <x:v>時段週期(cos)</x:v>
      </x:c>
      <x:c r="I13" s="498" t="n">
        <x:f>F46</x:f>
        <x:v>0.01203456273627102</x:v>
      </x:c>
      <x:c r="J13" s="465"/>
      <x:c r="K13" s="465"/>
      <x:c r="L13" s="465"/>
      <x:c r="M13" s="465"/>
      <x:c r="N13" s="465"/>
      <x:c r="O13" s="465"/>
      <x:c r="P13" s="465"/>
      <x:c r="Q13" s="465"/>
      <x:c r="R13" s="465"/>
      <x:c r="S13" s="465"/>
      <x:c r="T13" s="465"/>
      <x:c r="U13" s="465"/>
      <x:c r="V13" s="465"/>
      <x:c r="W13" s="465"/>
      <x:c r="X13" s="465"/>
      <x:c r="Y13" s="465"/>
      <x:c r="Z13" s="465"/>
    </x:row>
    <x:row r="14">
      <x:c r="A14" s="465" t="str">
        <x:v>缺車</x:v>
      </x:c>
      <x:c r="B14" s="465" t="str">
        <x:v>bikes_lag_90</x:v>
      </x:c>
      <x:c r="C14" s="508" t="n">
        <x:v>11766.918122768402</x:v>
      </x:c>
      <x:c r="D14" s="508" t="n">
        <x:v>92</x:v>
      </x:c>
      <x:c r="E14" s="508" t="n">
        <x:f>SUMIF($A$5:$A$116,A14,$C$5:$C$116)</x:f>
        <x:v>5027445.73532486</x:v>
      </x:c>
      <x:c r="F14" s="498" t="n">
        <x:f>C14/E14</x:f>
        <x:v>0.0023405360778116996</x:v>
      </x:c>
      <x:c r="G14" s="465"/>
      <x:c r="H14" s="465" t="str">
        <x:v>行政區</x:v>
      </x:c>
      <x:c r="I14" s="498" t="n">
        <x:f>F56</x:f>
        <x:v>0.011947883252970621</x:v>
      </x:c>
      <x:c r="J14" s="465"/>
      <x:c r="K14" s="465"/>
      <x:c r="L14" s="465"/>
      <x:c r="M14" s="465"/>
      <x:c r="N14" s="465"/>
      <x:c r="O14" s="465"/>
      <x:c r="P14" s="465"/>
      <x:c r="Q14" s="465"/>
      <x:c r="R14" s="465"/>
      <x:c r="S14" s="465"/>
      <x:c r="T14" s="465"/>
      <x:c r="U14" s="465"/>
      <x:c r="V14" s="465"/>
      <x:c r="W14" s="465"/>
      <x:c r="X14" s="465"/>
      <x:c r="Y14" s="465"/>
      <x:c r="Z14" s="465"/>
    </x:row>
    <x:row r="15">
      <x:c r="A15" s="465" t="str">
        <x:v>缺車</x:v>
      </x:c>
      <x:c r="B15" s="465" t="str">
        <x:v>docks_lag_30</x:v>
      </x:c>
      <x:c r="C15" s="508" t="n">
        <x:v>1985.4151964187622</x:v>
      </x:c>
      <x:c r="D15" s="508" t="n">
        <x:v>74</x:v>
      </x:c>
      <x:c r="E15" s="508" t="n">
        <x:f>SUMIF($A$5:$A$116,A15,$C$5:$C$116)</x:f>
        <x:v>5027445.73532486</x:v>
      </x:c>
      <x:c r="F15" s="498" t="n">
        <x:f>C15/E15</x:f>
        <x:v>0.00039491529117230146</x:v>
      </x:c>
      <x:c r="G15" s="465"/>
      <x:c r="H15" s="465"/>
      <x:c r="I15" s="465"/>
      <x:c r="J15" s="465"/>
      <x:c r="K15" s="465"/>
      <x:c r="L15" s="465"/>
      <x:c r="M15" s="465"/>
      <x:c r="N15" s="465"/>
      <x:c r="O15" s="465"/>
      <x:c r="P15" s="465"/>
      <x:c r="Q15" s="465"/>
      <x:c r="R15" s="465"/>
      <x:c r="S15" s="465"/>
      <x:c r="T15" s="465"/>
      <x:c r="U15" s="465"/>
      <x:c r="V15" s="465"/>
      <x:c r="W15" s="465"/>
      <x:c r="X15" s="465"/>
      <x:c r="Y15" s="465"/>
      <x:c r="Z15" s="465"/>
    </x:row>
    <x:row r="16">
      <x:c r="A16" s="465" t="str">
        <x:v>缺車</x:v>
      </x:c>
      <x:c r="B16" s="465" t="str">
        <x:v>docks_lag_60</x:v>
      </x:c>
      <x:c r="C16" s="508" t="n">
        <x:v>1438.4054079055786</x:v>
      </x:c>
      <x:c r="D16" s="508" t="n">
        <x:v>55</x:v>
      </x:c>
      <x:c r="E16" s="508" t="n">
        <x:f>SUMIF($A$5:$A$116,A16,$C$5:$C$116)</x:f>
        <x:v>5027445.73532486</x:v>
      </x:c>
      <x:c r="F16" s="498" t="n">
        <x:f>C16/E16</x:f>
        <x:v>0.00028611057853867276</x:v>
      </x:c>
      <x:c r="G16" s="465"/>
      <x:c r="H16" s="465"/>
      <x:c r="I16" s="465"/>
      <x:c r="J16" s="465"/>
      <x:c r="K16" s="465"/>
      <x:c r="L16" s="465"/>
      <x:c r="M16" s="465"/>
      <x:c r="N16" s="465"/>
      <x:c r="O16" s="465"/>
      <x:c r="P16" s="465"/>
      <x:c r="Q16" s="465"/>
      <x:c r="R16" s="465"/>
      <x:c r="S16" s="465"/>
      <x:c r="T16" s="465"/>
      <x:c r="U16" s="465"/>
      <x:c r="V16" s="465"/>
      <x:c r="W16" s="465"/>
      <x:c r="X16" s="465"/>
      <x:c r="Y16" s="465"/>
      <x:c r="Z16" s="465"/>
    </x:row>
    <x:row r="17">
      <x:c r="A17" s="465" t="str">
        <x:v>缺車</x:v>
      </x:c>
      <x:c r="B17" s="465" t="str">
        <x:v>docks_lag_90</x:v>
      </x:c>
      <x:c r="C17" s="508" t="n">
        <x:v>2453.1827936172485</x:v>
      </x:c>
      <x:c r="D17" s="508" t="n">
        <x:v>70</x:v>
      </x:c>
      <x:c r="E17" s="508" t="n">
        <x:f>SUMIF($A$5:$A$116,A17,$C$5:$C$116)</x:f>
        <x:v>5027445.73532486</x:v>
      </x:c>
      <x:c r="F17" s="498" t="n">
        <x:f>C17/E17</x:f>
        <x:v>0.0004879580850331606</x:v>
      </x:c>
      <x:c r="G17" s="465"/>
      <x:c r="H17" s="465"/>
      <x:c r="I17" s="465"/>
      <x:c r="J17" s="465"/>
      <x:c r="K17" s="465"/>
      <x:c r="L17" s="465"/>
      <x:c r="M17" s="465"/>
      <x:c r="N17" s="465"/>
      <x:c r="O17" s="465"/>
      <x:c r="P17" s="465"/>
      <x:c r="Q17" s="465"/>
      <x:c r="R17" s="465"/>
      <x:c r="S17" s="465"/>
      <x:c r="T17" s="465"/>
      <x:c r="U17" s="465"/>
      <x:c r="V17" s="465"/>
      <x:c r="W17" s="465"/>
      <x:c r="X17" s="465"/>
      <x:c r="Y17" s="465"/>
      <x:c r="Z17" s="465"/>
    </x:row>
    <x:row r="18">
      <x:c r="A18" s="465" t="str">
        <x:v>缺車</x:v>
      </x:c>
      <x:c r="B18" s="465" t="str">
        <x:v>bike_ratio_lag_30</x:v>
      </x:c>
      <x:c r="C18" s="508" t="n">
        <x:v>1567.169979095459</x:v>
      </x:c>
      <x:c r="D18" s="508" t="n">
        <x:v>64</x:v>
      </x:c>
      <x:c r="E18" s="508" t="n">
        <x:f>SUMIF($A$5:$A$116,A18,$C$5:$C$116)</x:f>
        <x:v>5027445.73532486</x:v>
      </x:c>
      <x:c r="F18" s="498" t="n">
        <x:f>C18/E18</x:f>
        <x:v>0.0003117229029612177</x:v>
      </x:c>
      <x:c r="G18" s="465"/>
      <x:c r="H18" s="465"/>
      <x:c r="I18" s="465"/>
      <x:c r="J18" s="465"/>
      <x:c r="K18" s="465"/>
      <x:c r="L18" s="465"/>
      <x:c r="M18" s="465"/>
      <x:c r="N18" s="465"/>
      <x:c r="O18" s="465"/>
      <x:c r="P18" s="465"/>
      <x:c r="Q18" s="465"/>
      <x:c r="R18" s="465"/>
      <x:c r="S18" s="465"/>
      <x:c r="T18" s="465"/>
      <x:c r="U18" s="465"/>
      <x:c r="V18" s="465"/>
      <x:c r="W18" s="465"/>
      <x:c r="X18" s="465"/>
      <x:c r="Y18" s="465"/>
      <x:c r="Z18" s="465"/>
    </x:row>
    <x:row r="19">
      <x:c r="A19" s="465" t="str">
        <x:v>缺車</x:v>
      </x:c>
      <x:c r="B19" s="465" t="str">
        <x:v>bike_ratio_lag_60</x:v>
      </x:c>
      <x:c r="C19" s="508" t="n">
        <x:v>1206.3475427627563</x:v>
      </x:c>
      <x:c r="D19" s="508" t="n">
        <x:v>58</x:v>
      </x:c>
      <x:c r="E19" s="508" t="n">
        <x:f>SUMIF($A$5:$A$116,A19,$C$5:$C$116)</x:f>
        <x:v>5027445.73532486</x:v>
      </x:c>
      <x:c r="F19" s="498" t="n">
        <x:f>C19/E19</x:f>
        <x:v>0.0002399523746793471</x:v>
      </x:c>
      <x:c r="G19" s="465"/>
      <x:c r="H19" s="465"/>
      <x:c r="I19" s="465"/>
      <x:c r="J19" s="465"/>
      <x:c r="K19" s="465"/>
      <x:c r="L19" s="465"/>
      <x:c r="M19" s="465"/>
      <x:c r="N19" s="465"/>
      <x:c r="O19" s="465"/>
      <x:c r="P19" s="465"/>
      <x:c r="Q19" s="465"/>
      <x:c r="R19" s="465"/>
      <x:c r="S19" s="465"/>
      <x:c r="T19" s="465"/>
      <x:c r="U19" s="465"/>
      <x:c r="V19" s="465"/>
      <x:c r="W19" s="465"/>
      <x:c r="X19" s="465"/>
      <x:c r="Y19" s="465"/>
      <x:c r="Z19" s="465"/>
    </x:row>
    <x:row r="20">
      <x:c r="A20" s="465" t="str">
        <x:v>缺車</x:v>
      </x:c>
      <x:c r="B20" s="465" t="str">
        <x:v>bike_ratio_lag_90</x:v>
      </x:c>
      <x:c r="C20" s="508" t="n">
        <x:v>1239.019284248352</x:v>
      </x:c>
      <x:c r="D20" s="508" t="n">
        <x:v>71</x:v>
      </x:c>
      <x:c r="E20" s="508" t="n">
        <x:f>SUMIF($A$5:$A$116,A20,$C$5:$C$116)</x:f>
        <x:v>5027445.73532486</x:v>
      </x:c>
      <x:c r="F20" s="498" t="n">
        <x:f>C20/E20</x:f>
        <x:v>0.00024645105078758054</x:v>
      </x:c>
      <x:c r="G20" s="465"/>
      <x:c r="H20" s="465"/>
      <x:c r="I20" s="465"/>
      <x:c r="J20" s="465"/>
      <x:c r="K20" s="465"/>
      <x:c r="L20" s="465"/>
      <x:c r="M20" s="465"/>
      <x:c r="N20" s="465"/>
      <x:c r="O20" s="465"/>
      <x:c r="P20" s="465"/>
      <x:c r="Q20" s="465"/>
      <x:c r="R20" s="465"/>
      <x:c r="S20" s="465"/>
      <x:c r="T20" s="465"/>
      <x:c r="U20" s="465"/>
      <x:c r="V20" s="465"/>
      <x:c r="W20" s="465"/>
      <x:c r="X20" s="465"/>
      <x:c r="Y20" s="465"/>
      <x:c r="Z20" s="465"/>
    </x:row>
    <x:row r="21">
      <x:c r="A21" s="465" t="str">
        <x:v>缺車</x:v>
      </x:c>
      <x:c r="B21" s="465" t="str">
        <x:v>dock_ratio_lag_30</x:v>
      </x:c>
      <x:c r="C21" s="508" t="n">
        <x:v>860.6231570243835</x:v>
      </x:c>
      <x:c r="D21" s="508" t="n">
        <x:v>52</x:v>
      </x:c>
      <x:c r="E21" s="508" t="n">
        <x:f>SUMIF($A$5:$A$116,A21,$C$5:$C$116)</x:f>
        <x:v>5027445.73532486</x:v>
      </x:c>
      <x:c r="F21" s="498" t="n">
        <x:f>C21/E21</x:f>
        <x:v>0.00017118497191870186</x:v>
      </x:c>
      <x:c r="G21" s="465"/>
      <x:c r="H21" s="465"/>
      <x:c r="I21" s="465"/>
      <x:c r="J21" s="465"/>
      <x:c r="K21" s="465"/>
      <x:c r="L21" s="465"/>
      <x:c r="M21" s="465"/>
      <x:c r="N21" s="465"/>
      <x:c r="O21" s="465"/>
      <x:c r="P21" s="465"/>
      <x:c r="Q21" s="465"/>
      <x:c r="R21" s="465"/>
      <x:c r="S21" s="465"/>
      <x:c r="T21" s="465"/>
      <x:c r="U21" s="465"/>
      <x:c r="V21" s="465"/>
      <x:c r="W21" s="465"/>
      <x:c r="X21" s="465"/>
      <x:c r="Y21" s="465"/>
      <x:c r="Z21" s="465"/>
    </x:row>
    <x:row r="22" ht="30" customHeight="1">
      <x:c r="A22" s="465" t="str">
        <x:v>缺車</x:v>
      </x:c>
      <x:c r="B22" s="465" t="str">
        <x:v>dock_ratio_lag_60</x:v>
      </x:c>
      <x:c r="C22" s="508" t="n">
        <x:v>1145.2308940887451</x:v>
      </x:c>
      <x:c r="D22" s="508" t="n">
        <x:v>57</x:v>
      </x:c>
      <x:c r="E22" s="508" t="n">
        <x:f>SUMIF($A$5:$A$116,A22,$C$5:$C$116)</x:f>
        <x:v>5027445.73532486</x:v>
      </x:c>
      <x:c r="F22" s="498" t="n">
        <x:f>C22/E22</x:f>
        <x:v>0.00022779577431177256</x:v>
      </x:c>
      <x:c r="G22" s="465"/>
      <x:c r="H22" s="20" t="str">
        <x:v>滿柱 Top 10 特徵</x:v>
      </x:c>
      <x:c r="I22" s="22" t="str">
        <x:v>Gain占比</x:v>
      </x:c>
      <x:c r="J22" s="465"/>
      <x:c r="K22" s="465"/>
      <x:c r="L22" s="465"/>
      <x:c r="M22" s="465"/>
      <x:c r="N22" s="465"/>
      <x:c r="O22" s="465"/>
      <x:c r="P22" s="465"/>
      <x:c r="Q22" s="465"/>
      <x:c r="R22" s="465"/>
      <x:c r="S22" s="465"/>
      <x:c r="T22" s="465"/>
      <x:c r="U22" s="465"/>
      <x:c r="V22" s="465"/>
      <x:c r="W22" s="465"/>
      <x:c r="X22" s="465"/>
      <x:c r="Y22" s="465"/>
      <x:c r="Z22" s="465"/>
    </x:row>
    <x:row r="23">
      <x:c r="A23" s="465" t="str">
        <x:v>缺車</x:v>
      </x:c>
      <x:c r="B23" s="465" t="str">
        <x:v>dock_ratio_lag_90</x:v>
      </x:c>
      <x:c r="C23" s="508" t="n">
        <x:v>1947.105396270752</x:v>
      </x:c>
      <x:c r="D23" s="508" t="n">
        <x:v>69</x:v>
      </x:c>
      <x:c r="E23" s="508" t="n">
        <x:f>SUMIF($A$5:$A$116,A23,$C$5:$C$116)</x:f>
        <x:v>5027445.73532486</x:v>
      </x:c>
      <x:c r="F23" s="498" t="n">
        <x:f>C23/E23</x:f>
        <x:v>0.0003872951591679259</x:v>
      </x:c>
      <x:c r="G23" s="465"/>
      <x:c r="H23" s="465" t="str">
        <x:v>現有可還位</x:v>
      </x:c>
      <x:c r="I23" s="498" t="n">
        <x:f>F62</x:f>
        <x:v>0.3695041749695039</x:v>
      </x:c>
      <x:c r="J23" s="465"/>
      <x:c r="K23" s="465"/>
      <x:c r="L23" s="465"/>
      <x:c r="M23" s="465"/>
      <x:c r="N23" s="465"/>
      <x:c r="O23" s="465"/>
      <x:c r="P23" s="465"/>
      <x:c r="Q23" s="465"/>
      <x:c r="R23" s="465"/>
      <x:c r="S23" s="465"/>
      <x:c r="T23" s="465"/>
      <x:c r="U23" s="465"/>
      <x:c r="V23" s="465"/>
      <x:c r="W23" s="465"/>
      <x:c r="X23" s="465"/>
      <x:c r="Y23" s="465"/>
      <x:c r="Z23" s="465"/>
    </x:row>
    <x:row r="24">
      <x:c r="A24" s="465" t="str">
        <x:v>缺車</x:v>
      </x:c>
      <x:c r="B24" s="465" t="str">
        <x:v>delta_bikes_30</x:v>
      </x:c>
      <x:c r="C24" s="508" t="n">
        <x:v>1843.578486442566</x:v>
      </x:c>
      <x:c r="D24" s="508" t="n">
        <x:v>47</x:v>
      </x:c>
      <x:c r="E24" s="508" t="n">
        <x:f>SUMIF($A$5:$A$116,A24,$C$5:$C$116)</x:f>
        <x:v>5027445.73532486</x:v>
      </x:c>
      <x:c r="F24" s="498" t="n">
        <x:f>C24/E24</x:f>
        <x:v>0.00036670281162635743</x:v>
      </x:c>
      <x:c r="G24" s="465"/>
      <x:c r="H24" s="465" t="str">
        <x:v>站點 ID</x:v>
      </x:c>
      <x:c r="I24" s="498" t="n">
        <x:f>F111</x:f>
        <x:v>0.29090759007424444</x:v>
      </x:c>
      <x:c r="J24" s="465"/>
      <x:c r="K24" s="465"/>
      <x:c r="L24" s="465"/>
      <x:c r="M24" s="465"/>
      <x:c r="N24" s="465"/>
      <x:c r="O24" s="465"/>
      <x:c r="P24" s="465"/>
      <x:c r="Q24" s="465"/>
      <x:c r="R24" s="465"/>
      <x:c r="S24" s="465"/>
      <x:c r="T24" s="465"/>
      <x:c r="U24" s="465"/>
      <x:c r="V24" s="465"/>
      <x:c r="W24" s="465"/>
      <x:c r="X24" s="465"/>
      <x:c r="Y24" s="465"/>
      <x:c r="Z24" s="465"/>
    </x:row>
    <x:row r="25">
      <x:c r="A25" s="465" t="str">
        <x:v>缺車</x:v>
      </x:c>
      <x:c r="B25" s="465" t="str">
        <x:v>delta_bikes_60</x:v>
      </x:c>
      <x:c r="C25" s="508" t="n">
        <x:v>6485.975660324097</x:v>
      </x:c>
      <x:c r="D25" s="508" t="n">
        <x:v>117</x:v>
      </x:c>
      <x:c r="E25" s="508" t="n">
        <x:f>SUMIF($A$5:$A$116,A25,$C$5:$C$116)</x:f>
        <x:v>5027445.73532486</x:v>
      </x:c>
      <x:c r="F25" s="498" t="n">
        <x:f>C25/E25</x:f>
        <x:v>0.0012901135092818641</x:v>
      </x:c>
      <x:c r="G25" s="465"/>
      <x:c r="H25" s="465" t="str">
        <x:v>目標時段</x:v>
      </x:c>
      <x:c r="I25" s="498" t="n">
        <x:f>F113</x:f>
        <x:v>0.08467909248914098</x:v>
      </x:c>
      <x:c r="J25" s="465"/>
      <x:c r="K25" s="465"/>
      <x:c r="L25" s="465"/>
      <x:c r="M25" s="465"/>
      <x:c r="N25" s="465"/>
      <x:c r="O25" s="465"/>
      <x:c r="P25" s="465"/>
      <x:c r="Q25" s="465"/>
      <x:c r="R25" s="465"/>
      <x:c r="S25" s="465"/>
      <x:c r="T25" s="465"/>
      <x:c r="U25" s="465"/>
      <x:c r="V25" s="465"/>
      <x:c r="W25" s="465"/>
      <x:c r="X25" s="465"/>
      <x:c r="Y25" s="465"/>
      <x:c r="Z25" s="465"/>
    </x:row>
    <x:row r="26">
      <x:c r="A26" s="465" t="str">
        <x:v>缺車</x:v>
      </x:c>
      <x:c r="B26" s="465" t="str">
        <x:v>delta_bikes_90</x:v>
      </x:c>
      <x:c r="C26" s="508" t="n">
        <x:v>32127.014682769775</x:v>
      </x:c>
      <x:c r="D26" s="508" t="n">
        <x:v>118</x:v>
      </x:c>
      <x:c r="E26" s="508" t="n">
        <x:f>SUMIF($A$5:$A$116,A26,$C$5:$C$116)</x:f>
        <x:v>5027445.73532486</x:v>
      </x:c>
      <x:c r="F26" s="498" t="n">
        <x:f>C26/E26</x:f>
        <x:v>0.006390325500090915</x:v>
      </x:c>
      <x:c r="G26" s="465"/>
      <x:c r="H26" s="465" t="str">
        <x:v>30分車量變動</x:v>
      </x:c>
      <x:c r="I26" s="498" t="n">
        <x:f>F86</x:f>
        <x:v>0.06178585879666451</x:v>
      </x:c>
      <x:c r="J26" s="465"/>
      <x:c r="K26" s="465"/>
      <x:c r="L26" s="465"/>
      <x:c r="M26" s="465"/>
      <x:c r="N26" s="465"/>
      <x:c r="O26" s="465"/>
      <x:c r="P26" s="465"/>
      <x:c r="Q26" s="465"/>
      <x:c r="R26" s="465"/>
      <x:c r="S26" s="465"/>
      <x:c r="T26" s="465"/>
      <x:c r="U26" s="465"/>
      <x:c r="V26" s="465"/>
      <x:c r="W26" s="465"/>
      <x:c r="X26" s="465"/>
      <x:c r="Y26" s="465"/>
      <x:c r="Z26" s="465"/>
    </x:row>
    <x:row r="27">
      <x:c r="A27" s="465" t="str">
        <x:v>缺車</x:v>
      </x:c>
      <x:c r="B27" s="465" t="str">
        <x:v>delta_docks_30</x:v>
      </x:c>
      <x:c r="C27" s="508" t="n">
        <x:v>1074.5268592834473</x:v>
      </x:c>
      <x:c r="D27" s="508" t="n">
        <x:v>40</x:v>
      </x:c>
      <x:c r="E27" s="508" t="n">
        <x:f>SUMIF($A$5:$A$116,A27,$C$5:$C$116)</x:f>
        <x:v>5027445.73532486</x:v>
      </x:c>
      <x:c r="F27" s="498" t="n">
        <x:f>C27/E27</x:f>
        <x:v>0.00021373216457283437</x:v>
      </x:c>
      <x:c r="G27" s="465"/>
      <x:c r="H27" s="465" t="str">
        <x:v>90分最低空位比</x:v>
      </x:c>
      <x:c r="I27" s="498" t="n">
        <x:f>F95</x:f>
        <x:v>0.02837939066918401</x:v>
      </x:c>
      <x:c r="J27" s="465"/>
      <x:c r="K27" s="465"/>
      <x:c r="L27" s="465"/>
      <x:c r="M27" s="465"/>
      <x:c r="N27" s="465"/>
      <x:c r="O27" s="465"/>
      <x:c r="P27" s="465"/>
      <x:c r="Q27" s="465"/>
      <x:c r="R27" s="465"/>
      <x:c r="S27" s="465"/>
      <x:c r="T27" s="465"/>
      <x:c r="U27" s="465"/>
      <x:c r="V27" s="465"/>
      <x:c r="W27" s="465"/>
      <x:c r="X27" s="465"/>
      <x:c r="Y27" s="465"/>
      <x:c r="Z27" s="465"/>
    </x:row>
    <x:row r="28">
      <x:c r="A28" s="465" t="str">
        <x:v>缺車</x:v>
      </x:c>
      <x:c r="B28" s="465" t="str">
        <x:v>delta_docks_60</x:v>
      </x:c>
      <x:c r="C28" s="508" t="n">
        <x:v>52662.7281999588</x:v>
      </x:c>
      <x:c r="D28" s="508" t="n">
        <x:v>122</x:v>
      </x:c>
      <x:c r="E28" s="508" t="n">
        <x:f>SUMIF($A$5:$A$116,A28,$C$5:$C$116)</x:f>
        <x:v>5027445.73532486</x:v>
      </x:c>
      <x:c r="F28" s="498" t="n">
        <x:f>C28/E28</x:f>
        <x:v>0.010475046568862842</x:v>
      </x:c>
      <x:c r="G28" s="465"/>
      <x:c r="H28" s="465" t="str">
        <x:v>現有空位比</x:v>
      </x:c>
      <x:c r="I28" s="498" t="n">
        <x:f>F66</x:f>
        <x:v>0.025178906840740513</x:v>
      </x:c>
      <x:c r="J28" s="465"/>
      <x:c r="K28" s="465"/>
      <x:c r="L28" s="465"/>
      <x:c r="M28" s="465"/>
      <x:c r="N28" s="465"/>
      <x:c r="O28" s="465"/>
      <x:c r="P28" s="465"/>
      <x:c r="Q28" s="465"/>
      <x:c r="R28" s="465"/>
      <x:c r="S28" s="465"/>
      <x:c r="T28" s="465"/>
      <x:c r="U28" s="465"/>
      <x:c r="V28" s="465"/>
      <x:c r="W28" s="465"/>
      <x:c r="X28" s="465"/>
      <x:c r="Y28" s="465"/>
      <x:c r="Z28" s="465"/>
    </x:row>
    <x:row r="29">
      <x:c r="A29" s="465" t="str">
        <x:v>缺車</x:v>
      </x:c>
      <x:c r="B29" s="465" t="str">
        <x:v>delta_docks_90</x:v>
      </x:c>
      <x:c r="C29" s="508" t="n">
        <x:v>91019.23087596893</x:v>
      </x:c>
      <x:c r="D29" s="508" t="n">
        <x:v>205</x:v>
      </x:c>
      <x:c r="E29" s="508" t="n">
        <x:f>SUMIF($A$5:$A$116,A29,$C$5:$C$116)</x:f>
        <x:v>5027445.73532486</x:v>
      </x:c>
      <x:c r="F29" s="498" t="n">
        <x:f>C29/E29</x:f>
        <x:v>0.018104468087329344</x:v>
      </x:c>
      <x:c r="G29" s="465"/>
      <x:c r="H29" s="465" t="str">
        <x:v>時段週期(sin)</x:v>
      </x:c>
      <x:c r="I29" s="498" t="n">
        <x:f>F101</x:f>
        <x:v>0.019605433282112904</x:v>
      </x:c>
      <x:c r="J29" s="465"/>
      <x:c r="K29" s="465"/>
      <x:c r="L29" s="465"/>
      <x:c r="M29" s="465"/>
      <x:c r="N29" s="465"/>
      <x:c r="O29" s="465"/>
      <x:c r="P29" s="465"/>
      <x:c r="Q29" s="465"/>
      <x:c r="R29" s="465"/>
      <x:c r="S29" s="465"/>
      <x:c r="T29" s="465"/>
      <x:c r="U29" s="465"/>
      <x:c r="V29" s="465"/>
      <x:c r="W29" s="465"/>
      <x:c r="X29" s="465"/>
      <x:c r="Y29" s="465"/>
      <x:c r="Z29" s="465"/>
    </x:row>
    <x:row r="30">
      <x:c r="A30" s="465" t="str">
        <x:v>缺車</x:v>
      </x:c>
      <x:c r="B30" s="465" t="str">
        <x:v>abs_delta_bikes_30</x:v>
      </x:c>
      <x:c r="C30" s="508" t="n">
        <x:v>355582.6541156769</x:v>
      </x:c>
      <x:c r="D30" s="508" t="n">
        <x:v>197</x:v>
      </x:c>
      <x:c r="E30" s="508" t="n">
        <x:f>SUMIF($A$5:$A$116,A30,$C$5:$C$116)</x:f>
        <x:v>5027445.73532486</x:v>
      </x:c>
      <x:c r="F30" s="498" t="n">
        <x:f>C30/E30</x:f>
        <x:v>0.07072829282218003</x:v>
      </x:c>
      <x:c r="G30" s="465"/>
      <x:c r="H30" s="465" t="str">
        <x:v>90分空位變動</x:v>
      </x:c>
      <x:c r="I30" s="498" t="n">
        <x:f>F85</x:f>
        <x:v>0.009996310474052536</x:v>
      </x:c>
      <x:c r="J30" s="465"/>
      <x:c r="K30" s="465"/>
      <x:c r="L30" s="465"/>
      <x:c r="M30" s="465"/>
      <x:c r="N30" s="465"/>
      <x:c r="O30" s="465"/>
      <x:c r="P30" s="465"/>
      <x:c r="Q30" s="465"/>
      <x:c r="R30" s="465"/>
      <x:c r="S30" s="465"/>
      <x:c r="T30" s="465"/>
      <x:c r="U30" s="465"/>
      <x:c r="V30" s="465"/>
      <x:c r="W30" s="465"/>
      <x:c r="X30" s="465"/>
      <x:c r="Y30" s="465"/>
      <x:c r="Z30" s="465"/>
    </x:row>
    <x:row r="31">
      <x:c r="A31" s="465" t="str">
        <x:v>缺車</x:v>
      </x:c>
      <x:c r="B31" s="465" t="str">
        <x:v>delta_bikes_ratio_30</x:v>
      </x:c>
      <x:c r="C31" s="508" t="n">
        <x:v>2081.0058040618896</x:v>
      </x:c>
      <x:c r="D31" s="508" t="n">
        <x:v>95</x:v>
      </x:c>
      <x:c r="E31" s="508" t="n">
        <x:f>SUMIF($A$5:$A$116,A31,$C$5:$C$116)</x:f>
        <x:v>5027445.73532486</x:v>
      </x:c>
      <x:c r="F31" s="498" t="n">
        <x:f>C31/E31</x:f>
        <x:v>0.0004139290434185901</x:v>
      </x:c>
      <x:c r="G31" s="465"/>
      <x:c r="H31" s="465" t="str">
        <x:v>場站容量</x:v>
      </x:c>
      <x:c r="I31" s="498" t="n">
        <x:f>F63</x:f>
        <x:v>0.008337293259000565</x:v>
      </x:c>
      <x:c r="J31" s="465"/>
      <x:c r="K31" s="465"/>
      <x:c r="L31" s="465"/>
      <x:c r="M31" s="465"/>
      <x:c r="N31" s="465"/>
      <x:c r="O31" s="465"/>
      <x:c r="P31" s="465"/>
      <x:c r="Q31" s="465"/>
      <x:c r="R31" s="465"/>
      <x:c r="S31" s="465"/>
      <x:c r="T31" s="465"/>
      <x:c r="U31" s="465"/>
      <x:c r="V31" s="465"/>
      <x:c r="W31" s="465"/>
      <x:c r="X31" s="465"/>
      <x:c r="Y31" s="465"/>
      <x:c r="Z31" s="465"/>
    </x:row>
    <x:row r="32">
      <x:c r="A32" s="465" t="str">
        <x:v>缺車</x:v>
      </x:c>
      <x:c r="B32" s="465" t="str">
        <x:v>delta_docks_ratio_30</x:v>
      </x:c>
      <x:c r="C32" s="508" t="n">
        <x:v>7360.842153549194</x:v>
      </x:c>
      <x:c r="D32" s="508" t="n">
        <x:v>99</x:v>
      </x:c>
      <x:c r="E32" s="508" t="n">
        <x:f>SUMIF($A$5:$A$116,A32,$C$5:$C$116)</x:f>
        <x:v>5027445.73532486</x:v>
      </x:c>
      <x:c r="F32" s="498" t="n">
        <x:f>C32/E32</x:f>
        <x:v>0.001464131597051153</x:v>
      </x:c>
      <x:c r="G32" s="465"/>
      <x:c r="H32" s="465" t="str">
        <x:v>90分車量變動</x:v>
      </x:c>
      <x:c r="I32" s="498" t="n">
        <x:f>F82</x:f>
        <x:v>0.0077860371426534385</x:v>
      </x:c>
      <x:c r="J32" s="465"/>
      <x:c r="K32" s="465"/>
      <x:c r="L32" s="465"/>
      <x:c r="M32" s="465"/>
      <x:c r="N32" s="465"/>
      <x:c r="O32" s="465"/>
      <x:c r="P32" s="465"/>
      <x:c r="Q32" s="465"/>
      <x:c r="R32" s="465"/>
      <x:c r="S32" s="465"/>
      <x:c r="T32" s="465"/>
      <x:c r="U32" s="465"/>
      <x:c r="V32" s="465"/>
      <x:c r="W32" s="465"/>
      <x:c r="X32" s="465"/>
      <x:c r="Y32" s="465"/>
      <x:c r="Z32" s="465"/>
    </x:row>
    <x:row r="33">
      <x:c r="A33" s="465" t="str">
        <x:v>缺車</x:v>
      </x:c>
      <x:c r="B33" s="465" t="str">
        <x:v>bike_acceleration_30</x:v>
      </x:c>
      <x:c r="C33" s="508" t="n">
        <x:v>2051.7036027908325</x:v>
      </x:c>
      <x:c r="D33" s="508" t="n">
        <x:v>74</x:v>
      </x:c>
      <x:c r="E33" s="508" t="n">
        <x:f>SUMIF($A$5:$A$116,A33,$C$5:$C$116)</x:f>
        <x:v>5027445.73532486</x:v>
      </x:c>
      <x:c r="F33" s="498" t="n">
        <x:f>C33/E33</x:f>
        <x:v>0.0004081005963674031</x:v>
      </x:c>
      <x:c r="G33" s="465"/>
      <x:c r="H33" s="465"/>
      <x:c r="I33" s="465"/>
      <x:c r="J33" s="465"/>
      <x:c r="K33" s="465"/>
      <x:c r="L33" s="465"/>
      <x:c r="M33" s="465"/>
      <x:c r="N33" s="465"/>
      <x:c r="O33" s="465"/>
      <x:c r="P33" s="465"/>
      <x:c r="Q33" s="465"/>
      <x:c r="R33" s="465"/>
      <x:c r="S33" s="465"/>
      <x:c r="T33" s="465"/>
      <x:c r="U33" s="465"/>
      <x:c r="V33" s="465"/>
      <x:c r="W33" s="465"/>
      <x:c r="X33" s="465"/>
      <x:c r="Y33" s="465"/>
      <x:c r="Z33" s="465"/>
    </x:row>
    <x:row r="34">
      <x:c r="A34" s="465" t="str">
        <x:v>缺車</x:v>
      </x:c>
      <x:c r="B34" s="465" t="str">
        <x:v>dock_acceleration_30</x:v>
      </x:c>
      <x:c r="C34" s="508" t="n">
        <x:v>4018.4715690612793</x:v>
      </x:c>
      <x:c r="D34" s="508" t="n">
        <x:v>72</x:v>
      </x:c>
      <x:c r="E34" s="508" t="n">
        <x:f>SUMIF($A$5:$A$116,A34,$C$5:$C$116)</x:f>
        <x:v>5027445.73532486</x:v>
      </x:c>
      <x:c r="F34" s="498" t="n">
        <x:f>C34/E34</x:f>
        <x:v>0.0007993068012302707</x:v>
      </x:c>
      <x:c r="G34" s="465"/>
      <x:c r="H34" s="465"/>
      <x:c r="I34" s="465"/>
      <x:c r="J34" s="465"/>
      <x:c r="K34" s="465"/>
      <x:c r="L34" s="465"/>
      <x:c r="M34" s="465"/>
      <x:c r="N34" s="465"/>
      <x:c r="O34" s="465"/>
      <x:c r="P34" s="465"/>
      <x:c r="Q34" s="465"/>
      <x:c r="R34" s="465"/>
      <x:c r="S34" s="465"/>
      <x:c r="T34" s="465"/>
      <x:c r="U34" s="465"/>
      <x:c r="V34" s="465"/>
      <x:c r="W34" s="465"/>
      <x:c r="X34" s="465"/>
      <x:c r="Y34" s="465"/>
      <x:c r="Z34" s="465"/>
    </x:row>
    <x:row r="35">
      <x:c r="A35" s="465" t="str">
        <x:v>缺車</x:v>
      </x:c>
      <x:c r="B35" s="465" t="str">
        <x:v>bike_ratio_mean_90</x:v>
      </x:c>
      <x:c r="C35" s="508" t="n">
        <x:v>854.856689453125</x:v>
      </x:c>
      <x:c r="D35" s="508" t="n">
        <x:v>56</x:v>
      </x:c>
      <x:c r="E35" s="508" t="n">
        <x:f>SUMIF($A$5:$A$116,A35,$C$5:$C$116)</x:f>
        <x:v>5027445.73532486</x:v>
      </x:c>
      <x:c r="F35" s="498" t="n">
        <x:f>C35/E35</x:f>
        <x:v>0.00017003797444228137</x:v>
      </x:c>
      <x:c r="G35" s="465"/>
      <x:c r="H35" s="465"/>
      <x:c r="I35" s="465"/>
      <x:c r="J35" s="465"/>
      <x:c r="K35" s="465"/>
      <x:c r="L35" s="465"/>
      <x:c r="M35" s="465"/>
      <x:c r="N35" s="465"/>
      <x:c r="O35" s="465"/>
      <x:c r="P35" s="465"/>
      <x:c r="Q35" s="465"/>
      <x:c r="R35" s="465"/>
      <x:c r="S35" s="465"/>
      <x:c r="T35" s="465"/>
      <x:c r="U35" s="465"/>
      <x:c r="V35" s="465"/>
      <x:c r="W35" s="465"/>
      <x:c r="X35" s="465"/>
      <x:c r="Y35" s="465"/>
      <x:c r="Z35" s="465"/>
    </x:row>
    <x:row r="36">
      <x:c r="A36" s="465" t="str">
        <x:v>缺車</x:v>
      </x:c>
      <x:c r="B36" s="465" t="str">
        <x:v>bike_ratio_min_90</x:v>
      </x:c>
      <x:c r="C36" s="508" t="n">
        <x:v>322288.0828127861</x:v>
      </x:c>
      <x:c r="D36" s="508" t="n">
        <x:v>267</x:v>
      </x:c>
      <x:c r="E36" s="508" t="n">
        <x:f>SUMIF($A$5:$A$116,A36,$C$5:$C$116)</x:f>
        <x:v>5027445.73532486</x:v>
      </x:c>
      <x:c r="F36" s="498" t="n">
        <x:f>C36/E36</x:f>
        <x:v>0.06410573077860596</x:v>
      </x:c>
      <x:c r="G36" s="465"/>
      <x:c r="H36" s="465"/>
      <x:c r="I36" s="465"/>
      <x:c r="J36" s="465"/>
      <x:c r="K36" s="465"/>
      <x:c r="L36" s="465"/>
      <x:c r="M36" s="465"/>
      <x:c r="N36" s="465"/>
      <x:c r="O36" s="465"/>
      <x:c r="P36" s="465"/>
      <x:c r="Q36" s="465"/>
      <x:c r="R36" s="465"/>
      <x:c r="S36" s="465"/>
      <x:c r="T36" s="465"/>
      <x:c r="U36" s="465"/>
      <x:c r="V36" s="465"/>
      <x:c r="W36" s="465"/>
      <x:c r="X36" s="465"/>
      <x:c r="Y36" s="465"/>
      <x:c r="Z36" s="465"/>
    </x:row>
    <x:row r="37">
      <x:c r="A37" s="465" t="str">
        <x:v>缺車</x:v>
      </x:c>
      <x:c r="B37" s="465" t="str">
        <x:v>bike_ratio_max_90</x:v>
      </x:c>
      <x:c r="C37" s="508" t="n">
        <x:v>4846.814017295837</x:v>
      </x:c>
      <x:c r="D37" s="508" t="n">
        <x:v>114</x:v>
      </x:c>
      <x:c r="E37" s="508" t="n">
        <x:f>SUMIF($A$5:$A$116,A37,$C$5:$C$116)</x:f>
        <x:v>5027445.73532486</x:v>
      </x:c>
      <x:c r="F37" s="498" t="n">
        <x:f>C37/E37</x:f>
        <x:v>0.0009640708766362547</x:v>
      </x:c>
      <x:c r="G37" s="465"/>
      <x:c r="H37" s="465"/>
      <x:c r="I37" s="465"/>
      <x:c r="J37" s="465"/>
      <x:c r="K37" s="465"/>
      <x:c r="L37" s="465"/>
      <x:c r="M37" s="465"/>
      <x:c r="N37" s="465"/>
      <x:c r="O37" s="465"/>
      <x:c r="P37" s="465"/>
      <x:c r="Q37" s="465"/>
      <x:c r="R37" s="465"/>
      <x:c r="S37" s="465"/>
      <x:c r="T37" s="465"/>
      <x:c r="U37" s="465"/>
      <x:c r="V37" s="465"/>
      <x:c r="W37" s="465"/>
      <x:c r="X37" s="465"/>
      <x:c r="Y37" s="465"/>
      <x:c r="Z37" s="465"/>
    </x:row>
    <x:row r="38">
      <x:c r="A38" s="465" t="str">
        <x:v>缺車</x:v>
      </x:c>
      <x:c r="B38" s="465" t="str">
        <x:v>dock_ratio_mean_90</x:v>
      </x:c>
      <x:c r="C38" s="508" t="n">
        <x:v>980.6551337242126</x:v>
      </x:c>
      <x:c r="D38" s="508" t="n">
        <x:v>65</x:v>
      </x:c>
      <x:c r="E38" s="508" t="n">
        <x:f>SUMIF($A$5:$A$116,A38,$C$5:$C$116)</x:f>
        <x:v>5027445.73532486</x:v>
      </x:c>
      <x:c r="F38" s="498" t="n">
        <x:f>C38/E38</x:f>
        <x:v>0.0001950603120057039</x:v>
      </x:c>
      <x:c r="G38" s="465"/>
      <x:c r="H38" s="465"/>
      <x:c r="I38" s="465"/>
      <x:c r="J38" s="465"/>
      <x:c r="K38" s="465"/>
      <x:c r="L38" s="465"/>
      <x:c r="M38" s="465"/>
      <x:c r="N38" s="465"/>
      <x:c r="O38" s="465"/>
      <x:c r="P38" s="465"/>
      <x:c r="Q38" s="465"/>
      <x:c r="R38" s="465"/>
      <x:c r="S38" s="465"/>
      <x:c r="T38" s="465"/>
      <x:c r="U38" s="465"/>
      <x:c r="V38" s="465"/>
      <x:c r="W38" s="465"/>
      <x:c r="X38" s="465"/>
      <x:c r="Y38" s="465"/>
      <x:c r="Z38" s="465"/>
    </x:row>
    <x:row r="39">
      <x:c r="A39" s="465" t="str">
        <x:v>缺車</x:v>
      </x:c>
      <x:c r="B39" s="465" t="str">
        <x:v>dock_ratio_min_90</x:v>
      </x:c>
      <x:c r="C39" s="508" t="n">
        <x:v>7132.721365451813</x:v>
      </x:c>
      <x:c r="D39" s="508" t="n">
        <x:v>88</x:v>
      </x:c>
      <x:c r="E39" s="508" t="n">
        <x:f>SUMIF($A$5:$A$116,A39,$C$5:$C$116)</x:f>
        <x:v>5027445.73532486</x:v>
      </x:c>
      <x:c r="F39" s="498" t="n">
        <x:f>C39/E39</x:f>
        <x:v>0.0014187565099578177</x:v>
      </x:c>
      <x:c r="G39" s="465"/>
      <x:c r="H39" s="465"/>
      <x:c r="I39" s="465"/>
      <x:c r="J39" s="465"/>
      <x:c r="K39" s="465"/>
      <x:c r="L39" s="465"/>
      <x:c r="M39" s="465"/>
      <x:c r="N39" s="465"/>
      <x:c r="O39" s="465"/>
      <x:c r="P39" s="465"/>
      <x:c r="Q39" s="465"/>
      <x:c r="R39" s="465"/>
      <x:c r="S39" s="465"/>
      <x:c r="T39" s="465"/>
      <x:c r="U39" s="465"/>
      <x:c r="V39" s="465"/>
      <x:c r="W39" s="465"/>
      <x:c r="X39" s="465"/>
      <x:c r="Y39" s="465"/>
      <x:c r="Z39" s="465"/>
    </x:row>
    <x:row r="40">
      <x:c r="A40" s="465" t="str">
        <x:v>缺車</x:v>
      </x:c>
      <x:c r="B40" s="465" t="str">
        <x:v>dock_ratio_max_90</x:v>
      </x:c>
      <x:c r="C40" s="508" t="n">
        <x:v>9939.967613220215</x:v>
      </x:c>
      <x:c r="D40" s="508" t="n">
        <x:v>97</x:v>
      </x:c>
      <x:c r="E40" s="508" t="n">
        <x:f>SUMIF($A$5:$A$116,A40,$C$5:$C$116)</x:f>
        <x:v>5027445.73532486</x:v>
      </x:c>
      <x:c r="F40" s="498" t="n">
        <x:f>C40/E40</x:f>
        <x:v>0.001977140706537715</x:v>
      </x:c>
      <x:c r="G40" s="465"/>
      <x:c r="H40" s="79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I40" s="80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J40" s="80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K40" s="80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L40" s="80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M40" s="80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N40" s="80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O40" s="80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P40" s="80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Q40" s="80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R40" s="80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S40" s="81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T40" s="465"/>
      <x:c r="U40" s="465"/>
      <x:c r="V40" s="465"/>
      <x:c r="W40" s="465"/>
      <x:c r="X40" s="465"/>
      <x:c r="Y40" s="465"/>
      <x:c r="Z40" s="465"/>
    </x:row>
    <x:row r="41">
      <x:c r="A41" s="465" t="str">
        <x:v>缺車</x:v>
      </x:c>
      <x:c r="B41" s="465" t="str">
        <x:v>bike_ratio_lag_1d</x:v>
      </x:c>
      <x:c r="C41" s="508" t="n">
        <x:v>62215.57880973816</x:v>
      </x:c>
      <x:c r="D41" s="508" t="n">
        <x:v>215</x:v>
      </x:c>
      <x:c r="E41" s="508" t="n">
        <x:f>SUMIF($A$5:$A$116,A41,$C$5:$C$116)</x:f>
        <x:v>5027445.73532486</x:v>
      </x:c>
      <x:c r="F41" s="498" t="n">
        <x:f>C41/E41</x:f>
        <x:v>0.012375186543056334</x:v>
      </x:c>
      <x:c r="G41" s="465"/>
      <x:c r="H41" s="101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I41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J41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K41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L41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M41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N41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O41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P41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Q41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R41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S41" s="103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T41" s="465"/>
      <x:c r="U41" s="465"/>
      <x:c r="V41" s="465"/>
      <x:c r="W41" s="465"/>
      <x:c r="X41" s="465"/>
      <x:c r="Y41" s="465"/>
      <x:c r="Z41" s="465"/>
    </x:row>
    <x:row r="42">
      <x:c r="A42" s="465" t="str">
        <x:v>缺車</x:v>
      </x:c>
      <x:c r="B42" s="465" t="str">
        <x:v>dock_ratio_lag_1d</x:v>
      </x:c>
      <x:c r="C42" s="508" t="n">
        <x:v>12515.279942512512</x:v>
      </x:c>
      <x:c r="D42" s="508" t="n">
        <x:v>173</x:v>
      </x:c>
      <x:c r="E42" s="508" t="n">
        <x:f>SUMIF($A$5:$A$116,A42,$C$5:$C$116)</x:f>
        <x:v>5027445.73532486</x:v>
      </x:c>
      <x:c r="F42" s="498" t="n">
        <x:f>C42/E42</x:f>
        <x:v>0.002489391353262177</x:v>
      </x:c>
      <x:c r="G42" s="465"/>
      <x:c r="H42" s="101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I42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J42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K42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L42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M42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N42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O42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P42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Q42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R42" s="10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S42" s="103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T42" s="465"/>
      <x:c r="U42" s="465"/>
      <x:c r="V42" s="465"/>
      <x:c r="W42" s="465"/>
      <x:c r="X42" s="465"/>
      <x:c r="Y42" s="465"/>
      <x:c r="Z42" s="465"/>
    </x:row>
    <x:row r="43">
      <x:c r="A43" s="465" t="str">
        <x:v>缺車</x:v>
      </x:c>
      <x:c r="B43" s="465" t="str">
        <x:v>bike_ratio_lag_7d</x:v>
      </x:c>
      <x:c r="C43" s="508" t="n">
        <x:v>22068.86857032776</x:v>
      </x:c>
      <x:c r="D43" s="508" t="n">
        <x:v>153</x:v>
      </x:c>
      <x:c r="E43" s="508" t="n">
        <x:f>SUMIF($A$5:$A$116,A43,$C$5:$C$116)</x:f>
        <x:v>5027445.73532486</x:v>
      </x:c>
      <x:c r="F43" s="498" t="n">
        <x:f>C43/E43</x:f>
        <x:v>0.004389678125268065</x:v>
      </x:c>
      <x:c r="G43" s="465"/>
      <x:c r="H43" s="82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I43" s="83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J43" s="83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K43" s="83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L43" s="83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M43" s="83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N43" s="83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O43" s="83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P43" s="83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Q43" s="83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R43" s="83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S43" s="84" t="str">
        <x:v>目前可借／可還數仍是最大訊號；模型的價值是再用站點慣性、目標時段、近期變動及歷史滯後修正排序。station_id 權重高，代表對新站泛化仍需另做測試。疑似大量跳動旗標在第一版的重要性很低，不應包裝成核心成果。</x:v>
      </x:c>
      <x:c r="T43" s="465"/>
      <x:c r="U43" s="465"/>
      <x:c r="V43" s="465"/>
      <x:c r="W43" s="465"/>
      <x:c r="X43" s="465"/>
      <x:c r="Y43" s="465"/>
      <x:c r="Z43" s="465"/>
    </x:row>
    <x:row r="44">
      <x:c r="A44" s="465" t="str">
        <x:v>缺車</x:v>
      </x:c>
      <x:c r="B44" s="465" t="str">
        <x:v>dock_ratio_lag_7d</x:v>
      </x:c>
      <x:c r="C44" s="508" t="n">
        <x:v>5925.563569068909</x:v>
      </x:c>
      <x:c r="D44" s="508" t="n">
        <x:v>155</x:v>
      </x:c>
      <x:c r="E44" s="508" t="n">
        <x:f>SUMIF($A$5:$A$116,A44,$C$5:$C$116)</x:f>
        <x:v>5027445.73532486</x:v>
      </x:c>
      <x:c r="F44" s="498" t="n">
        <x:f>C44/E44</x:f>
        <x:v>0.0011786429692186454</x:v>
      </x:c>
      <x:c r="G44" s="465"/>
      <x:c r="H44" s="465"/>
      <x:c r="I44" s="465"/>
      <x:c r="J44" s="465"/>
      <x:c r="K44" s="465"/>
      <x:c r="L44" s="465"/>
      <x:c r="M44" s="465"/>
      <x:c r="N44" s="465"/>
      <x:c r="O44" s="465"/>
      <x:c r="P44" s="465"/>
      <x:c r="Q44" s="465"/>
      <x:c r="R44" s="465"/>
      <x:c r="S44" s="465"/>
      <x:c r="T44" s="465"/>
      <x:c r="U44" s="465"/>
      <x:c r="V44" s="465"/>
      <x:c r="W44" s="465"/>
      <x:c r="X44" s="465"/>
      <x:c r="Y44" s="465"/>
      <x:c r="Z44" s="465"/>
    </x:row>
    <x:row r="45">
      <x:c r="A45" s="465" t="str">
        <x:v>缺車</x:v>
      </x:c>
      <x:c r="B45" s="465" t="str">
        <x:v>target_hour_sin</x:v>
      </x:c>
      <x:c r="C45" s="508" t="n">
        <x:v>47677.644355773926</x:v>
      </x:c>
      <x:c r="D45" s="508" t="n">
        <x:v>357</x:v>
      </x:c>
      <x:c r="E45" s="508" t="n">
        <x:f>SUMIF($A$5:$A$116,A45,$C$5:$C$116)</x:f>
        <x:v>5027445.73532486</x:v>
      </x:c>
      <x:c r="F45" s="498" t="n">
        <x:f>C45/E45</x:f>
        <x:v>0.009483472694846128</x:v>
      </x:c>
      <x:c r="G45" s="465"/>
      <x:c r="H45" s="465"/>
      <x:c r="I45" s="465"/>
      <x:c r="J45" s="465"/>
      <x:c r="K45" s="465"/>
      <x:c r="L45" s="465"/>
      <x:c r="M45" s="465"/>
      <x:c r="N45" s="465"/>
      <x:c r="O45" s="465"/>
      <x:c r="P45" s="465"/>
      <x:c r="Q45" s="465"/>
      <x:c r="R45" s="465"/>
      <x:c r="S45" s="465"/>
      <x:c r="T45" s="465"/>
      <x:c r="U45" s="465"/>
      <x:c r="V45" s="465"/>
      <x:c r="W45" s="465"/>
      <x:c r="X45" s="465"/>
      <x:c r="Y45" s="465"/>
      <x:c r="Z45" s="465"/>
    </x:row>
    <x:row r="46">
      <x:c r="A46" s="465" t="str">
        <x:v>缺車</x:v>
      </x:c>
      <x:c r="B46" s="465" t="str">
        <x:v>target_hour_cos</x:v>
      </x:c>
      <x:c r="C46" s="508" t="n">
        <x:v>60503.11110496521</x:v>
      </x:c>
      <x:c r="D46" s="508" t="n">
        <x:v>359</x:v>
      </x:c>
      <x:c r="E46" s="508" t="n">
        <x:f>SUMIF($A$5:$A$116,A46,$C$5:$C$116)</x:f>
        <x:v>5027445.73532486</x:v>
      </x:c>
      <x:c r="F46" s="498" t="n">
        <x:f>C46/E46</x:f>
        <x:v>0.01203456273627102</x:v>
      </x:c>
      <x:c r="G46" s="465"/>
      <x:c r="H46" s="465"/>
      <x:c r="I46" s="465"/>
      <x:c r="J46" s="465"/>
      <x:c r="K46" s="465"/>
      <x:c r="L46" s="465"/>
      <x:c r="M46" s="465"/>
      <x:c r="N46" s="465"/>
      <x:c r="O46" s="465"/>
      <x:c r="P46" s="465"/>
      <x:c r="Q46" s="465"/>
      <x:c r="R46" s="465"/>
      <x:c r="S46" s="465"/>
      <x:c r="T46" s="465"/>
      <x:c r="U46" s="465"/>
      <x:c r="V46" s="465"/>
      <x:c r="W46" s="465"/>
      <x:c r="X46" s="465"/>
      <x:c r="Y46" s="465"/>
      <x:c r="Z46" s="465"/>
    </x:row>
    <x:row r="47">
      <x:c r="A47" s="465" t="str">
        <x:v>缺車</x:v>
      </x:c>
      <x:c r="B47" s="465" t="str">
        <x:v>target_weekday_sin</x:v>
      </x:c>
      <x:c r="C47" s="508" t="n">
        <x:v>37299.574135780334</x:v>
      </x:c>
      <x:c r="D47" s="508" t="n">
        <x:v>260</x:v>
      </x:c>
      <x:c r="E47" s="508" t="n">
        <x:f>SUMIF($A$5:$A$116,A47,$C$5:$C$116)</x:f>
        <x:v>5027445.73532486</x:v>
      </x:c>
      <x:c r="F47" s="498" t="n">
        <x:f>C47/E47</x:f>
        <x:v>0.007419189803223234</x:v>
      </x:c>
      <x:c r="G47" s="465"/>
      <x:c r="H47" s="465"/>
      <x:c r="I47" s="465"/>
      <x:c r="J47" s="465"/>
      <x:c r="K47" s="465"/>
      <x:c r="L47" s="465"/>
      <x:c r="M47" s="465"/>
      <x:c r="N47" s="465"/>
      <x:c r="O47" s="465"/>
      <x:c r="P47" s="465"/>
      <x:c r="Q47" s="465"/>
      <x:c r="R47" s="465"/>
      <x:c r="S47" s="465"/>
      <x:c r="T47" s="465"/>
      <x:c r="U47" s="465"/>
      <x:c r="V47" s="465"/>
      <x:c r="W47" s="465"/>
      <x:c r="X47" s="465"/>
      <x:c r="Y47" s="465"/>
      <x:c r="Z47" s="465"/>
    </x:row>
    <x:row r="48">
      <x:c r="A48" s="465" t="str">
        <x:v>缺車</x:v>
      </x:c>
      <x:c r="B48" s="465" t="str">
        <x:v>target_weekday_cos</x:v>
      </x:c>
      <x:c r="C48" s="508" t="n">
        <x:v>906.5959148406982</x:v>
      </x:c>
      <x:c r="D48" s="508" t="n">
        <x:v>23</x:v>
      </x:c>
      <x:c r="E48" s="508" t="n">
        <x:f>SUMIF($A$5:$A$116,A48,$C$5:$C$116)</x:f>
        <x:v>5027445.73532486</x:v>
      </x:c>
      <x:c r="F48" s="498" t="n">
        <x:f>C48/E48</x:f>
        <x:v>0.00018032932876243496</x:v>
      </x:c>
      <x:c r="G48" s="465"/>
      <x:c r="H48" s="465"/>
      <x:c r="I48" s="465"/>
      <x:c r="J48" s="465"/>
      <x:c r="K48" s="465"/>
      <x:c r="L48" s="465"/>
      <x:c r="M48" s="465"/>
      <x:c r="N48" s="465"/>
      <x:c r="O48" s="465"/>
      <x:c r="P48" s="465"/>
      <x:c r="Q48" s="465"/>
      <x:c r="R48" s="465"/>
      <x:c r="S48" s="465"/>
      <x:c r="T48" s="465"/>
      <x:c r="U48" s="465"/>
      <x:c r="V48" s="465"/>
      <x:c r="W48" s="465"/>
      <x:c r="X48" s="465"/>
      <x:c r="Y48" s="465"/>
      <x:c r="Z48" s="465"/>
    </x:row>
    <x:row r="49">
      <x:c r="A49" s="465" t="str">
        <x:v>缺車</x:v>
      </x:c>
      <x:c r="B49" s="465" t="str">
        <x:v>target_is_weekend</x:v>
      </x:c>
      <x:c r="C49" s="508" t="n">
        <x:v>6546.083759307861</x:v>
      </x:c>
      <x:c r="D49" s="508" t="n">
        <x:v>41</x:v>
      </x:c>
      <x:c r="E49" s="508" t="n">
        <x:f>SUMIF($A$5:$A$116,A49,$C$5:$C$116)</x:f>
        <x:v>5027445.73532486</x:v>
      </x:c>
      <x:c r="F49" s="498" t="n">
        <x:f>C49/E49</x:f>
        <x:v>0.0013020695008824142</x:v>
      </x:c>
      <x:c r="G49" s="465"/>
      <x:c r="H49" s="465"/>
      <x:c r="I49" s="465"/>
      <x:c r="J49" s="465"/>
      <x:c r="K49" s="465"/>
      <x:c r="L49" s="465"/>
      <x:c r="M49" s="465"/>
      <x:c r="N49" s="465"/>
      <x:c r="O49" s="465"/>
      <x:c r="P49" s="465"/>
      <x:c r="Q49" s="465"/>
      <x:c r="R49" s="465"/>
      <x:c r="S49" s="465"/>
      <x:c r="T49" s="465"/>
      <x:c r="U49" s="465"/>
      <x:c r="V49" s="465"/>
      <x:c r="W49" s="465"/>
      <x:c r="X49" s="465"/>
      <x:c r="Y49" s="465"/>
      <x:c r="Z49" s="465"/>
    </x:row>
    <x:row r="50">
      <x:c r="A50" s="465" t="str">
        <x:v>缺車</x:v>
      </x:c>
      <x:c r="B50" s="465" t="str">
        <x:v>target_is_peak</x:v>
      </x:c>
      <x:c r="C50" s="508" t="n">
        <x:v>17238.31930923462</x:v>
      </x:c>
      <x:c r="D50" s="508" t="n">
        <x:v>34</x:v>
      </x:c>
      <x:c r="E50" s="508" t="n">
        <x:f>SUMIF($A$5:$A$116,A50,$C$5:$C$116)</x:f>
        <x:v>5027445.73532486</x:v>
      </x:c>
      <x:c r="F50" s="498" t="n">
        <x:f>C50/E50</x:f>
        <x:v>0.0034288424414233337</x:v>
      </x:c>
      <x:c r="G50" s="465"/>
      <x:c r="H50" s="465"/>
      <x:c r="I50" s="465"/>
      <x:c r="J50" s="465"/>
      <x:c r="K50" s="465"/>
      <x:c r="L50" s="465"/>
      <x:c r="M50" s="465"/>
      <x:c r="N50" s="465"/>
      <x:c r="O50" s="465"/>
      <x:c r="P50" s="465"/>
      <x:c r="Q50" s="465"/>
      <x:c r="R50" s="465"/>
      <x:c r="S50" s="465"/>
      <x:c r="T50" s="465"/>
      <x:c r="U50" s="465"/>
      <x:c r="V50" s="465"/>
      <x:c r="W50" s="465"/>
      <x:c r="X50" s="465"/>
      <x:c r="Y50" s="465"/>
      <x:c r="Z50" s="465"/>
    </x:row>
    <x:row r="51">
      <x:c r="A51" s="465" t="str">
        <x:v>缺車</x:v>
      </x:c>
      <x:c r="B51" s="465" t="str">
        <x:v>lag_90_missing</x:v>
      </x:c>
      <x:c r="C51" s="508" t="n">
        <x:v>0</x:v>
      </x:c>
      <x:c r="D51" s="508" t="n">
        <x:v>0</x:v>
      </x:c>
      <x:c r="E51" s="508" t="n">
        <x:f>SUMIF($A$5:$A$116,A51,$C$5:$C$116)</x:f>
        <x:v>5027445.73532486</x:v>
      </x:c>
      <x:c r="F51" s="498" t="n">
        <x:f>C51/E51</x:f>
        <x:v>0</x:v>
      </x:c>
      <x:c r="G51" s="465"/>
      <x:c r="H51" s="465"/>
      <x:c r="I51" s="465"/>
      <x:c r="J51" s="465"/>
      <x:c r="K51" s="465"/>
      <x:c r="L51" s="465"/>
      <x:c r="M51" s="465"/>
      <x:c r="N51" s="465"/>
      <x:c r="O51" s="465"/>
      <x:c r="P51" s="465"/>
      <x:c r="Q51" s="465"/>
      <x:c r="R51" s="465"/>
      <x:c r="S51" s="465"/>
      <x:c r="T51" s="465"/>
      <x:c r="U51" s="465"/>
      <x:c r="V51" s="465"/>
      <x:c r="W51" s="465"/>
      <x:c r="X51" s="465"/>
      <x:c r="Y51" s="465"/>
      <x:c r="Z51" s="465"/>
    </x:row>
    <x:row r="52">
      <x:c r="A52" s="465" t="str">
        <x:v>缺車</x:v>
      </x:c>
      <x:c r="B52" s="465" t="str">
        <x:v>lag_1d_missing</x:v>
      </x:c>
      <x:c r="C52" s="508" t="n">
        <x:v>0</x:v>
      </x:c>
      <x:c r="D52" s="508" t="n">
        <x:v>0</x:v>
      </x:c>
      <x:c r="E52" s="508" t="n">
        <x:f>SUMIF($A$5:$A$116,A52,$C$5:$C$116)</x:f>
        <x:v>5027445.73532486</x:v>
      </x:c>
      <x:c r="F52" s="498" t="n">
        <x:f>C52/E52</x:f>
        <x:v>0</x:v>
      </x:c>
      <x:c r="G52" s="465"/>
      <x:c r="H52" s="465"/>
      <x:c r="I52" s="465"/>
      <x:c r="J52" s="465"/>
      <x:c r="K52" s="465"/>
      <x:c r="L52" s="465"/>
      <x:c r="M52" s="465"/>
      <x:c r="N52" s="465"/>
      <x:c r="O52" s="465"/>
      <x:c r="P52" s="465"/>
      <x:c r="Q52" s="465"/>
      <x:c r="R52" s="465"/>
      <x:c r="S52" s="465"/>
      <x:c r="T52" s="465"/>
      <x:c r="U52" s="465"/>
      <x:c r="V52" s="465"/>
      <x:c r="W52" s="465"/>
      <x:c r="X52" s="465"/>
      <x:c r="Y52" s="465"/>
      <x:c r="Z52" s="465"/>
    </x:row>
    <x:row r="53">
      <x:c r="A53" s="465" t="str">
        <x:v>缺車</x:v>
      </x:c>
      <x:c r="B53" s="465" t="str">
        <x:v>lag_7d_missing</x:v>
      </x:c>
      <x:c r="C53" s="508" t="n">
        <x:v>56.742801666259766</x:v>
      </x:c>
      <x:c r="D53" s="508" t="n">
        <x:v>2</x:v>
      </x:c>
      <x:c r="E53" s="508" t="n">
        <x:f>SUMIF($A$5:$A$116,A53,$C$5:$C$116)</x:f>
        <x:v>5027445.73532486</x:v>
      </x:c>
      <x:c r="F53" s="498" t="n">
        <x:f>C53/E53</x:f>
        <x:v>0.00001128660649036189</x:v>
      </x:c>
      <x:c r="G53" s="465"/>
      <x:c r="H53" s="465"/>
      <x:c r="I53" s="465"/>
      <x:c r="J53" s="465"/>
      <x:c r="K53" s="465"/>
      <x:c r="L53" s="465"/>
      <x:c r="M53" s="465"/>
      <x:c r="N53" s="465"/>
      <x:c r="O53" s="465"/>
      <x:c r="P53" s="465"/>
      <x:c r="Q53" s="465"/>
      <x:c r="R53" s="465"/>
      <x:c r="S53" s="465"/>
      <x:c r="T53" s="465"/>
      <x:c r="U53" s="465"/>
      <x:c r="V53" s="465"/>
      <x:c r="W53" s="465"/>
      <x:c r="X53" s="465"/>
      <x:c r="Y53" s="465"/>
      <x:c r="Z53" s="465"/>
    </x:row>
    <x:row r="54">
      <x:c r="A54" s="465" t="str">
        <x:v>缺車</x:v>
      </x:c>
      <x:c r="B54" s="465" t="str">
        <x:v>suspected_large_jump_past</x:v>
      </x:c>
      <x:c r="C54" s="508" t="n">
        <x:v>12.955499649047852</x:v>
      </x:c>
      <x:c r="D54" s="508" t="n">
        <x:v>1</x:v>
      </x:c>
      <x:c r="E54" s="508" t="n">
        <x:f>SUMIF($A$5:$A$116,A54,$C$5:$C$116)</x:f>
        <x:v>5027445.73532486</x:v>
      </x:c>
      <x:c r="F54" s="498" t="n">
        <x:f>C54/E54</x:f>
        <x:v>0.000002576954646773667</x:v>
      </x:c>
      <x:c r="G54" s="465"/>
      <x:c r="H54" s="465"/>
      <x:c r="I54" s="465"/>
      <x:c r="J54" s="465"/>
      <x:c r="K54" s="465"/>
      <x:c r="L54" s="465"/>
      <x:c r="M54" s="465"/>
      <x:c r="N54" s="465"/>
      <x:c r="O54" s="465"/>
      <x:c r="P54" s="465"/>
      <x:c r="Q54" s="465"/>
      <x:c r="R54" s="465"/>
      <x:c r="S54" s="465"/>
      <x:c r="T54" s="465"/>
      <x:c r="U54" s="465"/>
      <x:c r="V54" s="465"/>
      <x:c r="W54" s="465"/>
      <x:c r="X54" s="465"/>
      <x:c r="Y54" s="465"/>
      <x:c r="Z54" s="465"/>
    </x:row>
    <x:row r="55">
      <x:c r="A55" s="465" t="str">
        <x:v>缺車</x:v>
      </x:c>
      <x:c r="B55" s="465" t="str">
        <x:v>station_id</x:v>
      </x:c>
      <x:c r="C55" s="508" t="n">
        <x:v>1062077.0823965073</x:v>
      </x:c>
      <x:c r="D55" s="508" t="n">
        <x:v>8309</x:v>
      </x:c>
      <x:c r="E55" s="508" t="n">
        <x:f>SUMIF($A$5:$A$116,A55,$C$5:$C$116)</x:f>
        <x:v>5027445.73532486</x:v>
      </x:c>
      <x:c r="F55" s="498" t="n">
        <x:f>C55/E55</x:f>
        <x:v>0.2112558023120818</x:v>
      </x:c>
      <x:c r="G55" s="465"/>
      <x:c r="H55" s="465"/>
      <x:c r="I55" s="465"/>
      <x:c r="J55" s="465"/>
      <x:c r="K55" s="465"/>
      <x:c r="L55" s="465"/>
      <x:c r="M55" s="465"/>
      <x:c r="N55" s="465"/>
      <x:c r="O55" s="465"/>
      <x:c r="P55" s="465"/>
      <x:c r="Q55" s="465"/>
      <x:c r="R55" s="465"/>
      <x:c r="S55" s="465"/>
      <x:c r="T55" s="465"/>
      <x:c r="U55" s="465"/>
      <x:c r="V55" s="465"/>
      <x:c r="W55" s="465"/>
      <x:c r="X55" s="465"/>
      <x:c r="Y55" s="465"/>
      <x:c r="Z55" s="465"/>
    </x:row>
    <x:row r="56">
      <x:c r="A56" s="465" t="str">
        <x:v>缺車</x:v>
      </x:c>
      <x:c r="B56" s="465" t="str">
        <x:v>district_code</x:v>
      </x:c>
      <x:c r="C56" s="508" t="n">
        <x:v>60067.33470630646</x:v>
      </x:c>
      <x:c r="D56" s="508" t="n">
        <x:v>479</x:v>
      </x:c>
      <x:c r="E56" s="508" t="n">
        <x:f>SUMIF($A$5:$A$116,A56,$C$5:$C$116)</x:f>
        <x:v>5027445.73532486</x:v>
      </x:c>
      <x:c r="F56" s="498" t="n">
        <x:f>C56/E56</x:f>
        <x:v>0.011947883252970621</x:v>
      </x:c>
      <x:c r="G56" s="465"/>
      <x:c r="H56" s="465"/>
      <x:c r="I56" s="465"/>
      <x:c r="J56" s="465"/>
      <x:c r="K56" s="465"/>
      <x:c r="L56" s="465"/>
      <x:c r="M56" s="465"/>
      <x:c r="N56" s="465"/>
      <x:c r="O56" s="465"/>
      <x:c r="P56" s="465"/>
      <x:c r="Q56" s="465"/>
      <x:c r="R56" s="465"/>
      <x:c r="S56" s="465"/>
      <x:c r="T56" s="465"/>
      <x:c r="U56" s="465"/>
      <x:c r="V56" s="465"/>
      <x:c r="W56" s="465"/>
      <x:c r="X56" s="465"/>
      <x:c r="Y56" s="465"/>
      <x:c r="Z56" s="465"/>
    </x:row>
    <x:row r="57">
      <x:c r="A57" s="465" t="str">
        <x:v>缺車</x:v>
      </x:c>
      <x:c r="B57" s="465" t="str">
        <x:v>target_hour</x:v>
      </x:c>
      <x:c r="C57" s="508" t="n">
        <x:v>507902.4815683365</x:v>
      </x:c>
      <x:c r="D57" s="508" t="n">
        <x:v>3117</x:v>
      </x:c>
      <x:c r="E57" s="508" t="n">
        <x:f>SUMIF($A$5:$A$116,A57,$C$5:$C$116)</x:f>
        <x:v>5027445.73532486</x:v>
      </x:c>
      <x:c r="F57" s="498" t="n">
        <x:f>C57/E57</x:f>
        <x:v>0.10102595001664742</x:v>
      </x:c>
      <x:c r="G57" s="465"/>
      <x:c r="H57" s="465"/>
      <x:c r="I57" s="465"/>
      <x:c r="J57" s="465"/>
      <x:c r="K57" s="465"/>
      <x:c r="L57" s="465"/>
      <x:c r="M57" s="465"/>
      <x:c r="N57" s="465"/>
      <x:c r="O57" s="465"/>
      <x:c r="P57" s="465"/>
      <x:c r="Q57" s="465"/>
      <x:c r="R57" s="465"/>
      <x:c r="S57" s="465"/>
      <x:c r="T57" s="465"/>
      <x:c r="U57" s="465"/>
      <x:c r="V57" s="465"/>
      <x:c r="W57" s="465"/>
      <x:c r="X57" s="465"/>
      <x:c r="Y57" s="465"/>
      <x:c r="Z57" s="465"/>
    </x:row>
    <x:row r="58">
      <x:c r="A58" s="465" t="str">
        <x:v>缺車</x:v>
      </x:c>
      <x:c r="B58" s="465" t="str">
        <x:v>target_weekday</x:v>
      </x:c>
      <x:c r="C58" s="508" t="n">
        <x:v>7317.812839984894</x:v>
      </x:c>
      <x:c r="D58" s="508" t="n">
        <x:v>181</x:v>
      </x:c>
      <x:c r="E58" s="508" t="n">
        <x:f>SUMIF($A$5:$A$116,A58,$C$5:$C$116)</x:f>
        <x:v>5027445.73532486</x:v>
      </x:c>
      <x:c r="F58" s="498" t="n">
        <x:f>C58/E58</x:f>
        <x:v>0.0014555727152989423</x:v>
      </x:c>
      <x:c r="G58" s="465"/>
      <x:c r="H58" s="465"/>
      <x:c r="I58" s="465"/>
      <x:c r="J58" s="465"/>
      <x:c r="K58" s="465"/>
      <x:c r="L58" s="465"/>
      <x:c r="M58" s="465"/>
      <x:c r="N58" s="465"/>
      <x:c r="O58" s="465"/>
      <x:c r="P58" s="465"/>
      <x:c r="Q58" s="465"/>
      <x:c r="R58" s="465"/>
      <x:c r="S58" s="465"/>
      <x:c r="T58" s="465"/>
      <x:c r="U58" s="465"/>
      <x:c r="V58" s="465"/>
      <x:c r="W58" s="465"/>
      <x:c r="X58" s="465"/>
      <x:c r="Y58" s="465"/>
      <x:c r="Z58" s="465"/>
    </x:row>
    <x:row r="59">
      <x:c r="A59" s="465" t="str">
        <x:v>缺車</x:v>
      </x:c>
      <x:c r="B59" s="465" t="str">
        <x:v>longitude</x:v>
      </x:c>
      <x:c r="C59" s="508" t="n">
        <x:v>2963.8286094665527</x:v>
      </x:c>
      <x:c r="D59" s="508" t="n">
        <x:v>128</x:v>
      </x:c>
      <x:c r="E59" s="508" t="n">
        <x:f>SUMIF($A$5:$A$116,A59,$C$5:$C$116)</x:f>
        <x:v>5027445.73532486</x:v>
      </x:c>
      <x:c r="F59" s="498" t="n">
        <x:f>C59/E59</x:f>
        <x:v>0.0005895297066344245</x:v>
      </x:c>
      <x:c r="G59" s="465"/>
      <x:c r="H59" s="465"/>
      <x:c r="I59" s="465"/>
      <x:c r="J59" s="465"/>
      <x:c r="K59" s="465"/>
      <x:c r="L59" s="465"/>
      <x:c r="M59" s="465"/>
      <x:c r="N59" s="465"/>
      <x:c r="O59" s="465"/>
      <x:c r="P59" s="465"/>
      <x:c r="Q59" s="465"/>
      <x:c r="R59" s="465"/>
      <x:c r="S59" s="465"/>
      <x:c r="T59" s="465"/>
      <x:c r="U59" s="465"/>
      <x:c r="V59" s="465"/>
      <x:c r="W59" s="465"/>
      <x:c r="X59" s="465"/>
      <x:c r="Y59" s="465"/>
      <x:c r="Z59" s="465"/>
    </x:row>
    <x:row r="60">
      <x:c r="A60" s="465" t="str">
        <x:v>缺車</x:v>
      </x:c>
      <x:c r="B60" s="465" t="str">
        <x:v>latitude</x:v>
      </x:c>
      <x:c r="C60" s="508" t="n">
        <x:v>4103.200621604919</x:v>
      </x:c>
      <x:c r="D60" s="508" t="n">
        <x:v>124</x:v>
      </x:c>
      <x:c r="E60" s="508" t="n">
        <x:f>SUMIF($A$5:$A$116,A60,$C$5:$C$116)</x:f>
        <x:v>5027445.73532486</x:v>
      </x:c>
      <x:c r="F60" s="498" t="n">
        <x:f>C60/E60</x:f>
        <x:v>0.0008161601014953137</x:v>
      </x:c>
      <x:c r="G60" s="465"/>
      <x:c r="H60" s="465"/>
      <x:c r="I60" s="465"/>
      <x:c r="J60" s="465"/>
      <x:c r="K60" s="465"/>
      <x:c r="L60" s="465"/>
      <x:c r="M60" s="465"/>
      <x:c r="N60" s="465"/>
      <x:c r="O60" s="465"/>
      <x:c r="P60" s="465"/>
      <x:c r="Q60" s="465"/>
      <x:c r="R60" s="465"/>
      <x:c r="S60" s="465"/>
      <x:c r="T60" s="465"/>
      <x:c r="U60" s="465"/>
      <x:c r="V60" s="465"/>
      <x:c r="W60" s="465"/>
      <x:c r="X60" s="465"/>
      <x:c r="Y60" s="465"/>
      <x:c r="Z60" s="465"/>
    </x:row>
    <x:row r="61">
      <x:c r="A61" s="465" t="str">
        <x:v>滿柱</x:v>
      </x:c>
      <x:c r="B61" s="465" t="str">
        <x:v>available_bikes</x:v>
      </x:c>
      <x:c r="C61" s="508" t="n">
        <x:v>1391.5452136993408</x:v>
      </x:c>
      <x:c r="D61" s="508" t="n">
        <x:v>104</x:v>
      </x:c>
      <x:c r="E61" s="508" t="n">
        <x:f>SUMIF($A$5:$A$116,A61,$C$5:$C$116)</x:f>
        <x:v>1446369.6871619225</x:v>
      </x:c>
      <x:c r="F61" s="498" t="n">
        <x:f>C61/E61</x:f>
        <x:v>0.0009620951172102074</x:v>
      </x:c>
      <x:c r="G61" s="465"/>
      <x:c r="H61" s="465"/>
      <x:c r="I61" s="465"/>
      <x:c r="J61" s="465"/>
      <x:c r="K61" s="465"/>
      <x:c r="L61" s="465"/>
      <x:c r="M61" s="465"/>
      <x:c r="N61" s="465"/>
      <x:c r="O61" s="465"/>
      <x:c r="P61" s="465"/>
      <x:c r="Q61" s="465"/>
      <x:c r="R61" s="465"/>
      <x:c r="S61" s="465"/>
      <x:c r="T61" s="465"/>
      <x:c r="U61" s="465"/>
      <x:c r="V61" s="465"/>
      <x:c r="W61" s="465"/>
      <x:c r="X61" s="465"/>
      <x:c r="Y61" s="465"/>
      <x:c r="Z61" s="465"/>
    </x:row>
    <x:row r="62">
      <x:c r="A62" s="465" t="str">
        <x:v>滿柱</x:v>
      </x:c>
      <x:c r="B62" s="465" t="str">
        <x:v>available_docks</x:v>
      </x:c>
      <x:c r="C62" s="508" t="n">
        <x:v>534439.6379556656</x:v>
      </x:c>
      <x:c r="D62" s="508" t="n">
        <x:v>426</x:v>
      </x:c>
      <x:c r="E62" s="508" t="n">
        <x:f>SUMIF($A$5:$A$116,A62,$C$5:$C$116)</x:f>
        <x:v>1446369.6871619225</x:v>
      </x:c>
      <x:c r="F62" s="498" t="n">
        <x:f>C62/E62</x:f>
        <x:v>0.3695041749695039</x:v>
      </x:c>
      <x:c r="G62" s="465"/>
      <x:c r="H62" s="465"/>
      <x:c r="I62" s="465"/>
      <x:c r="J62" s="465"/>
      <x:c r="K62" s="465"/>
      <x:c r="L62" s="465"/>
      <x:c r="M62" s="465"/>
      <x:c r="N62" s="465"/>
      <x:c r="O62" s="465"/>
      <x:c r="P62" s="465"/>
      <x:c r="Q62" s="465"/>
      <x:c r="R62" s="465"/>
      <x:c r="S62" s="465"/>
      <x:c r="T62" s="465"/>
      <x:c r="U62" s="465"/>
      <x:c r="V62" s="465"/>
      <x:c r="W62" s="465"/>
      <x:c r="X62" s="465"/>
      <x:c r="Y62" s="465"/>
      <x:c r="Z62" s="465"/>
    </x:row>
    <x:row r="63">
      <x:c r="A63" s="465" t="str">
        <x:v>滿柱</x:v>
      </x:c>
      <x:c r="B63" s="465" t="str">
        <x:v>capacity</x:v>
      </x:c>
      <x:c r="C63" s="508" t="n">
        <x:v>12058.808242797852</x:v>
      </x:c>
      <x:c r="D63" s="508" t="n">
        <x:v>108</x:v>
      </x:c>
      <x:c r="E63" s="508" t="n">
        <x:f>SUMIF($A$5:$A$116,A63,$C$5:$C$116)</x:f>
        <x:v>1446369.6871619225</x:v>
      </x:c>
      <x:c r="F63" s="498" t="n">
        <x:f>C63/E63</x:f>
        <x:v>0.008337293259000565</x:v>
      </x:c>
      <x:c r="G63" s="465"/>
      <x:c r="H63" s="465"/>
      <x:c r="I63" s="465"/>
      <x:c r="J63" s="465"/>
      <x:c r="K63" s="465"/>
      <x:c r="L63" s="465"/>
      <x:c r="M63" s="465"/>
      <x:c r="N63" s="465"/>
      <x:c r="O63" s="465"/>
      <x:c r="P63" s="465"/>
      <x:c r="Q63" s="465"/>
      <x:c r="R63" s="465"/>
      <x:c r="S63" s="465"/>
      <x:c r="T63" s="465"/>
      <x:c r="U63" s="465"/>
      <x:c r="V63" s="465"/>
      <x:c r="W63" s="465"/>
      <x:c r="X63" s="465"/>
      <x:c r="Y63" s="465"/>
      <x:c r="Z63" s="465"/>
    </x:row>
    <x:row r="64">
      <x:c r="A64" s="465" t="str">
        <x:v>滿柱</x:v>
      </x:c>
      <x:c r="B64" s="465" t="str">
        <x:v>unavailable_count</x:v>
      </x:c>
      <x:c r="C64" s="508" t="n">
        <x:v>545.9959037303925</x:v>
      </x:c>
      <x:c r="D64" s="508" t="n">
        <x:v>40</x:v>
      </x:c>
      <x:c r="E64" s="508" t="n">
        <x:f>SUMIF($A$5:$A$116,A64,$C$5:$C$116)</x:f>
        <x:v>1446369.6871619225</x:v>
      </x:c>
      <x:c r="F64" s="498" t="n">
        <x:f>C64/E64</x:f>
        <x:v>0.0003774940173156904</x:v>
      </x:c>
      <x:c r="G64" s="465"/>
      <x:c r="H64" s="465"/>
      <x:c r="I64" s="465"/>
      <x:c r="J64" s="465"/>
      <x:c r="K64" s="465"/>
      <x:c r="L64" s="465"/>
      <x:c r="M64" s="465"/>
      <x:c r="N64" s="465"/>
      <x:c r="O64" s="465"/>
      <x:c r="P64" s="465"/>
      <x:c r="Q64" s="465"/>
      <x:c r="R64" s="465"/>
      <x:c r="S64" s="465"/>
      <x:c r="T64" s="465"/>
      <x:c r="U64" s="465"/>
      <x:c r="V64" s="465"/>
      <x:c r="W64" s="465"/>
      <x:c r="X64" s="465"/>
      <x:c r="Y64" s="465"/>
      <x:c r="Z64" s="465"/>
    </x:row>
    <x:row r="65">
      <x:c r="A65" s="465" t="str">
        <x:v>滿柱</x:v>
      </x:c>
      <x:c r="B65" s="465" t="str">
        <x:v>bike_ratio</x:v>
      </x:c>
      <x:c r="C65" s="508" t="n">
        <x:v>2825.4307627677917</x:v>
      </x:c>
      <x:c r="D65" s="508" t="n">
        <x:v>154</x:v>
      </x:c>
      <x:c r="E65" s="508" t="n">
        <x:f>SUMIF($A$5:$A$116,A65,$C$5:$C$116)</x:f>
        <x:v>1446369.6871619225</x:v>
      </x:c>
      <x:c r="F65" s="498" t="n">
        <x:f>C65/E65</x:f>
        <x:v>0.0019534637567742955</x:v>
      </x:c>
      <x:c r="G65" s="465"/>
      <x:c r="H65" s="465"/>
      <x:c r="I65" s="465"/>
      <x:c r="J65" s="465"/>
      <x:c r="K65" s="465"/>
      <x:c r="L65" s="465"/>
      <x:c r="M65" s="465"/>
      <x:c r="N65" s="465"/>
      <x:c r="O65" s="465"/>
      <x:c r="P65" s="465"/>
      <x:c r="Q65" s="465"/>
      <x:c r="R65" s="465"/>
      <x:c r="S65" s="465"/>
      <x:c r="T65" s="465"/>
      <x:c r="U65" s="465"/>
      <x:c r="V65" s="465"/>
      <x:c r="W65" s="465"/>
      <x:c r="X65" s="465"/>
      <x:c r="Y65" s="465"/>
      <x:c r="Z65" s="465"/>
    </x:row>
    <x:row r="66">
      <x:c r="A66" s="465" t="str">
        <x:v>滿柱</x:v>
      </x:c>
      <x:c r="B66" s="465" t="str">
        <x:v>dock_ratio</x:v>
      </x:c>
      <x:c r="C66" s="508" t="n">
        <x:v>36418.007610321045</x:v>
      </x:c>
      <x:c r="D66" s="508" t="n">
        <x:v>152</x:v>
      </x:c>
      <x:c r="E66" s="508" t="n">
        <x:f>SUMIF($A$5:$A$116,A66,$C$5:$C$116)</x:f>
        <x:v>1446369.6871619225</x:v>
      </x:c>
      <x:c r="F66" s="498" t="n">
        <x:f>C66/E66</x:f>
        <x:v>0.025178906840740513</x:v>
      </x:c>
      <x:c r="G66" s="465"/>
      <x:c r="H66" s="465"/>
      <x:c r="I66" s="465"/>
      <x:c r="J66" s="465"/>
      <x:c r="K66" s="465"/>
      <x:c r="L66" s="465"/>
      <x:c r="M66" s="465"/>
      <x:c r="N66" s="465"/>
      <x:c r="O66" s="465"/>
      <x:c r="P66" s="465"/>
      <x:c r="Q66" s="465"/>
      <x:c r="R66" s="465"/>
      <x:c r="S66" s="465"/>
      <x:c r="T66" s="465"/>
      <x:c r="U66" s="465"/>
      <x:c r="V66" s="465"/>
      <x:c r="W66" s="465"/>
      <x:c r="X66" s="465"/>
      <x:c r="Y66" s="465"/>
      <x:c r="Z66" s="465"/>
    </x:row>
    <x:row r="67">
      <x:c r="A67" s="465" t="str">
        <x:v>滿柱</x:v>
      </x:c>
      <x:c r="B67" s="465" t="str">
        <x:v>unavailable_ratio</x:v>
      </x:c>
      <x:c r="C67" s="508" t="n">
        <x:v>2776.7093591690063</x:v>
      </x:c>
      <x:c r="D67" s="508" t="n">
        <x:v>119</x:v>
      </x:c>
      <x:c r="E67" s="508" t="n">
        <x:f>SUMIF($A$5:$A$116,A67,$C$5:$C$116)</x:f>
        <x:v>1446369.6871619225</x:v>
      </x:c>
      <x:c r="F67" s="498" t="n">
        <x:f>C67/E67</x:f>
        <x:v>0.0019197784520895806</x:v>
      </x:c>
      <x:c r="G67" s="465"/>
      <x:c r="H67" s="465"/>
      <x:c r="I67" s="465"/>
      <x:c r="J67" s="465"/>
      <x:c r="K67" s="465"/>
      <x:c r="L67" s="465"/>
      <x:c r="M67" s="465"/>
      <x:c r="N67" s="465"/>
      <x:c r="O67" s="465"/>
      <x:c r="P67" s="465"/>
      <x:c r="Q67" s="465"/>
      <x:c r="R67" s="465"/>
      <x:c r="S67" s="465"/>
      <x:c r="T67" s="465"/>
      <x:c r="U67" s="465"/>
      <x:c r="V67" s="465"/>
      <x:c r="W67" s="465"/>
      <x:c r="X67" s="465"/>
      <x:c r="Y67" s="465"/>
      <x:c r="Z67" s="465"/>
    </x:row>
    <x:row r="68">
      <x:c r="A68" s="465" t="str">
        <x:v>滿柱</x:v>
      </x:c>
      <x:c r="B68" s="465" t="str">
        <x:v>bikes_lag_30</x:v>
      </x:c>
      <x:c r="C68" s="508" t="n">
        <x:v>1249.0572023391724</x:v>
      </x:c>
      <x:c r="D68" s="508" t="n">
        <x:v>93</x:v>
      </x:c>
      <x:c r="E68" s="508" t="n">
        <x:f>SUMIF($A$5:$A$116,A68,$C$5:$C$116)</x:f>
        <x:v>1446369.6871619225</x:v>
      </x:c>
      <x:c r="F68" s="498" t="n">
        <x:f>C68/E68</x:f>
        <x:v>0.0008635808766084429</x:v>
      </x:c>
      <x:c r="G68" s="465"/>
      <x:c r="H68" s="465"/>
      <x:c r="I68" s="465"/>
      <x:c r="J68" s="465"/>
      <x:c r="K68" s="465"/>
      <x:c r="L68" s="465"/>
      <x:c r="M68" s="465"/>
      <x:c r="N68" s="465"/>
      <x:c r="O68" s="465"/>
      <x:c r="P68" s="465"/>
      <x:c r="Q68" s="465"/>
      <x:c r="R68" s="465"/>
      <x:c r="S68" s="465"/>
      <x:c r="T68" s="465"/>
      <x:c r="U68" s="465"/>
      <x:c r="V68" s="465"/>
      <x:c r="W68" s="465"/>
      <x:c r="X68" s="465"/>
      <x:c r="Y68" s="465"/>
      <x:c r="Z68" s="465"/>
    </x:row>
    <x:row r="69">
      <x:c r="A69" s="465" t="str">
        <x:v>滿柱</x:v>
      </x:c>
      <x:c r="B69" s="465" t="str">
        <x:v>bikes_lag_60</x:v>
      </x:c>
      <x:c r="C69" s="508" t="n">
        <x:v>1441.4584760665894</x:v>
      </x:c>
      <x:c r="D69" s="508" t="n">
        <x:v>113</x:v>
      </x:c>
      <x:c r="E69" s="508" t="n">
        <x:f>SUMIF($A$5:$A$116,A69,$C$5:$C$116)</x:f>
        <x:v>1446369.6871619225</x:v>
      </x:c>
      <x:c r="F69" s="498" t="n">
        <x:f>C69/E69</x:f>
        <x:v>0.0009966044565653405</x:v>
      </x:c>
      <x:c r="G69" s="465"/>
      <x:c r="H69" s="465"/>
      <x:c r="I69" s="465"/>
      <x:c r="J69" s="465"/>
      <x:c r="K69" s="465"/>
      <x:c r="L69" s="465"/>
      <x:c r="M69" s="465"/>
      <x:c r="N69" s="465"/>
      <x:c r="O69" s="465"/>
      <x:c r="P69" s="465"/>
      <x:c r="Q69" s="465"/>
      <x:c r="R69" s="465"/>
      <x:c r="S69" s="465"/>
      <x:c r="T69" s="465"/>
      <x:c r="U69" s="465"/>
      <x:c r="V69" s="465"/>
      <x:c r="W69" s="465"/>
      <x:c r="X69" s="465"/>
      <x:c r="Y69" s="465"/>
      <x:c r="Z69" s="465"/>
    </x:row>
    <x:row r="70">
      <x:c r="A70" s="465" t="str">
        <x:v>滿柱</x:v>
      </x:c>
      <x:c r="B70" s="465" t="str">
        <x:v>bikes_lag_90</x:v>
      </x:c>
      <x:c r="C70" s="508" t="n">
        <x:v>1862.6653881072998</x:v>
      </x:c>
      <x:c r="D70" s="508" t="n">
        <x:v>139</x:v>
      </x:c>
      <x:c r="E70" s="508" t="n">
        <x:f>SUMIF($A$5:$A$116,A70,$C$5:$C$116)</x:f>
        <x:v>1446369.6871619225</x:v>
      </x:c>
      <x:c r="F70" s="498" t="n">
        <x:f>C70/E70</x:f>
        <x:v>0.0012878210907214434</x:v>
      </x:c>
      <x:c r="G70" s="465"/>
      <x:c r="H70" s="465"/>
      <x:c r="I70" s="465"/>
      <x:c r="J70" s="465"/>
      <x:c r="K70" s="465"/>
      <x:c r="L70" s="465"/>
      <x:c r="M70" s="465"/>
      <x:c r="N70" s="465"/>
      <x:c r="O70" s="465"/>
      <x:c r="P70" s="465"/>
      <x:c r="Q70" s="465"/>
      <x:c r="R70" s="465"/>
      <x:c r="S70" s="465"/>
      <x:c r="T70" s="465"/>
      <x:c r="U70" s="465"/>
      <x:c r="V70" s="465"/>
      <x:c r="W70" s="465"/>
      <x:c r="X70" s="465"/>
      <x:c r="Y70" s="465"/>
      <x:c r="Z70" s="465"/>
    </x:row>
    <x:row r="71">
      <x:c r="A71" s="465" t="str">
        <x:v>滿柱</x:v>
      </x:c>
      <x:c r="B71" s="465" t="str">
        <x:v>docks_lag_30</x:v>
      </x:c>
      <x:c r="C71" s="508" t="n">
        <x:v>4279.171144962311</x:v>
      </x:c>
      <x:c r="D71" s="508" t="n">
        <x:v>143</x:v>
      </x:c>
      <x:c r="E71" s="508" t="n">
        <x:f>SUMIF($A$5:$A$116,A71,$C$5:$C$116)</x:f>
        <x:v>1446369.6871619225</x:v>
      </x:c>
      <x:c r="F71" s="498" t="n">
        <x:f>C71/E71</x:f>
        <x:v>0.0029585597533912183</x:v>
      </x:c>
      <x:c r="G71" s="465"/>
      <x:c r="H71" s="465"/>
      <x:c r="I71" s="465"/>
      <x:c r="J71" s="465"/>
      <x:c r="K71" s="465"/>
      <x:c r="L71" s="465"/>
      <x:c r="M71" s="465"/>
      <x:c r="N71" s="465"/>
      <x:c r="O71" s="465"/>
      <x:c r="P71" s="465"/>
      <x:c r="Q71" s="465"/>
      <x:c r="R71" s="465"/>
      <x:c r="S71" s="465"/>
      <x:c r="T71" s="465"/>
      <x:c r="U71" s="465"/>
      <x:c r="V71" s="465"/>
      <x:c r="W71" s="465"/>
      <x:c r="X71" s="465"/>
      <x:c r="Y71" s="465"/>
      <x:c r="Z71" s="465"/>
    </x:row>
    <x:row r="72">
      <x:c r="A72" s="465" t="str">
        <x:v>滿柱</x:v>
      </x:c>
      <x:c r="B72" s="465" t="str">
        <x:v>docks_lag_60</x:v>
      </x:c>
      <x:c r="C72" s="508" t="n">
        <x:v>3494.410436153412</x:v>
      </x:c>
      <x:c r="D72" s="508" t="n">
        <x:v>132</x:v>
      </x:c>
      <x:c r="E72" s="508" t="n">
        <x:f>SUMIF($A$5:$A$116,A72,$C$5:$C$116)</x:f>
        <x:v>1446369.6871619225</x:v>
      </x:c>
      <x:c r="F72" s="498" t="n">
        <x:f>C72/E72</x:f>
        <x:v>0.0024159870516991893</x:v>
      </x:c>
      <x:c r="G72" s="465"/>
      <x:c r="H72" s="465"/>
      <x:c r="I72" s="465"/>
      <x:c r="J72" s="465"/>
      <x:c r="K72" s="465"/>
      <x:c r="L72" s="465"/>
      <x:c r="M72" s="465"/>
      <x:c r="N72" s="465"/>
      <x:c r="O72" s="465"/>
      <x:c r="P72" s="465"/>
      <x:c r="Q72" s="465"/>
      <x:c r="R72" s="465"/>
      <x:c r="S72" s="465"/>
      <x:c r="T72" s="465"/>
      <x:c r="U72" s="465"/>
      <x:c r="V72" s="465"/>
      <x:c r="W72" s="465"/>
      <x:c r="X72" s="465"/>
      <x:c r="Y72" s="465"/>
      <x:c r="Z72" s="465"/>
    </x:row>
    <x:row r="73">
      <x:c r="A73" s="465" t="str">
        <x:v>滿柱</x:v>
      </x:c>
      <x:c r="B73" s="465" t="str">
        <x:v>docks_lag_90</x:v>
      </x:c>
      <x:c r="C73" s="508" t="n">
        <x:v>5710.092434883118</x:v>
      </x:c>
      <x:c r="D73" s="508" t="n">
        <x:v>143</x:v>
      </x:c>
      <x:c r="E73" s="508" t="n">
        <x:f>SUMIF($A$5:$A$116,A73,$C$5:$C$116)</x:f>
        <x:v>1446369.6871619225</x:v>
      </x:c>
      <x:c r="F73" s="498" t="n">
        <x:f>C73/E73</x:f>
        <x:v>0.003947878945173073</x:v>
      </x:c>
      <x:c r="G73" s="465"/>
      <x:c r="H73" s="465"/>
      <x:c r="I73" s="465"/>
      <x:c r="J73" s="465"/>
      <x:c r="K73" s="465"/>
      <x:c r="L73" s="465"/>
      <x:c r="M73" s="465"/>
      <x:c r="N73" s="465"/>
      <x:c r="O73" s="465"/>
      <x:c r="P73" s="465"/>
      <x:c r="Q73" s="465"/>
      <x:c r="R73" s="465"/>
      <x:c r="S73" s="465"/>
      <x:c r="T73" s="465"/>
      <x:c r="U73" s="465"/>
      <x:c r="V73" s="465"/>
      <x:c r="W73" s="465"/>
      <x:c r="X73" s="465"/>
      <x:c r="Y73" s="465"/>
      <x:c r="Z73" s="465"/>
    </x:row>
    <x:row r="74">
      <x:c r="A74" s="465" t="str">
        <x:v>滿柱</x:v>
      </x:c>
      <x:c r="B74" s="465" t="str">
        <x:v>bike_ratio_lag_30</x:v>
      </x:c>
      <x:c r="C74" s="508" t="n">
        <x:v>1197.4009718894958</x:v>
      </x:c>
      <x:c r="D74" s="508" t="n">
        <x:v>98</x:v>
      </x:c>
      <x:c r="E74" s="508" t="n">
        <x:f>SUMIF($A$5:$A$116,A74,$C$5:$C$116)</x:f>
        <x:v>1446369.6871619225</x:v>
      </x:c>
      <x:c r="F74" s="498" t="n">
        <x:f>C74/E74</x:f>
        <x:v>0.0008278664732244528</x:v>
      </x:c>
      <x:c r="G74" s="465"/>
      <x:c r="H74" s="465"/>
      <x:c r="I74" s="465"/>
      <x:c r="J74" s="465"/>
      <x:c r="K74" s="465"/>
      <x:c r="L74" s="465"/>
      <x:c r="M74" s="465"/>
      <x:c r="N74" s="465"/>
      <x:c r="O74" s="465"/>
      <x:c r="P74" s="465"/>
      <x:c r="Q74" s="465"/>
      <x:c r="R74" s="465"/>
      <x:c r="S74" s="465"/>
      <x:c r="T74" s="465"/>
      <x:c r="U74" s="465"/>
      <x:c r="V74" s="465"/>
      <x:c r="W74" s="465"/>
      <x:c r="X74" s="465"/>
      <x:c r="Y74" s="465"/>
      <x:c r="Z74" s="465"/>
    </x:row>
    <x:row r="75">
      <x:c r="A75" s="465" t="str">
        <x:v>滿柱</x:v>
      </x:c>
      <x:c r="B75" s="465" t="str">
        <x:v>bike_ratio_lag_60</x:v>
      </x:c>
      <x:c r="C75" s="508" t="n">
        <x:v>1655.371081829071</x:v>
      </x:c>
      <x:c r="D75" s="508" t="n">
        <x:v>121</x:v>
      </x:c>
      <x:c r="E75" s="508" t="n">
        <x:f>SUMIF($A$5:$A$116,A75,$C$5:$C$116)</x:f>
        <x:v>1446369.6871619225</x:v>
      </x:c>
      <x:c r="F75" s="498" t="n">
        <x:f>C75/E75</x:f>
        <x:v>0.0011445006740131928</x:v>
      </x:c>
      <x:c r="G75" s="465"/>
      <x:c r="H75" s="465"/>
      <x:c r="I75" s="465"/>
      <x:c r="J75" s="465"/>
      <x:c r="K75" s="465"/>
      <x:c r="L75" s="465"/>
      <x:c r="M75" s="465"/>
      <x:c r="N75" s="465"/>
      <x:c r="O75" s="465"/>
      <x:c r="P75" s="465"/>
      <x:c r="Q75" s="465"/>
      <x:c r="R75" s="465"/>
      <x:c r="S75" s="465"/>
      <x:c r="T75" s="465"/>
      <x:c r="U75" s="465"/>
      <x:c r="V75" s="465"/>
      <x:c r="W75" s="465"/>
      <x:c r="X75" s="465"/>
      <x:c r="Y75" s="465"/>
      <x:c r="Z75" s="465"/>
    </x:row>
    <x:row r="76">
      <x:c r="A76" s="465" t="str">
        <x:v>滿柱</x:v>
      </x:c>
      <x:c r="B76" s="465" t="str">
        <x:v>bike_ratio_lag_90</x:v>
      </x:c>
      <x:c r="C76" s="508" t="n">
        <x:v>1560.1686220169067</x:v>
      </x:c>
      <x:c r="D76" s="508" t="n">
        <x:v>131</x:v>
      </x:c>
      <x:c r="E76" s="508" t="n">
        <x:f>SUMIF($A$5:$A$116,A76,$C$5:$C$116)</x:f>
        <x:v>1446369.6871619225</x:v>
      </x:c>
      <x:c r="F76" s="498" t="n">
        <x:f>C76/E76</x:f>
        <x:v>0.0010786790098444897</x:v>
      </x:c>
      <x:c r="G76" s="465"/>
      <x:c r="H76" s="465"/>
      <x:c r="I76" s="465"/>
      <x:c r="J76" s="465"/>
      <x:c r="K76" s="465"/>
      <x:c r="L76" s="465"/>
      <x:c r="M76" s="465"/>
      <x:c r="N76" s="465"/>
      <x:c r="O76" s="465"/>
      <x:c r="P76" s="465"/>
      <x:c r="Q76" s="465"/>
      <x:c r="R76" s="465"/>
      <x:c r="S76" s="465"/>
      <x:c r="T76" s="465"/>
      <x:c r="U76" s="465"/>
      <x:c r="V76" s="465"/>
      <x:c r="W76" s="465"/>
      <x:c r="X76" s="465"/>
      <x:c r="Y76" s="465"/>
      <x:c r="Z76" s="465"/>
    </x:row>
    <x:row r="77">
      <x:c r="A77" s="465" t="str">
        <x:v>滿柱</x:v>
      </x:c>
      <x:c r="B77" s="465" t="str">
        <x:v>dock_ratio_lag_30</x:v>
      </x:c>
      <x:c r="C77" s="508" t="n">
        <x:v>1668.4932670593262</x:v>
      </x:c>
      <x:c r="D77" s="508" t="n">
        <x:v>115</x:v>
      </x:c>
      <x:c r="E77" s="508" t="n">
        <x:f>SUMIF($A$5:$A$116,A77,$C$5:$C$116)</x:f>
        <x:v>1446369.6871619225</x:v>
      </x:c>
      <x:c r="F77" s="498" t="n">
        <x:f>C77/E77</x:f>
        <x:v>0.0011535731714159858</x:v>
      </x:c>
      <x:c r="G77" s="465"/>
      <x:c r="H77" s="465"/>
      <x:c r="I77" s="465"/>
      <x:c r="J77" s="465"/>
      <x:c r="K77" s="465"/>
      <x:c r="L77" s="465"/>
      <x:c r="M77" s="465"/>
      <x:c r="N77" s="465"/>
      <x:c r="O77" s="465"/>
      <x:c r="P77" s="465"/>
      <x:c r="Q77" s="465"/>
      <x:c r="R77" s="465"/>
      <x:c r="S77" s="465"/>
      <x:c r="T77" s="465"/>
      <x:c r="U77" s="465"/>
      <x:c r="V77" s="465"/>
      <x:c r="W77" s="465"/>
      <x:c r="X77" s="465"/>
      <x:c r="Y77" s="465"/>
      <x:c r="Z77" s="465"/>
    </x:row>
    <x:row r="78">
      <x:c r="A78" s="465" t="str">
        <x:v>滿柱</x:v>
      </x:c>
      <x:c r="B78" s="465" t="str">
        <x:v>dock_ratio_lag_60</x:v>
      </x:c>
      <x:c r="C78" s="508" t="n">
        <x:v>1373.300281047821</x:v>
      </x:c>
      <x:c r="D78" s="508" t="n">
        <x:v>102</x:v>
      </x:c>
      <x:c r="E78" s="508" t="n">
        <x:f>SUMIF($A$5:$A$116,A78,$C$5:$C$116)</x:f>
        <x:v>1446369.6871619225</x:v>
      </x:c>
      <x:c r="F78" s="498" t="n">
        <x:f>C78/E78</x:f>
        <x:v>0.0009494808230823209</x:v>
      </x:c>
      <x:c r="G78" s="465"/>
      <x:c r="H78" s="465"/>
      <x:c r="I78" s="465"/>
      <x:c r="J78" s="465"/>
      <x:c r="K78" s="465"/>
      <x:c r="L78" s="465"/>
      <x:c r="M78" s="465"/>
      <x:c r="N78" s="465"/>
      <x:c r="O78" s="465"/>
      <x:c r="P78" s="465"/>
      <x:c r="Q78" s="465"/>
      <x:c r="R78" s="465"/>
      <x:c r="S78" s="465"/>
      <x:c r="T78" s="465"/>
      <x:c r="U78" s="465"/>
      <x:c r="V78" s="465"/>
      <x:c r="W78" s="465"/>
      <x:c r="X78" s="465"/>
      <x:c r="Y78" s="465"/>
      <x:c r="Z78" s="465"/>
    </x:row>
    <x:row r="79">
      <x:c r="A79" s="465" t="str">
        <x:v>滿柱</x:v>
      </x:c>
      <x:c r="B79" s="465" t="str">
        <x:v>dock_ratio_lag_90</x:v>
      </x:c>
      <x:c r="C79" s="508" t="n">
        <x:v>1739.859356880188</x:v>
      </x:c>
      <x:c r="D79" s="508" t="n">
        <x:v>130</x:v>
      </x:c>
      <x:c r="E79" s="508" t="n">
        <x:f>SUMIF($A$5:$A$116,A79,$C$5:$C$116)</x:f>
        <x:v>1446369.6871619225</x:v>
      </x:c>
      <x:c r="F79" s="498" t="n">
        <x:f>C79/E79</x:f>
        <x:v>0.0012029146990035122</x:v>
      </x:c>
      <x:c r="G79" s="465"/>
      <x:c r="H79" s="465"/>
      <x:c r="I79" s="465"/>
      <x:c r="J79" s="465"/>
      <x:c r="K79" s="465"/>
      <x:c r="L79" s="465"/>
      <x:c r="M79" s="465"/>
      <x:c r="N79" s="465"/>
      <x:c r="O79" s="465"/>
      <x:c r="P79" s="465"/>
      <x:c r="Q79" s="465"/>
      <x:c r="R79" s="465"/>
      <x:c r="S79" s="465"/>
      <x:c r="T79" s="465"/>
      <x:c r="U79" s="465"/>
      <x:c r="V79" s="465"/>
      <x:c r="W79" s="465"/>
      <x:c r="X79" s="465"/>
      <x:c r="Y79" s="465"/>
      <x:c r="Z79" s="465"/>
    </x:row>
    <x:row r="80">
      <x:c r="A80" s="465" t="str">
        <x:v>滿柱</x:v>
      </x:c>
      <x:c r="B80" s="465" t="str">
        <x:v>delta_bikes_30</x:v>
      </x:c>
      <x:c r="C80" s="508" t="n">
        <x:v>1343.3269710540771</x:v>
      </x:c>
      <x:c r="D80" s="508" t="n">
        <x:v>42</x:v>
      </x:c>
      <x:c r="E80" s="508" t="n">
        <x:f>SUMIF($A$5:$A$116,A80,$C$5:$C$116)</x:f>
        <x:v>1446369.6871619225</x:v>
      </x:c>
      <x:c r="F80" s="498" t="n">
        <x:f>C80/E80</x:f>
        <x:v>0.000928757691050594</x:v>
      </x:c>
      <x:c r="G80" s="465"/>
      <x:c r="H80" s="465"/>
      <x:c r="I80" s="465"/>
      <x:c r="J80" s="465"/>
      <x:c r="K80" s="465"/>
      <x:c r="L80" s="465"/>
      <x:c r="M80" s="465"/>
      <x:c r="N80" s="465"/>
      <x:c r="O80" s="465"/>
      <x:c r="P80" s="465"/>
      <x:c r="Q80" s="465"/>
      <x:c r="R80" s="465"/>
      <x:c r="S80" s="465"/>
      <x:c r="T80" s="465"/>
      <x:c r="U80" s="465"/>
      <x:c r="V80" s="465"/>
      <x:c r="W80" s="465"/>
      <x:c r="X80" s="465"/>
      <x:c r="Y80" s="465"/>
      <x:c r="Z80" s="465"/>
    </x:row>
    <x:row r="81">
      <x:c r="A81" s="465" t="str">
        <x:v>滿柱</x:v>
      </x:c>
      <x:c r="B81" s="465" t="str">
        <x:v>delta_bikes_60</x:v>
      </x:c>
      <x:c r="C81" s="508" t="n">
        <x:v>2885.151640892029</x:v>
      </x:c>
      <x:c r="D81" s="508" t="n">
        <x:v>121</x:v>
      </x:c>
      <x:c r="E81" s="508" t="n">
        <x:f>SUMIF($A$5:$A$116,A81,$C$5:$C$116)</x:f>
        <x:v>1446369.6871619225</x:v>
      </x:c>
      <x:c r="F81" s="498" t="n">
        <x:f>C81/E81</x:f>
        <x:v>0.00199475394603526</x:v>
      </x:c>
      <x:c r="G81" s="465"/>
      <x:c r="H81" s="465"/>
      <x:c r="I81" s="465"/>
      <x:c r="J81" s="465"/>
      <x:c r="K81" s="465"/>
      <x:c r="L81" s="465"/>
      <x:c r="M81" s="465"/>
      <x:c r="N81" s="465"/>
      <x:c r="O81" s="465"/>
      <x:c r="P81" s="465"/>
      <x:c r="Q81" s="465"/>
      <x:c r="R81" s="465"/>
      <x:c r="S81" s="465"/>
      <x:c r="T81" s="465"/>
      <x:c r="U81" s="465"/>
      <x:c r="V81" s="465"/>
      <x:c r="W81" s="465"/>
      <x:c r="X81" s="465"/>
      <x:c r="Y81" s="465"/>
      <x:c r="Z81" s="465"/>
    </x:row>
    <x:row r="82">
      <x:c r="A82" s="465" t="str">
        <x:v>滿柱</x:v>
      </x:c>
      <x:c r="B82" s="465" t="str">
        <x:v>delta_bikes_90</x:v>
      </x:c>
      <x:c r="C82" s="508" t="n">
        <x:v>11261.488106250763</x:v>
      </x:c>
      <x:c r="D82" s="508" t="n">
        <x:v>162</x:v>
      </x:c>
      <x:c r="E82" s="508" t="n">
        <x:f>SUMIF($A$5:$A$116,A82,$C$5:$C$116)</x:f>
        <x:v>1446369.6871619225</x:v>
      </x:c>
      <x:c r="F82" s="498" t="n">
        <x:f>C82/E82</x:f>
        <x:v>0.0077860371426534385</x:v>
      </x:c>
      <x:c r="G82" s="465"/>
      <x:c r="H82" s="465"/>
      <x:c r="I82" s="465"/>
      <x:c r="J82" s="465"/>
      <x:c r="K82" s="465"/>
      <x:c r="L82" s="465"/>
      <x:c r="M82" s="465"/>
      <x:c r="N82" s="465"/>
      <x:c r="O82" s="465"/>
      <x:c r="P82" s="465"/>
      <x:c r="Q82" s="465"/>
      <x:c r="R82" s="465"/>
      <x:c r="S82" s="465"/>
      <x:c r="T82" s="465"/>
      <x:c r="U82" s="465"/>
      <x:c r="V82" s="465"/>
      <x:c r="W82" s="465"/>
      <x:c r="X82" s="465"/>
      <x:c r="Y82" s="465"/>
      <x:c r="Z82" s="465"/>
    </x:row>
    <x:row r="83">
      <x:c r="A83" s="465" t="str">
        <x:v>滿柱</x:v>
      </x:c>
      <x:c r="B83" s="465" t="str">
        <x:v>delta_docks_30</x:v>
      </x:c>
      <x:c r="C83" s="508" t="n">
        <x:v>2058.6284580230713</x:v>
      </x:c>
      <x:c r="D83" s="508" t="n">
        <x:v>53</x:v>
      </x:c>
      <x:c r="E83" s="508" t="n">
        <x:f>SUMIF($A$5:$A$116,A83,$C$5:$C$116)</x:f>
        <x:v>1446369.6871619225</x:v>
      </x:c>
      <x:c r="F83" s="498" t="n">
        <x:f>C83/E83</x:f>
        <x:v>0.001423307247307241</x:v>
      </x:c>
      <x:c r="G83" s="465"/>
      <x:c r="H83" s="465"/>
      <x:c r="I83" s="465"/>
      <x:c r="J83" s="465"/>
      <x:c r="K83" s="465"/>
      <x:c r="L83" s="465"/>
      <x:c r="M83" s="465"/>
      <x:c r="N83" s="465"/>
      <x:c r="O83" s="465"/>
      <x:c r="P83" s="465"/>
      <x:c r="Q83" s="465"/>
      <x:c r="R83" s="465"/>
      <x:c r="S83" s="465"/>
      <x:c r="T83" s="465"/>
      <x:c r="U83" s="465"/>
      <x:c r="V83" s="465"/>
      <x:c r="W83" s="465"/>
      <x:c r="X83" s="465"/>
      <x:c r="Y83" s="465"/>
      <x:c r="Z83" s="465"/>
    </x:row>
    <x:row r="84">
      <x:c r="A84" s="465" t="str">
        <x:v>滿柱</x:v>
      </x:c>
      <x:c r="B84" s="465" t="str">
        <x:v>delta_docks_60</x:v>
      </x:c>
      <x:c r="C84" s="508" t="n">
        <x:v>10653.226105928421</x:v>
      </x:c>
      <x:c r="D84" s="508" t="n">
        <x:v>153</x:v>
      </x:c>
      <x:c r="E84" s="508" t="n">
        <x:f>SUMIF($A$5:$A$116,A84,$C$5:$C$116)</x:f>
        <x:v>1446369.6871619225</x:v>
      </x:c>
      <x:c r="F84" s="498" t="n">
        <x:f>C84/E84</x:f>
        <x:v>0.007365493207225783</x:v>
      </x:c>
      <x:c r="G84" s="465"/>
      <x:c r="H84" s="465"/>
      <x:c r="I84" s="465"/>
      <x:c r="J84" s="465"/>
      <x:c r="K84" s="465"/>
      <x:c r="L84" s="465"/>
      <x:c r="M84" s="465"/>
      <x:c r="N84" s="465"/>
      <x:c r="O84" s="465"/>
      <x:c r="P84" s="465"/>
      <x:c r="Q84" s="465"/>
      <x:c r="R84" s="465"/>
      <x:c r="S84" s="465"/>
      <x:c r="T84" s="465"/>
      <x:c r="U84" s="465"/>
      <x:c r="V84" s="465"/>
      <x:c r="W84" s="465"/>
      <x:c r="X84" s="465"/>
      <x:c r="Y84" s="465"/>
      <x:c r="Z84" s="465"/>
    </x:row>
    <x:row r="85">
      <x:c r="A85" s="465" t="str">
        <x:v>滿柱</x:v>
      </x:c>
      <x:c r="B85" s="465" t="str">
        <x:v>delta_docks_90</x:v>
      </x:c>
      <x:c r="C85" s="508" t="n">
        <x:v>14458.360453128815</x:v>
      </x:c>
      <x:c r="D85" s="508" t="n">
        <x:v>164</x:v>
      </x:c>
      <x:c r="E85" s="508" t="n">
        <x:f>SUMIF($A$5:$A$116,A85,$C$5:$C$116)</x:f>
        <x:v>1446369.6871619225</x:v>
      </x:c>
      <x:c r="F85" s="498" t="n">
        <x:f>C85/E85</x:f>
        <x:v>0.009996310474052536</x:v>
      </x:c>
      <x:c r="G85" s="465"/>
      <x:c r="H85" s="465"/>
      <x:c r="I85" s="465"/>
      <x:c r="J85" s="465"/>
      <x:c r="K85" s="465"/>
      <x:c r="L85" s="465"/>
      <x:c r="M85" s="465"/>
      <x:c r="N85" s="465"/>
      <x:c r="O85" s="465"/>
      <x:c r="P85" s="465"/>
      <x:c r="Q85" s="465"/>
      <x:c r="R85" s="465"/>
      <x:c r="S85" s="465"/>
      <x:c r="T85" s="465"/>
      <x:c r="U85" s="465"/>
      <x:c r="V85" s="465"/>
      <x:c r="W85" s="465"/>
      <x:c r="X85" s="465"/>
      <x:c r="Y85" s="465"/>
      <x:c r="Z85" s="465"/>
    </x:row>
    <x:row r="86">
      <x:c r="A86" s="465" t="str">
        <x:v>滿柱</x:v>
      </x:c>
      <x:c r="B86" s="465" t="str">
        <x:v>abs_delta_bikes_30</x:v>
      </x:c>
      <x:c r="C86" s="508" t="n">
        <x:v>89365.19325876236</x:v>
      </x:c>
      <x:c r="D86" s="508" t="n">
        <x:v>170</x:v>
      </x:c>
      <x:c r="E86" s="508" t="n">
        <x:f>SUMIF($A$5:$A$116,A86,$C$5:$C$116)</x:f>
        <x:v>1446369.6871619225</x:v>
      </x:c>
      <x:c r="F86" s="498" t="n">
        <x:f>C86/E86</x:f>
        <x:v>0.06178585879666451</x:v>
      </x:c>
      <x:c r="G86" s="465"/>
      <x:c r="H86" s="465"/>
      <x:c r="I86" s="465"/>
      <x:c r="J86" s="465"/>
      <x:c r="K86" s="465"/>
      <x:c r="L86" s="465"/>
      <x:c r="M86" s="465"/>
      <x:c r="N86" s="465"/>
      <x:c r="O86" s="465"/>
      <x:c r="P86" s="465"/>
      <x:c r="Q86" s="465"/>
      <x:c r="R86" s="465"/>
      <x:c r="S86" s="465"/>
      <x:c r="T86" s="465"/>
      <x:c r="U86" s="465"/>
      <x:c r="V86" s="465"/>
      <x:c r="W86" s="465"/>
      <x:c r="X86" s="465"/>
      <x:c r="Y86" s="465"/>
      <x:c r="Z86" s="465"/>
    </x:row>
    <x:row r="87">
      <x:c r="A87" s="465" t="str">
        <x:v>滿柱</x:v>
      </x:c>
      <x:c r="B87" s="465" t="str">
        <x:v>delta_bikes_ratio_30</x:v>
      </x:c>
      <x:c r="C87" s="508" t="n">
        <x:v>2227.063289642334</x:v>
      </x:c>
      <x:c r="D87" s="508" t="n">
        <x:v>146</x:v>
      </x:c>
      <x:c r="E87" s="508" t="n">
        <x:f>SUMIF($A$5:$A$116,A87,$C$5:$C$116)</x:f>
        <x:v>1446369.6871619225</x:v>
      </x:c>
      <x:c r="F87" s="498" t="n">
        <x:f>C87/E87</x:f>
        <x:v>0.001539760760620125</x:v>
      </x:c>
      <x:c r="G87" s="465"/>
      <x:c r="H87" s="465"/>
      <x:c r="I87" s="465"/>
      <x:c r="J87" s="465"/>
      <x:c r="K87" s="465"/>
      <x:c r="L87" s="465"/>
      <x:c r="M87" s="465"/>
      <x:c r="N87" s="465"/>
      <x:c r="O87" s="465"/>
      <x:c r="P87" s="465"/>
      <x:c r="Q87" s="465"/>
      <x:c r="R87" s="465"/>
      <x:c r="S87" s="465"/>
      <x:c r="T87" s="465"/>
      <x:c r="U87" s="465"/>
      <x:c r="V87" s="465"/>
      <x:c r="W87" s="465"/>
      <x:c r="X87" s="465"/>
      <x:c r="Y87" s="465"/>
      <x:c r="Z87" s="465"/>
    </x:row>
    <x:row r="88">
      <x:c r="A88" s="465" t="str">
        <x:v>滿柱</x:v>
      </x:c>
      <x:c r="B88" s="465" t="str">
        <x:v>delta_docks_ratio_30</x:v>
      </x:c>
      <x:c r="C88" s="508" t="n">
        <x:v>3496.1392364501953</x:v>
      </x:c>
      <x:c r="D88" s="508" t="n">
        <x:v>126</x:v>
      </x:c>
      <x:c r="E88" s="508" t="n">
        <x:f>SUMIF($A$5:$A$116,A88,$C$5:$C$116)</x:f>
        <x:v>1446369.6871619225</x:v>
      </x:c>
      <x:c r="F88" s="498" t="n">
        <x:f>C88/E88</x:f>
        <x:v>0.0024171823203169764</x:v>
      </x:c>
      <x:c r="G88" s="465"/>
      <x:c r="H88" s="465"/>
      <x:c r="I88" s="465"/>
      <x:c r="J88" s="465"/>
      <x:c r="K88" s="465"/>
      <x:c r="L88" s="465"/>
      <x:c r="M88" s="465"/>
      <x:c r="N88" s="465"/>
      <x:c r="O88" s="465"/>
      <x:c r="P88" s="465"/>
      <x:c r="Q88" s="465"/>
      <x:c r="R88" s="465"/>
      <x:c r="S88" s="465"/>
      <x:c r="T88" s="465"/>
      <x:c r="U88" s="465"/>
      <x:c r="V88" s="465"/>
      <x:c r="W88" s="465"/>
      <x:c r="X88" s="465"/>
      <x:c r="Y88" s="465"/>
      <x:c r="Z88" s="465"/>
    </x:row>
    <x:row r="89">
      <x:c r="A89" s="465" t="str">
        <x:v>滿柱</x:v>
      </x:c>
      <x:c r="B89" s="465" t="str">
        <x:v>bike_acceleration_30</x:v>
      </x:c>
      <x:c r="C89" s="508" t="n">
        <x:v>1630.6276047229767</x:v>
      </x:c>
      <x:c r="D89" s="508" t="n">
        <x:v>125</x:v>
      </x:c>
      <x:c r="E89" s="508" t="n">
        <x:f>SUMIF($A$5:$A$116,A89,$C$5:$C$116)</x:f>
        <x:v>1446369.6871619225</x:v>
      </x:c>
      <x:c r="F89" s="498" t="n">
        <x:f>C89/E89</x:f>
        <x:v>0.0011273933761171437</x:v>
      </x:c>
      <x:c r="G89" s="465"/>
      <x:c r="H89" s="465"/>
      <x:c r="I89" s="465"/>
      <x:c r="J89" s="465"/>
      <x:c r="K89" s="465"/>
      <x:c r="L89" s="465"/>
      <x:c r="M89" s="465"/>
      <x:c r="N89" s="465"/>
      <x:c r="O89" s="465"/>
      <x:c r="P89" s="465"/>
      <x:c r="Q89" s="465"/>
      <x:c r="R89" s="465"/>
      <x:c r="S89" s="465"/>
      <x:c r="T89" s="465"/>
      <x:c r="U89" s="465"/>
      <x:c r="V89" s="465"/>
      <x:c r="W89" s="465"/>
      <x:c r="X89" s="465"/>
      <x:c r="Y89" s="465"/>
      <x:c r="Z89" s="465"/>
    </x:row>
    <x:row r="90">
      <x:c r="A90" s="465" t="str">
        <x:v>滿柱</x:v>
      </x:c>
      <x:c r="B90" s="465" t="str">
        <x:v>dock_acceleration_30</x:v>
      </x:c>
      <x:c r="C90" s="508" t="n">
        <x:v>2044.882067680359</x:v>
      </x:c>
      <x:c r="D90" s="508" t="n">
        <x:v>125</x:v>
      </x:c>
      <x:c r="E90" s="508" t="n">
        <x:f>SUMIF($A$5:$A$116,A90,$C$5:$C$116)</x:f>
        <x:v>1446369.6871619225</x:v>
      </x:c>
      <x:c r="F90" s="498" t="n">
        <x:f>C90/E90</x:f>
        <x:v>0.001413803183121766</x:v>
      </x:c>
      <x:c r="G90" s="465"/>
      <x:c r="H90" s="465"/>
      <x:c r="I90" s="465"/>
      <x:c r="J90" s="465"/>
      <x:c r="K90" s="465"/>
      <x:c r="L90" s="465"/>
      <x:c r="M90" s="465"/>
      <x:c r="N90" s="465"/>
      <x:c r="O90" s="465"/>
      <x:c r="P90" s="465"/>
      <x:c r="Q90" s="465"/>
      <x:c r="R90" s="465"/>
      <x:c r="S90" s="465"/>
      <x:c r="T90" s="465"/>
      <x:c r="U90" s="465"/>
      <x:c r="V90" s="465"/>
      <x:c r="W90" s="465"/>
      <x:c r="X90" s="465"/>
      <x:c r="Y90" s="465"/>
      <x:c r="Z90" s="465"/>
    </x:row>
    <x:row r="91">
      <x:c r="A91" s="465" t="str">
        <x:v>滿柱</x:v>
      </x:c>
      <x:c r="B91" s="465" t="str">
        <x:v>bike_ratio_mean_90</x:v>
      </x:c>
      <x:c r="C91" s="508" t="n">
        <x:v>1629.184319972992</x:v>
      </x:c>
      <x:c r="D91" s="508" t="n">
        <x:v>126</x:v>
      </x:c>
      <x:c r="E91" s="508" t="n">
        <x:f>SUMIF($A$5:$A$116,A91,$C$5:$C$116)</x:f>
        <x:v>1446369.6871619225</x:v>
      </x:c>
      <x:c r="F91" s="498" t="n">
        <x:f>C91/E91</x:f>
        <x:v>0.0011263955090000466</x:v>
      </x:c>
      <x:c r="G91" s="465"/>
      <x:c r="H91" s="465"/>
      <x:c r="I91" s="465"/>
      <x:c r="J91" s="465"/>
      <x:c r="K91" s="465"/>
      <x:c r="L91" s="465"/>
      <x:c r="M91" s="465"/>
      <x:c r="N91" s="465"/>
      <x:c r="O91" s="465"/>
      <x:c r="P91" s="465"/>
      <x:c r="Q91" s="465"/>
      <x:c r="R91" s="465"/>
      <x:c r="S91" s="465"/>
      <x:c r="T91" s="465"/>
      <x:c r="U91" s="465"/>
      <x:c r="V91" s="465"/>
      <x:c r="W91" s="465"/>
      <x:c r="X91" s="465"/>
      <x:c r="Y91" s="465"/>
      <x:c r="Z91" s="465"/>
    </x:row>
    <x:row r="92">
      <x:c r="A92" s="465" t="str">
        <x:v>滿柱</x:v>
      </x:c>
      <x:c r="B92" s="465" t="str">
        <x:v>bike_ratio_min_90</x:v>
      </x:c>
      <x:c r="C92" s="508" t="n">
        <x:v>3258.3351311683655</x:v>
      </x:c>
      <x:c r="D92" s="508" t="n">
        <x:v>202</x:v>
      </x:c>
      <x:c r="E92" s="508" t="n">
        <x:f>SUMIF($A$5:$A$116,A92,$C$5:$C$116)</x:f>
        <x:v>1446369.6871619225</x:v>
      </x:c>
      <x:c r="F92" s="498" t="n">
        <x:f>C92/E92</x:f>
        <x:v>0.0022527678504946375</x:v>
      </x:c>
      <x:c r="G92" s="465"/>
      <x:c r="H92" s="465"/>
      <x:c r="I92" s="465"/>
      <x:c r="J92" s="465"/>
      <x:c r="K92" s="465"/>
      <x:c r="L92" s="465"/>
      <x:c r="M92" s="465"/>
      <x:c r="N92" s="465"/>
      <x:c r="O92" s="465"/>
      <x:c r="P92" s="465"/>
      <x:c r="Q92" s="465"/>
      <x:c r="R92" s="465"/>
      <x:c r="S92" s="465"/>
      <x:c r="T92" s="465"/>
      <x:c r="U92" s="465"/>
      <x:c r="V92" s="465"/>
      <x:c r="W92" s="465"/>
      <x:c r="X92" s="465"/>
      <x:c r="Y92" s="465"/>
      <x:c r="Z92" s="465"/>
    </x:row>
    <x:row r="93">
      <x:c r="A93" s="465" t="str">
        <x:v>滿柱</x:v>
      </x:c>
      <x:c r="B93" s="465" t="str">
        <x:v>bike_ratio_max_90</x:v>
      </x:c>
      <x:c r="C93" s="508" t="n">
        <x:v>7742.150589466095</x:v>
      </x:c>
      <x:c r="D93" s="508" t="n">
        <x:v>187</x:v>
      </x:c>
      <x:c r="E93" s="508" t="n">
        <x:f>SUMIF($A$5:$A$116,A93,$C$5:$C$116)</x:f>
        <x:v>1446369.6871619225</x:v>
      </x:c>
      <x:c r="F93" s="498" t="n">
        <x:f>C93/E93</x:f>
        <x:v>0.005352815852119938</x:v>
      </x:c>
      <x:c r="G93" s="465"/>
      <x:c r="H93" s="465"/>
      <x:c r="I93" s="465"/>
      <x:c r="J93" s="465"/>
      <x:c r="K93" s="465"/>
      <x:c r="L93" s="465"/>
      <x:c r="M93" s="465"/>
      <x:c r="N93" s="465"/>
      <x:c r="O93" s="465"/>
      <x:c r="P93" s="465"/>
      <x:c r="Q93" s="465"/>
      <x:c r="R93" s="465"/>
      <x:c r="S93" s="465"/>
      <x:c r="T93" s="465"/>
      <x:c r="U93" s="465"/>
      <x:c r="V93" s="465"/>
      <x:c r="W93" s="465"/>
      <x:c r="X93" s="465"/>
      <x:c r="Y93" s="465"/>
      <x:c r="Z93" s="465"/>
    </x:row>
    <x:row r="94">
      <x:c r="A94" s="465" t="str">
        <x:v>滿柱</x:v>
      </x:c>
      <x:c r="B94" s="465" t="str">
        <x:v>dock_ratio_mean_90</x:v>
      </x:c>
      <x:c r="C94" s="508" t="n">
        <x:v>1725.0603890419006</x:v>
      </x:c>
      <x:c r="D94" s="508" t="n">
        <x:v>104</x:v>
      </x:c>
      <x:c r="E94" s="508" t="n">
        <x:f>SUMIF($A$5:$A$116,A94,$C$5:$C$116)</x:f>
        <x:v>1446369.6871619225</x:v>
      </x:c>
      <x:c r="F94" s="498" t="n">
        <x:f>C94/E94</x:f>
        <x:v>0.001192682897293587</x:v>
      </x:c>
      <x:c r="G94" s="465"/>
      <x:c r="H94" s="465"/>
      <x:c r="I94" s="465"/>
      <x:c r="J94" s="465"/>
      <x:c r="K94" s="465"/>
      <x:c r="L94" s="465"/>
      <x:c r="M94" s="465"/>
      <x:c r="N94" s="465"/>
      <x:c r="O94" s="465"/>
      <x:c r="P94" s="465"/>
      <x:c r="Q94" s="465"/>
      <x:c r="R94" s="465"/>
      <x:c r="S94" s="465"/>
      <x:c r="T94" s="465"/>
      <x:c r="U94" s="465"/>
      <x:c r="V94" s="465"/>
      <x:c r="W94" s="465"/>
      <x:c r="X94" s="465"/>
      <x:c r="Y94" s="465"/>
      <x:c r="Z94" s="465"/>
    </x:row>
    <x:row r="95">
      <x:c r="A95" s="465" t="str">
        <x:v>滿柱</x:v>
      </x:c>
      <x:c r="B95" s="465" t="str">
        <x:v>dock_ratio_min_90</x:v>
      </x:c>
      <x:c r="C95" s="508" t="n">
        <x:v>41047.09040403366</x:v>
      </x:c>
      <x:c r="D95" s="508" t="n">
        <x:v>237</x:v>
      </x:c>
      <x:c r="E95" s="508" t="n">
        <x:f>SUMIF($A$5:$A$116,A95,$C$5:$C$116)</x:f>
        <x:v>1446369.6871619225</x:v>
      </x:c>
      <x:c r="F95" s="498" t="n">
        <x:f>C95/E95</x:f>
        <x:v>0.02837939066918401</x:v>
      </x:c>
      <x:c r="G95" s="465"/>
      <x:c r="H95" s="465"/>
      <x:c r="I95" s="465"/>
      <x:c r="J95" s="465"/>
      <x:c r="K95" s="465"/>
      <x:c r="L95" s="465"/>
      <x:c r="M95" s="465"/>
      <x:c r="N95" s="465"/>
      <x:c r="O95" s="465"/>
      <x:c r="P95" s="465"/>
      <x:c r="Q95" s="465"/>
      <x:c r="R95" s="465"/>
      <x:c r="S95" s="465"/>
      <x:c r="T95" s="465"/>
      <x:c r="U95" s="465"/>
      <x:c r="V95" s="465"/>
      <x:c r="W95" s="465"/>
      <x:c r="X95" s="465"/>
      <x:c r="Y95" s="465"/>
      <x:c r="Z95" s="465"/>
    </x:row>
    <x:row r="96">
      <x:c r="A96" s="465" t="str">
        <x:v>滿柱</x:v>
      </x:c>
      <x:c r="B96" s="465" t="str">
        <x:v>dock_ratio_max_90</x:v>
      </x:c>
      <x:c r="C96" s="508" t="n">
        <x:v>4349.0465207099915</x:v>
      </x:c>
      <x:c r="D96" s="508" t="n">
        <x:v>146</x:v>
      </x:c>
      <x:c r="E96" s="508" t="n">
        <x:f>SUMIF($A$5:$A$116,A96,$C$5:$C$116)</x:f>
        <x:v>1446369.6871619225</x:v>
      </x:c>
      <x:c r="F96" s="498" t="n">
        <x:f>C96/E96</x:f>
        <x:v>0.003006870621883485</x:v>
      </x:c>
      <x:c r="G96" s="465"/>
      <x:c r="H96" s="465"/>
      <x:c r="I96" s="465"/>
      <x:c r="J96" s="465"/>
      <x:c r="K96" s="465"/>
      <x:c r="L96" s="465"/>
      <x:c r="M96" s="465"/>
      <x:c r="N96" s="465"/>
      <x:c r="O96" s="465"/>
      <x:c r="P96" s="465"/>
      <x:c r="Q96" s="465"/>
      <x:c r="R96" s="465"/>
      <x:c r="S96" s="465"/>
      <x:c r="T96" s="465"/>
      <x:c r="U96" s="465"/>
      <x:c r="V96" s="465"/>
      <x:c r="W96" s="465"/>
      <x:c r="X96" s="465"/>
      <x:c r="Y96" s="465"/>
      <x:c r="Z96" s="465"/>
    </x:row>
    <x:row r="97">
      <x:c r="A97" s="465" t="str">
        <x:v>滿柱</x:v>
      </x:c>
      <x:c r="B97" s="465" t="str">
        <x:v>bike_ratio_lag_1d</x:v>
      </x:c>
      <x:c r="C97" s="508" t="n">
        <x:v>4815.591300010681</x:v>
      </x:c>
      <x:c r="D97" s="508" t="n">
        <x:v>337</x:v>
      </x:c>
      <x:c r="E97" s="508" t="n">
        <x:f>SUMIF($A$5:$A$116,A97,$C$5:$C$116)</x:f>
        <x:v>1446369.6871619225</x:v>
      </x:c>
      <x:c r="F97" s="498" t="n">
        <x:f>C97/E97</x:f>
        <x:v>0.0033294332304902425</x:v>
      </x:c>
      <x:c r="G97" s="465"/>
      <x:c r="H97" s="465"/>
      <x:c r="I97" s="465"/>
      <x:c r="J97" s="465"/>
      <x:c r="K97" s="465"/>
      <x:c r="L97" s="465"/>
      <x:c r="M97" s="465"/>
      <x:c r="N97" s="465"/>
      <x:c r="O97" s="465"/>
      <x:c r="P97" s="465"/>
      <x:c r="Q97" s="465"/>
      <x:c r="R97" s="465"/>
      <x:c r="S97" s="465"/>
      <x:c r="T97" s="465"/>
      <x:c r="U97" s="465"/>
      <x:c r="V97" s="465"/>
      <x:c r="W97" s="465"/>
      <x:c r="X97" s="465"/>
      <x:c r="Y97" s="465"/>
      <x:c r="Z97" s="465"/>
    </x:row>
    <x:row r="98">
      <x:c r="A98" s="465" t="str">
        <x:v>滿柱</x:v>
      </x:c>
      <x:c r="B98" s="465" t="str">
        <x:v>dock_ratio_lag_1d</x:v>
      </x:c>
      <x:c r="C98" s="508" t="n">
        <x:v>7058.252940654755</x:v>
      </x:c>
      <x:c r="D98" s="508" t="n">
        <x:v>373</x:v>
      </x:c>
      <x:c r="E98" s="508" t="n">
        <x:f>SUMIF($A$5:$A$116,A98,$C$5:$C$116)</x:f>
        <x:v>1446369.6871619225</x:v>
      </x:c>
      <x:c r="F98" s="498" t="n">
        <x:f>C98/E98</x:f>
        <x:v>0.004879978475284913</x:v>
      </x:c>
      <x:c r="G98" s="465"/>
      <x:c r="H98" s="465"/>
      <x:c r="I98" s="465"/>
      <x:c r="J98" s="465"/>
      <x:c r="K98" s="465"/>
      <x:c r="L98" s="465"/>
      <x:c r="M98" s="465"/>
      <x:c r="N98" s="465"/>
      <x:c r="O98" s="465"/>
      <x:c r="P98" s="465"/>
      <x:c r="Q98" s="465"/>
      <x:c r="R98" s="465"/>
      <x:c r="S98" s="465"/>
      <x:c r="T98" s="465"/>
      <x:c r="U98" s="465"/>
      <x:c r="V98" s="465"/>
      <x:c r="W98" s="465"/>
      <x:c r="X98" s="465"/>
      <x:c r="Y98" s="465"/>
      <x:c r="Z98" s="465"/>
    </x:row>
    <x:row r="99">
      <x:c r="A99" s="465" t="str">
        <x:v>滿柱</x:v>
      </x:c>
      <x:c r="B99" s="465" t="str">
        <x:v>bike_ratio_lag_7d</x:v>
      </x:c>
      <x:c r="C99" s="508" t="n">
        <x:v>4194.8496198654175</x:v>
      </x:c>
      <x:c r="D99" s="508" t="n">
        <x:v>317</x:v>
      </x:c>
      <x:c r="E99" s="508" t="n">
        <x:f>SUMIF($A$5:$A$116,A99,$C$5:$C$116)</x:f>
        <x:v>1446369.6871619225</x:v>
      </x:c>
      <x:c r="F99" s="498" t="n">
        <x:f>C99/E99</x:f>
        <x:v>0.0029002610170132804</x:v>
      </x:c>
      <x:c r="G99" s="465"/>
      <x:c r="H99" s="465"/>
      <x:c r="I99" s="465"/>
      <x:c r="J99" s="465"/>
      <x:c r="K99" s="465"/>
      <x:c r="L99" s="465"/>
      <x:c r="M99" s="465"/>
      <x:c r="N99" s="465"/>
      <x:c r="O99" s="465"/>
      <x:c r="P99" s="465"/>
      <x:c r="Q99" s="465"/>
      <x:c r="R99" s="465"/>
      <x:c r="S99" s="465"/>
      <x:c r="T99" s="465"/>
      <x:c r="U99" s="465"/>
      <x:c r="V99" s="465"/>
      <x:c r="W99" s="465"/>
      <x:c r="X99" s="465"/>
      <x:c r="Y99" s="465"/>
      <x:c r="Z99" s="465"/>
    </x:row>
    <x:row r="100">
      <x:c r="A100" s="465" t="str">
        <x:v>滿柱</x:v>
      </x:c>
      <x:c r="B100" s="465" t="str">
        <x:v>dock_ratio_lag_7d</x:v>
      </x:c>
      <x:c r="C100" s="508" t="n">
        <x:v>4257.323558807373</x:v>
      </x:c>
      <x:c r="D100" s="508" t="n">
        <x:v>302</x:v>
      </x:c>
      <x:c r="E100" s="508" t="n">
        <x:f>SUMIF($A$5:$A$116,A100,$C$5:$C$116)</x:f>
        <x:v>1446369.6871619225</x:v>
      </x:c>
      <x:c r="F100" s="498" t="n">
        <x:f>C100/E100</x:f>
        <x:v>0.0029434546344518087</x:v>
      </x:c>
      <x:c r="G100" s="465"/>
      <x:c r="H100" s="465"/>
      <x:c r="I100" s="465"/>
      <x:c r="J100" s="465"/>
      <x:c r="K100" s="465"/>
      <x:c r="L100" s="465"/>
      <x:c r="M100" s="465"/>
      <x:c r="N100" s="465"/>
      <x:c r="O100" s="465"/>
      <x:c r="P100" s="465"/>
      <x:c r="Q100" s="465"/>
      <x:c r="R100" s="465"/>
      <x:c r="S100" s="465"/>
      <x:c r="T100" s="465"/>
      <x:c r="U100" s="465"/>
      <x:c r="V100" s="465"/>
      <x:c r="W100" s="465"/>
      <x:c r="X100" s="465"/>
      <x:c r="Y100" s="465"/>
      <x:c r="Z100" s="465"/>
    </x:row>
    <x:row r="101">
      <x:c r="A101" s="465" t="str">
        <x:v>滿柱</x:v>
      </x:c>
      <x:c r="B101" s="465" t="str">
        <x:v>target_hour_sin</x:v>
      </x:c>
      <x:c r="C101" s="508" t="n">
        <x:v>28356.704402923584</x:v>
      </x:c>
      <x:c r="D101" s="508" t="n">
        <x:v>239</x:v>
      </x:c>
      <x:c r="E101" s="508" t="n">
        <x:f>SUMIF($A$5:$A$116,A101,$C$5:$C$116)</x:f>
        <x:v>1446369.6871619225</x:v>
      </x:c>
      <x:c r="F101" s="498" t="n">
        <x:f>C101/E101</x:f>
        <x:v>0.019605433282112904</x:v>
      </x:c>
      <x:c r="G101" s="465"/>
      <x:c r="H101" s="465"/>
      <x:c r="I101" s="465"/>
      <x:c r="J101" s="465"/>
      <x:c r="K101" s="465"/>
      <x:c r="L101" s="465"/>
      <x:c r="M101" s="465"/>
      <x:c r="N101" s="465"/>
      <x:c r="O101" s="465"/>
      <x:c r="P101" s="465"/>
      <x:c r="Q101" s="465"/>
      <x:c r="R101" s="465"/>
      <x:c r="S101" s="465"/>
      <x:c r="T101" s="465"/>
      <x:c r="U101" s="465"/>
      <x:c r="V101" s="465"/>
      <x:c r="W101" s="465"/>
      <x:c r="X101" s="465"/>
      <x:c r="Y101" s="465"/>
      <x:c r="Z101" s="465"/>
    </x:row>
    <x:row r="102">
      <x:c r="A102" s="465" t="str">
        <x:v>滿柱</x:v>
      </x:c>
      <x:c r="B102" s="465" t="str">
        <x:v>target_hour_cos</x:v>
      </x:c>
      <x:c r="C102" s="508" t="n">
        <x:v>7082.951101303101</x:v>
      </x:c>
      <x:c r="D102" s="508" t="n">
        <x:v>188</x:v>
      </x:c>
      <x:c r="E102" s="508" t="n">
        <x:f>SUMIF($A$5:$A$116,A102,$C$5:$C$116)</x:f>
        <x:v>1446369.6871619225</x:v>
      </x:c>
      <x:c r="F102" s="498" t="n">
        <x:f>C102/E102</x:f>
        <x:v>0.004897054442008751</x:v>
      </x:c>
      <x:c r="G102" s="465"/>
      <x:c r="H102" s="465"/>
      <x:c r="I102" s="465"/>
      <x:c r="J102" s="465"/>
      <x:c r="K102" s="465"/>
      <x:c r="L102" s="465"/>
      <x:c r="M102" s="465"/>
      <x:c r="N102" s="465"/>
      <x:c r="O102" s="465"/>
      <x:c r="P102" s="465"/>
      <x:c r="Q102" s="465"/>
      <x:c r="R102" s="465"/>
      <x:c r="S102" s="465"/>
      <x:c r="T102" s="465"/>
      <x:c r="U102" s="465"/>
      <x:c r="V102" s="465"/>
      <x:c r="W102" s="465"/>
      <x:c r="X102" s="465"/>
      <x:c r="Y102" s="465"/>
      <x:c r="Z102" s="465"/>
    </x:row>
    <x:row r="103">
      <x:c r="A103" s="465" t="str">
        <x:v>滿柱</x:v>
      </x:c>
      <x:c r="B103" s="465" t="str">
        <x:v>target_weekday_sin</x:v>
      </x:c>
      <x:c r="C103" s="508" t="n">
        <x:v>5797.844759464264</x:v>
      </x:c>
      <x:c r="D103" s="508" t="n">
        <x:v>230</x:v>
      </x:c>
      <x:c r="E103" s="508" t="n">
        <x:f>SUMIF($A$5:$A$116,A103,$C$5:$C$116)</x:f>
        <x:v>1446369.6871619225</x:v>
      </x:c>
      <x:c r="F103" s="498" t="n">
        <x:f>C103/E103</x:f>
        <x:v>0.004008549688870235</x:v>
      </x:c>
      <x:c r="G103" s="465"/>
      <x:c r="H103" s="465"/>
      <x:c r="I103" s="465"/>
      <x:c r="J103" s="465"/>
      <x:c r="K103" s="465"/>
      <x:c r="L103" s="465"/>
      <x:c r="M103" s="465"/>
      <x:c r="N103" s="465"/>
      <x:c r="O103" s="465"/>
      <x:c r="P103" s="465"/>
      <x:c r="Q103" s="465"/>
      <x:c r="R103" s="465"/>
      <x:c r="S103" s="465"/>
      <x:c r="T103" s="465"/>
      <x:c r="U103" s="465"/>
      <x:c r="V103" s="465"/>
      <x:c r="W103" s="465"/>
      <x:c r="X103" s="465"/>
      <x:c r="Y103" s="465"/>
      <x:c r="Z103" s="465"/>
    </x:row>
    <x:row r="104">
      <x:c r="A104" s="465" t="str">
        <x:v>滿柱</x:v>
      </x:c>
      <x:c r="B104" s="465" t="str">
        <x:v>target_weekday_cos</x:v>
      </x:c>
      <x:c r="C104" s="508" t="n">
        <x:v>568.4538311958313</x:v>
      </x:c>
      <x:c r="D104" s="508" t="n">
        <x:v>48</x:v>
      </x:c>
      <x:c r="E104" s="508" t="n">
        <x:f>SUMIF($A$5:$A$116,A104,$C$5:$C$116)</x:f>
        <x:v>1446369.6871619225</x:v>
      </x:c>
      <x:c r="F104" s="498" t="n">
        <x:f>C104/E104</x:f>
        <x:v>0.00039302111779683085</x:v>
      </x:c>
      <x:c r="G104" s="465"/>
      <x:c r="H104" s="465"/>
      <x:c r="I104" s="465"/>
      <x:c r="J104" s="465"/>
      <x:c r="K104" s="465"/>
      <x:c r="L104" s="465"/>
      <x:c r="M104" s="465"/>
      <x:c r="N104" s="465"/>
      <x:c r="O104" s="465"/>
      <x:c r="P104" s="465"/>
      <x:c r="Q104" s="465"/>
      <x:c r="R104" s="465"/>
      <x:c r="S104" s="465"/>
      <x:c r="T104" s="465"/>
      <x:c r="U104" s="465"/>
      <x:c r="V104" s="465"/>
      <x:c r="W104" s="465"/>
      <x:c r="X104" s="465"/>
      <x:c r="Y104" s="465"/>
      <x:c r="Z104" s="465"/>
    </x:row>
    <x:row r="105">
      <x:c r="A105" s="465" t="str">
        <x:v>滿柱</x:v>
      </x:c>
      <x:c r="B105" s="465" t="str">
        <x:v>target_is_weekend</x:v>
      </x:c>
      <x:c r="C105" s="508" t="n">
        <x:v>664.8343467712402</x:v>
      </x:c>
      <x:c r="D105" s="508" t="n">
        <x:v>20</x:v>
      </x:c>
      <x:c r="E105" s="508" t="n">
        <x:f>SUMIF($A$5:$A$116,A105,$C$5:$C$116)</x:f>
        <x:v>1446369.6871619225</x:v>
      </x:c>
      <x:c r="F105" s="498" t="n">
        <x:f>C105/E105</x:f>
        <x:v>0.00045965727342902436</x:v>
      </x:c>
      <x:c r="G105" s="465"/>
      <x:c r="H105" s="465"/>
      <x:c r="I105" s="465"/>
      <x:c r="J105" s="465"/>
      <x:c r="K105" s="465"/>
      <x:c r="L105" s="465"/>
      <x:c r="M105" s="465"/>
      <x:c r="N105" s="465"/>
      <x:c r="O105" s="465"/>
      <x:c r="P105" s="465"/>
      <x:c r="Q105" s="465"/>
      <x:c r="R105" s="465"/>
      <x:c r="S105" s="465"/>
      <x:c r="T105" s="465"/>
      <x:c r="U105" s="465"/>
      <x:c r="V105" s="465"/>
      <x:c r="W105" s="465"/>
      <x:c r="X105" s="465"/>
      <x:c r="Y105" s="465"/>
      <x:c r="Z105" s="465"/>
    </x:row>
    <x:row r="106">
      <x:c r="A106" s="465" t="str">
        <x:v>滿柱</x:v>
      </x:c>
      <x:c r="B106" s="465" t="str">
        <x:v>target_is_peak</x:v>
      </x:c>
      <x:c r="C106" s="508" t="n">
        <x:v>6522.328078746796</x:v>
      </x:c>
      <x:c r="D106" s="508" t="n">
        <x:v>46</x:v>
      </x:c>
      <x:c r="E106" s="508" t="n">
        <x:f>SUMIF($A$5:$A$116,A106,$C$5:$C$116)</x:f>
        <x:v>1446369.6871619225</x:v>
      </x:c>
      <x:c r="F106" s="498" t="n">
        <x:f>C106/E106</x:f>
        <x:v>0.004509447437013809</x:v>
      </x:c>
      <x:c r="G106" s="465"/>
      <x:c r="H106" s="465"/>
      <x:c r="I106" s="465"/>
      <x:c r="J106" s="465"/>
      <x:c r="K106" s="465"/>
      <x:c r="L106" s="465"/>
      <x:c r="M106" s="465"/>
      <x:c r="N106" s="465"/>
      <x:c r="O106" s="465"/>
      <x:c r="P106" s="465"/>
      <x:c r="Q106" s="465"/>
      <x:c r="R106" s="465"/>
      <x:c r="S106" s="465"/>
      <x:c r="T106" s="465"/>
      <x:c r="U106" s="465"/>
      <x:c r="V106" s="465"/>
      <x:c r="W106" s="465"/>
      <x:c r="X106" s="465"/>
      <x:c r="Y106" s="465"/>
      <x:c r="Z106" s="465"/>
    </x:row>
    <x:row r="107">
      <x:c r="A107" s="465" t="str">
        <x:v>滿柱</x:v>
      </x:c>
      <x:c r="B107" s="465" t="str">
        <x:v>lag_90_missing</x:v>
      </x:c>
      <x:c r="C107" s="508" t="n">
        <x:v>0</x:v>
      </x:c>
      <x:c r="D107" s="508" t="n">
        <x:v>0</x:v>
      </x:c>
      <x:c r="E107" s="508" t="n">
        <x:f>SUMIF($A$5:$A$116,A107,$C$5:$C$116)</x:f>
        <x:v>1446369.6871619225</x:v>
      </x:c>
      <x:c r="F107" s="498" t="n">
        <x:f>C107/E107</x:f>
        <x:v>0</x:v>
      </x:c>
      <x:c r="G107" s="465"/>
      <x:c r="H107" s="465"/>
      <x:c r="I107" s="465"/>
      <x:c r="J107" s="465"/>
      <x:c r="K107" s="465"/>
      <x:c r="L107" s="465"/>
      <x:c r="M107" s="465"/>
      <x:c r="N107" s="465"/>
      <x:c r="O107" s="465"/>
      <x:c r="P107" s="465"/>
      <x:c r="Q107" s="465"/>
      <x:c r="R107" s="465"/>
      <x:c r="S107" s="465"/>
      <x:c r="T107" s="465"/>
      <x:c r="U107" s="465"/>
      <x:c r="V107" s="465"/>
      <x:c r="W107" s="465"/>
      <x:c r="X107" s="465"/>
      <x:c r="Y107" s="465"/>
      <x:c r="Z107" s="465"/>
    </x:row>
    <x:row r="108">
      <x:c r="A108" s="465" t="str">
        <x:v>滿柱</x:v>
      </x:c>
      <x:c r="B108" s="465" t="str">
        <x:v>lag_1d_missing</x:v>
      </x:c>
      <x:c r="C108" s="508" t="n">
        <x:v>8.630760192871094</x:v>
      </x:c>
      <x:c r="D108" s="508" t="n">
        <x:v>1</x:v>
      </x:c>
      <x:c r="E108" s="508" t="n">
        <x:f>SUMIF($A$5:$A$116,A108,$C$5:$C$116)</x:f>
        <x:v>1446369.6871619225</x:v>
      </x:c>
      <x:c r="F108" s="498" t="n">
        <x:f>C108/E108</x:f>
        <x:v>0.00000596718824341959</x:v>
      </x:c>
      <x:c r="G108" s="465"/>
      <x:c r="H108" s="465"/>
      <x:c r="I108" s="465"/>
      <x:c r="J108" s="465"/>
      <x:c r="K108" s="465"/>
      <x:c r="L108" s="465"/>
      <x:c r="M108" s="465"/>
      <x:c r="N108" s="465"/>
      <x:c r="O108" s="465"/>
      <x:c r="P108" s="465"/>
      <x:c r="Q108" s="465"/>
      <x:c r="R108" s="465"/>
      <x:c r="S108" s="465"/>
      <x:c r="T108" s="465"/>
      <x:c r="U108" s="465"/>
      <x:c r="V108" s="465"/>
      <x:c r="W108" s="465"/>
      <x:c r="X108" s="465"/>
      <x:c r="Y108" s="465"/>
      <x:c r="Z108" s="465"/>
    </x:row>
    <x:row r="109">
      <x:c r="A109" s="465" t="str">
        <x:v>滿柱</x:v>
      </x:c>
      <x:c r="B109" s="465" t="str">
        <x:v>lag_7d_missing</x:v>
      </x:c>
      <x:c r="C109" s="508" t="n">
        <x:v>13.38010025024414</x:v>
      </x:c>
      <x:c r="D109" s="508" t="n">
        <x:v>1</x:v>
      </x:c>
      <x:c r="E109" s="508" t="n">
        <x:f>SUMIF($A$5:$A$116,A109,$C$5:$C$116)</x:f>
        <x:v>1446369.6871619225</x:v>
      </x:c>
      <x:c r="F109" s="498" t="n">
        <x:f>C109/E109</x:f>
        <x:v>0.000009250816280932072</x:v>
      </x:c>
      <x:c r="G109" s="465"/>
      <x:c r="H109" s="465"/>
      <x:c r="I109" s="465"/>
      <x:c r="J109" s="465"/>
      <x:c r="K109" s="465"/>
      <x:c r="L109" s="465"/>
      <x:c r="M109" s="465"/>
      <x:c r="N109" s="465"/>
      <x:c r="O109" s="465"/>
      <x:c r="P109" s="465"/>
      <x:c r="Q109" s="465"/>
      <x:c r="R109" s="465"/>
      <x:c r="S109" s="465"/>
      <x:c r="T109" s="465"/>
      <x:c r="U109" s="465"/>
      <x:c r="V109" s="465"/>
      <x:c r="W109" s="465"/>
      <x:c r="X109" s="465"/>
      <x:c r="Y109" s="465"/>
      <x:c r="Z109" s="465"/>
    </x:row>
    <x:row r="110">
      <x:c r="A110" s="465" t="str">
        <x:v>滿柱</x:v>
      </x:c>
      <x:c r="B110" s="465" t="str">
        <x:v>suspected_large_jump_past</x:v>
      </x:c>
      <x:c r="C110" s="508" t="n">
        <x:v>9.805680274963379</x:v>
      </x:c>
      <x:c r="D110" s="508" t="n">
        <x:v>1</x:v>
      </x:c>
      <x:c r="E110" s="508" t="n">
        <x:f>SUMIF($A$5:$A$116,A110,$C$5:$C$116)</x:f>
        <x:v>1446369.6871619225</x:v>
      </x:c>
      <x:c r="F110" s="498" t="n">
        <x:f>C110/E110</x:f>
        <x:v>0.000006779511740324259</x:v>
      </x:c>
      <x:c r="G110" s="465"/>
      <x:c r="H110" s="465"/>
      <x:c r="I110" s="465"/>
      <x:c r="J110" s="465"/>
      <x:c r="K110" s="465"/>
      <x:c r="L110" s="465"/>
      <x:c r="M110" s="465"/>
      <x:c r="N110" s="465"/>
      <x:c r="O110" s="465"/>
      <x:c r="P110" s="465"/>
      <x:c r="Q110" s="465"/>
      <x:c r="R110" s="465"/>
      <x:c r="S110" s="465"/>
      <x:c r="T110" s="465"/>
      <x:c r="U110" s="465"/>
      <x:c r="V110" s="465"/>
      <x:c r="W110" s="465"/>
      <x:c r="X110" s="465"/>
      <x:c r="Y110" s="465"/>
      <x:c r="Z110" s="465"/>
    </x:row>
    <x:row r="111">
      <x:c r="A111" s="465" t="str">
        <x:v>滿柱</x:v>
      </x:c>
      <x:c r="B111" s="465" t="str">
        <x:v>station_id</x:v>
      </x:c>
      <x:c r="C111" s="508" t="n">
        <x:v>420759.9200487137</x:v>
      </x:c>
      <x:c r="D111" s="508" t="n">
        <x:v>6031</x:v>
      </x:c>
      <x:c r="E111" s="508" t="n">
        <x:f>SUMIF($A$5:$A$116,A111,$C$5:$C$116)</x:f>
        <x:v>1446369.6871619225</x:v>
      </x:c>
      <x:c r="F111" s="498" t="n">
        <x:f>C111/E111</x:f>
        <x:v>0.29090759007424444</x:v>
      </x:c>
      <x:c r="G111" s="465"/>
      <x:c r="H111" s="465"/>
      <x:c r="I111" s="465"/>
      <x:c r="J111" s="465"/>
      <x:c r="K111" s="465"/>
      <x:c r="L111" s="465"/>
      <x:c r="M111" s="465"/>
      <x:c r="N111" s="465"/>
      <x:c r="O111" s="465"/>
      <x:c r="P111" s="465"/>
      <x:c r="Q111" s="465"/>
      <x:c r="R111" s="465"/>
      <x:c r="S111" s="465"/>
      <x:c r="T111" s="465"/>
      <x:c r="U111" s="465"/>
      <x:c r="V111" s="465"/>
      <x:c r="W111" s="465"/>
      <x:c r="X111" s="465"/>
      <x:c r="Y111" s="465"/>
      <x:c r="Z111" s="465"/>
    </x:row>
    <x:row r="112">
      <x:c r="A112" s="465" t="str">
        <x:v>滿柱</x:v>
      </x:c>
      <x:c r="B112" s="465" t="str">
        <x:v>district_code</x:v>
      </x:c>
      <x:c r="C112" s="508" t="n">
        <x:v>8672.294328212738</x:v>
      </x:c>
      <x:c r="D112" s="508" t="n">
        <x:v>345</x:v>
      </x:c>
      <x:c r="E112" s="508" t="n">
        <x:f>SUMIF($A$5:$A$116,A112,$C$5:$C$116)</x:f>
        <x:v>1446369.6871619225</x:v>
      </x:c>
      <x:c r="F112" s="498" t="n">
        <x:f>C112/E112</x:f>
        <x:v>0.005995904370223341</x:v>
      </x:c>
      <x:c r="G112" s="465"/>
      <x:c r="H112" s="465"/>
      <x:c r="I112" s="465"/>
      <x:c r="J112" s="465"/>
      <x:c r="K112" s="465"/>
      <x:c r="L112" s="465"/>
      <x:c r="M112" s="465"/>
      <x:c r="N112" s="465"/>
      <x:c r="O112" s="465"/>
      <x:c r="P112" s="465"/>
      <x:c r="Q112" s="465"/>
      <x:c r="R112" s="465"/>
      <x:c r="S112" s="465"/>
      <x:c r="T112" s="465"/>
      <x:c r="U112" s="465"/>
      <x:c r="V112" s="465"/>
      <x:c r="W112" s="465"/>
      <x:c r="X112" s="465"/>
      <x:c r="Y112" s="465"/>
      <x:c r="Z112" s="465"/>
    </x:row>
    <x:row r="113">
      <x:c r="A113" s="465" t="str">
        <x:v>滿柱</x:v>
      </x:c>
      <x:c r="B113" s="465" t="str">
        <x:v>target_hour</x:v>
      </x:c>
      <x:c r="C113" s="508" t="n">
        <x:v>122477.27251267433</x:v>
      </x:c>
      <x:c r="D113" s="508" t="n">
        <x:v>2504</x:v>
      </x:c>
      <x:c r="E113" s="508" t="n">
        <x:f>SUMIF($A$5:$A$116,A113,$C$5:$C$116)</x:f>
        <x:v>1446369.6871619225</x:v>
      </x:c>
      <x:c r="F113" s="498" t="n">
        <x:f>C113/E113</x:f>
        <x:v>0.08467909248914098</x:v>
      </x:c>
      <x:c r="G113" s="465"/>
      <x:c r="H113" s="465"/>
      <x:c r="I113" s="465"/>
      <x:c r="J113" s="465"/>
      <x:c r="K113" s="465"/>
      <x:c r="L113" s="465"/>
      <x:c r="M113" s="465"/>
      <x:c r="N113" s="465"/>
      <x:c r="O113" s="465"/>
      <x:c r="P113" s="465"/>
      <x:c r="Q113" s="465"/>
      <x:c r="R113" s="465"/>
      <x:c r="S113" s="465"/>
      <x:c r="T113" s="465"/>
      <x:c r="U113" s="465"/>
      <x:c r="V113" s="465"/>
      <x:c r="W113" s="465"/>
      <x:c r="X113" s="465"/>
      <x:c r="Y113" s="465"/>
      <x:c r="Z113" s="465"/>
    </x:row>
    <x:row r="114">
      <x:c r="A114" s="465" t="str">
        <x:v>滿柱</x:v>
      </x:c>
      <x:c r="B114" s="465" t="str">
        <x:v>target_weekday</x:v>
      </x:c>
      <x:c r="C114" s="508" t="n">
        <x:v>2982.7264189720154</x:v>
      </x:c>
      <x:c r="D114" s="508" t="n">
        <x:v>215</x:v>
      </x:c>
      <x:c r="E114" s="508" t="n">
        <x:f>SUMIF($A$5:$A$116,A114,$C$5:$C$116)</x:f>
        <x:v>1446369.6871619225</x:v>
      </x:c>
      <x:c r="F114" s="498" t="n">
        <x:f>C114/E114</x:f>
        <x:v>0.0020622157982477796</x:v>
      </x:c>
      <x:c r="G114" s="465"/>
      <x:c r="H114" s="465"/>
      <x:c r="I114" s="465"/>
      <x:c r="J114" s="465"/>
      <x:c r="K114" s="465"/>
      <x:c r="L114" s="465"/>
      <x:c r="M114" s="465"/>
      <x:c r="N114" s="465"/>
      <x:c r="O114" s="465"/>
      <x:c r="P114" s="465"/>
      <x:c r="Q114" s="465"/>
      <x:c r="R114" s="465"/>
      <x:c r="S114" s="465"/>
      <x:c r="T114" s="465"/>
      <x:c r="U114" s="465"/>
      <x:c r="V114" s="465"/>
      <x:c r="W114" s="465"/>
      <x:c r="X114" s="465"/>
      <x:c r="Y114" s="465"/>
      <x:c r="Z114" s="465"/>
    </x:row>
    <x:row r="115">
      <x:c r="A115" s="465" t="str">
        <x:v>滿柱</x:v>
      </x:c>
      <x:c r="B115" s="465" t="str">
        <x:v>longitude</x:v>
      </x:c>
      <x:c r="C115" s="508" t="n">
        <x:v>1069.819124698639</x:v>
      </x:c>
      <x:c r="D115" s="508" t="n">
        <x:v>82</x:v>
      </x:c>
      <x:c r="E115" s="508" t="n">
        <x:f>SUMIF($A$5:$A$116,A115,$C$5:$C$116)</x:f>
        <x:v>1446369.6871619225</x:v>
      </x:c>
      <x:c r="F115" s="498" t="n">
        <x:f>C115/E115</x:f>
        <x:v>0.0007396581483934761</x:v>
      </x:c>
      <x:c r="G115" s="465"/>
      <x:c r="H115" s="465"/>
      <x:c r="I115" s="465"/>
      <x:c r="J115" s="465"/>
      <x:c r="K115" s="465"/>
      <x:c r="L115" s="465"/>
      <x:c r="M115" s="465"/>
      <x:c r="N115" s="465"/>
      <x:c r="O115" s="465"/>
      <x:c r="P115" s="465"/>
      <x:c r="Q115" s="465"/>
      <x:c r="R115" s="465"/>
      <x:c r="S115" s="465"/>
      <x:c r="T115" s="465"/>
      <x:c r="U115" s="465"/>
      <x:c r="V115" s="465"/>
      <x:c r="W115" s="465"/>
      <x:c r="X115" s="465"/>
      <x:c r="Y115" s="465"/>
      <x:c r="Z115" s="465"/>
    </x:row>
    <x:row r="116">
      <x:c r="A116" s="465" t="str">
        <x:v>滿柱</x:v>
      </x:c>
      <x:c r="B116" s="465" t="str">
        <x:v>latitude</x:v>
      </x:c>
      <x:c r="C116" s="508" t="n">
        <x:v>2194.1659898757935</x:v>
      </x:c>
      <x:c r="D116" s="508" t="n">
        <x:v>88</x:v>
      </x:c>
      <x:c r="E116" s="508" t="n">
        <x:f>SUMIF($A$5:$A$116,A116,$C$5:$C$116)</x:f>
        <x:v>1446369.6871619225</x:v>
      </x:c>
      <x:c r="F116" s="498" t="n">
        <x:f>C116/E116</x:f>
        <x:v>0.0015170160224950528</x:v>
      </x:c>
      <x:c r="G116" s="465"/>
      <x:c r="H116" s="465"/>
      <x:c r="I116" s="465"/>
      <x:c r="J116" s="465"/>
      <x:c r="K116" s="465"/>
      <x:c r="L116" s="465"/>
      <x:c r="M116" s="465"/>
      <x:c r="N116" s="465"/>
      <x:c r="O116" s="465"/>
      <x:c r="P116" s="465"/>
      <x:c r="Q116" s="465"/>
      <x:c r="R116" s="465"/>
      <x:c r="S116" s="465"/>
      <x:c r="T116" s="465"/>
      <x:c r="U116" s="465"/>
      <x:c r="V116" s="465"/>
      <x:c r="W116" s="465"/>
      <x:c r="X116" s="465"/>
      <x:c r="Y116" s="465"/>
      <x:c r="Z116" s="465"/>
    </x:row>
    <x:row r="117">
      <x:c r="A117" s="465"/>
      <x:c r="B117" s="465"/>
      <x:c r="C117" s="465"/>
      <x:c r="D117" s="465"/>
      <x:c r="E117" s="465"/>
      <x:c r="F117" s="465"/>
      <x:c r="G117" s="465"/>
      <x:c r="H117" s="465"/>
      <x:c r="I117" s="465"/>
      <x:c r="J117" s="465"/>
      <x:c r="K117" s="465"/>
      <x:c r="L117" s="465"/>
      <x:c r="M117" s="465"/>
      <x:c r="N117" s="465"/>
      <x:c r="O117" s="465"/>
      <x:c r="P117" s="465"/>
      <x:c r="Q117" s="465"/>
      <x:c r="R117" s="465"/>
      <x:c r="S117" s="465"/>
      <x:c r="T117" s="465"/>
      <x:c r="U117" s="465"/>
      <x:c r="V117" s="465"/>
      <x:c r="W117" s="465"/>
      <x:c r="X117" s="465"/>
      <x:c r="Y117" s="465"/>
      <x:c r="Z117" s="465"/>
    </x:row>
    <x:row r="118">
      <x:c r="A118" s="465"/>
      <x:c r="B118" s="465"/>
      <x:c r="C118" s="465"/>
      <x:c r="D118" s="465"/>
      <x:c r="E118" s="465"/>
      <x:c r="F118" s="465"/>
      <x:c r="G118" s="465"/>
      <x:c r="H118" s="465"/>
      <x:c r="I118" s="465"/>
      <x:c r="J118" s="465"/>
      <x:c r="K118" s="465"/>
      <x:c r="L118" s="465"/>
      <x:c r="M118" s="465"/>
      <x:c r="N118" s="465"/>
      <x:c r="O118" s="465"/>
      <x:c r="P118" s="465"/>
      <x:c r="Q118" s="465"/>
      <x:c r="R118" s="465"/>
      <x:c r="S118" s="465"/>
      <x:c r="T118" s="465"/>
      <x:c r="U118" s="465"/>
      <x:c r="V118" s="465"/>
      <x:c r="W118" s="465"/>
      <x:c r="X118" s="465"/>
      <x:c r="Y118" s="465"/>
      <x:c r="Z118" s="465"/>
    </x:row>
    <x:row r="119">
      <x:c r="A119" s="465"/>
      <x:c r="B119" s="465"/>
      <x:c r="C119" s="465"/>
      <x:c r="D119" s="465"/>
      <x:c r="E119" s="465"/>
      <x:c r="F119" s="465"/>
      <x:c r="G119" s="465"/>
      <x:c r="H119" s="465"/>
      <x:c r="I119" s="465"/>
      <x:c r="J119" s="465"/>
      <x:c r="K119" s="465"/>
      <x:c r="L119" s="465"/>
      <x:c r="M119" s="465"/>
      <x:c r="N119" s="465"/>
      <x:c r="O119" s="465"/>
      <x:c r="P119" s="465"/>
      <x:c r="Q119" s="465"/>
      <x:c r="R119" s="465"/>
      <x:c r="S119" s="465"/>
      <x:c r="T119" s="465"/>
      <x:c r="U119" s="465"/>
      <x:c r="V119" s="465"/>
      <x:c r="W119" s="465"/>
      <x:c r="X119" s="465"/>
      <x:c r="Y119" s="465"/>
      <x:c r="Z119" s="465"/>
    </x:row>
    <x:row r="120">
      <x:c r="A120" s="465"/>
      <x:c r="B120" s="465"/>
      <x:c r="C120" s="465"/>
      <x:c r="D120" s="465"/>
      <x:c r="E120" s="465"/>
      <x:c r="F120" s="465"/>
      <x:c r="G120" s="465"/>
      <x:c r="H120" s="465"/>
      <x:c r="I120" s="465"/>
      <x:c r="J120" s="465"/>
      <x:c r="K120" s="465"/>
      <x:c r="L120" s="465"/>
      <x:c r="M120" s="465"/>
      <x:c r="N120" s="465"/>
      <x:c r="O120" s="465"/>
      <x:c r="P120" s="465"/>
      <x:c r="Q120" s="465"/>
      <x:c r="R120" s="465"/>
      <x:c r="S120" s="465"/>
      <x:c r="T120" s="465"/>
      <x:c r="U120" s="465"/>
      <x:c r="V120" s="465"/>
      <x:c r="W120" s="465"/>
      <x:c r="X120" s="465"/>
      <x:c r="Y120" s="465"/>
      <x:c r="Z120" s="465"/>
    </x:row>
    <x:row r="121">
      <x:c r="A121" s="465"/>
      <x:c r="B121" s="465"/>
      <x:c r="C121" s="465"/>
      <x:c r="D121" s="465"/>
      <x:c r="E121" s="465"/>
      <x:c r="F121" s="465"/>
      <x:c r="G121" s="465"/>
      <x:c r="H121" s="465"/>
      <x:c r="I121" s="465"/>
      <x:c r="J121" s="465"/>
      <x:c r="K121" s="465"/>
      <x:c r="L121" s="465"/>
      <x:c r="M121" s="465"/>
      <x:c r="N121" s="465"/>
      <x:c r="O121" s="465"/>
      <x:c r="P121" s="465"/>
      <x:c r="Q121" s="465"/>
      <x:c r="R121" s="465"/>
      <x:c r="S121" s="465"/>
      <x:c r="T121" s="465"/>
      <x:c r="U121" s="465"/>
      <x:c r="V121" s="465"/>
      <x:c r="W121" s="465"/>
      <x:c r="X121" s="465"/>
      <x:c r="Y121" s="465"/>
      <x:c r="Z121" s="465"/>
    </x:row>
    <x:row r="122">
      <x:c r="A122" s="465"/>
      <x:c r="B122" s="465"/>
      <x:c r="C122" s="465"/>
      <x:c r="D122" s="465"/>
      <x:c r="E122" s="465"/>
      <x:c r="F122" s="465"/>
      <x:c r="G122" s="465"/>
      <x:c r="H122" s="465"/>
      <x:c r="I122" s="465"/>
      <x:c r="J122" s="465"/>
      <x:c r="K122" s="465"/>
      <x:c r="L122" s="465"/>
      <x:c r="M122" s="465"/>
      <x:c r="N122" s="465"/>
      <x:c r="O122" s="465"/>
      <x:c r="P122" s="465"/>
      <x:c r="Q122" s="465"/>
      <x:c r="R122" s="465"/>
      <x:c r="S122" s="465"/>
      <x:c r="T122" s="465"/>
      <x:c r="U122" s="465"/>
      <x:c r="V122" s="465"/>
      <x:c r="W122" s="465"/>
      <x:c r="X122" s="465"/>
      <x:c r="Y122" s="465"/>
      <x:c r="Z122" s="465"/>
    </x:row>
    <x:row r="123">
      <x:c r="A123" s="465"/>
      <x:c r="B123" s="465"/>
      <x:c r="C123" s="465"/>
      <x:c r="D123" s="465"/>
      <x:c r="E123" s="465"/>
      <x:c r="F123" s="465"/>
      <x:c r="G123" s="465"/>
      <x:c r="H123" s="465"/>
      <x:c r="I123" s="465"/>
      <x:c r="J123" s="465"/>
      <x:c r="K123" s="465"/>
      <x:c r="L123" s="465"/>
      <x:c r="M123" s="465"/>
      <x:c r="N123" s="465"/>
      <x:c r="O123" s="465"/>
      <x:c r="P123" s="465"/>
      <x:c r="Q123" s="465"/>
      <x:c r="R123" s="465"/>
      <x:c r="S123" s="465"/>
      <x:c r="T123" s="465"/>
      <x:c r="U123" s="465"/>
      <x:c r="V123" s="465"/>
      <x:c r="W123" s="465"/>
      <x:c r="X123" s="465"/>
      <x:c r="Y123" s="465"/>
      <x:c r="Z123" s="465"/>
    </x:row>
    <x:row r="124">
      <x:c r="A124" s="465"/>
      <x:c r="B124" s="465"/>
      <x:c r="C124" s="465"/>
      <x:c r="D124" s="465"/>
      <x:c r="E124" s="465"/>
      <x:c r="F124" s="465"/>
      <x:c r="G124" s="465"/>
      <x:c r="H124" s="465"/>
      <x:c r="I124" s="465"/>
      <x:c r="J124" s="465"/>
      <x:c r="K124" s="465"/>
      <x:c r="L124" s="465"/>
      <x:c r="M124" s="465"/>
      <x:c r="N124" s="465"/>
      <x:c r="O124" s="465"/>
      <x:c r="P124" s="465"/>
      <x:c r="Q124" s="465"/>
      <x:c r="R124" s="465"/>
      <x:c r="S124" s="465"/>
      <x:c r="T124" s="465"/>
      <x:c r="U124" s="465"/>
      <x:c r="V124" s="465"/>
      <x:c r="W124" s="465"/>
      <x:c r="X124" s="465"/>
      <x:c r="Y124" s="465"/>
      <x:c r="Z124" s="465"/>
    </x:row>
    <x:row r="125">
      <x:c r="A125" s="465"/>
      <x:c r="B125" s="465"/>
      <x:c r="C125" s="465"/>
      <x:c r="D125" s="465"/>
      <x:c r="E125" s="465"/>
      <x:c r="F125" s="465"/>
      <x:c r="G125" s="465"/>
      <x:c r="H125" s="465"/>
      <x:c r="I125" s="465"/>
      <x:c r="J125" s="465"/>
      <x:c r="K125" s="465"/>
      <x:c r="L125" s="465"/>
      <x:c r="M125" s="465"/>
      <x:c r="N125" s="465"/>
      <x:c r="O125" s="465"/>
      <x:c r="P125" s="465"/>
      <x:c r="Q125" s="465"/>
      <x:c r="R125" s="465"/>
      <x:c r="S125" s="465"/>
      <x:c r="T125" s="465"/>
      <x:c r="U125" s="465"/>
      <x:c r="V125" s="465"/>
      <x:c r="W125" s="465"/>
      <x:c r="X125" s="465"/>
      <x:c r="Y125" s="465"/>
      <x:c r="Z125" s="465"/>
    </x:row>
    <x:row r="126">
      <x:c r="A126" s="465"/>
      <x:c r="B126" s="465"/>
      <x:c r="C126" s="465"/>
      <x:c r="D126" s="465"/>
      <x:c r="E126" s="465"/>
      <x:c r="F126" s="465"/>
      <x:c r="G126" s="465"/>
      <x:c r="H126" s="465"/>
      <x:c r="I126" s="465"/>
      <x:c r="J126" s="465"/>
      <x:c r="K126" s="465"/>
      <x:c r="L126" s="465"/>
      <x:c r="M126" s="465"/>
      <x:c r="N126" s="465"/>
      <x:c r="O126" s="465"/>
      <x:c r="P126" s="465"/>
      <x:c r="Q126" s="465"/>
      <x:c r="R126" s="465"/>
      <x:c r="S126" s="465"/>
      <x:c r="T126" s="465"/>
      <x:c r="U126" s="465"/>
      <x:c r="V126" s="465"/>
      <x:c r="W126" s="465"/>
      <x:c r="X126" s="465"/>
      <x:c r="Y126" s="465"/>
      <x:c r="Z126" s="465"/>
    </x:row>
    <x:row r="127">
      <x:c r="A127" s="465"/>
      <x:c r="B127" s="465"/>
      <x:c r="C127" s="465"/>
      <x:c r="D127" s="465"/>
      <x:c r="E127" s="465"/>
      <x:c r="F127" s="465"/>
      <x:c r="G127" s="465"/>
      <x:c r="H127" s="465"/>
      <x:c r="I127" s="465"/>
      <x:c r="J127" s="465"/>
      <x:c r="K127" s="465"/>
      <x:c r="L127" s="465"/>
      <x:c r="M127" s="465"/>
      <x:c r="N127" s="465"/>
      <x:c r="O127" s="465"/>
      <x:c r="P127" s="465"/>
      <x:c r="Q127" s="465"/>
      <x:c r="R127" s="465"/>
      <x:c r="S127" s="465"/>
      <x:c r="T127" s="465"/>
      <x:c r="U127" s="465"/>
      <x:c r="V127" s="465"/>
      <x:c r="W127" s="465"/>
      <x:c r="X127" s="465"/>
      <x:c r="Y127" s="465"/>
      <x:c r="Z127" s="465"/>
    </x:row>
    <x:row r="128">
      <x:c r="A128" s="465"/>
      <x:c r="B128" s="465"/>
      <x:c r="C128" s="465"/>
      <x:c r="D128" s="465"/>
      <x:c r="E128" s="465"/>
      <x:c r="F128" s="465"/>
      <x:c r="G128" s="465"/>
      <x:c r="H128" s="465"/>
      <x:c r="I128" s="465"/>
      <x:c r="J128" s="465"/>
      <x:c r="K128" s="465"/>
      <x:c r="L128" s="465"/>
      <x:c r="M128" s="465"/>
      <x:c r="N128" s="465"/>
      <x:c r="O128" s="465"/>
      <x:c r="P128" s="465"/>
      <x:c r="Q128" s="465"/>
      <x:c r="R128" s="465"/>
      <x:c r="S128" s="465"/>
      <x:c r="T128" s="465"/>
      <x:c r="U128" s="465"/>
      <x:c r="V128" s="465"/>
      <x:c r="W128" s="465"/>
      <x:c r="X128" s="465"/>
      <x:c r="Y128" s="465"/>
      <x:c r="Z128" s="465"/>
    </x:row>
    <x:row r="129">
      <x:c r="A129" s="465"/>
      <x:c r="B129" s="465"/>
      <x:c r="C129" s="465"/>
      <x:c r="D129" s="465"/>
      <x:c r="E129" s="465"/>
      <x:c r="F129" s="465"/>
      <x:c r="G129" s="465"/>
      <x:c r="H129" s="465"/>
      <x:c r="I129" s="465"/>
      <x:c r="J129" s="465"/>
      <x:c r="K129" s="465"/>
      <x:c r="L129" s="465"/>
      <x:c r="M129" s="465"/>
      <x:c r="N129" s="465"/>
      <x:c r="O129" s="465"/>
      <x:c r="P129" s="465"/>
      <x:c r="Q129" s="465"/>
      <x:c r="R129" s="465"/>
      <x:c r="S129" s="465"/>
      <x:c r="T129" s="465"/>
      <x:c r="U129" s="465"/>
      <x:c r="V129" s="465"/>
      <x:c r="W129" s="465"/>
      <x:c r="X129" s="465"/>
      <x:c r="Y129" s="465"/>
      <x:c r="Z129" s="465"/>
    </x:row>
    <x:row r="130">
      <x:c r="A130" s="465"/>
      <x:c r="B130" s="465"/>
      <x:c r="C130" s="465"/>
      <x:c r="D130" s="465"/>
      <x:c r="E130" s="465"/>
      <x:c r="F130" s="465"/>
      <x:c r="G130" s="465"/>
      <x:c r="H130" s="465"/>
      <x:c r="I130" s="465"/>
      <x:c r="J130" s="465"/>
      <x:c r="K130" s="465"/>
      <x:c r="L130" s="465"/>
      <x:c r="M130" s="465"/>
      <x:c r="N130" s="465"/>
      <x:c r="O130" s="465"/>
      <x:c r="P130" s="465"/>
      <x:c r="Q130" s="465"/>
      <x:c r="R130" s="465"/>
      <x:c r="S130" s="465"/>
      <x:c r="T130" s="465"/>
      <x:c r="U130" s="465"/>
      <x:c r="V130" s="465"/>
      <x:c r="W130" s="465"/>
      <x:c r="X130" s="465"/>
      <x:c r="Y130" s="465"/>
      <x:c r="Z130" s="465"/>
    </x:row>
    <x:row r="131">
      <x:c r="A131" s="465"/>
      <x:c r="B131" s="465"/>
      <x:c r="C131" s="465"/>
      <x:c r="D131" s="465"/>
      <x:c r="E131" s="465"/>
      <x:c r="F131" s="465"/>
      <x:c r="G131" s="465"/>
      <x:c r="H131" s="465"/>
      <x:c r="I131" s="465"/>
      <x:c r="J131" s="465"/>
      <x:c r="K131" s="465"/>
      <x:c r="L131" s="465"/>
      <x:c r="M131" s="465"/>
      <x:c r="N131" s="465"/>
      <x:c r="O131" s="465"/>
      <x:c r="P131" s="465"/>
      <x:c r="Q131" s="465"/>
      <x:c r="R131" s="465"/>
      <x:c r="S131" s="465"/>
      <x:c r="T131" s="465"/>
      <x:c r="U131" s="465"/>
      <x:c r="V131" s="465"/>
      <x:c r="W131" s="465"/>
      <x:c r="X131" s="465"/>
      <x:c r="Y131" s="465"/>
      <x:c r="Z131" s="465"/>
    </x:row>
    <x:row r="132">
      <x:c r="A132" s="465"/>
      <x:c r="B132" s="465"/>
      <x:c r="C132" s="465"/>
      <x:c r="D132" s="465"/>
      <x:c r="E132" s="465"/>
      <x:c r="F132" s="465"/>
      <x:c r="G132" s="465"/>
      <x:c r="H132" s="465"/>
      <x:c r="I132" s="465"/>
      <x:c r="J132" s="465"/>
      <x:c r="K132" s="465"/>
      <x:c r="L132" s="465"/>
      <x:c r="M132" s="465"/>
      <x:c r="N132" s="465"/>
      <x:c r="O132" s="465"/>
      <x:c r="P132" s="465"/>
      <x:c r="Q132" s="465"/>
      <x:c r="R132" s="465"/>
      <x:c r="S132" s="465"/>
      <x:c r="T132" s="465"/>
      <x:c r="U132" s="465"/>
      <x:c r="V132" s="465"/>
      <x:c r="W132" s="465"/>
      <x:c r="X132" s="465"/>
      <x:c r="Y132" s="465"/>
      <x:c r="Z132" s="465"/>
    </x:row>
    <x:row r="133">
      <x:c r="A133" s="465"/>
      <x:c r="B133" s="465"/>
      <x:c r="C133" s="465"/>
      <x:c r="D133" s="465"/>
      <x:c r="E133" s="465"/>
      <x:c r="F133" s="465"/>
      <x:c r="G133" s="465"/>
      <x:c r="H133" s="465"/>
      <x:c r="I133" s="465"/>
      <x:c r="J133" s="465"/>
      <x:c r="K133" s="465"/>
      <x:c r="L133" s="465"/>
      <x:c r="M133" s="465"/>
      <x:c r="N133" s="465"/>
      <x:c r="O133" s="465"/>
      <x:c r="P133" s="465"/>
      <x:c r="Q133" s="465"/>
      <x:c r="R133" s="465"/>
      <x:c r="S133" s="465"/>
      <x:c r="T133" s="465"/>
      <x:c r="U133" s="465"/>
      <x:c r="V133" s="465"/>
      <x:c r="W133" s="465"/>
      <x:c r="X133" s="465"/>
      <x:c r="Y133" s="465"/>
      <x:c r="Z133" s="465"/>
    </x:row>
    <x:row r="134">
      <x:c r="A134" s="465"/>
      <x:c r="B134" s="465"/>
      <x:c r="C134" s="465"/>
      <x:c r="D134" s="465"/>
      <x:c r="E134" s="465"/>
      <x:c r="F134" s="465"/>
      <x:c r="G134" s="465"/>
      <x:c r="H134" s="465"/>
      <x:c r="I134" s="465"/>
      <x:c r="J134" s="465"/>
      <x:c r="K134" s="465"/>
      <x:c r="L134" s="465"/>
      <x:c r="M134" s="465"/>
      <x:c r="N134" s="465"/>
      <x:c r="O134" s="465"/>
      <x:c r="P134" s="465"/>
      <x:c r="Q134" s="465"/>
      <x:c r="R134" s="465"/>
      <x:c r="S134" s="465"/>
      <x:c r="T134" s="465"/>
      <x:c r="U134" s="465"/>
      <x:c r="V134" s="465"/>
      <x:c r="W134" s="465"/>
      <x:c r="X134" s="465"/>
      <x:c r="Y134" s="465"/>
      <x:c r="Z134" s="465"/>
    </x:row>
    <x:row r="135">
      <x:c r="A135" s="465"/>
      <x:c r="B135" s="465"/>
      <x:c r="C135" s="465"/>
      <x:c r="D135" s="465"/>
      <x:c r="E135" s="465"/>
      <x:c r="F135" s="465"/>
      <x:c r="G135" s="465"/>
      <x:c r="H135" s="465"/>
      <x:c r="I135" s="465"/>
      <x:c r="J135" s="465"/>
      <x:c r="K135" s="465"/>
      <x:c r="L135" s="465"/>
      <x:c r="M135" s="465"/>
      <x:c r="N135" s="465"/>
      <x:c r="O135" s="465"/>
      <x:c r="P135" s="465"/>
      <x:c r="Q135" s="465"/>
      <x:c r="R135" s="465"/>
      <x:c r="S135" s="465"/>
      <x:c r="T135" s="465"/>
      <x:c r="U135" s="465"/>
      <x:c r="V135" s="465"/>
      <x:c r="W135" s="465"/>
      <x:c r="X135" s="465"/>
      <x:c r="Y135" s="465"/>
      <x:c r="Z135" s="465"/>
    </x:row>
    <x:row r="136">
      <x:c r="A136" s="465"/>
      <x:c r="B136" s="465"/>
      <x:c r="C136" s="465"/>
      <x:c r="D136" s="465"/>
      <x:c r="E136" s="465"/>
      <x:c r="F136" s="465"/>
      <x:c r="G136" s="465"/>
      <x:c r="H136" s="465"/>
      <x:c r="I136" s="465"/>
      <x:c r="J136" s="465"/>
      <x:c r="K136" s="465"/>
      <x:c r="L136" s="465"/>
      <x:c r="M136" s="465"/>
      <x:c r="N136" s="465"/>
      <x:c r="O136" s="465"/>
      <x:c r="P136" s="465"/>
      <x:c r="Q136" s="465"/>
      <x:c r="R136" s="465"/>
      <x:c r="S136" s="465"/>
      <x:c r="T136" s="465"/>
      <x:c r="U136" s="465"/>
      <x:c r="V136" s="465"/>
      <x:c r="W136" s="465"/>
      <x:c r="X136" s="465"/>
      <x:c r="Y136" s="465"/>
      <x:c r="Z136" s="465"/>
    </x:row>
    <x:row r="137">
      <x:c r="A137" s="465"/>
      <x:c r="B137" s="465"/>
      <x:c r="C137" s="465"/>
      <x:c r="D137" s="465"/>
      <x:c r="E137" s="465"/>
      <x:c r="F137" s="465"/>
      <x:c r="G137" s="465"/>
      <x:c r="H137" s="465"/>
      <x:c r="I137" s="465"/>
      <x:c r="J137" s="465"/>
      <x:c r="K137" s="465"/>
      <x:c r="L137" s="465"/>
      <x:c r="M137" s="465"/>
      <x:c r="N137" s="465"/>
      <x:c r="O137" s="465"/>
      <x:c r="P137" s="465"/>
      <x:c r="Q137" s="465"/>
      <x:c r="R137" s="465"/>
      <x:c r="S137" s="465"/>
      <x:c r="T137" s="465"/>
      <x:c r="U137" s="465"/>
      <x:c r="V137" s="465"/>
      <x:c r="W137" s="465"/>
      <x:c r="X137" s="465"/>
      <x:c r="Y137" s="465"/>
      <x:c r="Z137" s="465"/>
    </x:row>
    <x:row r="138">
      <x:c r="A138" s="465"/>
      <x:c r="B138" s="465"/>
      <x:c r="C138" s="465"/>
      <x:c r="D138" s="465"/>
      <x:c r="E138" s="465"/>
      <x:c r="F138" s="465"/>
      <x:c r="G138" s="465"/>
      <x:c r="H138" s="465"/>
      <x:c r="I138" s="465"/>
      <x:c r="J138" s="465"/>
      <x:c r="K138" s="465"/>
      <x:c r="L138" s="465"/>
      <x:c r="M138" s="465"/>
      <x:c r="N138" s="465"/>
      <x:c r="O138" s="465"/>
      <x:c r="P138" s="465"/>
      <x:c r="Q138" s="465"/>
      <x:c r="R138" s="465"/>
      <x:c r="S138" s="465"/>
      <x:c r="T138" s="465"/>
      <x:c r="U138" s="465"/>
      <x:c r="V138" s="465"/>
      <x:c r="W138" s="465"/>
      <x:c r="X138" s="465"/>
      <x:c r="Y138" s="465"/>
      <x:c r="Z138" s="465"/>
    </x:row>
    <x:row r="139">
      <x:c r="A139" s="465"/>
      <x:c r="B139" s="465"/>
      <x:c r="C139" s="465"/>
      <x:c r="D139" s="465"/>
      <x:c r="E139" s="465"/>
      <x:c r="F139" s="465"/>
      <x:c r="G139" s="465"/>
      <x:c r="H139" s="465"/>
      <x:c r="I139" s="465"/>
      <x:c r="J139" s="465"/>
      <x:c r="K139" s="465"/>
      <x:c r="L139" s="465"/>
      <x:c r="M139" s="465"/>
      <x:c r="N139" s="465"/>
      <x:c r="O139" s="465"/>
      <x:c r="P139" s="465"/>
      <x:c r="Q139" s="465"/>
      <x:c r="R139" s="465"/>
      <x:c r="S139" s="465"/>
      <x:c r="T139" s="465"/>
      <x:c r="U139" s="465"/>
      <x:c r="V139" s="465"/>
      <x:c r="W139" s="465"/>
      <x:c r="X139" s="465"/>
      <x:c r="Y139" s="465"/>
      <x:c r="Z139" s="465"/>
    </x:row>
    <x:row r="140">
      <x:c r="A140" s="465"/>
      <x:c r="B140" s="465"/>
      <x:c r="C140" s="465"/>
      <x:c r="D140" s="465"/>
      <x:c r="E140" s="465"/>
      <x:c r="F140" s="465"/>
      <x:c r="G140" s="465"/>
      <x:c r="H140" s="465"/>
      <x:c r="I140" s="465"/>
      <x:c r="J140" s="465"/>
      <x:c r="K140" s="465"/>
      <x:c r="L140" s="465"/>
      <x:c r="M140" s="465"/>
      <x:c r="N140" s="465"/>
      <x:c r="O140" s="465"/>
      <x:c r="P140" s="465"/>
      <x:c r="Q140" s="465"/>
      <x:c r="R140" s="465"/>
      <x:c r="S140" s="465"/>
      <x:c r="T140" s="465"/>
      <x:c r="U140" s="465"/>
      <x:c r="V140" s="465"/>
      <x:c r="W140" s="465"/>
      <x:c r="X140" s="465"/>
      <x:c r="Y140" s="465"/>
      <x:c r="Z140" s="465"/>
    </x:row>
    <x:row r="141">
      <x:c r="A141" s="465"/>
      <x:c r="B141" s="465"/>
      <x:c r="C141" s="465"/>
      <x:c r="D141" s="465"/>
      <x:c r="E141" s="465"/>
      <x:c r="F141" s="465"/>
      <x:c r="G141" s="465"/>
      <x:c r="H141" s="465"/>
      <x:c r="I141" s="465"/>
      <x:c r="J141" s="465"/>
      <x:c r="K141" s="465"/>
      <x:c r="L141" s="465"/>
      <x:c r="M141" s="465"/>
      <x:c r="N141" s="465"/>
      <x:c r="O141" s="465"/>
      <x:c r="P141" s="465"/>
      <x:c r="Q141" s="465"/>
      <x:c r="R141" s="465"/>
      <x:c r="S141" s="465"/>
      <x:c r="T141" s="465"/>
      <x:c r="U141" s="465"/>
      <x:c r="V141" s="465"/>
      <x:c r="W141" s="465"/>
      <x:c r="X141" s="465"/>
      <x:c r="Y141" s="465"/>
      <x:c r="Z141" s="465"/>
    </x:row>
    <x:row r="142">
      <x:c r="A142" s="465"/>
      <x:c r="B142" s="465"/>
      <x:c r="C142" s="465"/>
      <x:c r="D142" s="465"/>
      <x:c r="E142" s="465"/>
      <x:c r="F142" s="465"/>
      <x:c r="G142" s="465"/>
      <x:c r="H142" s="465"/>
      <x:c r="I142" s="465"/>
      <x:c r="J142" s="465"/>
      <x:c r="K142" s="465"/>
      <x:c r="L142" s="465"/>
      <x:c r="M142" s="465"/>
      <x:c r="N142" s="465"/>
      <x:c r="O142" s="465"/>
      <x:c r="P142" s="465"/>
      <x:c r="Q142" s="465"/>
      <x:c r="R142" s="465"/>
      <x:c r="S142" s="465"/>
      <x:c r="T142" s="465"/>
      <x:c r="U142" s="465"/>
      <x:c r="V142" s="465"/>
      <x:c r="W142" s="465"/>
      <x:c r="X142" s="465"/>
      <x:c r="Y142" s="465"/>
      <x:c r="Z142" s="465"/>
    </x:row>
    <x:row r="143">
      <x:c r="A143" s="465"/>
      <x:c r="B143" s="465"/>
      <x:c r="C143" s="465"/>
      <x:c r="D143" s="465"/>
      <x:c r="E143" s="465"/>
      <x:c r="F143" s="465"/>
      <x:c r="G143" s="465"/>
      <x:c r="H143" s="465"/>
      <x:c r="I143" s="465"/>
      <x:c r="J143" s="465"/>
      <x:c r="K143" s="465"/>
      <x:c r="L143" s="465"/>
      <x:c r="M143" s="465"/>
      <x:c r="N143" s="465"/>
      <x:c r="O143" s="465"/>
      <x:c r="P143" s="465"/>
      <x:c r="Q143" s="465"/>
      <x:c r="R143" s="465"/>
      <x:c r="S143" s="465"/>
      <x:c r="T143" s="465"/>
      <x:c r="U143" s="465"/>
      <x:c r="V143" s="465"/>
      <x:c r="W143" s="465"/>
      <x:c r="X143" s="465"/>
      <x:c r="Y143" s="465"/>
      <x:c r="Z143" s="465"/>
    </x:row>
    <x:row r="144">
      <x:c r="A144" s="465"/>
      <x:c r="B144" s="465"/>
      <x:c r="C144" s="465"/>
      <x:c r="D144" s="465"/>
      <x:c r="E144" s="465"/>
      <x:c r="F144" s="465"/>
      <x:c r="G144" s="465"/>
      <x:c r="H144" s="465"/>
      <x:c r="I144" s="465"/>
      <x:c r="J144" s="465"/>
      <x:c r="K144" s="465"/>
      <x:c r="L144" s="465"/>
      <x:c r="M144" s="465"/>
      <x:c r="N144" s="465"/>
      <x:c r="O144" s="465"/>
      <x:c r="P144" s="465"/>
      <x:c r="Q144" s="465"/>
      <x:c r="R144" s="465"/>
      <x:c r="S144" s="465"/>
      <x:c r="T144" s="465"/>
      <x:c r="U144" s="465"/>
      <x:c r="V144" s="465"/>
      <x:c r="W144" s="465"/>
      <x:c r="X144" s="465"/>
      <x:c r="Y144" s="465"/>
      <x:c r="Z144" s="465"/>
    </x:row>
    <x:row r="145">
      <x:c r="A145" s="465"/>
      <x:c r="B145" s="465"/>
      <x:c r="C145" s="465"/>
      <x:c r="D145" s="465"/>
      <x:c r="E145" s="465"/>
      <x:c r="F145" s="465"/>
      <x:c r="G145" s="465"/>
      <x:c r="H145" s="465"/>
      <x:c r="I145" s="465"/>
      <x:c r="J145" s="465"/>
      <x:c r="K145" s="465"/>
      <x:c r="L145" s="465"/>
      <x:c r="M145" s="465"/>
      <x:c r="N145" s="465"/>
      <x:c r="O145" s="465"/>
      <x:c r="P145" s="465"/>
      <x:c r="Q145" s="465"/>
      <x:c r="R145" s="465"/>
      <x:c r="S145" s="465"/>
      <x:c r="T145" s="465"/>
      <x:c r="U145" s="465"/>
      <x:c r="V145" s="465"/>
      <x:c r="W145" s="465"/>
      <x:c r="X145" s="465"/>
      <x:c r="Y145" s="465"/>
      <x:c r="Z145" s="465"/>
    </x:row>
    <x:row r="146">
      <x:c r="A146" s="465"/>
      <x:c r="B146" s="465"/>
      <x:c r="C146" s="465"/>
      <x:c r="D146" s="465"/>
      <x:c r="E146" s="465"/>
      <x:c r="F146" s="465"/>
      <x:c r="G146" s="465"/>
      <x:c r="H146" s="465"/>
      <x:c r="I146" s="465"/>
      <x:c r="J146" s="465"/>
      <x:c r="K146" s="465"/>
      <x:c r="L146" s="465"/>
      <x:c r="M146" s="465"/>
      <x:c r="N146" s="465"/>
      <x:c r="O146" s="465"/>
      <x:c r="P146" s="465"/>
      <x:c r="Q146" s="465"/>
      <x:c r="R146" s="465"/>
      <x:c r="S146" s="465"/>
      <x:c r="T146" s="465"/>
      <x:c r="U146" s="465"/>
      <x:c r="V146" s="465"/>
      <x:c r="W146" s="465"/>
      <x:c r="X146" s="465"/>
      <x:c r="Y146" s="465"/>
      <x:c r="Z146" s="465"/>
    </x:row>
    <x:row r="147">
      <x:c r="A147" s="465"/>
      <x:c r="B147" s="465"/>
      <x:c r="C147" s="465"/>
      <x:c r="D147" s="465"/>
      <x:c r="E147" s="465"/>
      <x:c r="F147" s="465"/>
      <x:c r="G147" s="465"/>
      <x:c r="H147" s="465"/>
      <x:c r="I147" s="465"/>
      <x:c r="J147" s="465"/>
      <x:c r="K147" s="465"/>
      <x:c r="L147" s="465"/>
      <x:c r="M147" s="465"/>
      <x:c r="N147" s="465"/>
      <x:c r="O147" s="465"/>
      <x:c r="P147" s="465"/>
      <x:c r="Q147" s="465"/>
      <x:c r="R147" s="465"/>
      <x:c r="S147" s="465"/>
      <x:c r="T147" s="465"/>
      <x:c r="U147" s="465"/>
      <x:c r="V147" s="465"/>
      <x:c r="W147" s="465"/>
      <x:c r="X147" s="465"/>
      <x:c r="Y147" s="465"/>
      <x:c r="Z147" s="465"/>
    </x:row>
    <x:row r="148">
      <x:c r="A148" s="465"/>
      <x:c r="B148" s="465"/>
      <x:c r="C148" s="465"/>
      <x:c r="D148" s="465"/>
      <x:c r="E148" s="465"/>
      <x:c r="F148" s="465"/>
      <x:c r="G148" s="465"/>
      <x:c r="H148" s="465"/>
      <x:c r="I148" s="465"/>
      <x:c r="J148" s="465"/>
      <x:c r="K148" s="465"/>
      <x:c r="L148" s="465"/>
      <x:c r="M148" s="465"/>
      <x:c r="N148" s="465"/>
      <x:c r="O148" s="465"/>
      <x:c r="P148" s="465"/>
      <x:c r="Q148" s="465"/>
      <x:c r="R148" s="465"/>
      <x:c r="S148" s="465"/>
      <x:c r="T148" s="465"/>
      <x:c r="U148" s="465"/>
      <x:c r="V148" s="465"/>
      <x:c r="W148" s="465"/>
      <x:c r="X148" s="465"/>
      <x:c r="Y148" s="465"/>
      <x:c r="Z148" s="465"/>
    </x:row>
    <x:row r="149">
      <x:c r="A149" s="465"/>
      <x:c r="B149" s="465"/>
      <x:c r="C149" s="465"/>
      <x:c r="D149" s="465"/>
      <x:c r="E149" s="465"/>
      <x:c r="F149" s="465"/>
      <x:c r="G149" s="465"/>
      <x:c r="H149" s="465"/>
      <x:c r="I149" s="465"/>
      <x:c r="J149" s="465"/>
      <x:c r="K149" s="465"/>
      <x:c r="L149" s="465"/>
      <x:c r="M149" s="465"/>
      <x:c r="N149" s="465"/>
      <x:c r="O149" s="465"/>
      <x:c r="P149" s="465"/>
      <x:c r="Q149" s="465"/>
      <x:c r="R149" s="465"/>
      <x:c r="S149" s="465"/>
      <x:c r="T149" s="465"/>
      <x:c r="U149" s="465"/>
      <x:c r="V149" s="465"/>
      <x:c r="W149" s="465"/>
      <x:c r="X149" s="465"/>
      <x:c r="Y149" s="465"/>
      <x:c r="Z149" s="465"/>
    </x:row>
    <x:row r="150">
      <x:c r="A150" s="465"/>
      <x:c r="B150" s="465"/>
      <x:c r="C150" s="465"/>
      <x:c r="D150" s="465"/>
      <x:c r="E150" s="465"/>
      <x:c r="F150" s="465"/>
      <x:c r="G150" s="465"/>
      <x:c r="H150" s="465"/>
      <x:c r="I150" s="465"/>
      <x:c r="J150" s="465"/>
      <x:c r="K150" s="465"/>
      <x:c r="L150" s="465"/>
      <x:c r="M150" s="465"/>
      <x:c r="N150" s="465"/>
      <x:c r="O150" s="465"/>
      <x:c r="P150" s="465"/>
      <x:c r="Q150" s="465"/>
      <x:c r="R150" s="465"/>
      <x:c r="S150" s="465"/>
      <x:c r="T150" s="465"/>
      <x:c r="U150" s="465"/>
      <x:c r="V150" s="465"/>
      <x:c r="W150" s="465"/>
      <x:c r="X150" s="465"/>
      <x:c r="Y150" s="465"/>
      <x:c r="Z150" s="465"/>
    </x:row>
    <x:row r="151">
      <x:c r="A151" s="465"/>
      <x:c r="B151" s="465"/>
      <x:c r="C151" s="465"/>
      <x:c r="D151" s="465"/>
      <x:c r="E151" s="465"/>
      <x:c r="F151" s="465"/>
      <x:c r="G151" s="465"/>
      <x:c r="H151" s="465"/>
      <x:c r="I151" s="465"/>
      <x:c r="J151" s="465"/>
      <x:c r="K151" s="465"/>
      <x:c r="L151" s="465"/>
      <x:c r="M151" s="465"/>
      <x:c r="N151" s="465"/>
      <x:c r="O151" s="465"/>
      <x:c r="P151" s="465"/>
      <x:c r="Q151" s="465"/>
      <x:c r="R151" s="465"/>
      <x:c r="S151" s="465"/>
      <x:c r="T151" s="465"/>
      <x:c r="U151" s="465"/>
      <x:c r="V151" s="465"/>
      <x:c r="W151" s="465"/>
      <x:c r="X151" s="465"/>
      <x:c r="Y151" s="465"/>
      <x:c r="Z151" s="465"/>
    </x:row>
    <x:row r="152">
      <x:c r="A152" s="465"/>
      <x:c r="B152" s="465"/>
      <x:c r="C152" s="465"/>
      <x:c r="D152" s="465"/>
      <x:c r="E152" s="465"/>
      <x:c r="F152" s="465"/>
      <x:c r="G152" s="465"/>
      <x:c r="H152" s="465"/>
      <x:c r="I152" s="465"/>
      <x:c r="J152" s="465"/>
      <x:c r="K152" s="465"/>
      <x:c r="L152" s="465"/>
      <x:c r="M152" s="465"/>
      <x:c r="N152" s="465"/>
      <x:c r="O152" s="465"/>
      <x:c r="P152" s="465"/>
      <x:c r="Q152" s="465"/>
      <x:c r="R152" s="465"/>
      <x:c r="S152" s="465"/>
      <x:c r="T152" s="465"/>
      <x:c r="U152" s="465"/>
      <x:c r="V152" s="465"/>
      <x:c r="W152" s="465"/>
      <x:c r="X152" s="465"/>
      <x:c r="Y152" s="465"/>
      <x:c r="Z152" s="465"/>
    </x:row>
    <x:row r="153">
      <x:c r="A153" s="465"/>
      <x:c r="B153" s="465"/>
      <x:c r="C153" s="465"/>
      <x:c r="D153" s="465"/>
      <x:c r="E153" s="465"/>
      <x:c r="F153" s="465"/>
      <x:c r="G153" s="465"/>
      <x:c r="H153" s="465"/>
      <x:c r="I153" s="465"/>
      <x:c r="J153" s="465"/>
      <x:c r="K153" s="465"/>
      <x:c r="L153" s="465"/>
      <x:c r="M153" s="465"/>
      <x:c r="N153" s="465"/>
      <x:c r="O153" s="465"/>
      <x:c r="P153" s="465"/>
      <x:c r="Q153" s="465"/>
      <x:c r="R153" s="465"/>
      <x:c r="S153" s="465"/>
      <x:c r="T153" s="465"/>
      <x:c r="U153" s="465"/>
      <x:c r="V153" s="465"/>
      <x:c r="W153" s="465"/>
      <x:c r="X153" s="465"/>
      <x:c r="Y153" s="465"/>
      <x:c r="Z153" s="465"/>
    </x:row>
    <x:row r="154">
      <x:c r="A154" s="465"/>
      <x:c r="B154" s="465"/>
      <x:c r="C154" s="465"/>
      <x:c r="D154" s="465"/>
      <x:c r="E154" s="465"/>
      <x:c r="F154" s="465"/>
      <x:c r="G154" s="465"/>
      <x:c r="H154" s="465"/>
      <x:c r="I154" s="465"/>
      <x:c r="J154" s="465"/>
      <x:c r="K154" s="465"/>
      <x:c r="L154" s="465"/>
      <x:c r="M154" s="465"/>
      <x:c r="N154" s="465"/>
      <x:c r="O154" s="465"/>
      <x:c r="P154" s="465"/>
      <x:c r="Q154" s="465"/>
      <x:c r="R154" s="465"/>
      <x:c r="S154" s="465"/>
      <x:c r="T154" s="465"/>
      <x:c r="U154" s="465"/>
      <x:c r="V154" s="465"/>
      <x:c r="W154" s="465"/>
      <x:c r="X154" s="465"/>
      <x:c r="Y154" s="465"/>
      <x:c r="Z154" s="465"/>
    </x:row>
    <x:row r="155">
      <x:c r="A155" s="465"/>
      <x:c r="B155" s="465"/>
      <x:c r="C155" s="465"/>
      <x:c r="D155" s="465"/>
      <x:c r="E155" s="465"/>
      <x:c r="F155" s="465"/>
      <x:c r="G155" s="465"/>
      <x:c r="H155" s="465"/>
      <x:c r="I155" s="465"/>
      <x:c r="J155" s="465"/>
      <x:c r="K155" s="465"/>
      <x:c r="L155" s="465"/>
      <x:c r="M155" s="465"/>
      <x:c r="N155" s="465"/>
      <x:c r="O155" s="465"/>
      <x:c r="P155" s="465"/>
      <x:c r="Q155" s="465"/>
      <x:c r="R155" s="465"/>
      <x:c r="S155" s="465"/>
      <x:c r="T155" s="465"/>
      <x:c r="U155" s="465"/>
      <x:c r="V155" s="465"/>
      <x:c r="W155" s="465"/>
      <x:c r="X155" s="465"/>
      <x:c r="Y155" s="465"/>
      <x:c r="Z155" s="465"/>
    </x:row>
    <x:row r="156">
      <x:c r="A156" s="465"/>
      <x:c r="B156" s="465"/>
      <x:c r="C156" s="465"/>
      <x:c r="D156" s="465"/>
      <x:c r="E156" s="465"/>
      <x:c r="F156" s="465"/>
      <x:c r="G156" s="465"/>
      <x:c r="H156" s="465"/>
      <x:c r="I156" s="465"/>
      <x:c r="J156" s="465"/>
      <x:c r="K156" s="465"/>
      <x:c r="L156" s="465"/>
      <x:c r="M156" s="465"/>
      <x:c r="N156" s="465"/>
      <x:c r="O156" s="465"/>
      <x:c r="P156" s="465"/>
      <x:c r="Q156" s="465"/>
      <x:c r="R156" s="465"/>
      <x:c r="S156" s="465"/>
      <x:c r="T156" s="465"/>
      <x:c r="U156" s="465"/>
      <x:c r="V156" s="465"/>
      <x:c r="W156" s="465"/>
      <x:c r="X156" s="465"/>
      <x:c r="Y156" s="465"/>
      <x:c r="Z156" s="465"/>
    </x:row>
    <x:row r="157">
      <x:c r="A157" s="465"/>
      <x:c r="B157" s="465"/>
      <x:c r="C157" s="465"/>
      <x:c r="D157" s="465"/>
      <x:c r="E157" s="465"/>
      <x:c r="F157" s="465"/>
      <x:c r="G157" s="465"/>
      <x:c r="H157" s="465"/>
      <x:c r="I157" s="465"/>
      <x:c r="J157" s="465"/>
      <x:c r="K157" s="465"/>
      <x:c r="L157" s="465"/>
      <x:c r="M157" s="465"/>
      <x:c r="N157" s="465"/>
      <x:c r="O157" s="465"/>
      <x:c r="P157" s="465"/>
      <x:c r="Q157" s="465"/>
      <x:c r="R157" s="465"/>
      <x:c r="S157" s="465"/>
      <x:c r="T157" s="465"/>
      <x:c r="U157" s="465"/>
      <x:c r="V157" s="465"/>
      <x:c r="W157" s="465"/>
      <x:c r="X157" s="465"/>
      <x:c r="Y157" s="465"/>
      <x:c r="Z157" s="465"/>
    </x:row>
    <x:row r="158">
      <x:c r="A158" s="465"/>
      <x:c r="B158" s="465"/>
      <x:c r="C158" s="465"/>
      <x:c r="D158" s="465"/>
      <x:c r="E158" s="465"/>
      <x:c r="F158" s="465"/>
      <x:c r="G158" s="465"/>
      <x:c r="H158" s="465"/>
      <x:c r="I158" s="465"/>
      <x:c r="J158" s="465"/>
      <x:c r="K158" s="465"/>
      <x:c r="L158" s="465"/>
      <x:c r="M158" s="465"/>
      <x:c r="N158" s="465"/>
      <x:c r="O158" s="465"/>
      <x:c r="P158" s="465"/>
      <x:c r="Q158" s="465"/>
      <x:c r="R158" s="465"/>
      <x:c r="S158" s="465"/>
      <x:c r="T158" s="465"/>
      <x:c r="U158" s="465"/>
      <x:c r="V158" s="465"/>
      <x:c r="W158" s="465"/>
      <x:c r="X158" s="465"/>
      <x:c r="Y158" s="465"/>
      <x:c r="Z158" s="465"/>
    </x:row>
    <x:row r="159">
      <x:c r="A159" s="465"/>
      <x:c r="B159" s="465"/>
      <x:c r="C159" s="465"/>
      <x:c r="D159" s="465"/>
      <x:c r="E159" s="465"/>
      <x:c r="F159" s="465"/>
      <x:c r="G159" s="465"/>
      <x:c r="H159" s="465"/>
      <x:c r="I159" s="465"/>
      <x:c r="J159" s="465"/>
      <x:c r="K159" s="465"/>
      <x:c r="L159" s="465"/>
      <x:c r="M159" s="465"/>
      <x:c r="N159" s="465"/>
      <x:c r="O159" s="465"/>
      <x:c r="P159" s="465"/>
      <x:c r="Q159" s="465"/>
      <x:c r="R159" s="465"/>
      <x:c r="S159" s="465"/>
      <x:c r="T159" s="465"/>
      <x:c r="U159" s="465"/>
      <x:c r="V159" s="465"/>
      <x:c r="W159" s="465"/>
      <x:c r="X159" s="465"/>
      <x:c r="Y159" s="465"/>
      <x:c r="Z159" s="465"/>
    </x:row>
    <x:row r="160">
      <x:c r="A160" s="465"/>
      <x:c r="B160" s="465"/>
      <x:c r="C160" s="465"/>
      <x:c r="D160" s="465"/>
      <x:c r="E160" s="465"/>
      <x:c r="F160" s="465"/>
      <x:c r="G160" s="465"/>
      <x:c r="H160" s="465"/>
      <x:c r="I160" s="465"/>
      <x:c r="J160" s="465"/>
      <x:c r="K160" s="465"/>
      <x:c r="L160" s="465"/>
      <x:c r="M160" s="465"/>
      <x:c r="N160" s="465"/>
      <x:c r="O160" s="465"/>
      <x:c r="P160" s="465"/>
      <x:c r="Q160" s="465"/>
      <x:c r="R160" s="465"/>
      <x:c r="S160" s="465"/>
      <x:c r="T160" s="465"/>
      <x:c r="U160" s="465"/>
      <x:c r="V160" s="465"/>
      <x:c r="W160" s="465"/>
      <x:c r="X160" s="465"/>
      <x:c r="Y160" s="465"/>
      <x:c r="Z160" s="465"/>
    </x:row>
    <x:row r="161">
      <x:c r="A161" s="465"/>
      <x:c r="B161" s="465"/>
      <x:c r="C161" s="465"/>
      <x:c r="D161" s="465"/>
      <x:c r="E161" s="465"/>
      <x:c r="F161" s="465"/>
      <x:c r="G161" s="465"/>
      <x:c r="H161" s="465"/>
      <x:c r="I161" s="465"/>
      <x:c r="J161" s="465"/>
      <x:c r="K161" s="465"/>
      <x:c r="L161" s="465"/>
      <x:c r="M161" s="465"/>
      <x:c r="N161" s="465"/>
      <x:c r="O161" s="465"/>
      <x:c r="P161" s="465"/>
      <x:c r="Q161" s="465"/>
      <x:c r="R161" s="465"/>
      <x:c r="S161" s="465"/>
      <x:c r="T161" s="465"/>
      <x:c r="U161" s="465"/>
      <x:c r="V161" s="465"/>
      <x:c r="W161" s="465"/>
      <x:c r="X161" s="465"/>
      <x:c r="Y161" s="465"/>
      <x:c r="Z161" s="465"/>
    </x:row>
    <x:row r="162">
      <x:c r="A162" s="465"/>
      <x:c r="B162" s="465"/>
      <x:c r="C162" s="465"/>
      <x:c r="D162" s="465"/>
      <x:c r="E162" s="465"/>
      <x:c r="F162" s="465"/>
      <x:c r="G162" s="465"/>
      <x:c r="H162" s="465"/>
      <x:c r="I162" s="465"/>
      <x:c r="J162" s="465"/>
      <x:c r="K162" s="465"/>
      <x:c r="L162" s="465"/>
      <x:c r="M162" s="465"/>
      <x:c r="N162" s="465"/>
      <x:c r="O162" s="465"/>
      <x:c r="P162" s="465"/>
      <x:c r="Q162" s="465"/>
      <x:c r="R162" s="465"/>
      <x:c r="S162" s="465"/>
      <x:c r="T162" s="465"/>
      <x:c r="U162" s="465"/>
      <x:c r="V162" s="465"/>
      <x:c r="W162" s="465"/>
      <x:c r="X162" s="465"/>
      <x:c r="Y162" s="465"/>
      <x:c r="Z162" s="465"/>
    </x:row>
    <x:row r="163">
      <x:c r="A163" s="465"/>
      <x:c r="B163" s="465"/>
      <x:c r="C163" s="465"/>
      <x:c r="D163" s="465"/>
      <x:c r="E163" s="465"/>
      <x:c r="F163" s="465"/>
      <x:c r="G163" s="465"/>
      <x:c r="H163" s="465"/>
      <x:c r="I163" s="465"/>
      <x:c r="J163" s="465"/>
      <x:c r="K163" s="465"/>
      <x:c r="L163" s="465"/>
      <x:c r="M163" s="465"/>
      <x:c r="N163" s="465"/>
      <x:c r="O163" s="465"/>
      <x:c r="P163" s="465"/>
      <x:c r="Q163" s="465"/>
      <x:c r="R163" s="465"/>
      <x:c r="S163" s="465"/>
      <x:c r="T163" s="465"/>
      <x:c r="U163" s="465"/>
      <x:c r="V163" s="465"/>
      <x:c r="W163" s="465"/>
      <x:c r="X163" s="465"/>
      <x:c r="Y163" s="465"/>
      <x:c r="Z163" s="465"/>
    </x:row>
    <x:row r="164">
      <x:c r="A164" s="465"/>
      <x:c r="B164" s="465"/>
      <x:c r="C164" s="465"/>
      <x:c r="D164" s="465"/>
      <x:c r="E164" s="465"/>
      <x:c r="F164" s="465"/>
      <x:c r="G164" s="465"/>
      <x:c r="H164" s="465"/>
      <x:c r="I164" s="465"/>
      <x:c r="J164" s="465"/>
      <x:c r="K164" s="465"/>
      <x:c r="L164" s="465"/>
      <x:c r="M164" s="465"/>
      <x:c r="N164" s="465"/>
      <x:c r="O164" s="465"/>
      <x:c r="P164" s="465"/>
      <x:c r="Q164" s="465"/>
      <x:c r="R164" s="465"/>
      <x:c r="S164" s="465"/>
      <x:c r="T164" s="465"/>
      <x:c r="U164" s="465"/>
      <x:c r="V164" s="465"/>
      <x:c r="W164" s="465"/>
      <x:c r="X164" s="465"/>
      <x:c r="Y164" s="465"/>
      <x:c r="Z164" s="465"/>
    </x:row>
    <x:row r="165">
      <x:c r="A165" s="465"/>
      <x:c r="B165" s="465"/>
      <x:c r="C165" s="465"/>
      <x:c r="D165" s="465"/>
      <x:c r="E165" s="465"/>
      <x:c r="F165" s="465"/>
      <x:c r="G165" s="465"/>
      <x:c r="H165" s="465"/>
      <x:c r="I165" s="465"/>
      <x:c r="J165" s="465"/>
      <x:c r="K165" s="465"/>
      <x:c r="L165" s="465"/>
      <x:c r="M165" s="465"/>
      <x:c r="N165" s="465"/>
      <x:c r="O165" s="465"/>
      <x:c r="P165" s="465"/>
      <x:c r="Q165" s="465"/>
      <x:c r="R165" s="465"/>
      <x:c r="S165" s="465"/>
      <x:c r="T165" s="465"/>
      <x:c r="U165" s="465"/>
      <x:c r="V165" s="465"/>
      <x:c r="W165" s="465"/>
      <x:c r="X165" s="465"/>
      <x:c r="Y165" s="465"/>
      <x:c r="Z165" s="465"/>
    </x:row>
    <x:row r="166">
      <x:c r="A166" s="465"/>
      <x:c r="B166" s="465"/>
      <x:c r="C166" s="465"/>
      <x:c r="D166" s="465"/>
      <x:c r="E166" s="465"/>
      <x:c r="F166" s="465"/>
      <x:c r="G166" s="465"/>
      <x:c r="H166" s="465"/>
      <x:c r="I166" s="465"/>
      <x:c r="J166" s="465"/>
      <x:c r="K166" s="465"/>
      <x:c r="L166" s="465"/>
      <x:c r="M166" s="465"/>
      <x:c r="N166" s="465"/>
      <x:c r="O166" s="465"/>
      <x:c r="P166" s="465"/>
      <x:c r="Q166" s="465"/>
      <x:c r="R166" s="465"/>
      <x:c r="S166" s="465"/>
      <x:c r="T166" s="465"/>
      <x:c r="U166" s="465"/>
      <x:c r="V166" s="465"/>
      <x:c r="W166" s="465"/>
      <x:c r="X166" s="465"/>
      <x:c r="Y166" s="465"/>
      <x:c r="Z166" s="465"/>
    </x:row>
    <x:row r="167">
      <x:c r="A167" s="465"/>
      <x:c r="B167" s="465"/>
      <x:c r="C167" s="465"/>
      <x:c r="D167" s="465"/>
      <x:c r="E167" s="465"/>
      <x:c r="F167" s="465"/>
      <x:c r="G167" s="465"/>
      <x:c r="H167" s="465"/>
      <x:c r="I167" s="465"/>
      <x:c r="J167" s="465"/>
      <x:c r="K167" s="465"/>
      <x:c r="L167" s="465"/>
      <x:c r="M167" s="465"/>
      <x:c r="N167" s="465"/>
      <x:c r="O167" s="465"/>
      <x:c r="P167" s="465"/>
      <x:c r="Q167" s="465"/>
      <x:c r="R167" s="465"/>
      <x:c r="S167" s="465"/>
      <x:c r="T167" s="465"/>
      <x:c r="U167" s="465"/>
      <x:c r="V167" s="465"/>
      <x:c r="W167" s="465"/>
      <x:c r="X167" s="465"/>
      <x:c r="Y167" s="465"/>
      <x:c r="Z167" s="465"/>
    </x:row>
    <x:row r="168">
      <x:c r="A168" s="465"/>
      <x:c r="B168" s="465"/>
      <x:c r="C168" s="465"/>
      <x:c r="D168" s="465"/>
      <x:c r="E168" s="465"/>
      <x:c r="F168" s="465"/>
      <x:c r="G168" s="465"/>
      <x:c r="H168" s="465"/>
      <x:c r="I168" s="465"/>
      <x:c r="J168" s="465"/>
      <x:c r="K168" s="465"/>
      <x:c r="L168" s="465"/>
      <x:c r="M168" s="465"/>
      <x:c r="N168" s="465"/>
      <x:c r="O168" s="465"/>
      <x:c r="P168" s="465"/>
      <x:c r="Q168" s="465"/>
      <x:c r="R168" s="465"/>
      <x:c r="S168" s="465"/>
      <x:c r="T168" s="465"/>
      <x:c r="U168" s="465"/>
      <x:c r="V168" s="465"/>
      <x:c r="W168" s="465"/>
      <x:c r="X168" s="465"/>
      <x:c r="Y168" s="465"/>
      <x:c r="Z168" s="465"/>
    </x:row>
    <x:row r="169">
      <x:c r="A169" s="465"/>
      <x:c r="B169" s="465"/>
      <x:c r="C169" s="465"/>
      <x:c r="D169" s="465"/>
      <x:c r="E169" s="465"/>
      <x:c r="F169" s="465"/>
      <x:c r="G169" s="465"/>
      <x:c r="H169" s="465"/>
      <x:c r="I169" s="465"/>
      <x:c r="J169" s="465"/>
      <x:c r="K169" s="465"/>
      <x:c r="L169" s="465"/>
      <x:c r="M169" s="465"/>
      <x:c r="N169" s="465"/>
      <x:c r="O169" s="465"/>
      <x:c r="P169" s="465"/>
      <x:c r="Q169" s="465"/>
      <x:c r="R169" s="465"/>
      <x:c r="S169" s="465"/>
      <x:c r="T169" s="465"/>
      <x:c r="U169" s="465"/>
      <x:c r="V169" s="465"/>
      <x:c r="W169" s="465"/>
      <x:c r="X169" s="465"/>
      <x:c r="Y169" s="465"/>
      <x:c r="Z169" s="465"/>
    </x:row>
    <x:row r="170">
      <x:c r="A170" s="465"/>
      <x:c r="B170" s="465"/>
      <x:c r="C170" s="465"/>
      <x:c r="D170" s="465"/>
      <x:c r="E170" s="465"/>
      <x:c r="F170" s="465"/>
      <x:c r="G170" s="465"/>
      <x:c r="H170" s="465"/>
      <x:c r="I170" s="465"/>
      <x:c r="J170" s="465"/>
      <x:c r="K170" s="465"/>
      <x:c r="L170" s="465"/>
      <x:c r="M170" s="465"/>
      <x:c r="N170" s="465"/>
      <x:c r="O170" s="465"/>
      <x:c r="P170" s="465"/>
      <x:c r="Q170" s="465"/>
      <x:c r="R170" s="465"/>
      <x:c r="S170" s="465"/>
      <x:c r="T170" s="465"/>
      <x:c r="U170" s="465"/>
      <x:c r="V170" s="465"/>
      <x:c r="W170" s="465"/>
      <x:c r="X170" s="465"/>
      <x:c r="Y170" s="465"/>
      <x:c r="Z170" s="465"/>
    </x:row>
    <x:row r="171">
      <x:c r="A171" s="465"/>
      <x:c r="B171" s="465"/>
      <x:c r="C171" s="465"/>
      <x:c r="D171" s="465"/>
      <x:c r="E171" s="465"/>
      <x:c r="F171" s="465"/>
      <x:c r="G171" s="465"/>
      <x:c r="H171" s="465"/>
      <x:c r="I171" s="465"/>
      <x:c r="J171" s="465"/>
      <x:c r="K171" s="465"/>
      <x:c r="L171" s="465"/>
      <x:c r="M171" s="465"/>
      <x:c r="N171" s="465"/>
      <x:c r="O171" s="465"/>
      <x:c r="P171" s="465"/>
      <x:c r="Q171" s="465"/>
      <x:c r="R171" s="465"/>
      <x:c r="S171" s="465"/>
      <x:c r="T171" s="465"/>
      <x:c r="U171" s="465"/>
      <x:c r="V171" s="465"/>
      <x:c r="W171" s="465"/>
      <x:c r="X171" s="465"/>
      <x:c r="Y171" s="465"/>
      <x:c r="Z171" s="465"/>
    </x:row>
    <x:row r="172">
      <x:c r="A172" s="465"/>
      <x:c r="B172" s="465"/>
      <x:c r="C172" s="465"/>
      <x:c r="D172" s="465"/>
      <x:c r="E172" s="465"/>
      <x:c r="F172" s="465"/>
      <x:c r="G172" s="465"/>
      <x:c r="H172" s="465"/>
      <x:c r="I172" s="465"/>
      <x:c r="J172" s="465"/>
      <x:c r="K172" s="465"/>
      <x:c r="L172" s="465"/>
      <x:c r="M172" s="465"/>
      <x:c r="N172" s="465"/>
      <x:c r="O172" s="465"/>
      <x:c r="P172" s="465"/>
      <x:c r="Q172" s="465"/>
      <x:c r="R172" s="465"/>
      <x:c r="S172" s="465"/>
      <x:c r="T172" s="465"/>
      <x:c r="U172" s="465"/>
      <x:c r="V172" s="465"/>
      <x:c r="W172" s="465"/>
      <x:c r="X172" s="465"/>
      <x:c r="Y172" s="465"/>
      <x:c r="Z172" s="465"/>
    </x:row>
    <x:row r="173">
      <x:c r="A173" s="465"/>
      <x:c r="B173" s="465"/>
      <x:c r="C173" s="465"/>
      <x:c r="D173" s="465"/>
      <x:c r="E173" s="465"/>
      <x:c r="F173" s="465"/>
      <x:c r="G173" s="465"/>
      <x:c r="H173" s="465"/>
      <x:c r="I173" s="465"/>
      <x:c r="J173" s="465"/>
      <x:c r="K173" s="465"/>
      <x:c r="L173" s="465"/>
      <x:c r="M173" s="465"/>
      <x:c r="N173" s="465"/>
      <x:c r="O173" s="465"/>
      <x:c r="P173" s="465"/>
      <x:c r="Q173" s="465"/>
      <x:c r="R173" s="465"/>
      <x:c r="S173" s="465"/>
      <x:c r="T173" s="465"/>
      <x:c r="U173" s="465"/>
      <x:c r="V173" s="465"/>
      <x:c r="W173" s="465"/>
      <x:c r="X173" s="465"/>
      <x:c r="Y173" s="465"/>
      <x:c r="Z173" s="465"/>
    </x:row>
    <x:row r="174">
      <x:c r="A174" s="465"/>
      <x:c r="B174" s="465"/>
      <x:c r="C174" s="465"/>
      <x:c r="D174" s="465"/>
      <x:c r="E174" s="465"/>
      <x:c r="F174" s="465"/>
      <x:c r="G174" s="465"/>
      <x:c r="H174" s="465"/>
      <x:c r="I174" s="465"/>
      <x:c r="J174" s="465"/>
      <x:c r="K174" s="465"/>
      <x:c r="L174" s="465"/>
      <x:c r="M174" s="465"/>
      <x:c r="N174" s="465"/>
      <x:c r="O174" s="465"/>
      <x:c r="P174" s="465"/>
      <x:c r="Q174" s="465"/>
      <x:c r="R174" s="465"/>
      <x:c r="S174" s="465"/>
      <x:c r="T174" s="465"/>
      <x:c r="U174" s="465"/>
      <x:c r="V174" s="465"/>
      <x:c r="W174" s="465"/>
      <x:c r="X174" s="465"/>
      <x:c r="Y174" s="465"/>
      <x:c r="Z174" s="465"/>
    </x:row>
    <x:row r="175">
      <x:c r="A175" s="465"/>
      <x:c r="B175" s="465"/>
      <x:c r="C175" s="465"/>
      <x:c r="D175" s="465"/>
      <x:c r="E175" s="465"/>
      <x:c r="F175" s="465"/>
      <x:c r="G175" s="465"/>
      <x:c r="H175" s="465"/>
      <x:c r="I175" s="465"/>
      <x:c r="J175" s="465"/>
      <x:c r="K175" s="465"/>
      <x:c r="L175" s="465"/>
      <x:c r="M175" s="465"/>
      <x:c r="N175" s="465"/>
      <x:c r="O175" s="465"/>
      <x:c r="P175" s="465"/>
      <x:c r="Q175" s="465"/>
      <x:c r="R175" s="465"/>
      <x:c r="S175" s="465"/>
      <x:c r="T175" s="465"/>
      <x:c r="U175" s="465"/>
      <x:c r="V175" s="465"/>
      <x:c r="W175" s="465"/>
      <x:c r="X175" s="465"/>
      <x:c r="Y175" s="465"/>
      <x:c r="Z175" s="465"/>
    </x:row>
    <x:row r="176">
      <x:c r="A176" s="465"/>
      <x:c r="B176" s="465"/>
      <x:c r="C176" s="465"/>
      <x:c r="D176" s="465"/>
      <x:c r="E176" s="465"/>
      <x:c r="F176" s="465"/>
      <x:c r="G176" s="465"/>
      <x:c r="H176" s="465"/>
      <x:c r="I176" s="465"/>
      <x:c r="J176" s="465"/>
      <x:c r="K176" s="465"/>
      <x:c r="L176" s="465"/>
      <x:c r="M176" s="465"/>
      <x:c r="N176" s="465"/>
      <x:c r="O176" s="465"/>
      <x:c r="P176" s="465"/>
      <x:c r="Q176" s="465"/>
      <x:c r="R176" s="465"/>
      <x:c r="S176" s="465"/>
      <x:c r="T176" s="465"/>
      <x:c r="U176" s="465"/>
      <x:c r="V176" s="465"/>
      <x:c r="W176" s="465"/>
      <x:c r="X176" s="465"/>
      <x:c r="Y176" s="465"/>
      <x:c r="Z176" s="465"/>
    </x:row>
    <x:row r="177">
      <x:c r="A177" s="465"/>
      <x:c r="B177" s="465"/>
      <x:c r="C177" s="465"/>
      <x:c r="D177" s="465"/>
      <x:c r="E177" s="465"/>
      <x:c r="F177" s="465"/>
      <x:c r="G177" s="465"/>
      <x:c r="H177" s="465"/>
      <x:c r="I177" s="465"/>
      <x:c r="J177" s="465"/>
      <x:c r="K177" s="465"/>
      <x:c r="L177" s="465"/>
      <x:c r="M177" s="465"/>
      <x:c r="N177" s="465"/>
      <x:c r="O177" s="465"/>
      <x:c r="P177" s="465"/>
      <x:c r="Q177" s="465"/>
      <x:c r="R177" s="465"/>
      <x:c r="S177" s="465"/>
      <x:c r="T177" s="465"/>
      <x:c r="U177" s="465"/>
      <x:c r="V177" s="465"/>
      <x:c r="W177" s="465"/>
      <x:c r="X177" s="465"/>
      <x:c r="Y177" s="465"/>
      <x:c r="Z177" s="465"/>
    </x:row>
    <x:row r="178">
      <x:c r="A178" s="465"/>
      <x:c r="B178" s="465"/>
      <x:c r="C178" s="465"/>
      <x:c r="D178" s="465"/>
      <x:c r="E178" s="465"/>
      <x:c r="F178" s="465"/>
      <x:c r="G178" s="465"/>
      <x:c r="H178" s="465"/>
      <x:c r="I178" s="465"/>
      <x:c r="J178" s="465"/>
      <x:c r="K178" s="465"/>
      <x:c r="L178" s="465"/>
      <x:c r="M178" s="465"/>
      <x:c r="N178" s="465"/>
      <x:c r="O178" s="465"/>
      <x:c r="P178" s="465"/>
      <x:c r="Q178" s="465"/>
      <x:c r="R178" s="465"/>
      <x:c r="S178" s="465"/>
      <x:c r="T178" s="465"/>
      <x:c r="U178" s="465"/>
      <x:c r="V178" s="465"/>
      <x:c r="W178" s="465"/>
      <x:c r="X178" s="465"/>
      <x:c r="Y178" s="465"/>
      <x:c r="Z178" s="465"/>
    </x:row>
    <x:row r="179">
      <x:c r="A179" s="465"/>
      <x:c r="B179" s="465"/>
      <x:c r="C179" s="465"/>
      <x:c r="D179" s="465"/>
      <x:c r="E179" s="465"/>
      <x:c r="F179" s="465"/>
      <x:c r="G179" s="465"/>
      <x:c r="H179" s="465"/>
      <x:c r="I179" s="465"/>
      <x:c r="J179" s="465"/>
      <x:c r="K179" s="465"/>
      <x:c r="L179" s="465"/>
      <x:c r="M179" s="465"/>
      <x:c r="N179" s="465"/>
      <x:c r="O179" s="465"/>
      <x:c r="P179" s="465"/>
      <x:c r="Q179" s="465"/>
      <x:c r="R179" s="465"/>
      <x:c r="S179" s="465"/>
      <x:c r="T179" s="465"/>
      <x:c r="U179" s="465"/>
      <x:c r="V179" s="465"/>
      <x:c r="W179" s="465"/>
      <x:c r="X179" s="465"/>
      <x:c r="Y179" s="465"/>
      <x:c r="Z179" s="465"/>
    </x:row>
    <x:row r="180">
      <x:c r="A180" s="465"/>
      <x:c r="B180" s="465"/>
      <x:c r="C180" s="465"/>
      <x:c r="D180" s="465"/>
      <x:c r="E180" s="465"/>
      <x:c r="F180" s="465"/>
      <x:c r="G180" s="465"/>
      <x:c r="H180" s="465"/>
      <x:c r="I180" s="465"/>
      <x:c r="J180" s="465"/>
      <x:c r="K180" s="465"/>
      <x:c r="L180" s="465"/>
      <x:c r="M180" s="465"/>
      <x:c r="N180" s="465"/>
      <x:c r="O180" s="465"/>
      <x:c r="P180" s="465"/>
      <x:c r="Q180" s="465"/>
      <x:c r="R180" s="465"/>
      <x:c r="S180" s="465"/>
      <x:c r="T180" s="465"/>
      <x:c r="U180" s="465"/>
      <x:c r="V180" s="465"/>
      <x:c r="W180" s="465"/>
      <x:c r="X180" s="465"/>
      <x:c r="Y180" s="465"/>
      <x:c r="Z180" s="465"/>
    </x:row>
    <x:row r="181">
      <x:c r="A181" s="465"/>
      <x:c r="B181" s="465"/>
      <x:c r="C181" s="465"/>
      <x:c r="D181" s="465"/>
      <x:c r="E181" s="465"/>
      <x:c r="F181" s="465"/>
      <x:c r="G181" s="465"/>
      <x:c r="H181" s="465"/>
      <x:c r="I181" s="465"/>
      <x:c r="J181" s="465"/>
      <x:c r="K181" s="465"/>
      <x:c r="L181" s="465"/>
      <x:c r="M181" s="465"/>
      <x:c r="N181" s="465"/>
      <x:c r="O181" s="465"/>
      <x:c r="P181" s="465"/>
      <x:c r="Q181" s="465"/>
      <x:c r="R181" s="465"/>
      <x:c r="S181" s="465"/>
      <x:c r="T181" s="465"/>
      <x:c r="U181" s="465"/>
      <x:c r="V181" s="465"/>
      <x:c r="W181" s="465"/>
      <x:c r="X181" s="465"/>
      <x:c r="Y181" s="465"/>
      <x:c r="Z181" s="465"/>
    </x:row>
    <x:row r="182">
      <x:c r="A182" s="465"/>
      <x:c r="B182" s="465"/>
      <x:c r="C182" s="465"/>
      <x:c r="D182" s="465"/>
      <x:c r="E182" s="465"/>
      <x:c r="F182" s="465"/>
      <x:c r="G182" s="465"/>
      <x:c r="H182" s="465"/>
      <x:c r="I182" s="465"/>
      <x:c r="J182" s="465"/>
      <x:c r="K182" s="465"/>
      <x:c r="L182" s="465"/>
      <x:c r="M182" s="465"/>
      <x:c r="N182" s="465"/>
      <x:c r="O182" s="465"/>
      <x:c r="P182" s="465"/>
      <x:c r="Q182" s="465"/>
      <x:c r="R182" s="465"/>
      <x:c r="S182" s="465"/>
      <x:c r="T182" s="465"/>
      <x:c r="U182" s="465"/>
      <x:c r="V182" s="465"/>
      <x:c r="W182" s="465"/>
      <x:c r="X182" s="465"/>
      <x:c r="Y182" s="465"/>
      <x:c r="Z182" s="465"/>
    </x:row>
    <x:row r="183">
      <x:c r="A183" s="465"/>
      <x:c r="B183" s="465"/>
      <x:c r="C183" s="465"/>
      <x:c r="D183" s="465"/>
      <x:c r="E183" s="465"/>
      <x:c r="F183" s="465"/>
      <x:c r="G183" s="465"/>
      <x:c r="H183" s="465"/>
      <x:c r="I183" s="465"/>
      <x:c r="J183" s="465"/>
      <x:c r="K183" s="465"/>
      <x:c r="L183" s="465"/>
      <x:c r="M183" s="465"/>
      <x:c r="N183" s="465"/>
      <x:c r="O183" s="465"/>
      <x:c r="P183" s="465"/>
      <x:c r="Q183" s="465"/>
      <x:c r="R183" s="465"/>
      <x:c r="S183" s="465"/>
      <x:c r="T183" s="465"/>
      <x:c r="U183" s="465"/>
      <x:c r="V183" s="465"/>
      <x:c r="W183" s="465"/>
      <x:c r="X183" s="465"/>
      <x:c r="Y183" s="465"/>
      <x:c r="Z183" s="465"/>
    </x:row>
    <x:row r="184">
      <x:c r="A184" s="465"/>
      <x:c r="B184" s="465"/>
      <x:c r="C184" s="465"/>
      <x:c r="D184" s="465"/>
      <x:c r="E184" s="465"/>
      <x:c r="F184" s="465"/>
      <x:c r="G184" s="465"/>
      <x:c r="H184" s="465"/>
      <x:c r="I184" s="465"/>
      <x:c r="J184" s="465"/>
      <x:c r="K184" s="465"/>
      <x:c r="L184" s="465"/>
      <x:c r="M184" s="465"/>
      <x:c r="N184" s="465"/>
      <x:c r="O184" s="465"/>
      <x:c r="P184" s="465"/>
      <x:c r="Q184" s="465"/>
      <x:c r="R184" s="465"/>
      <x:c r="S184" s="465"/>
      <x:c r="T184" s="465"/>
      <x:c r="U184" s="465"/>
      <x:c r="V184" s="465"/>
      <x:c r="W184" s="465"/>
      <x:c r="X184" s="465"/>
      <x:c r="Y184" s="465"/>
      <x:c r="Z184" s="465"/>
    </x:row>
    <x:row r="185">
      <x:c r="A185" s="465"/>
      <x:c r="B185" s="465"/>
      <x:c r="C185" s="465"/>
      <x:c r="D185" s="465"/>
      <x:c r="E185" s="465"/>
      <x:c r="F185" s="465"/>
      <x:c r="G185" s="465"/>
      <x:c r="H185" s="465"/>
      <x:c r="I185" s="465"/>
      <x:c r="J185" s="465"/>
      <x:c r="K185" s="465"/>
      <x:c r="L185" s="465"/>
      <x:c r="M185" s="465"/>
      <x:c r="N185" s="465"/>
      <x:c r="O185" s="465"/>
      <x:c r="P185" s="465"/>
      <x:c r="Q185" s="465"/>
      <x:c r="R185" s="465"/>
      <x:c r="S185" s="465"/>
      <x:c r="T185" s="465"/>
      <x:c r="U185" s="465"/>
      <x:c r="V185" s="465"/>
      <x:c r="W185" s="465"/>
      <x:c r="X185" s="465"/>
      <x:c r="Y185" s="465"/>
      <x:c r="Z185" s="465"/>
    </x:row>
    <x:row r="186">
      <x:c r="A186" s="465"/>
      <x:c r="B186" s="465"/>
      <x:c r="C186" s="465"/>
      <x:c r="D186" s="465"/>
      <x:c r="E186" s="465"/>
      <x:c r="F186" s="465"/>
      <x:c r="G186" s="465"/>
      <x:c r="H186" s="465"/>
      <x:c r="I186" s="465"/>
      <x:c r="J186" s="465"/>
      <x:c r="K186" s="465"/>
      <x:c r="L186" s="465"/>
      <x:c r="M186" s="465"/>
      <x:c r="N186" s="465"/>
      <x:c r="O186" s="465"/>
      <x:c r="P186" s="465"/>
      <x:c r="Q186" s="465"/>
      <x:c r="R186" s="465"/>
      <x:c r="S186" s="465"/>
      <x:c r="T186" s="465"/>
      <x:c r="U186" s="465"/>
      <x:c r="V186" s="465"/>
      <x:c r="W186" s="465"/>
      <x:c r="X186" s="465"/>
      <x:c r="Y186" s="465"/>
      <x:c r="Z186" s="465"/>
    </x:row>
    <x:row r="187">
      <x:c r="A187" s="465"/>
      <x:c r="B187" s="465"/>
      <x:c r="C187" s="465"/>
      <x:c r="D187" s="465"/>
      <x:c r="E187" s="465"/>
      <x:c r="F187" s="465"/>
      <x:c r="G187" s="465"/>
      <x:c r="H187" s="465"/>
      <x:c r="I187" s="465"/>
      <x:c r="J187" s="465"/>
      <x:c r="K187" s="465"/>
      <x:c r="L187" s="465"/>
      <x:c r="M187" s="465"/>
      <x:c r="N187" s="465"/>
      <x:c r="O187" s="465"/>
      <x:c r="P187" s="465"/>
      <x:c r="Q187" s="465"/>
      <x:c r="R187" s="465"/>
      <x:c r="S187" s="465"/>
      <x:c r="T187" s="465"/>
      <x:c r="U187" s="465"/>
      <x:c r="V187" s="465"/>
      <x:c r="W187" s="465"/>
      <x:c r="X187" s="465"/>
      <x:c r="Y187" s="465"/>
      <x:c r="Z187" s="465"/>
    </x:row>
    <x:row r="188">
      <x:c r="A188" s="465"/>
      <x:c r="B188" s="465"/>
      <x:c r="C188" s="465"/>
      <x:c r="D188" s="465"/>
      <x:c r="E188" s="465"/>
      <x:c r="F188" s="465"/>
      <x:c r="G188" s="465"/>
      <x:c r="H188" s="465"/>
      <x:c r="I188" s="465"/>
      <x:c r="J188" s="465"/>
      <x:c r="K188" s="465"/>
      <x:c r="L188" s="465"/>
      <x:c r="M188" s="465"/>
      <x:c r="N188" s="465"/>
      <x:c r="O188" s="465"/>
      <x:c r="P188" s="465"/>
      <x:c r="Q188" s="465"/>
      <x:c r="R188" s="465"/>
      <x:c r="S188" s="465"/>
      <x:c r="T188" s="465"/>
      <x:c r="U188" s="465"/>
      <x:c r="V188" s="465"/>
      <x:c r="W188" s="465"/>
      <x:c r="X188" s="465"/>
      <x:c r="Y188" s="465"/>
      <x:c r="Z188" s="465"/>
    </x:row>
    <x:row r="189">
      <x:c r="A189" s="465"/>
      <x:c r="B189" s="465"/>
      <x:c r="C189" s="465"/>
      <x:c r="D189" s="465"/>
      <x:c r="E189" s="465"/>
      <x:c r="F189" s="465"/>
      <x:c r="G189" s="465"/>
      <x:c r="H189" s="465"/>
      <x:c r="I189" s="465"/>
      <x:c r="J189" s="465"/>
      <x:c r="K189" s="465"/>
      <x:c r="L189" s="465"/>
      <x:c r="M189" s="465"/>
      <x:c r="N189" s="465"/>
      <x:c r="O189" s="465"/>
      <x:c r="P189" s="465"/>
      <x:c r="Q189" s="465"/>
      <x:c r="R189" s="465"/>
      <x:c r="S189" s="465"/>
      <x:c r="T189" s="465"/>
      <x:c r="U189" s="465"/>
      <x:c r="V189" s="465"/>
      <x:c r="W189" s="465"/>
      <x:c r="X189" s="465"/>
      <x:c r="Y189" s="465"/>
      <x:c r="Z189" s="465"/>
    </x:row>
    <x:row r="190">
      <x:c r="A190" s="465"/>
      <x:c r="B190" s="465"/>
      <x:c r="C190" s="465"/>
      <x:c r="D190" s="465"/>
      <x:c r="E190" s="465"/>
      <x:c r="F190" s="465"/>
      <x:c r="G190" s="465"/>
      <x:c r="H190" s="465"/>
      <x:c r="I190" s="465"/>
      <x:c r="J190" s="465"/>
      <x:c r="K190" s="465"/>
      <x:c r="L190" s="465"/>
      <x:c r="M190" s="465"/>
      <x:c r="N190" s="465"/>
      <x:c r="O190" s="465"/>
      <x:c r="P190" s="465"/>
      <x:c r="Q190" s="465"/>
      <x:c r="R190" s="465"/>
      <x:c r="S190" s="465"/>
      <x:c r="T190" s="465"/>
      <x:c r="U190" s="465"/>
      <x:c r="V190" s="465"/>
      <x:c r="W190" s="465"/>
      <x:c r="X190" s="465"/>
      <x:c r="Y190" s="465"/>
      <x:c r="Z190" s="465"/>
    </x:row>
    <x:row r="191">
      <x:c r="A191" s="465"/>
      <x:c r="B191" s="465"/>
      <x:c r="C191" s="465"/>
      <x:c r="D191" s="465"/>
      <x:c r="E191" s="465"/>
      <x:c r="F191" s="465"/>
      <x:c r="G191" s="465"/>
      <x:c r="H191" s="465"/>
      <x:c r="I191" s="465"/>
      <x:c r="J191" s="465"/>
      <x:c r="K191" s="465"/>
      <x:c r="L191" s="465"/>
      <x:c r="M191" s="465"/>
      <x:c r="N191" s="465"/>
      <x:c r="O191" s="465"/>
      <x:c r="P191" s="465"/>
      <x:c r="Q191" s="465"/>
      <x:c r="R191" s="465"/>
      <x:c r="S191" s="465"/>
      <x:c r="T191" s="465"/>
      <x:c r="U191" s="465"/>
      <x:c r="V191" s="465"/>
      <x:c r="W191" s="465"/>
      <x:c r="X191" s="465"/>
      <x:c r="Y191" s="465"/>
      <x:c r="Z191" s="465"/>
    </x:row>
    <x:row r="192">
      <x:c r="A192" s="465"/>
      <x:c r="B192" s="465"/>
      <x:c r="C192" s="465"/>
      <x:c r="D192" s="465"/>
      <x:c r="E192" s="465"/>
      <x:c r="F192" s="465"/>
      <x:c r="G192" s="465"/>
      <x:c r="H192" s="465"/>
      <x:c r="I192" s="465"/>
      <x:c r="J192" s="465"/>
      <x:c r="K192" s="465"/>
      <x:c r="L192" s="465"/>
      <x:c r="M192" s="465"/>
      <x:c r="N192" s="465"/>
      <x:c r="O192" s="465"/>
      <x:c r="P192" s="465"/>
      <x:c r="Q192" s="465"/>
      <x:c r="R192" s="465"/>
      <x:c r="S192" s="465"/>
      <x:c r="T192" s="465"/>
      <x:c r="U192" s="465"/>
      <x:c r="V192" s="465"/>
      <x:c r="W192" s="465"/>
      <x:c r="X192" s="465"/>
      <x:c r="Y192" s="465"/>
      <x:c r="Z192" s="465"/>
    </x:row>
    <x:row r="193">
      <x:c r="A193" s="465"/>
      <x:c r="B193" s="465"/>
      <x:c r="C193" s="465"/>
      <x:c r="D193" s="465"/>
      <x:c r="E193" s="465"/>
      <x:c r="F193" s="465"/>
      <x:c r="G193" s="465"/>
      <x:c r="H193" s="465"/>
      <x:c r="I193" s="465"/>
      <x:c r="J193" s="465"/>
      <x:c r="K193" s="465"/>
      <x:c r="L193" s="465"/>
      <x:c r="M193" s="465"/>
      <x:c r="N193" s="465"/>
      <x:c r="O193" s="465"/>
      <x:c r="P193" s="465"/>
      <x:c r="Q193" s="465"/>
      <x:c r="R193" s="465"/>
      <x:c r="S193" s="465"/>
      <x:c r="T193" s="465"/>
      <x:c r="U193" s="465"/>
      <x:c r="V193" s="465"/>
      <x:c r="W193" s="465"/>
      <x:c r="X193" s="465"/>
      <x:c r="Y193" s="465"/>
      <x:c r="Z193" s="465"/>
    </x:row>
    <x:row r="194">
      <x:c r="A194" s="465"/>
      <x:c r="B194" s="465"/>
      <x:c r="C194" s="465"/>
      <x:c r="D194" s="465"/>
      <x:c r="E194" s="465"/>
      <x:c r="F194" s="465"/>
      <x:c r="G194" s="465"/>
      <x:c r="H194" s="465"/>
      <x:c r="I194" s="465"/>
      <x:c r="J194" s="465"/>
      <x:c r="K194" s="465"/>
      <x:c r="L194" s="465"/>
      <x:c r="M194" s="465"/>
      <x:c r="N194" s="465"/>
      <x:c r="O194" s="465"/>
      <x:c r="P194" s="465"/>
      <x:c r="Q194" s="465"/>
      <x:c r="R194" s="465"/>
      <x:c r="S194" s="465"/>
      <x:c r="T194" s="465"/>
      <x:c r="U194" s="465"/>
      <x:c r="V194" s="465"/>
      <x:c r="W194" s="465"/>
      <x:c r="X194" s="465"/>
      <x:c r="Y194" s="465"/>
      <x:c r="Z194" s="465"/>
    </x:row>
    <x:row r="195">
      <x:c r="A195" s="465"/>
      <x:c r="B195" s="465"/>
      <x:c r="C195" s="465"/>
      <x:c r="D195" s="465"/>
      <x:c r="E195" s="465"/>
      <x:c r="F195" s="465"/>
      <x:c r="G195" s="465"/>
      <x:c r="H195" s="465"/>
      <x:c r="I195" s="465"/>
      <x:c r="J195" s="465"/>
      <x:c r="K195" s="465"/>
      <x:c r="L195" s="465"/>
      <x:c r="M195" s="465"/>
      <x:c r="N195" s="465"/>
      <x:c r="O195" s="465"/>
      <x:c r="P195" s="465"/>
      <x:c r="Q195" s="465"/>
      <x:c r="R195" s="465"/>
      <x:c r="S195" s="465"/>
      <x:c r="T195" s="465"/>
      <x:c r="U195" s="465"/>
      <x:c r="V195" s="465"/>
      <x:c r="W195" s="465"/>
      <x:c r="X195" s="465"/>
      <x:c r="Y195" s="465"/>
      <x:c r="Z195" s="465"/>
    </x:row>
    <x:row r="196">
      <x:c r="A196" s="465"/>
      <x:c r="B196" s="465"/>
      <x:c r="C196" s="465"/>
      <x:c r="D196" s="465"/>
      <x:c r="E196" s="465"/>
      <x:c r="F196" s="465"/>
      <x:c r="G196" s="465"/>
      <x:c r="H196" s="465"/>
      <x:c r="I196" s="465"/>
      <x:c r="J196" s="465"/>
      <x:c r="K196" s="465"/>
      <x:c r="L196" s="465"/>
      <x:c r="M196" s="465"/>
      <x:c r="N196" s="465"/>
      <x:c r="O196" s="465"/>
      <x:c r="P196" s="465"/>
      <x:c r="Q196" s="465"/>
      <x:c r="R196" s="465"/>
      <x:c r="S196" s="465"/>
      <x:c r="T196" s="465"/>
      <x:c r="U196" s="465"/>
      <x:c r="V196" s="465"/>
      <x:c r="W196" s="465"/>
      <x:c r="X196" s="465"/>
      <x:c r="Y196" s="465"/>
      <x:c r="Z196" s="465"/>
    </x:row>
    <x:row r="197">
      <x:c r="A197" s="465"/>
      <x:c r="B197" s="465"/>
      <x:c r="C197" s="465"/>
      <x:c r="D197" s="465"/>
      <x:c r="E197" s="465"/>
      <x:c r="F197" s="465"/>
      <x:c r="G197" s="465"/>
      <x:c r="H197" s="465"/>
      <x:c r="I197" s="465"/>
      <x:c r="J197" s="465"/>
      <x:c r="K197" s="465"/>
      <x:c r="L197" s="465"/>
      <x:c r="M197" s="465"/>
      <x:c r="N197" s="465"/>
      <x:c r="O197" s="465"/>
      <x:c r="P197" s="465"/>
      <x:c r="Q197" s="465"/>
      <x:c r="R197" s="465"/>
      <x:c r="S197" s="465"/>
      <x:c r="T197" s="465"/>
      <x:c r="U197" s="465"/>
      <x:c r="V197" s="465"/>
      <x:c r="W197" s="465"/>
      <x:c r="X197" s="465"/>
      <x:c r="Y197" s="465"/>
      <x:c r="Z197" s="465"/>
    </x:row>
    <x:row r="198">
      <x:c r="A198" s="465"/>
      <x:c r="B198" s="465"/>
      <x:c r="C198" s="465"/>
      <x:c r="D198" s="465"/>
      <x:c r="E198" s="465"/>
      <x:c r="F198" s="465"/>
      <x:c r="G198" s="465"/>
      <x:c r="H198" s="465"/>
      <x:c r="I198" s="465"/>
      <x:c r="J198" s="465"/>
      <x:c r="K198" s="465"/>
      <x:c r="L198" s="465"/>
      <x:c r="M198" s="465"/>
      <x:c r="N198" s="465"/>
      <x:c r="O198" s="465"/>
      <x:c r="P198" s="465"/>
      <x:c r="Q198" s="465"/>
      <x:c r="R198" s="465"/>
      <x:c r="S198" s="465"/>
      <x:c r="T198" s="465"/>
      <x:c r="U198" s="465"/>
      <x:c r="V198" s="465"/>
      <x:c r="W198" s="465"/>
      <x:c r="X198" s="465"/>
      <x:c r="Y198" s="465"/>
      <x:c r="Z198" s="465"/>
    </x:row>
    <x:row r="199">
      <x:c r="A199" s="465"/>
      <x:c r="B199" s="465"/>
      <x:c r="C199" s="465"/>
      <x:c r="D199" s="465"/>
      <x:c r="E199" s="465"/>
      <x:c r="F199" s="465"/>
      <x:c r="G199" s="465"/>
      <x:c r="H199" s="465"/>
      <x:c r="I199" s="465"/>
      <x:c r="J199" s="465"/>
      <x:c r="K199" s="465"/>
      <x:c r="L199" s="465"/>
      <x:c r="M199" s="465"/>
      <x:c r="N199" s="465"/>
      <x:c r="O199" s="465"/>
      <x:c r="P199" s="465"/>
      <x:c r="Q199" s="465"/>
      <x:c r="R199" s="465"/>
      <x:c r="S199" s="465"/>
      <x:c r="T199" s="465"/>
      <x:c r="U199" s="465"/>
      <x:c r="V199" s="465"/>
      <x:c r="W199" s="465"/>
      <x:c r="X199" s="465"/>
      <x:c r="Y199" s="465"/>
      <x:c r="Z199" s="465"/>
    </x:row>
    <x:row r="200">
      <x:c r="A200" s="465"/>
      <x:c r="B200" s="465"/>
      <x:c r="C200" s="465"/>
      <x:c r="D200" s="465"/>
      <x:c r="E200" s="465"/>
      <x:c r="F200" s="465"/>
      <x:c r="G200" s="465"/>
      <x:c r="H200" s="465"/>
      <x:c r="I200" s="465"/>
      <x:c r="J200" s="465"/>
      <x:c r="K200" s="465"/>
      <x:c r="L200" s="465"/>
      <x:c r="M200" s="465"/>
      <x:c r="N200" s="465"/>
      <x:c r="O200" s="465"/>
      <x:c r="P200" s="465"/>
      <x:c r="Q200" s="465"/>
      <x:c r="R200" s="465"/>
      <x:c r="S200" s="465"/>
      <x:c r="T200" s="465"/>
      <x:c r="U200" s="465"/>
      <x:c r="V200" s="465"/>
      <x:c r="W200" s="465"/>
      <x:c r="X200" s="465"/>
      <x:c r="Y200" s="465"/>
      <x:c r="Z200" s="465"/>
    </x:row>
  </x:sheetData>
  <x:mergeCells>
    <x:mergeCell ref="A1:S2"/>
    <x:mergeCell ref="A3:S3"/>
    <x:mergeCell ref="H40:S43"/>
  </x:mergeCells>
  <x:pageMargins left="0.7" right="0.7" top="0.75" bottom="0.75" header="0.3" footer="0.3"/>
  <x:drawing xmlns:r="http://schemas.openxmlformats.org/officeDocument/2006/relationships" r:id="R2b8e3138c32a4194"/>
  <x:tableParts count="1">
    <x:tablePart xmlns:r="http://schemas.openxmlformats.org/officeDocument/2006/relationships" r:id="R0885be7e48c540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5" t="str">
        <x:v>五月校準與門檻凍結</x:v>
      </x:c>
      <x:c r="B1" s="5"/>
      <x:c r="C1" s="5"/>
      <x:c r="D1" s="5"/>
      <x:c r="E1" s="5"/>
      <x:c r="F1" s="5"/>
      <x:c r="G1" s="5"/>
      <x:c r="H1" s="5"/>
      <x:c r="I1" s="5"/>
      <x:c r="J1" s="5"/>
      <x:c r="K1" s="465"/>
      <x:c r="L1" s="465"/>
      <x:c r="M1" s="465"/>
      <x:c r="N1" s="465"/>
      <x:c r="O1" s="465"/>
      <x:c r="P1" s="465"/>
      <x:c r="Q1" s="465"/>
      <x:c r="R1" s="465"/>
      <x:c r="S1" s="465"/>
      <x:c r="T1" s="465"/>
      <x:c r="U1" s="465"/>
      <x:c r="V1" s="465"/>
      <x:c r="W1" s="465"/>
      <x:c r="X1" s="465"/>
      <x:c r="Y1" s="465"/>
      <x:c r="Z1" s="465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465"/>
      <x:c r="L2" s="465"/>
      <x:c r="M2" s="465"/>
      <x:c r="N2" s="465"/>
      <x:c r="O2" s="465"/>
      <x:c r="P2" s="465"/>
      <x:c r="Q2" s="465"/>
      <x:c r="R2" s="465"/>
      <x:c r="S2" s="465"/>
      <x:c r="T2" s="465"/>
      <x:c r="U2" s="465"/>
      <x:c r="V2" s="465"/>
      <x:c r="W2" s="465"/>
      <x:c r="X2" s="465"/>
      <x:c r="Y2" s="465"/>
      <x:c r="Z2" s="465"/>
    </x:row>
    <x:row r="3" ht="24" customHeight="1">
      <x:c r="A3" s="8" t="str">
        <x:v>5/1–5/20 校準機率；5/21–5/31 尖峰資料選 F2 門檻。完成後才讀取六月封存測試。</x:v>
      </x:c>
      <x:c r="B3" s="8"/>
      <x:c r="C3" s="8"/>
      <x:c r="D3" s="8"/>
      <x:c r="E3" s="8"/>
      <x:c r="F3" s="8"/>
      <x:c r="G3" s="8"/>
      <x:c r="H3" s="8"/>
      <x:c r="I3" s="8"/>
      <x:c r="J3" s="8"/>
      <x:c r="K3" s="465"/>
      <x:c r="L3" s="465"/>
      <x:c r="M3" s="465"/>
      <x:c r="N3" s="465"/>
      <x:c r="O3" s="465"/>
      <x:c r="P3" s="465"/>
      <x:c r="Q3" s="465"/>
      <x:c r="R3" s="465"/>
      <x:c r="S3" s="465"/>
      <x:c r="T3" s="465"/>
      <x:c r="U3" s="465"/>
      <x:c r="V3" s="465"/>
      <x:c r="W3" s="465"/>
      <x:c r="X3" s="465"/>
      <x:c r="Y3" s="465"/>
      <x:c r="Z3" s="465"/>
    </x:row>
    <x:row r="4">
      <x:c r="A4" s="465"/>
      <x:c r="B4" s="465"/>
      <x:c r="C4" s="465"/>
      <x:c r="D4" s="465"/>
      <x:c r="E4" s="465"/>
      <x:c r="F4" s="465"/>
      <x:c r="G4" s="465"/>
      <x:c r="H4" s="465"/>
      <x:c r="I4" s="465"/>
      <x:c r="J4" s="465"/>
      <x:c r="K4" s="465"/>
      <x:c r="L4" s="465"/>
      <x:c r="M4" s="465"/>
      <x:c r="N4" s="465"/>
      <x:c r="O4" s="465"/>
      <x:c r="P4" s="465"/>
      <x:c r="Q4" s="465"/>
      <x:c r="R4" s="465"/>
      <x:c r="S4" s="465"/>
      <x:c r="T4" s="465"/>
      <x:c r="U4" s="465"/>
      <x:c r="V4" s="465"/>
      <x:c r="W4" s="465"/>
      <x:c r="X4" s="465"/>
      <x:c r="Y4" s="465"/>
      <x:c r="Z4" s="465"/>
    </x:row>
    <x:row r="5" ht="24" customHeight="1">
      <x:c r="A5" s="95" t="str">
        <x:v>凍結門檻</x:v>
      </x:c>
      <x:c r="B5" s="95" t="str">
        <x:v>凍結門檻</x:v>
      </x:c>
      <x:c r="C5" s="95" t="str">
        <x:v>凍結門檻</x:v>
      </x:c>
      <x:c r="D5" s="95" t="str">
        <x:v>凍結門檻</x:v>
      </x:c>
      <x:c r="E5" s="95" t="str">
        <x:v>凍結門檻</x:v>
      </x:c>
      <x:c r="F5" s="95" t="str">
        <x:v>凍結門檻</x:v>
      </x:c>
      <x:c r="G5" s="95" t="str">
        <x:v>凍結門檻</x:v>
      </x:c>
      <x:c r="H5" s="95" t="str">
        <x:v>凍結門檻</x:v>
      </x:c>
      <x:c r="I5" s="95" t="str">
        <x:v>凍結門檻</x:v>
      </x:c>
      <x:c r="J5" s="95" t="str">
        <x:v>凍結門檻</x:v>
      </x:c>
      <x:c r="K5" s="465"/>
      <x:c r="L5" s="465"/>
      <x:c r="M5" s="465"/>
      <x:c r="N5" s="465"/>
      <x:c r="O5" s="465"/>
      <x:c r="P5" s="465"/>
      <x:c r="Q5" s="465"/>
      <x:c r="R5" s="465"/>
      <x:c r="S5" s="465"/>
      <x:c r="T5" s="465"/>
      <x:c r="U5" s="465"/>
      <x:c r="V5" s="465"/>
      <x:c r="W5" s="465"/>
      <x:c r="X5" s="465"/>
      <x:c r="Y5" s="465"/>
      <x:c r="Z5" s="465"/>
    </x:row>
    <x:row r="6" ht="30" customHeight="1">
      <x:c r="A6" s="20" t="str">
        <x:v>事件</x:v>
      </x:c>
      <x:c r="B6" s="21" t="str">
        <x:v>庫存比例規則</x:v>
      </x:c>
      <x:c r="C6" s="21" t="str">
        <x:v>線性外推</x:v>
      </x:c>
      <x:c r="D6" s="21" t="str">
        <x:v>Logistic機率</x:v>
      </x:c>
      <x:c r="E6" s="22" t="str">
        <x:v>LightGBM機率</x:v>
      </x:c>
      <x:c r="F6" s="465"/>
      <x:c r="G6" s="20" t="str">
        <x:v>事件</x:v>
      </x:c>
      <x:c r="H6" s="21" t="str">
        <x:v>最終樹數</x:v>
      </x:c>
      <x:c r="I6" s="21" t="str">
        <x:v>校準斜率</x:v>
      </x:c>
      <x:c r="J6" s="22" t="str">
        <x:v>校準截距</x:v>
      </x:c>
      <x:c r="K6" s="465"/>
      <x:c r="L6" s="465"/>
      <x:c r="M6" s="465"/>
      <x:c r="N6" s="465"/>
      <x:c r="O6" s="465"/>
      <x:c r="P6" s="465"/>
      <x:c r="Q6" s="465"/>
      <x:c r="R6" s="465"/>
      <x:c r="S6" s="465"/>
      <x:c r="T6" s="465"/>
      <x:c r="U6" s="465"/>
      <x:c r="V6" s="465"/>
      <x:c r="W6" s="465"/>
      <x:c r="X6" s="465"/>
      <x:c r="Y6" s="465"/>
      <x:c r="Z6" s="465"/>
    </x:row>
    <x:row r="7">
      <x:c r="A7" s="465" t="str">
        <x:v>缺車</x:v>
      </x:c>
      <x:c r="B7" s="498" t="n">
        <x:v>0.1</x:v>
      </x:c>
      <x:c r="C7" s="498" t="n">
        <x:v>0.05</x:v>
      </x:c>
      <x:c r="D7" s="498" t="n">
        <x:v>0.08541838705539703</x:v>
      </x:c>
      <x:c r="E7" s="498" t="n">
        <x:v>0.07895366764068601</x:v>
      </x:c>
      <x:c r="F7" s="465"/>
      <x:c r="G7" s="465" t="str">
        <x:v>缺車</x:v>
      </x:c>
      <x:c r="H7" s="497" t="n">
        <x:v>600</x:v>
      </x:c>
      <x:c r="I7" s="509" t="n">
        <x:v>1.0497478246688843</x:v>
      </x:c>
      <x:c r="J7" s="509" t="n">
        <x:v>0.1700855791568756</x:v>
      </x:c>
      <x:c r="K7" s="465"/>
      <x:c r="L7" s="465"/>
      <x:c r="M7" s="465"/>
      <x:c r="N7" s="465"/>
      <x:c r="O7" s="465"/>
      <x:c r="P7" s="465"/>
      <x:c r="Q7" s="465"/>
      <x:c r="R7" s="465"/>
      <x:c r="S7" s="465"/>
      <x:c r="T7" s="465"/>
      <x:c r="U7" s="465"/>
      <x:c r="V7" s="465"/>
      <x:c r="W7" s="465"/>
      <x:c r="X7" s="465"/>
      <x:c r="Y7" s="465"/>
      <x:c r="Z7" s="465"/>
    </x:row>
    <x:row r="8">
      <x:c r="A8" s="465" t="str">
        <x:v>滿柱</x:v>
      </x:c>
      <x:c r="B8" s="498" t="n">
        <x:v>0.15</x:v>
      </x:c>
      <x:c r="C8" s="498" t="n">
        <x:v>0</x:v>
      </x:c>
      <x:c r="D8" s="498" t="n">
        <x:v>0.04998139472305739</x:v>
      </x:c>
      <x:c r="E8" s="498" t="n">
        <x:v>0.0556621350646016</x:v>
      </x:c>
      <x:c r="F8" s="465"/>
      <x:c r="G8" s="465" t="str">
        <x:v>滿柱</x:v>
      </x:c>
      <x:c r="H8" s="497" t="n">
        <x:v>544</x:v>
      </x:c>
      <x:c r="I8" s="509" t="n">
        <x:v>1.0463472604751587</x:v>
      </x:c>
      <x:c r="J8" s="509" t="n">
        <x:v>0.21404296159744263</x:v>
      </x:c>
      <x:c r="K8" s="465"/>
      <x:c r="L8" s="465"/>
      <x:c r="M8" s="465"/>
      <x:c r="N8" s="465"/>
      <x:c r="O8" s="465"/>
      <x:c r="P8" s="465"/>
      <x:c r="Q8" s="465"/>
      <x:c r="R8" s="465"/>
      <x:c r="S8" s="465"/>
      <x:c r="T8" s="465"/>
      <x:c r="U8" s="465"/>
      <x:c r="V8" s="465"/>
      <x:c r="W8" s="465"/>
      <x:c r="X8" s="465"/>
      <x:c r="Y8" s="465"/>
      <x:c r="Z8" s="465"/>
    </x:row>
    <x:row r="9">
      <x:c r="A9" s="465"/>
      <x:c r="B9" s="465"/>
      <x:c r="C9" s="465"/>
      <x:c r="D9" s="465"/>
      <x:c r="E9" s="465"/>
      <x:c r="F9" s="465"/>
      <x:c r="G9" s="465"/>
      <x:c r="H9" s="465"/>
      <x:c r="I9" s="465"/>
      <x:c r="J9" s="465"/>
      <x:c r="K9" s="465"/>
      <x:c r="L9" s="465"/>
      <x:c r="M9" s="465"/>
      <x:c r="N9" s="465"/>
      <x:c r="O9" s="465"/>
      <x:c r="P9" s="465"/>
      <x:c r="Q9" s="465"/>
      <x:c r="R9" s="465"/>
      <x:c r="S9" s="465"/>
      <x:c r="T9" s="465"/>
      <x:c r="U9" s="465"/>
      <x:c r="V9" s="465"/>
      <x:c r="W9" s="465"/>
      <x:c r="X9" s="465"/>
      <x:c r="Y9" s="465"/>
      <x:c r="Z9" s="465"/>
    </x:row>
    <x:row r="10" ht="24" customHeight="1">
      <x:c r="A10" s="95" t="str">
        <x:v>五月門檻期間｜尖峰績效</x:v>
      </x:c>
      <x:c r="B10" s="95" t="str">
        <x:v>五月門檻期間｜尖峰績效</x:v>
      </x:c>
      <x:c r="C10" s="95" t="str">
        <x:v>五月門檻期間｜尖峰績效</x:v>
      </x:c>
      <x:c r="D10" s="95" t="str">
        <x:v>五月門檻期間｜尖峰績效</x:v>
      </x:c>
      <x:c r="E10" s="95" t="str">
        <x:v>五月門檻期間｜尖峰績效</x:v>
      </x:c>
      <x:c r="F10" s="95" t="str">
        <x:v>五月門檻期間｜尖峰績效</x:v>
      </x:c>
      <x:c r="G10" s="95" t="str">
        <x:v>五月門檻期間｜尖峰績效</x:v>
      </x:c>
      <x:c r="H10" s="95" t="str">
        <x:v>五月門檻期間｜尖峰績效</x:v>
      </x:c>
      <x:c r="I10" s="95" t="str">
        <x:v>五月門檻期間｜尖峰績效</x:v>
      </x:c>
      <x:c r="J10" s="95" t="str">
        <x:v>五月門檻期間｜尖峰績效</x:v>
      </x:c>
      <x:c r="K10" s="465"/>
      <x:c r="L10" s="465"/>
      <x:c r="M10" s="465"/>
      <x:c r="N10" s="465"/>
      <x:c r="O10" s="465"/>
      <x:c r="P10" s="465"/>
      <x:c r="Q10" s="465"/>
      <x:c r="R10" s="465"/>
      <x:c r="S10" s="465"/>
      <x:c r="T10" s="465"/>
      <x:c r="U10" s="465"/>
      <x:c r="V10" s="465"/>
      <x:c r="W10" s="465"/>
      <x:c r="X10" s="465"/>
      <x:c r="Y10" s="465"/>
      <x:c r="Z10" s="465"/>
    </x:row>
    <x:row r="11" ht="30" customHeight="1">
      <x:c r="A11" s="20" t="str">
        <x:v>事件</x:v>
      </x:c>
      <x:c r="B11" s="21" t="str">
        <x:v>模型</x:v>
      </x:c>
      <x:c r="C11" s="21" t="str">
        <x:v>PR-AUC</x:v>
      </x:c>
      <x:c r="D11" s="21" t="str">
        <x:v>Precision</x:v>
      </x:c>
      <x:c r="E11" s="21" t="str">
        <x:v>Recall</x:v>
      </x:c>
      <x:c r="F11" s="21" t="str">
        <x:v>F2</x:v>
      </x:c>
      <x:c r="G11" s="22" t="str">
        <x:v>警示數</x:v>
      </x:c>
      <x:c r="H11" s="465"/>
      <x:c r="I11" s="465"/>
      <x:c r="J11" s="465"/>
      <x:c r="K11" s="465"/>
      <x:c r="L11" s="465"/>
      <x:c r="M11" s="465"/>
      <x:c r="N11" s="465"/>
      <x:c r="O11" s="465"/>
      <x:c r="P11" s="465"/>
      <x:c r="Q11" s="465"/>
      <x:c r="R11" s="465"/>
      <x:c r="S11" s="465"/>
      <x:c r="T11" s="465"/>
      <x:c r="U11" s="465"/>
      <x:c r="V11" s="465"/>
      <x:c r="W11" s="465"/>
      <x:c r="X11" s="465"/>
      <x:c r="Y11" s="465"/>
      <x:c r="Z11" s="465"/>
    </x:row>
    <x:row r="12">
      <x:c r="A12" s="465" t="str">
        <x:v>缺車</x:v>
      </x:c>
      <x:c r="B12" s="465" t="str">
        <x:v>庫存比例規則</x:v>
      </x:c>
      <x:c r="C12" s="498" t="n">
        <x:v>0.15661068217438615</x:v>
      </x:c>
      <x:c r="D12" s="498" t="n">
        <x:v>0.1582706648626538</x:v>
      </x:c>
      <x:c r="E12" s="498" t="n">
        <x:v>0.5681048113846849</x:v>
      </x:c>
      <x:c r="F12" s="498" t="n">
        <x:v>0.37427266098188905</x:v>
      </x:c>
      <x:c r="G12" s="497" t="n">
        <x:v>31781</x:v>
      </x:c>
      <x:c r="H12" s="465"/>
      <x:c r="I12" s="465"/>
      <x:c r="J12" s="465"/>
      <x:c r="K12" s="465"/>
      <x:c r="L12" s="465"/>
      <x:c r="M12" s="465"/>
      <x:c r="N12" s="465"/>
      <x:c r="O12" s="465"/>
      <x:c r="P12" s="465"/>
      <x:c r="Q12" s="465"/>
      <x:c r="R12" s="465"/>
      <x:c r="S12" s="465"/>
      <x:c r="T12" s="465"/>
      <x:c r="U12" s="465"/>
      <x:c r="V12" s="465"/>
      <x:c r="W12" s="465"/>
      <x:c r="X12" s="465"/>
      <x:c r="Y12" s="465"/>
      <x:c r="Z12" s="465"/>
    </x:row>
    <x:row r="13">
      <x:c r="A13" s="465" t="str">
        <x:v>缺車</x:v>
      </x:c>
      <x:c r="B13" s="465" t="str">
        <x:v>30分鐘線性外推</x:v>
      </x:c>
      <x:c r="C13" s="498" t="n">
        <x:v>0.12739390544908227</x:v>
      </x:c>
      <x:c r="D13" s="498" t="n">
        <x:v>0.1425462459194777</x:v>
      </x:c>
      <x:c r="E13" s="498" t="n">
        <x:v>0.4734583239213915</x:v>
      </x:c>
      <x:c r="F13" s="498" t="n">
        <x:v>0.3233370356658028</x:v>
      </x:c>
      <x:c r="G13" s="497" t="n">
        <x:v>29408</x:v>
      </x:c>
      <x:c r="H13" s="465"/>
      <x:c r="I13" s="465"/>
      <x:c r="J13" s="465"/>
      <x:c r="K13" s="465"/>
      <x:c r="L13" s="465"/>
      <x:c r="M13" s="465"/>
      <x:c r="N13" s="465"/>
      <x:c r="O13" s="465"/>
      <x:c r="P13" s="465"/>
      <x:c r="Q13" s="465"/>
      <x:c r="R13" s="465"/>
      <x:c r="S13" s="465"/>
      <x:c r="T13" s="465"/>
      <x:c r="U13" s="465"/>
      <x:c r="V13" s="465"/>
      <x:c r="W13" s="465"/>
      <x:c r="X13" s="465"/>
      <x:c r="Y13" s="465"/>
      <x:c r="Z13" s="465"/>
    </x:row>
    <x:row r="14">
      <x:c r="A14" s="465" t="str">
        <x:v>缺車</x:v>
      </x:c>
      <x:c r="B14" s="465" t="str">
        <x:v>Logistic</x:v>
      </x:c>
      <x:c r="C14" s="498" t="n">
        <x:v>0.19028292965208793</x:v>
      </x:c>
      <x:c r="D14" s="498" t="n">
        <x:v>0.16463154299376653</x:v>
      </x:c>
      <x:c r="E14" s="498" t="n">
        <x:v>0.6532640614411566</x:v>
      </x:c>
      <x:c r="F14" s="498" t="n">
        <x:v>0.40992785156416117</x:v>
      </x:c>
      <x:c r="G14" s="497" t="n">
        <x:v>35133</x:v>
      </x:c>
      <x:c r="H14" s="465"/>
      <x:c r="I14" s="465"/>
      <x:c r="J14" s="465"/>
      <x:c r="K14" s="465"/>
      <x:c r="L14" s="465"/>
      <x:c r="M14" s="465"/>
      <x:c r="N14" s="465"/>
      <x:c r="O14" s="465"/>
      <x:c r="P14" s="465"/>
      <x:c r="Q14" s="465"/>
      <x:c r="R14" s="465"/>
      <x:c r="S14" s="465"/>
      <x:c r="T14" s="465"/>
      <x:c r="U14" s="465"/>
      <x:c r="V14" s="465"/>
      <x:c r="W14" s="465"/>
      <x:c r="X14" s="465"/>
      <x:c r="Y14" s="465"/>
      <x:c r="Z14" s="465"/>
    </x:row>
    <x:row r="15">
      <x:c r="A15" s="500" t="str">
        <x:v>缺車</x:v>
      </x:c>
      <x:c r="B15" s="500" t="str">
        <x:v>LightGBM</x:v>
      </x:c>
      <x:c r="C15" s="502" t="n">
        <x:v>0.2688268632553103</x:v>
      </x:c>
      <x:c r="D15" s="502" t="n">
        <x:v>0.19652118912080963</x:v>
      </x:c>
      <x:c r="E15" s="502" t="n">
        <x:v>0.701829681499887</x:v>
      </x:c>
      <x:c r="F15" s="502" t="n">
        <x:v>0.4634823080136047</x:v>
      </x:c>
      <x:c r="G15" s="501" t="n">
        <x:v>31620</x:v>
      </x:c>
      <x:c r="H15" s="465"/>
      <x:c r="I15" s="465"/>
      <x:c r="J15" s="465"/>
      <x:c r="K15" s="465"/>
      <x:c r="L15" s="465"/>
      <x:c r="M15" s="465"/>
      <x:c r="N15" s="465"/>
      <x:c r="O15" s="465"/>
      <x:c r="P15" s="465"/>
      <x:c r="Q15" s="465"/>
      <x:c r="R15" s="465"/>
      <x:c r="S15" s="465"/>
      <x:c r="T15" s="465"/>
      <x:c r="U15" s="465"/>
      <x:c r="V15" s="465"/>
      <x:c r="W15" s="465"/>
      <x:c r="X15" s="465"/>
      <x:c r="Y15" s="465"/>
      <x:c r="Z15" s="465"/>
    </x:row>
    <x:row r="16">
      <x:c r="A16" s="465" t="str">
        <x:v>滿柱</x:v>
      </x:c>
      <x:c r="B16" s="465" t="str">
        <x:v>庫存比例規則</x:v>
      </x:c>
      <x:c r="C16" s="498" t="n">
        <x:v>0.06658600953350374</x:v>
      </x:c>
      <x:c r="D16" s="498" t="n">
        <x:v>0.08796812749003984</x:v>
      </x:c>
      <x:c r="E16" s="498" t="n">
        <x:v>0.3719676549865229</x:v>
      </x:c>
      <x:c r="F16" s="498" t="n">
        <x:v>0.22602571451969533</x:v>
      </x:c>
      <x:c r="G16" s="497" t="n">
        <x:v>6275</x:v>
      </x:c>
      <x:c r="H16" s="465"/>
      <x:c r="I16" s="465"/>
      <x:c r="J16" s="465"/>
      <x:c r="K16" s="465"/>
      <x:c r="L16" s="465"/>
      <x:c r="M16" s="465"/>
      <x:c r="N16" s="465"/>
      <x:c r="O16" s="465"/>
      <x:c r="P16" s="465"/>
      <x:c r="Q16" s="465"/>
      <x:c r="R16" s="465"/>
      <x:c r="S16" s="465"/>
      <x:c r="T16" s="465"/>
      <x:c r="U16" s="465"/>
      <x:c r="V16" s="465"/>
      <x:c r="W16" s="465"/>
      <x:c r="X16" s="465"/>
      <x:c r="Y16" s="465"/>
      <x:c r="Z16" s="465"/>
    </x:row>
    <x:row r="17">
      <x:c r="A17" s="465" t="str">
        <x:v>滿柱</x:v>
      </x:c>
      <x:c r="B17" s="465" t="str">
        <x:v>30分鐘線性外推</x:v>
      </x:c>
      <x:c r="C17" s="498" t="n">
        <x:v>0.053647671876592674</x:v>
      </x:c>
      <x:c r="D17" s="498" t="n">
        <x:v>0.07202563388130398</x:v>
      </x:c>
      <x:c r="E17" s="498" t="n">
        <x:v>0.34838274932614555</x:v>
      </x:c>
      <x:c r="F17" s="498" t="n">
        <x:v>0.197117584261095</x:v>
      </x:c>
      <x:c r="G17" s="497" t="n">
        <x:v>7178</x:v>
      </x:c>
      <x:c r="H17" s="465"/>
      <x:c r="I17" s="465"/>
      <x:c r="J17" s="465"/>
      <x:c r="K17" s="465"/>
      <x:c r="L17" s="465"/>
      <x:c r="M17" s="465"/>
      <x:c r="N17" s="465"/>
      <x:c r="O17" s="465"/>
      <x:c r="P17" s="465"/>
      <x:c r="Q17" s="465"/>
      <x:c r="R17" s="465"/>
      <x:c r="S17" s="465"/>
      <x:c r="T17" s="465"/>
      <x:c r="U17" s="465"/>
      <x:c r="V17" s="465"/>
      <x:c r="W17" s="465"/>
      <x:c r="X17" s="465"/>
      <x:c r="Y17" s="465"/>
      <x:c r="Z17" s="465"/>
    </x:row>
    <x:row r="18">
      <x:c r="A18" s="465" t="str">
        <x:v>滿柱</x:v>
      </x:c>
      <x:c r="B18" s="465" t="str">
        <x:v>Logistic</x:v>
      </x:c>
      <x:c r="C18" s="498" t="n">
        <x:v>0.0902484717435019</x:v>
      </x:c>
      <x:c r="D18" s="498" t="n">
        <x:v>0.10440722068629045</x:v>
      </x:c>
      <x:c r="E18" s="498" t="n">
        <x:v>0.4326145552560647</x:v>
      </x:c>
      <x:c r="F18" s="498" t="n">
        <x:v>0.2656185353744311</x:v>
      </x:c>
      <x:c r="G18" s="497" t="n">
        <x:v>6149</x:v>
      </x:c>
      <x:c r="H18" s="465"/>
      <x:c r="I18" s="465"/>
      <x:c r="J18" s="465"/>
      <x:c r="K18" s="465"/>
      <x:c r="L18" s="465"/>
      <x:c r="M18" s="465"/>
      <x:c r="N18" s="465"/>
      <x:c r="O18" s="465"/>
      <x:c r="P18" s="465"/>
      <x:c r="Q18" s="465"/>
      <x:c r="R18" s="465"/>
      <x:c r="S18" s="465"/>
      <x:c r="T18" s="465"/>
      <x:c r="U18" s="465"/>
      <x:c r="V18" s="465"/>
      <x:c r="W18" s="465"/>
      <x:c r="X18" s="465"/>
      <x:c r="Y18" s="465"/>
      <x:c r="Z18" s="465"/>
    </x:row>
    <x:row r="19">
      <x:c r="A19" s="500" t="str">
        <x:v>滿柱</x:v>
      </x:c>
      <x:c r="B19" s="500" t="str">
        <x:v>LightGBM</x:v>
      </x:c>
      <x:c r="C19" s="502" t="n">
        <x:v>0.16220780930511944</x:v>
      </x:c>
      <x:c r="D19" s="502" t="n">
        <x:v>0.12604671661524902</x:v>
      </x:c>
      <x:c r="E19" s="502" t="n">
        <x:v>0.578167115902965</x:v>
      </x:c>
      <x:c r="F19" s="502" t="n">
        <x:v>0.3366554186612258</x:v>
      </x:c>
      <x:c r="G19" s="501" t="n">
        <x:v>6807</x:v>
      </x:c>
      <x:c r="H19" s="465"/>
      <x:c r="I19" s="465"/>
      <x:c r="J19" s="465"/>
      <x:c r="K19" s="465"/>
      <x:c r="L19" s="465"/>
      <x:c r="M19" s="465"/>
      <x:c r="N19" s="465"/>
      <x:c r="O19" s="465"/>
      <x:c r="P19" s="465"/>
      <x:c r="Q19" s="465"/>
      <x:c r="R19" s="465"/>
      <x:c r="S19" s="465"/>
      <x:c r="T19" s="465"/>
      <x:c r="U19" s="465"/>
      <x:c r="V19" s="465"/>
      <x:c r="W19" s="465"/>
      <x:c r="X19" s="465"/>
      <x:c r="Y19" s="465"/>
      <x:c r="Z19" s="465"/>
    </x:row>
    <x:row r="20">
      <x:c r="A20" s="465"/>
      <x:c r="B20" s="465"/>
      <x:c r="C20" s="465"/>
      <x:c r="D20" s="465"/>
      <x:c r="E20" s="465"/>
      <x:c r="F20" s="465"/>
      <x:c r="G20" s="465"/>
      <x:c r="H20" s="465"/>
      <x:c r="I20" s="465"/>
      <x:c r="J20" s="465"/>
      <x:c r="K20" s="465"/>
      <x:c r="L20" s="465"/>
      <x:c r="M20" s="465"/>
      <x:c r="N20" s="465"/>
      <x:c r="O20" s="465"/>
      <x:c r="P20" s="465"/>
      <x:c r="Q20" s="465"/>
      <x:c r="R20" s="465"/>
      <x:c r="S20" s="465"/>
      <x:c r="T20" s="465"/>
      <x:c r="U20" s="465"/>
      <x:c r="V20" s="465"/>
      <x:c r="W20" s="465"/>
      <x:c r="X20" s="465"/>
      <x:c r="Y20" s="465"/>
      <x:c r="Z20" s="465"/>
    </x:row>
    <x:row r="21">
      <x:c r="A21" s="465"/>
      <x:c r="B21" s="465"/>
      <x:c r="C21" s="465"/>
      <x:c r="D21" s="465"/>
      <x:c r="E21" s="465"/>
      <x:c r="F21" s="465"/>
      <x:c r="G21" s="465"/>
      <x:c r="H21" s="465"/>
      <x:c r="I21" s="465"/>
      <x:c r="J21" s="465"/>
      <x:c r="K21" s="465"/>
      <x:c r="L21" s="465"/>
      <x:c r="M21" s="465"/>
      <x:c r="N21" s="465"/>
      <x:c r="O21" s="465"/>
      <x:c r="P21" s="465"/>
      <x:c r="Q21" s="465"/>
      <x:c r="R21" s="465"/>
      <x:c r="S21" s="465"/>
      <x:c r="T21" s="465"/>
      <x:c r="U21" s="465"/>
      <x:c r="V21" s="465"/>
      <x:c r="W21" s="465"/>
      <x:c r="X21" s="465"/>
      <x:c r="Y21" s="465"/>
      <x:c r="Z21" s="465"/>
    </x:row>
    <x:row r="22" ht="24" customHeight="1">
      <x:c r="A22" s="95" t="str">
        <x:v>六月尖峰可靠度圖（十分位）</x:v>
      </x:c>
      <x:c r="B22" s="95" t="str">
        <x:v>六月尖峰可靠度圖（十分位）</x:v>
      </x:c>
      <x:c r="C22" s="95" t="str">
        <x:v>六月尖峰可靠度圖（十分位）</x:v>
      </x:c>
      <x:c r="D22" s="95" t="str">
        <x:v>六月尖峰可靠度圖（十分位）</x:v>
      </x:c>
      <x:c r="E22" s="95" t="str">
        <x:v>六月尖峰可靠度圖（十分位）</x:v>
      </x:c>
      <x:c r="F22" s="95" t="str">
        <x:v>六月尖峰可靠度圖（十分位）</x:v>
      </x:c>
      <x:c r="G22" s="95" t="str">
        <x:v>六月尖峰可靠度圖（十分位）</x:v>
      </x:c>
      <x:c r="H22" s="95" t="str">
        <x:v>六月尖峰可靠度圖（十分位）</x:v>
      </x:c>
      <x:c r="I22" s="95" t="str">
        <x:v>六月尖峰可靠度圖（十分位）</x:v>
      </x:c>
      <x:c r="J22" s="95" t="str">
        <x:v>六月尖峰可靠度圖（十分位）</x:v>
      </x:c>
      <x:c r="K22" s="465"/>
      <x:c r="L22" s="465"/>
      <x:c r="M22" s="465"/>
      <x:c r="N22" s="465"/>
      <x:c r="O22" s="465"/>
      <x:c r="P22" s="465"/>
      <x:c r="Q22" s="465"/>
      <x:c r="R22" s="465"/>
      <x:c r="S22" s="465"/>
      <x:c r="T22" s="465"/>
      <x:c r="U22" s="465"/>
      <x:c r="V22" s="465"/>
      <x:c r="W22" s="465"/>
      <x:c r="X22" s="465"/>
      <x:c r="Y22" s="465"/>
      <x:c r="Z22" s="465"/>
    </x:row>
    <x:row r="23" ht="30" customHeight="1">
      <x:c r="A23" s="20" t="str">
        <x:v>風險十分位</x:v>
      </x:c>
      <x:c r="B23" s="21" t="str">
        <x:v>平均預測機率</x:v>
      </x:c>
      <x:c r="C23" s="21" t="str">
        <x:v>實際發生率</x:v>
      </x:c>
      <x:c r="D23" s="22" t="str">
        <x:v>樣本數</x:v>
      </x:c>
      <x:c r="E23" s="465"/>
      <x:c r="F23" s="20" t="str">
        <x:v>風險十分位</x:v>
      </x:c>
      <x:c r="G23" s="21" t="str">
        <x:v>平均預測機率</x:v>
      </x:c>
      <x:c r="H23" s="21" t="str">
        <x:v>實際發生率</x:v>
      </x:c>
      <x:c r="I23" s="22" t="str">
        <x:v>樣本數</x:v>
      </x:c>
      <x:c r="J23" s="465"/>
      <x:c r="K23" s="465"/>
      <x:c r="L23" s="465"/>
      <x:c r="M23" s="465"/>
      <x:c r="N23" s="465"/>
      <x:c r="O23" s="465"/>
      <x:c r="P23" s="465"/>
      <x:c r="Q23" s="465"/>
      <x:c r="R23" s="465"/>
      <x:c r="S23" s="465"/>
      <x:c r="T23" s="465"/>
      <x:c r="U23" s="465"/>
      <x:c r="V23" s="465"/>
      <x:c r="W23" s="465"/>
      <x:c r="X23" s="465"/>
      <x:c r="Y23" s="465"/>
      <x:c r="Z23" s="465"/>
    </x:row>
    <x:row r="24">
      <x:c r="A24" s="465" t="n">
        <x:v>1</x:v>
      </x:c>
      <x:c r="B24" s="498" t="n">
        <x:v>0.00038662602310068905</x:v>
      </x:c>
      <x:c r="C24" s="498" t="n">
        <x:v>0.00006538618716796076</x:v>
      </x:c>
      <x:c r="D24" s="497" t="n">
        <x:v>61175</x:v>
      </x:c>
      <x:c r="E24" s="465"/>
      <x:c r="F24" s="465" t="n">
        <x:v>1</x:v>
      </x:c>
      <x:c r="G24" s="498" t="n">
        <x:v>0.000021377974917413667</x:v>
      </x:c>
      <x:c r="H24" s="498" t="n">
        <x:v>0.00001634654679199019</x:v>
      </x:c>
      <x:c r="I24" s="497" t="n">
        <x:v>61175</x:v>
      </x:c>
      <x:c r="J24" s="465"/>
      <x:c r="K24" s="465"/>
      <x:c r="L24" s="465"/>
      <x:c r="M24" s="465"/>
      <x:c r="N24" s="465"/>
      <x:c r="O24" s="465"/>
      <x:c r="P24" s="465"/>
      <x:c r="Q24" s="465"/>
      <x:c r="R24" s="465"/>
      <x:c r="S24" s="465"/>
      <x:c r="T24" s="465"/>
      <x:c r="U24" s="465"/>
      <x:c r="V24" s="465"/>
      <x:c r="W24" s="465"/>
      <x:c r="X24" s="465"/>
      <x:c r="Y24" s="465"/>
      <x:c r="Z24" s="465"/>
    </x:row>
    <x:row r="25">
      <x:c r="A25" s="465" t="n">
        <x:v>2</x:v>
      </x:c>
      <x:c r="B25" s="498" t="n">
        <x:v>0.0009053914691321552</x:v>
      </x:c>
      <x:c r="C25" s="498" t="n">
        <x:v>0.00019616176807140287</x:v>
      </x:c>
      <x:c r="D25" s="497" t="n">
        <x:v>61174</x:v>
      </x:c>
      <x:c r="E25" s="465"/>
      <x:c r="F25" s="465" t="n">
        <x:v>2</x:v>
      </x:c>
      <x:c r="G25" s="498" t="n">
        <x:v>0.00004904484740109183</x:v>
      </x:c>
      <x:c r="H25" s="498" t="n">
        <x:v>0</x:v>
      </x:c>
      <x:c r="I25" s="497" t="n">
        <x:v>61174</x:v>
      </x:c>
      <x:c r="J25" s="465"/>
      <x:c r="K25" s="465"/>
      <x:c r="L25" s="465"/>
      <x:c r="M25" s="465"/>
      <x:c r="N25" s="465"/>
      <x:c r="O25" s="465"/>
      <x:c r="P25" s="465"/>
      <x:c r="Q25" s="465"/>
      <x:c r="R25" s="465"/>
      <x:c r="S25" s="465"/>
      <x:c r="T25" s="465"/>
      <x:c r="U25" s="465"/>
      <x:c r="V25" s="465"/>
      <x:c r="W25" s="465"/>
      <x:c r="X25" s="465"/>
      <x:c r="Y25" s="465"/>
      <x:c r="Z25" s="465"/>
    </x:row>
    <x:row r="26">
      <x:c r="A26" s="465" t="n">
        <x:v>3</x:v>
      </x:c>
      <x:c r="B26" s="498" t="n">
        <x:v>0.001556648756377399</x:v>
      </x:c>
      <x:c r="C26" s="498" t="n">
        <x:v>0.000408670350148756</x:v>
      </x:c>
      <x:c r="D26" s="497" t="n">
        <x:v>61174</x:v>
      </x:c>
      <x:c r="E26" s="465"/>
      <x:c r="F26" s="465" t="n">
        <x:v>3</x:v>
      </x:c>
      <x:c r="G26" s="498" t="n">
        <x:v>0.00009334261267213151</x:v>
      </x:c>
      <x:c r="H26" s="498" t="n">
        <x:v>0.000049039640375970576</x:v>
      </x:c>
      <x:c r="I26" s="497" t="n">
        <x:v>61175</x:v>
      </x:c>
      <x:c r="J26" s="465"/>
      <x:c r="K26" s="465"/>
      <x:c r="L26" s="465"/>
      <x:c r="M26" s="465"/>
      <x:c r="N26" s="465"/>
      <x:c r="O26" s="465"/>
      <x:c r="P26" s="465"/>
      <x:c r="Q26" s="465"/>
      <x:c r="R26" s="465"/>
      <x:c r="S26" s="465"/>
      <x:c r="T26" s="465"/>
      <x:c r="U26" s="465"/>
      <x:c r="V26" s="465"/>
      <x:c r="W26" s="465"/>
      <x:c r="X26" s="465"/>
      <x:c r="Y26" s="465"/>
      <x:c r="Z26" s="465"/>
    </x:row>
    <x:row r="27">
      <x:c r="A27" s="465" t="n">
        <x:v>4</x:v>
      </x:c>
      <x:c r="B27" s="498" t="n">
        <x:v>0.0025296336971223354</x:v>
      </x:c>
      <x:c r="C27" s="498" t="n">
        <x:v>0.000882727956321313</x:v>
      </x:c>
      <x:c r="D27" s="497" t="n">
        <x:v>61174</x:v>
      </x:c>
      <x:c r="E27" s="465"/>
      <x:c r="F27" s="465" t="n">
        <x:v>4</x:v>
      </x:c>
      <x:c r="G27" s="498" t="n">
        <x:v>0.00016126931586768478</x:v>
      </x:c>
      <x:c r="H27" s="498" t="n">
        <x:v>0.00003269416245729325</x:v>
      </x:c>
      <x:c r="I27" s="497" t="n">
        <x:v>61173</x:v>
      </x:c>
      <x:c r="J27" s="465"/>
      <x:c r="K27" s="465"/>
      <x:c r="L27" s="465"/>
      <x:c r="M27" s="465"/>
      <x:c r="N27" s="465"/>
      <x:c r="O27" s="465"/>
      <x:c r="P27" s="465"/>
      <x:c r="Q27" s="465"/>
      <x:c r="R27" s="465"/>
      <x:c r="S27" s="465"/>
      <x:c r="T27" s="465"/>
      <x:c r="U27" s="465"/>
      <x:c r="V27" s="465"/>
      <x:c r="W27" s="465"/>
      <x:c r="X27" s="465"/>
      <x:c r="Y27" s="465"/>
      <x:c r="Z27" s="465"/>
    </x:row>
    <x:row r="28">
      <x:c r="A28" s="465" t="n">
        <x:v>5</x:v>
      </x:c>
      <x:c r="B28" s="498" t="n">
        <x:v>0.004123678896576166</x:v>
      </x:c>
      <x:c r="C28" s="498" t="n">
        <x:v>0.001781773600326931</x:v>
      </x:c>
      <x:c r="D28" s="497" t="n">
        <x:v>61175</x:v>
      </x:c>
      <x:c r="E28" s="465"/>
      <x:c r="F28" s="465" t="n">
        <x:v>5</x:v>
      </x:c>
      <x:c r="G28" s="498" t="n">
        <x:v>0.0002696688170544803</x:v>
      </x:c>
      <x:c r="H28" s="498" t="n">
        <x:v>0.00006538618716796076</x:v>
      </x:c>
      <x:c r="I28" s="497" t="n">
        <x:v>61175</x:v>
      </x:c>
      <x:c r="J28" s="465"/>
      <x:c r="K28" s="465"/>
      <x:c r="L28" s="465"/>
      <x:c r="M28" s="465"/>
      <x:c r="N28" s="465"/>
      <x:c r="O28" s="465"/>
      <x:c r="P28" s="465"/>
      <x:c r="Q28" s="465"/>
      <x:c r="R28" s="465"/>
      <x:c r="S28" s="465"/>
      <x:c r="T28" s="465"/>
      <x:c r="U28" s="465"/>
      <x:c r="V28" s="465"/>
      <x:c r="W28" s="465"/>
      <x:c r="X28" s="465"/>
      <x:c r="Y28" s="465"/>
      <x:c r="Z28" s="465"/>
    </x:row>
    <x:row r="29">
      <x:c r="A29" s="465" t="n">
        <x:v>6</x:v>
      </x:c>
      <x:c r="B29" s="498" t="n">
        <x:v>0.006958361715078354</x:v>
      </x:c>
      <x:c r="C29" s="498" t="n">
        <x:v>0.0037761140353745055</x:v>
      </x:c>
      <x:c r="D29" s="497" t="n">
        <x:v>61174</x:v>
      </x:c>
      <x:c r="E29" s="465"/>
      <x:c r="F29" s="465" t="n">
        <x:v>6</x:v>
      </x:c>
      <x:c r="G29" s="498" t="n">
        <x:v>0.0004660066915675998</x:v>
      </x:c>
      <x:c r="H29" s="498" t="n">
        <x:v>0.00019616176807140287</x:v>
      </x:c>
      <x:c r="I29" s="497" t="n">
        <x:v>61174</x:v>
      </x:c>
      <x:c r="J29" s="465"/>
      <x:c r="K29" s="465"/>
      <x:c r="L29" s="465"/>
      <x:c r="M29" s="465"/>
      <x:c r="N29" s="465"/>
      <x:c r="O29" s="465"/>
      <x:c r="P29" s="465"/>
      <x:c r="Q29" s="465"/>
      <x:c r="R29" s="465"/>
      <x:c r="S29" s="465"/>
      <x:c r="T29" s="465"/>
      <x:c r="U29" s="465"/>
      <x:c r="V29" s="465"/>
      <x:c r="W29" s="465"/>
      <x:c r="X29" s="465"/>
      <x:c r="Y29" s="465"/>
      <x:c r="Z29" s="465"/>
    </x:row>
    <x:row r="30">
      <x:c r="A30" s="465" t="n">
        <x:v>7</x:v>
      </x:c>
      <x:c r="B30" s="498" t="n">
        <x:v>0.012434246949851513</x:v>
      </x:c>
      <x:c r="C30" s="498" t="n">
        <x:v>0.007862817536862066</x:v>
      </x:c>
      <x:c r="D30" s="497" t="n">
        <x:v>61174</x:v>
      </x:c>
      <x:c r="E30" s="465"/>
      <x:c r="F30" s="465" t="n">
        <x:v>7</x:v>
      </x:c>
      <x:c r="G30" s="498" t="n">
        <x:v>0.0008676689467392862</x:v>
      </x:c>
      <x:c r="H30" s="498" t="n">
        <x:v>0.00039232353614280575</x:v>
      </x:c>
      <x:c r="I30" s="497" t="n">
        <x:v>61174</x:v>
      </x:c>
      <x:c r="J30" s="465"/>
      <x:c r="K30" s="465"/>
      <x:c r="L30" s="465"/>
      <x:c r="M30" s="465"/>
      <x:c r="N30" s="465"/>
      <x:c r="O30" s="465"/>
      <x:c r="P30" s="465"/>
      <x:c r="Q30" s="465"/>
      <x:c r="R30" s="465"/>
      <x:c r="S30" s="465"/>
      <x:c r="T30" s="465"/>
      <x:c r="U30" s="465"/>
      <x:c r="V30" s="465"/>
      <x:c r="W30" s="465"/>
      <x:c r="X30" s="465"/>
      <x:c r="Y30" s="465"/>
      <x:c r="Z30" s="465"/>
    </x:row>
    <x:row r="31">
      <x:c r="A31" s="465" t="n">
        <x:v>8</x:v>
      </x:c>
      <x:c r="B31" s="498" t="n">
        <x:v>0.024721307680010796</x:v>
      </x:c>
      <x:c r="C31" s="498" t="n">
        <x:v>0.021283551835747212</x:v>
      </x:c>
      <x:c r="D31" s="497" t="n">
        <x:v>61174</x:v>
      </x:c>
      <x:c r="E31" s="465"/>
      <x:c r="F31" s="465" t="n">
        <x:v>8</x:v>
      </x:c>
      <x:c r="G31" s="498" t="n">
        <x:v>0.001843316131271422</x:v>
      </x:c>
      <x:c r="H31" s="498" t="n">
        <x:v>0.0011769706084284173</x:v>
      </x:c>
      <x:c r="I31" s="497" t="n">
        <x:v>61174</x:v>
      </x:c>
      <x:c r="J31" s="465"/>
      <x:c r="K31" s="465"/>
      <x:c r="L31" s="465"/>
      <x:c r="M31" s="465"/>
      <x:c r="N31" s="465"/>
      <x:c r="O31" s="465"/>
      <x:c r="P31" s="465"/>
      <x:c r="Q31" s="465"/>
      <x:c r="R31" s="465"/>
      <x:c r="S31" s="465"/>
      <x:c r="T31" s="465"/>
      <x:c r="U31" s="465"/>
      <x:c r="V31" s="465"/>
      <x:c r="W31" s="465"/>
      <x:c r="X31" s="465"/>
      <x:c r="Y31" s="465"/>
      <x:c r="Z31" s="465"/>
    </x:row>
    <x:row r="32">
      <x:c r="A32" s="465" t="n">
        <x:v>9</x:v>
      </x:c>
      <x:c r="B32" s="498" t="n">
        <x:v>0.05900527164340019</x:v>
      </x:c>
      <x:c r="C32" s="498" t="n">
        <x:v>0.055922450714355774</x:v>
      </x:c>
      <x:c r="D32" s="497" t="n">
        <x:v>61174</x:v>
      </x:c>
      <x:c r="E32" s="465"/>
      <x:c r="F32" s="465" t="n">
        <x:v>9</x:v>
      </x:c>
      <x:c r="G32" s="498" t="n">
        <x:v>0.005185890011489391</x:v>
      </x:c>
      <x:c r="H32" s="498" t="n">
        <x:v>0.003939582175434008</x:v>
      </x:c>
      <x:c r="I32" s="497" t="n">
        <x:v>61174</x:v>
      </x:c>
      <x:c r="J32" s="465"/>
      <x:c r="K32" s="465"/>
      <x:c r="L32" s="465"/>
      <x:c r="M32" s="465"/>
      <x:c r="N32" s="465"/>
      <x:c r="O32" s="465"/>
      <x:c r="P32" s="465"/>
      <x:c r="Q32" s="465"/>
      <x:c r="R32" s="465"/>
      <x:c r="S32" s="465"/>
      <x:c r="T32" s="465"/>
      <x:c r="U32" s="465"/>
      <x:c r="V32" s="465"/>
      <x:c r="W32" s="465"/>
      <x:c r="X32" s="465"/>
      <x:c r="Y32" s="465"/>
      <x:c r="Z32" s="465"/>
    </x:row>
    <x:row r="33">
      <x:c r="A33" s="465" t="n">
        <x:v>10</x:v>
      </x:c>
      <x:c r="B33" s="498" t="n">
        <x:v>0.2096928209066391</x:v>
      </x:c>
      <x:c r="C33" s="498" t="n">
        <x:v>0.18625255414793626</x:v>
      </x:c>
      <x:c r="D33" s="497" t="n">
        <x:v>61175</x:v>
      </x:c>
      <x:c r="E33" s="465"/>
      <x:c r="F33" s="465" t="n">
        <x:v>10</x:v>
      </x:c>
      <x:c r="G33" s="498" t="n">
        <x:v>0.052902888506650925</x:v>
      </x:c>
      <x:c r="H33" s="498" t="n">
        <x:v>0.041176951369023294</x:v>
      </x:c>
      <x:c r="I33" s="497" t="n">
        <x:v>61175</x:v>
      </x:c>
      <x:c r="J33" s="465"/>
      <x:c r="K33" s="465"/>
      <x:c r="L33" s="465"/>
      <x:c r="M33" s="465"/>
      <x:c r="N33" s="465"/>
      <x:c r="O33" s="465"/>
      <x:c r="P33" s="465"/>
      <x:c r="Q33" s="465"/>
      <x:c r="R33" s="465"/>
      <x:c r="S33" s="465"/>
      <x:c r="T33" s="465"/>
      <x:c r="U33" s="465"/>
      <x:c r="V33" s="465"/>
      <x:c r="W33" s="465"/>
      <x:c r="X33" s="465"/>
      <x:c r="Y33" s="465"/>
      <x:c r="Z33" s="465"/>
    </x:row>
    <x:row r="34">
      <x:c r="A34" s="465"/>
      <x:c r="B34" s="465"/>
      <x:c r="C34" s="465"/>
      <x:c r="D34" s="465"/>
      <x:c r="E34" s="465"/>
      <x:c r="F34" s="465"/>
      <x:c r="G34" s="465"/>
      <x:c r="H34" s="465"/>
      <x:c r="I34" s="465"/>
      <x:c r="J34" s="465"/>
      <x:c r="K34" s="465"/>
      <x:c r="L34" s="465"/>
      <x:c r="M34" s="465"/>
      <x:c r="N34" s="465"/>
      <x:c r="O34" s="465"/>
      <x:c r="P34" s="465"/>
      <x:c r="Q34" s="465"/>
      <x:c r="R34" s="465"/>
      <x:c r="S34" s="465"/>
      <x:c r="T34" s="465"/>
      <x:c r="U34" s="465"/>
      <x:c r="V34" s="465"/>
      <x:c r="W34" s="465"/>
      <x:c r="X34" s="465"/>
      <x:c r="Y34" s="465"/>
      <x:c r="Z34" s="465"/>
    </x:row>
    <x:row r="35">
      <x:c r="A35" s="465"/>
      <x:c r="B35" s="465"/>
      <x:c r="C35" s="465"/>
      <x:c r="D35" s="465"/>
      <x:c r="E35" s="465"/>
      <x:c r="F35" s="465"/>
      <x:c r="G35" s="465"/>
      <x:c r="H35" s="465"/>
      <x:c r="I35" s="465"/>
      <x:c r="J35" s="465"/>
      <x:c r="K35" s="465"/>
      <x:c r="L35" s="465"/>
      <x:c r="M35" s="465"/>
      <x:c r="N35" s="465"/>
      <x:c r="O35" s="465"/>
      <x:c r="P35" s="465"/>
      <x:c r="Q35" s="465"/>
      <x:c r="R35" s="465"/>
      <x:c r="S35" s="465"/>
      <x:c r="T35" s="465"/>
      <x:c r="U35" s="465"/>
      <x:c r="V35" s="465"/>
      <x:c r="W35" s="465"/>
      <x:c r="X35" s="465"/>
      <x:c r="Y35" s="465"/>
      <x:c r="Z35" s="465"/>
    </x:row>
    <x:row r="36">
      <x:c r="A36" s="465"/>
      <x:c r="B36" s="465"/>
      <x:c r="C36" s="465"/>
      <x:c r="D36" s="465"/>
      <x:c r="E36" s="465"/>
      <x:c r="F36" s="465"/>
      <x:c r="G36" s="465"/>
      <x:c r="H36" s="465"/>
      <x:c r="I36" s="465"/>
      <x:c r="J36" s="465"/>
      <x:c r="K36" s="465"/>
      <x:c r="L36" s="465"/>
      <x:c r="M36" s="465"/>
      <x:c r="N36" s="465"/>
      <x:c r="O36" s="465"/>
      <x:c r="P36" s="465"/>
      <x:c r="Q36" s="465"/>
      <x:c r="R36" s="465"/>
      <x:c r="S36" s="465"/>
      <x:c r="T36" s="465"/>
      <x:c r="U36" s="465"/>
      <x:c r="V36" s="465"/>
      <x:c r="W36" s="465"/>
      <x:c r="X36" s="465"/>
      <x:c r="Y36" s="465"/>
      <x:c r="Z36" s="465"/>
    </x:row>
    <x:row r="37">
      <x:c r="A37" s="465"/>
      <x:c r="B37" s="465"/>
      <x:c r="C37" s="465"/>
      <x:c r="D37" s="465"/>
      <x:c r="E37" s="465"/>
      <x:c r="F37" s="465"/>
      <x:c r="G37" s="465"/>
      <x:c r="H37" s="465"/>
      <x:c r="I37" s="465"/>
      <x:c r="J37" s="465"/>
      <x:c r="K37" s="465"/>
      <x:c r="L37" s="465"/>
      <x:c r="M37" s="465"/>
      <x:c r="N37" s="465"/>
      <x:c r="O37" s="465"/>
      <x:c r="P37" s="465"/>
      <x:c r="Q37" s="465"/>
      <x:c r="R37" s="465"/>
      <x:c r="S37" s="465"/>
      <x:c r="T37" s="465"/>
      <x:c r="U37" s="465"/>
      <x:c r="V37" s="465"/>
      <x:c r="W37" s="465"/>
      <x:c r="X37" s="465"/>
      <x:c r="Y37" s="465"/>
      <x:c r="Z37" s="465"/>
    </x:row>
    <x:row r="38">
      <x:c r="A38" s="465"/>
      <x:c r="B38" s="465"/>
      <x:c r="C38" s="465"/>
      <x:c r="D38" s="465"/>
      <x:c r="E38" s="465"/>
      <x:c r="F38" s="465"/>
      <x:c r="G38" s="465"/>
      <x:c r="H38" s="465"/>
      <x:c r="I38" s="465"/>
      <x:c r="J38" s="465"/>
      <x:c r="K38" s="465"/>
      <x:c r="L38" s="465"/>
      <x:c r="M38" s="465"/>
      <x:c r="N38" s="465"/>
      <x:c r="O38" s="465"/>
      <x:c r="P38" s="465"/>
      <x:c r="Q38" s="465"/>
      <x:c r="R38" s="465"/>
      <x:c r="S38" s="465"/>
      <x:c r="T38" s="465"/>
      <x:c r="U38" s="465"/>
      <x:c r="V38" s="465"/>
      <x:c r="W38" s="465"/>
      <x:c r="X38" s="465"/>
      <x:c r="Y38" s="465"/>
      <x:c r="Z38" s="465"/>
    </x:row>
    <x:row r="39">
      <x:c r="A39" s="465"/>
      <x:c r="B39" s="465"/>
      <x:c r="C39" s="465"/>
      <x:c r="D39" s="465"/>
      <x:c r="E39" s="465"/>
      <x:c r="F39" s="465"/>
      <x:c r="G39" s="465"/>
      <x:c r="H39" s="465"/>
      <x:c r="I39" s="465"/>
      <x:c r="J39" s="465"/>
      <x:c r="K39" s="465"/>
      <x:c r="L39" s="465"/>
      <x:c r="M39" s="465"/>
      <x:c r="N39" s="465"/>
      <x:c r="O39" s="465"/>
      <x:c r="P39" s="465"/>
      <x:c r="Q39" s="465"/>
      <x:c r="R39" s="465"/>
      <x:c r="S39" s="465"/>
      <x:c r="T39" s="465"/>
      <x:c r="U39" s="465"/>
      <x:c r="V39" s="465"/>
      <x:c r="W39" s="465"/>
      <x:c r="X39" s="465"/>
      <x:c r="Y39" s="465"/>
      <x:c r="Z39" s="465"/>
    </x:row>
    <x:row r="40">
      <x:c r="A40" s="465"/>
      <x:c r="B40" s="465"/>
      <x:c r="C40" s="465"/>
      <x:c r="D40" s="465"/>
      <x:c r="E40" s="465"/>
      <x:c r="F40" s="465"/>
      <x:c r="G40" s="465"/>
      <x:c r="H40" s="465"/>
      <x:c r="I40" s="465"/>
      <x:c r="J40" s="465"/>
      <x:c r="K40" s="465"/>
      <x:c r="L40" s="465"/>
      <x:c r="M40" s="465"/>
      <x:c r="N40" s="465"/>
      <x:c r="O40" s="465"/>
      <x:c r="P40" s="465"/>
      <x:c r="Q40" s="465"/>
      <x:c r="R40" s="465"/>
      <x:c r="S40" s="465"/>
      <x:c r="T40" s="465"/>
      <x:c r="U40" s="465"/>
      <x:c r="V40" s="465"/>
      <x:c r="W40" s="465"/>
      <x:c r="X40" s="465"/>
      <x:c r="Y40" s="465"/>
      <x:c r="Z40" s="465"/>
    </x:row>
    <x:row r="41">
      <x:c r="A41" s="465"/>
      <x:c r="B41" s="465"/>
      <x:c r="C41" s="465"/>
      <x:c r="D41" s="465"/>
      <x:c r="E41" s="465"/>
      <x:c r="F41" s="465"/>
      <x:c r="G41" s="465"/>
      <x:c r="H41" s="465"/>
      <x:c r="I41" s="465"/>
      <x:c r="J41" s="465"/>
      <x:c r="K41" s="465"/>
      <x:c r="L41" s="465"/>
      <x:c r="M41" s="465"/>
      <x:c r="N41" s="465"/>
      <x:c r="O41" s="465"/>
      <x:c r="P41" s="465"/>
      <x:c r="Q41" s="465"/>
      <x:c r="R41" s="465"/>
      <x:c r="S41" s="465"/>
      <x:c r="T41" s="465"/>
      <x:c r="U41" s="465"/>
      <x:c r="V41" s="465"/>
      <x:c r="W41" s="465"/>
      <x:c r="X41" s="465"/>
      <x:c r="Y41" s="465"/>
      <x:c r="Z41" s="465"/>
    </x:row>
    <x:row r="42">
      <x:c r="A42" s="465"/>
      <x:c r="B42" s="465"/>
      <x:c r="C42" s="465"/>
      <x:c r="D42" s="465"/>
      <x:c r="E42" s="465"/>
      <x:c r="F42" s="465"/>
      <x:c r="G42" s="465"/>
      <x:c r="H42" s="465"/>
      <x:c r="I42" s="465"/>
      <x:c r="J42" s="465"/>
      <x:c r="K42" s="465"/>
      <x:c r="L42" s="465"/>
      <x:c r="M42" s="465"/>
      <x:c r="N42" s="465"/>
      <x:c r="O42" s="465"/>
      <x:c r="P42" s="465"/>
      <x:c r="Q42" s="465"/>
      <x:c r="R42" s="465"/>
      <x:c r="S42" s="465"/>
      <x:c r="T42" s="465"/>
      <x:c r="U42" s="465"/>
      <x:c r="V42" s="465"/>
      <x:c r="W42" s="465"/>
      <x:c r="X42" s="465"/>
      <x:c r="Y42" s="465"/>
      <x:c r="Z42" s="465"/>
    </x:row>
    <x:row r="43">
      <x:c r="A43" s="465"/>
      <x:c r="B43" s="465"/>
      <x:c r="C43" s="465"/>
      <x:c r="D43" s="465"/>
      <x:c r="E43" s="465"/>
      <x:c r="F43" s="465"/>
      <x:c r="G43" s="465"/>
      <x:c r="H43" s="465"/>
      <x:c r="I43" s="465"/>
      <x:c r="J43" s="465"/>
      <x:c r="K43" s="465"/>
      <x:c r="L43" s="465"/>
      <x:c r="M43" s="465"/>
      <x:c r="N43" s="465"/>
      <x:c r="O43" s="465"/>
      <x:c r="P43" s="465"/>
      <x:c r="Q43" s="465"/>
      <x:c r="R43" s="465"/>
      <x:c r="S43" s="465"/>
      <x:c r="T43" s="465"/>
      <x:c r="U43" s="465"/>
      <x:c r="V43" s="465"/>
      <x:c r="W43" s="465"/>
      <x:c r="X43" s="465"/>
      <x:c r="Y43" s="465"/>
      <x:c r="Z43" s="465"/>
    </x:row>
    <x:row r="44">
      <x:c r="A44" s="465"/>
      <x:c r="B44" s="465"/>
      <x:c r="C44" s="465"/>
      <x:c r="D44" s="465"/>
      <x:c r="E44" s="465"/>
      <x:c r="F44" s="465"/>
      <x:c r="G44" s="465"/>
      <x:c r="H44" s="465"/>
      <x:c r="I44" s="465"/>
      <x:c r="J44" s="465"/>
      <x:c r="K44" s="465"/>
      <x:c r="L44" s="465"/>
      <x:c r="M44" s="465"/>
      <x:c r="N44" s="465"/>
      <x:c r="O44" s="465"/>
      <x:c r="P44" s="465"/>
      <x:c r="Q44" s="465"/>
      <x:c r="R44" s="465"/>
      <x:c r="S44" s="465"/>
      <x:c r="T44" s="465"/>
      <x:c r="U44" s="465"/>
      <x:c r="V44" s="465"/>
      <x:c r="W44" s="465"/>
      <x:c r="X44" s="465"/>
      <x:c r="Y44" s="465"/>
      <x:c r="Z44" s="465"/>
    </x:row>
    <x:row r="45">
      <x:c r="A45" s="465"/>
      <x:c r="B45" s="465"/>
      <x:c r="C45" s="465"/>
      <x:c r="D45" s="465"/>
      <x:c r="E45" s="465"/>
      <x:c r="F45" s="465"/>
      <x:c r="G45" s="465"/>
      <x:c r="H45" s="465"/>
      <x:c r="I45" s="465"/>
      <x:c r="J45" s="465"/>
      <x:c r="K45" s="465"/>
      <x:c r="L45" s="465"/>
      <x:c r="M45" s="465"/>
      <x:c r="N45" s="465"/>
      <x:c r="O45" s="465"/>
      <x:c r="P45" s="465"/>
      <x:c r="Q45" s="465"/>
      <x:c r="R45" s="465"/>
      <x:c r="S45" s="465"/>
      <x:c r="T45" s="465"/>
      <x:c r="U45" s="465"/>
      <x:c r="V45" s="465"/>
      <x:c r="W45" s="465"/>
      <x:c r="X45" s="465"/>
      <x:c r="Y45" s="465"/>
      <x:c r="Z45" s="465"/>
    </x:row>
    <x:row r="46">
      <x:c r="A46" s="465"/>
      <x:c r="B46" s="465"/>
      <x:c r="C46" s="465"/>
      <x:c r="D46" s="465"/>
      <x:c r="E46" s="465"/>
      <x:c r="F46" s="465"/>
      <x:c r="G46" s="465"/>
      <x:c r="H46" s="465"/>
      <x:c r="I46" s="465"/>
      <x:c r="J46" s="465"/>
      <x:c r="K46" s="465"/>
      <x:c r="L46" s="465"/>
      <x:c r="M46" s="465"/>
      <x:c r="N46" s="465"/>
      <x:c r="O46" s="465"/>
      <x:c r="P46" s="465"/>
      <x:c r="Q46" s="465"/>
      <x:c r="R46" s="465"/>
      <x:c r="S46" s="465"/>
      <x:c r="T46" s="465"/>
      <x:c r="U46" s="465"/>
      <x:c r="V46" s="465"/>
      <x:c r="W46" s="465"/>
      <x:c r="X46" s="465"/>
      <x:c r="Y46" s="465"/>
      <x:c r="Z46" s="465"/>
    </x:row>
    <x:row r="47">
      <x:c r="A47" s="465"/>
      <x:c r="B47" s="465"/>
      <x:c r="C47" s="465"/>
      <x:c r="D47" s="465"/>
      <x:c r="E47" s="465"/>
      <x:c r="F47" s="465"/>
      <x:c r="G47" s="465"/>
      <x:c r="H47" s="465"/>
      <x:c r="I47" s="465"/>
      <x:c r="J47" s="465"/>
      <x:c r="K47" s="465"/>
      <x:c r="L47" s="465"/>
      <x:c r="M47" s="465"/>
      <x:c r="N47" s="465"/>
      <x:c r="O47" s="465"/>
      <x:c r="P47" s="465"/>
      <x:c r="Q47" s="465"/>
      <x:c r="R47" s="465"/>
      <x:c r="S47" s="465"/>
      <x:c r="T47" s="465"/>
      <x:c r="U47" s="465"/>
      <x:c r="V47" s="465"/>
      <x:c r="W47" s="465"/>
      <x:c r="X47" s="465"/>
      <x:c r="Y47" s="465"/>
      <x:c r="Z47" s="465"/>
    </x:row>
    <x:row r="48">
      <x:c r="A48" s="465"/>
      <x:c r="B48" s="465"/>
      <x:c r="C48" s="465"/>
      <x:c r="D48" s="465"/>
      <x:c r="E48" s="465"/>
      <x:c r="F48" s="465"/>
      <x:c r="G48" s="465"/>
      <x:c r="H48" s="465"/>
      <x:c r="I48" s="465"/>
      <x:c r="J48" s="465"/>
      <x:c r="K48" s="465"/>
      <x:c r="L48" s="465"/>
      <x:c r="M48" s="465"/>
      <x:c r="N48" s="465"/>
      <x:c r="O48" s="465"/>
      <x:c r="P48" s="465"/>
      <x:c r="Q48" s="465"/>
      <x:c r="R48" s="465"/>
      <x:c r="S48" s="465"/>
      <x:c r="T48" s="465"/>
      <x:c r="U48" s="465"/>
      <x:c r="V48" s="465"/>
      <x:c r="W48" s="465"/>
      <x:c r="X48" s="465"/>
      <x:c r="Y48" s="465"/>
      <x:c r="Z48" s="465"/>
    </x:row>
    <x:row r="49">
      <x:c r="A49" s="465"/>
      <x:c r="B49" s="465"/>
      <x:c r="C49" s="465"/>
      <x:c r="D49" s="465"/>
      <x:c r="E49" s="465"/>
      <x:c r="F49" s="465"/>
      <x:c r="G49" s="465"/>
      <x:c r="H49" s="465"/>
      <x:c r="I49" s="465"/>
      <x:c r="J49" s="465"/>
      <x:c r="K49" s="465"/>
      <x:c r="L49" s="465"/>
      <x:c r="M49" s="465"/>
      <x:c r="N49" s="465"/>
      <x:c r="O49" s="465"/>
      <x:c r="P49" s="465"/>
      <x:c r="Q49" s="465"/>
      <x:c r="R49" s="465"/>
      <x:c r="S49" s="465"/>
      <x:c r="T49" s="465"/>
      <x:c r="U49" s="465"/>
      <x:c r="V49" s="465"/>
      <x:c r="W49" s="465"/>
      <x:c r="X49" s="465"/>
      <x:c r="Y49" s="465"/>
      <x:c r="Z49" s="465"/>
    </x:row>
    <x:row r="50">
      <x:c r="A50" s="465"/>
      <x:c r="B50" s="465"/>
      <x:c r="C50" s="465"/>
      <x:c r="D50" s="465"/>
      <x:c r="E50" s="465"/>
      <x:c r="F50" s="465"/>
      <x:c r="G50" s="465"/>
      <x:c r="H50" s="465"/>
      <x:c r="I50" s="465"/>
      <x:c r="J50" s="465"/>
      <x:c r="K50" s="465"/>
      <x:c r="L50" s="465"/>
      <x:c r="M50" s="465"/>
      <x:c r="N50" s="465"/>
      <x:c r="O50" s="465"/>
      <x:c r="P50" s="465"/>
      <x:c r="Q50" s="465"/>
      <x:c r="R50" s="465"/>
      <x:c r="S50" s="465"/>
      <x:c r="T50" s="465"/>
      <x:c r="U50" s="465"/>
      <x:c r="V50" s="465"/>
      <x:c r="W50" s="465"/>
      <x:c r="X50" s="465"/>
      <x:c r="Y50" s="465"/>
      <x:c r="Z50" s="465"/>
    </x:row>
    <x:row r="51">
      <x:c r="A51" s="465"/>
      <x:c r="B51" s="465"/>
      <x:c r="C51" s="465"/>
      <x:c r="D51" s="465"/>
      <x:c r="E51" s="465"/>
      <x:c r="F51" s="465"/>
      <x:c r="G51" s="465"/>
      <x:c r="H51" s="465"/>
      <x:c r="I51" s="465"/>
      <x:c r="J51" s="465"/>
      <x:c r="K51" s="465"/>
      <x:c r="L51" s="465"/>
      <x:c r="M51" s="465"/>
      <x:c r="N51" s="465"/>
      <x:c r="O51" s="465"/>
      <x:c r="P51" s="465"/>
      <x:c r="Q51" s="465"/>
      <x:c r="R51" s="465"/>
      <x:c r="S51" s="465"/>
      <x:c r="T51" s="465"/>
      <x:c r="U51" s="465"/>
      <x:c r="V51" s="465"/>
      <x:c r="W51" s="465"/>
      <x:c r="X51" s="465"/>
      <x:c r="Y51" s="465"/>
      <x:c r="Z51" s="465"/>
    </x:row>
    <x:row r="52">
      <x:c r="A52" s="465"/>
      <x:c r="B52" s="465"/>
      <x:c r="C52" s="465"/>
      <x:c r="D52" s="465"/>
      <x:c r="E52" s="465"/>
      <x:c r="F52" s="465"/>
      <x:c r="G52" s="465"/>
      <x:c r="H52" s="465"/>
      <x:c r="I52" s="465"/>
      <x:c r="J52" s="465"/>
      <x:c r="K52" s="465"/>
      <x:c r="L52" s="465"/>
      <x:c r="M52" s="465"/>
      <x:c r="N52" s="465"/>
      <x:c r="O52" s="465"/>
      <x:c r="P52" s="465"/>
      <x:c r="Q52" s="465"/>
      <x:c r="R52" s="465"/>
      <x:c r="S52" s="465"/>
      <x:c r="T52" s="465"/>
      <x:c r="U52" s="465"/>
      <x:c r="V52" s="465"/>
      <x:c r="W52" s="465"/>
      <x:c r="X52" s="465"/>
      <x:c r="Y52" s="465"/>
      <x:c r="Z52" s="465"/>
    </x:row>
    <x:row r="53">
      <x:c r="A53" s="465"/>
      <x:c r="B53" s="465"/>
      <x:c r="C53" s="465"/>
      <x:c r="D53" s="465"/>
      <x:c r="E53" s="465"/>
      <x:c r="F53" s="465"/>
      <x:c r="G53" s="465"/>
      <x:c r="H53" s="465"/>
      <x:c r="I53" s="465"/>
      <x:c r="J53" s="465"/>
      <x:c r="K53" s="465"/>
      <x:c r="L53" s="465"/>
      <x:c r="M53" s="465"/>
      <x:c r="N53" s="465"/>
      <x:c r="O53" s="465"/>
      <x:c r="P53" s="465"/>
      <x:c r="Q53" s="465"/>
      <x:c r="R53" s="465"/>
      <x:c r="S53" s="465"/>
      <x:c r="T53" s="465"/>
      <x:c r="U53" s="465"/>
      <x:c r="V53" s="465"/>
      <x:c r="W53" s="465"/>
      <x:c r="X53" s="465"/>
      <x:c r="Y53" s="465"/>
      <x:c r="Z53" s="465"/>
    </x:row>
    <x:row r="54">
      <x:c r="A54" s="79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B54" s="80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C54" s="80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D54" s="80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E54" s="80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F54" s="80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G54" s="80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H54" s="80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I54" s="80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J54" s="81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K54" s="465"/>
      <x:c r="L54" s="465"/>
      <x:c r="M54" s="465"/>
      <x:c r="N54" s="465"/>
      <x:c r="O54" s="465"/>
      <x:c r="P54" s="465"/>
      <x:c r="Q54" s="465"/>
      <x:c r="R54" s="465"/>
      <x:c r="S54" s="465"/>
      <x:c r="T54" s="465"/>
      <x:c r="U54" s="465"/>
      <x:c r="V54" s="465"/>
      <x:c r="W54" s="465"/>
      <x:c r="X54" s="465"/>
      <x:c r="Y54" s="465"/>
      <x:c r="Z54" s="465"/>
    </x:row>
    <x:row r="55">
      <x:c r="A55" s="101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B55" s="102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C55" s="102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D55" s="102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E55" s="102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F55" s="102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G55" s="102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H55" s="102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I55" s="102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J55" s="103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K55" s="465"/>
      <x:c r="L55" s="465"/>
      <x:c r="M55" s="465"/>
      <x:c r="N55" s="465"/>
      <x:c r="O55" s="465"/>
      <x:c r="P55" s="465"/>
      <x:c r="Q55" s="465"/>
      <x:c r="R55" s="465"/>
      <x:c r="S55" s="465"/>
      <x:c r="T55" s="465"/>
      <x:c r="U55" s="465"/>
      <x:c r="V55" s="465"/>
      <x:c r="W55" s="465"/>
      <x:c r="X55" s="465"/>
      <x:c r="Y55" s="465"/>
      <x:c r="Z55" s="465"/>
    </x:row>
    <x:row r="56">
      <x:c r="A56" s="101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B56" s="102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C56" s="102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D56" s="102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E56" s="102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F56" s="102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G56" s="102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H56" s="102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I56" s="102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J56" s="103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K56" s="465"/>
      <x:c r="L56" s="465"/>
      <x:c r="M56" s="465"/>
      <x:c r="N56" s="465"/>
      <x:c r="O56" s="465"/>
      <x:c r="P56" s="465"/>
      <x:c r="Q56" s="465"/>
      <x:c r="R56" s="465"/>
      <x:c r="S56" s="465"/>
      <x:c r="T56" s="465"/>
      <x:c r="U56" s="465"/>
      <x:c r="V56" s="465"/>
      <x:c r="W56" s="465"/>
      <x:c r="X56" s="465"/>
      <x:c r="Y56" s="465"/>
      <x:c r="Z56" s="465"/>
    </x:row>
    <x:row r="57">
      <x:c r="A57" s="82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B57" s="83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C57" s="83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D57" s="83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E57" s="83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F57" s="83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G57" s="83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H57" s="83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I57" s="83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J57" s="84" t="str">
        <x:v>可靠度圖用來檢查風險機率是否接近實際比例。最高風險十分位仍略有高估，因此單筆風險值應視為排序與相對風險，不宜解讀成精確承諾。Logistic 與 LightGBM 都使用校準後機率；尤其滿柱 Logistic 的原始分數不可直接當機率。</x:v>
      </x:c>
      <x:c r="K57" s="465"/>
      <x:c r="L57" s="465"/>
      <x:c r="M57" s="465"/>
      <x:c r="N57" s="465"/>
      <x:c r="O57" s="465"/>
      <x:c r="P57" s="465"/>
      <x:c r="Q57" s="465"/>
      <x:c r="R57" s="465"/>
      <x:c r="S57" s="465"/>
      <x:c r="T57" s="465"/>
      <x:c r="U57" s="465"/>
      <x:c r="V57" s="465"/>
      <x:c r="W57" s="465"/>
      <x:c r="X57" s="465"/>
      <x:c r="Y57" s="465"/>
      <x:c r="Z57" s="465"/>
    </x:row>
    <x:row r="58">
      <x:c r="A58" s="465"/>
      <x:c r="B58" s="465"/>
      <x:c r="C58" s="465"/>
      <x:c r="D58" s="465"/>
      <x:c r="E58" s="465"/>
      <x:c r="F58" s="465"/>
      <x:c r="G58" s="465"/>
      <x:c r="H58" s="465"/>
      <x:c r="I58" s="465"/>
      <x:c r="J58" s="465"/>
      <x:c r="K58" s="465"/>
      <x:c r="L58" s="465"/>
      <x:c r="M58" s="465"/>
      <x:c r="N58" s="465"/>
      <x:c r="O58" s="465"/>
      <x:c r="P58" s="465"/>
      <x:c r="Q58" s="465"/>
      <x:c r="R58" s="465"/>
      <x:c r="S58" s="465"/>
      <x:c r="T58" s="465"/>
      <x:c r="U58" s="465"/>
      <x:c r="V58" s="465"/>
      <x:c r="W58" s="465"/>
      <x:c r="X58" s="465"/>
      <x:c r="Y58" s="465"/>
      <x:c r="Z58" s="465"/>
    </x:row>
    <x:row r="59">
      <x:c r="A59" s="465"/>
      <x:c r="B59" s="465"/>
      <x:c r="C59" s="465"/>
      <x:c r="D59" s="465"/>
      <x:c r="E59" s="465"/>
      <x:c r="F59" s="465"/>
      <x:c r="G59" s="465"/>
      <x:c r="H59" s="465"/>
      <x:c r="I59" s="465"/>
      <x:c r="J59" s="465"/>
      <x:c r="K59" s="465"/>
      <x:c r="L59" s="465"/>
      <x:c r="M59" s="465"/>
      <x:c r="N59" s="465"/>
      <x:c r="O59" s="465"/>
      <x:c r="P59" s="465"/>
      <x:c r="Q59" s="465"/>
      <x:c r="R59" s="465"/>
      <x:c r="S59" s="465"/>
      <x:c r="T59" s="465"/>
      <x:c r="U59" s="465"/>
      <x:c r="V59" s="465"/>
      <x:c r="W59" s="465"/>
      <x:c r="X59" s="465"/>
      <x:c r="Y59" s="465"/>
      <x:c r="Z59" s="465"/>
    </x:row>
    <x:row r="60">
      <x:c r="A60" s="465"/>
      <x:c r="B60" s="465"/>
      <x:c r="C60" s="465"/>
      <x:c r="D60" s="465"/>
      <x:c r="E60" s="465"/>
      <x:c r="F60" s="465"/>
      <x:c r="G60" s="465"/>
      <x:c r="H60" s="465"/>
      <x:c r="I60" s="465"/>
      <x:c r="J60" s="465"/>
      <x:c r="K60" s="465"/>
      <x:c r="L60" s="465"/>
      <x:c r="M60" s="465"/>
      <x:c r="N60" s="465"/>
      <x:c r="O60" s="465"/>
      <x:c r="P60" s="465"/>
      <x:c r="Q60" s="465"/>
      <x:c r="R60" s="465"/>
      <x:c r="S60" s="465"/>
      <x:c r="T60" s="465"/>
      <x:c r="U60" s="465"/>
      <x:c r="V60" s="465"/>
      <x:c r="W60" s="465"/>
      <x:c r="X60" s="465"/>
      <x:c r="Y60" s="465"/>
      <x:c r="Z60" s="465"/>
    </x:row>
    <x:row r="61">
      <x:c r="A61" s="465"/>
      <x:c r="B61" s="465"/>
      <x:c r="C61" s="465"/>
      <x:c r="D61" s="465"/>
      <x:c r="E61" s="465"/>
      <x:c r="F61" s="465"/>
      <x:c r="G61" s="465"/>
      <x:c r="H61" s="465"/>
      <x:c r="I61" s="465"/>
      <x:c r="J61" s="465"/>
      <x:c r="K61" s="465"/>
      <x:c r="L61" s="465"/>
      <x:c r="M61" s="465"/>
      <x:c r="N61" s="465"/>
      <x:c r="O61" s="465"/>
      <x:c r="P61" s="465"/>
      <x:c r="Q61" s="465"/>
      <x:c r="R61" s="465"/>
      <x:c r="S61" s="465"/>
      <x:c r="T61" s="465"/>
      <x:c r="U61" s="465"/>
      <x:c r="V61" s="465"/>
      <x:c r="W61" s="465"/>
      <x:c r="X61" s="465"/>
      <x:c r="Y61" s="465"/>
      <x:c r="Z61" s="465"/>
    </x:row>
    <x:row r="62">
      <x:c r="A62" s="465"/>
      <x:c r="B62" s="465"/>
      <x:c r="C62" s="465"/>
      <x:c r="D62" s="465"/>
      <x:c r="E62" s="465"/>
      <x:c r="F62" s="465"/>
      <x:c r="G62" s="465"/>
      <x:c r="H62" s="465"/>
      <x:c r="I62" s="465"/>
      <x:c r="J62" s="465"/>
      <x:c r="K62" s="465"/>
      <x:c r="L62" s="465"/>
      <x:c r="M62" s="465"/>
      <x:c r="N62" s="465"/>
      <x:c r="O62" s="465"/>
      <x:c r="P62" s="465"/>
      <x:c r="Q62" s="465"/>
      <x:c r="R62" s="465"/>
      <x:c r="S62" s="465"/>
      <x:c r="T62" s="465"/>
      <x:c r="U62" s="465"/>
      <x:c r="V62" s="465"/>
      <x:c r="W62" s="465"/>
      <x:c r="X62" s="465"/>
      <x:c r="Y62" s="465"/>
      <x:c r="Z62" s="465"/>
    </x:row>
    <x:row r="63">
      <x:c r="A63" s="465"/>
      <x:c r="B63" s="465"/>
      <x:c r="C63" s="465"/>
      <x:c r="D63" s="465"/>
      <x:c r="E63" s="465"/>
      <x:c r="F63" s="465"/>
      <x:c r="G63" s="465"/>
      <x:c r="H63" s="465"/>
      <x:c r="I63" s="465"/>
      <x:c r="J63" s="465"/>
      <x:c r="K63" s="465"/>
      <x:c r="L63" s="465"/>
      <x:c r="M63" s="465"/>
      <x:c r="N63" s="465"/>
      <x:c r="O63" s="465"/>
      <x:c r="P63" s="465"/>
      <x:c r="Q63" s="465"/>
      <x:c r="R63" s="465"/>
      <x:c r="S63" s="465"/>
      <x:c r="T63" s="465"/>
      <x:c r="U63" s="465"/>
      <x:c r="V63" s="465"/>
      <x:c r="W63" s="465"/>
      <x:c r="X63" s="465"/>
      <x:c r="Y63" s="465"/>
      <x:c r="Z63" s="465"/>
    </x:row>
    <x:row r="64">
      <x:c r="A64" s="465"/>
      <x:c r="B64" s="465"/>
      <x:c r="C64" s="465"/>
      <x:c r="D64" s="465"/>
      <x:c r="E64" s="465"/>
      <x:c r="F64" s="465"/>
      <x:c r="G64" s="465"/>
      <x:c r="H64" s="465"/>
      <x:c r="I64" s="465"/>
      <x:c r="J64" s="465"/>
      <x:c r="K64" s="465"/>
      <x:c r="L64" s="465"/>
      <x:c r="M64" s="465"/>
      <x:c r="N64" s="465"/>
      <x:c r="O64" s="465"/>
      <x:c r="P64" s="465"/>
      <x:c r="Q64" s="465"/>
      <x:c r="R64" s="465"/>
      <x:c r="S64" s="465"/>
      <x:c r="T64" s="465"/>
      <x:c r="U64" s="465"/>
      <x:c r="V64" s="465"/>
      <x:c r="W64" s="465"/>
      <x:c r="X64" s="465"/>
      <x:c r="Y64" s="465"/>
      <x:c r="Z64" s="465"/>
    </x:row>
    <x:row r="65">
      <x:c r="A65" s="465"/>
      <x:c r="B65" s="465"/>
      <x:c r="C65" s="465"/>
      <x:c r="D65" s="465"/>
      <x:c r="E65" s="465"/>
      <x:c r="F65" s="465"/>
      <x:c r="G65" s="465"/>
      <x:c r="H65" s="465"/>
      <x:c r="I65" s="465"/>
      <x:c r="J65" s="465"/>
      <x:c r="K65" s="465"/>
      <x:c r="L65" s="465"/>
      <x:c r="M65" s="465"/>
      <x:c r="N65" s="465"/>
      <x:c r="O65" s="465"/>
      <x:c r="P65" s="465"/>
      <x:c r="Q65" s="465"/>
      <x:c r="R65" s="465"/>
      <x:c r="S65" s="465"/>
      <x:c r="T65" s="465"/>
      <x:c r="U65" s="465"/>
      <x:c r="V65" s="465"/>
      <x:c r="W65" s="465"/>
      <x:c r="X65" s="465"/>
      <x:c r="Y65" s="465"/>
      <x:c r="Z65" s="465"/>
    </x:row>
    <x:row r="66">
      <x:c r="A66" s="465"/>
      <x:c r="B66" s="465"/>
      <x:c r="C66" s="465"/>
      <x:c r="D66" s="465"/>
      <x:c r="E66" s="465"/>
      <x:c r="F66" s="465"/>
      <x:c r="G66" s="465"/>
      <x:c r="H66" s="465"/>
      <x:c r="I66" s="465"/>
      <x:c r="J66" s="465"/>
      <x:c r="K66" s="465"/>
      <x:c r="L66" s="465"/>
      <x:c r="M66" s="465"/>
      <x:c r="N66" s="465"/>
      <x:c r="O66" s="465"/>
      <x:c r="P66" s="465"/>
      <x:c r="Q66" s="465"/>
      <x:c r="R66" s="465"/>
      <x:c r="S66" s="465"/>
      <x:c r="T66" s="465"/>
      <x:c r="U66" s="465"/>
      <x:c r="V66" s="465"/>
      <x:c r="W66" s="465"/>
      <x:c r="X66" s="465"/>
      <x:c r="Y66" s="465"/>
      <x:c r="Z66" s="465"/>
    </x:row>
    <x:row r="67">
      <x:c r="A67" s="465"/>
      <x:c r="B67" s="465"/>
      <x:c r="C67" s="465"/>
      <x:c r="D67" s="465"/>
      <x:c r="E67" s="465"/>
      <x:c r="F67" s="465"/>
      <x:c r="G67" s="465"/>
      <x:c r="H67" s="465"/>
      <x:c r="I67" s="465"/>
      <x:c r="J67" s="465"/>
      <x:c r="K67" s="465"/>
      <x:c r="L67" s="465"/>
      <x:c r="M67" s="465"/>
      <x:c r="N67" s="465"/>
      <x:c r="O67" s="465"/>
      <x:c r="P67" s="465"/>
      <x:c r="Q67" s="465"/>
      <x:c r="R67" s="465"/>
      <x:c r="S67" s="465"/>
      <x:c r="T67" s="465"/>
      <x:c r="U67" s="465"/>
      <x:c r="V67" s="465"/>
      <x:c r="W67" s="465"/>
      <x:c r="X67" s="465"/>
      <x:c r="Y67" s="465"/>
      <x:c r="Z67" s="465"/>
    </x:row>
    <x:row r="68">
      <x:c r="A68" s="465"/>
      <x:c r="B68" s="465"/>
      <x:c r="C68" s="465"/>
      <x:c r="D68" s="465"/>
      <x:c r="E68" s="465"/>
      <x:c r="F68" s="465"/>
      <x:c r="G68" s="465"/>
      <x:c r="H68" s="465"/>
      <x:c r="I68" s="465"/>
      <x:c r="J68" s="465"/>
      <x:c r="K68" s="465"/>
      <x:c r="L68" s="465"/>
      <x:c r="M68" s="465"/>
      <x:c r="N68" s="465"/>
      <x:c r="O68" s="465"/>
      <x:c r="P68" s="465"/>
      <x:c r="Q68" s="465"/>
      <x:c r="R68" s="465"/>
      <x:c r="S68" s="465"/>
      <x:c r="T68" s="465"/>
      <x:c r="U68" s="465"/>
      <x:c r="V68" s="465"/>
      <x:c r="W68" s="465"/>
      <x:c r="X68" s="465"/>
      <x:c r="Y68" s="465"/>
      <x:c r="Z68" s="465"/>
    </x:row>
    <x:row r="69">
      <x:c r="A69" s="465"/>
      <x:c r="B69" s="465"/>
      <x:c r="C69" s="465"/>
      <x:c r="D69" s="465"/>
      <x:c r="E69" s="465"/>
      <x:c r="F69" s="465"/>
      <x:c r="G69" s="465"/>
      <x:c r="H69" s="465"/>
      <x:c r="I69" s="465"/>
      <x:c r="J69" s="465"/>
      <x:c r="K69" s="465"/>
      <x:c r="L69" s="465"/>
      <x:c r="M69" s="465"/>
      <x:c r="N69" s="465"/>
      <x:c r="O69" s="465"/>
      <x:c r="P69" s="465"/>
      <x:c r="Q69" s="465"/>
      <x:c r="R69" s="465"/>
      <x:c r="S69" s="465"/>
      <x:c r="T69" s="465"/>
      <x:c r="U69" s="465"/>
      <x:c r="V69" s="465"/>
      <x:c r="W69" s="465"/>
      <x:c r="X69" s="465"/>
      <x:c r="Y69" s="465"/>
      <x:c r="Z69" s="465"/>
    </x:row>
    <x:row r="70">
      <x:c r="A70" s="465"/>
      <x:c r="B70" s="465"/>
      <x:c r="C70" s="465"/>
      <x:c r="D70" s="465"/>
      <x:c r="E70" s="465"/>
      <x:c r="F70" s="465"/>
      <x:c r="G70" s="465"/>
      <x:c r="H70" s="465"/>
      <x:c r="I70" s="465"/>
      <x:c r="J70" s="465"/>
      <x:c r="K70" s="465"/>
      <x:c r="L70" s="465"/>
      <x:c r="M70" s="465"/>
      <x:c r="N70" s="465"/>
      <x:c r="O70" s="465"/>
      <x:c r="P70" s="465"/>
      <x:c r="Q70" s="465"/>
      <x:c r="R70" s="465"/>
      <x:c r="S70" s="465"/>
      <x:c r="T70" s="465"/>
      <x:c r="U70" s="465"/>
      <x:c r="V70" s="465"/>
      <x:c r="W70" s="465"/>
      <x:c r="X70" s="465"/>
      <x:c r="Y70" s="465"/>
      <x:c r="Z70" s="465"/>
    </x:row>
    <x:row r="71">
      <x:c r="A71" s="465"/>
      <x:c r="B71" s="465"/>
      <x:c r="C71" s="465"/>
      <x:c r="D71" s="465"/>
      <x:c r="E71" s="465"/>
      <x:c r="F71" s="465"/>
      <x:c r="G71" s="465"/>
      <x:c r="H71" s="465"/>
      <x:c r="I71" s="465"/>
      <x:c r="J71" s="465"/>
      <x:c r="K71" s="465"/>
      <x:c r="L71" s="465"/>
      <x:c r="M71" s="465"/>
      <x:c r="N71" s="465"/>
      <x:c r="O71" s="465"/>
      <x:c r="P71" s="465"/>
      <x:c r="Q71" s="465"/>
      <x:c r="R71" s="465"/>
      <x:c r="S71" s="465"/>
      <x:c r="T71" s="465"/>
      <x:c r="U71" s="465"/>
      <x:c r="V71" s="465"/>
      <x:c r="W71" s="465"/>
      <x:c r="X71" s="465"/>
      <x:c r="Y71" s="465"/>
      <x:c r="Z71" s="465"/>
    </x:row>
    <x:row r="72">
      <x:c r="A72" s="465"/>
      <x:c r="B72" s="465"/>
      <x:c r="C72" s="465"/>
      <x:c r="D72" s="465"/>
      <x:c r="E72" s="465"/>
      <x:c r="F72" s="465"/>
      <x:c r="G72" s="465"/>
      <x:c r="H72" s="465"/>
      <x:c r="I72" s="465"/>
      <x:c r="J72" s="465"/>
      <x:c r="K72" s="465"/>
      <x:c r="L72" s="465"/>
      <x:c r="M72" s="465"/>
      <x:c r="N72" s="465"/>
      <x:c r="O72" s="465"/>
      <x:c r="P72" s="465"/>
      <x:c r="Q72" s="465"/>
      <x:c r="R72" s="465"/>
      <x:c r="S72" s="465"/>
      <x:c r="T72" s="465"/>
      <x:c r="U72" s="465"/>
      <x:c r="V72" s="465"/>
      <x:c r="W72" s="465"/>
      <x:c r="X72" s="465"/>
      <x:c r="Y72" s="465"/>
      <x:c r="Z72" s="465"/>
    </x:row>
    <x:row r="73">
      <x:c r="A73" s="465"/>
      <x:c r="B73" s="465"/>
      <x:c r="C73" s="465"/>
      <x:c r="D73" s="465"/>
      <x:c r="E73" s="465"/>
      <x:c r="F73" s="465"/>
      <x:c r="G73" s="465"/>
      <x:c r="H73" s="465"/>
      <x:c r="I73" s="465"/>
      <x:c r="J73" s="465"/>
      <x:c r="K73" s="465"/>
      <x:c r="L73" s="465"/>
      <x:c r="M73" s="465"/>
      <x:c r="N73" s="465"/>
      <x:c r="O73" s="465"/>
      <x:c r="P73" s="465"/>
      <x:c r="Q73" s="465"/>
      <x:c r="R73" s="465"/>
      <x:c r="S73" s="465"/>
      <x:c r="T73" s="465"/>
      <x:c r="U73" s="465"/>
      <x:c r="V73" s="465"/>
      <x:c r="W73" s="465"/>
      <x:c r="X73" s="465"/>
      <x:c r="Y73" s="465"/>
      <x:c r="Z73" s="465"/>
    </x:row>
    <x:row r="74">
      <x:c r="A74" s="465"/>
      <x:c r="B74" s="465"/>
      <x:c r="C74" s="465"/>
      <x:c r="D74" s="465"/>
      <x:c r="E74" s="465"/>
      <x:c r="F74" s="465"/>
      <x:c r="G74" s="465"/>
      <x:c r="H74" s="465"/>
      <x:c r="I74" s="465"/>
      <x:c r="J74" s="465"/>
      <x:c r="K74" s="465"/>
      <x:c r="L74" s="465"/>
      <x:c r="M74" s="465"/>
      <x:c r="N74" s="465"/>
      <x:c r="O74" s="465"/>
      <x:c r="P74" s="465"/>
      <x:c r="Q74" s="465"/>
      <x:c r="R74" s="465"/>
      <x:c r="S74" s="465"/>
      <x:c r="T74" s="465"/>
      <x:c r="U74" s="465"/>
      <x:c r="V74" s="465"/>
      <x:c r="W74" s="465"/>
      <x:c r="X74" s="465"/>
      <x:c r="Y74" s="465"/>
      <x:c r="Z74" s="465"/>
    </x:row>
    <x:row r="75">
      <x:c r="A75" s="465"/>
      <x:c r="B75" s="465"/>
      <x:c r="C75" s="465"/>
      <x:c r="D75" s="465"/>
      <x:c r="E75" s="465"/>
      <x:c r="F75" s="465"/>
      <x:c r="G75" s="465"/>
      <x:c r="H75" s="465"/>
      <x:c r="I75" s="465"/>
      <x:c r="J75" s="465"/>
      <x:c r="K75" s="465"/>
      <x:c r="L75" s="465"/>
      <x:c r="M75" s="465"/>
      <x:c r="N75" s="465"/>
      <x:c r="O75" s="465"/>
      <x:c r="P75" s="465"/>
      <x:c r="Q75" s="465"/>
      <x:c r="R75" s="465"/>
      <x:c r="S75" s="465"/>
      <x:c r="T75" s="465"/>
      <x:c r="U75" s="465"/>
      <x:c r="V75" s="465"/>
      <x:c r="W75" s="465"/>
      <x:c r="X75" s="465"/>
      <x:c r="Y75" s="465"/>
      <x:c r="Z75" s="465"/>
    </x:row>
    <x:row r="76">
      <x:c r="A76" s="465"/>
      <x:c r="B76" s="465"/>
      <x:c r="C76" s="465"/>
      <x:c r="D76" s="465"/>
      <x:c r="E76" s="465"/>
      <x:c r="F76" s="465"/>
      <x:c r="G76" s="465"/>
      <x:c r="H76" s="465"/>
      <x:c r="I76" s="465"/>
      <x:c r="J76" s="465"/>
      <x:c r="K76" s="465"/>
      <x:c r="L76" s="465"/>
      <x:c r="M76" s="465"/>
      <x:c r="N76" s="465"/>
      <x:c r="O76" s="465"/>
      <x:c r="P76" s="465"/>
      <x:c r="Q76" s="465"/>
      <x:c r="R76" s="465"/>
      <x:c r="S76" s="465"/>
      <x:c r="T76" s="465"/>
      <x:c r="U76" s="465"/>
      <x:c r="V76" s="465"/>
      <x:c r="W76" s="465"/>
      <x:c r="X76" s="465"/>
      <x:c r="Y76" s="465"/>
      <x:c r="Z76" s="465"/>
    </x:row>
    <x:row r="77">
      <x:c r="A77" s="465"/>
      <x:c r="B77" s="465"/>
      <x:c r="C77" s="465"/>
      <x:c r="D77" s="465"/>
      <x:c r="E77" s="465"/>
      <x:c r="F77" s="465"/>
      <x:c r="G77" s="465"/>
      <x:c r="H77" s="465"/>
      <x:c r="I77" s="465"/>
      <x:c r="J77" s="465"/>
      <x:c r="K77" s="465"/>
      <x:c r="L77" s="465"/>
      <x:c r="M77" s="465"/>
      <x:c r="N77" s="465"/>
      <x:c r="O77" s="465"/>
      <x:c r="P77" s="465"/>
      <x:c r="Q77" s="465"/>
      <x:c r="R77" s="465"/>
      <x:c r="S77" s="465"/>
      <x:c r="T77" s="465"/>
      <x:c r="U77" s="465"/>
      <x:c r="V77" s="465"/>
      <x:c r="W77" s="465"/>
      <x:c r="X77" s="465"/>
      <x:c r="Y77" s="465"/>
      <x:c r="Z77" s="465"/>
    </x:row>
    <x:row r="78">
      <x:c r="A78" s="465"/>
      <x:c r="B78" s="465"/>
      <x:c r="C78" s="465"/>
      <x:c r="D78" s="465"/>
      <x:c r="E78" s="465"/>
      <x:c r="F78" s="465"/>
      <x:c r="G78" s="465"/>
      <x:c r="H78" s="465"/>
      <x:c r="I78" s="465"/>
      <x:c r="J78" s="465"/>
      <x:c r="K78" s="465"/>
      <x:c r="L78" s="465"/>
      <x:c r="M78" s="465"/>
      <x:c r="N78" s="465"/>
      <x:c r="O78" s="465"/>
      <x:c r="P78" s="465"/>
      <x:c r="Q78" s="465"/>
      <x:c r="R78" s="465"/>
      <x:c r="S78" s="465"/>
      <x:c r="T78" s="465"/>
      <x:c r="U78" s="465"/>
      <x:c r="V78" s="465"/>
      <x:c r="W78" s="465"/>
      <x:c r="X78" s="465"/>
      <x:c r="Y78" s="465"/>
      <x:c r="Z78" s="465"/>
    </x:row>
    <x:row r="79">
      <x:c r="A79" s="465"/>
      <x:c r="B79" s="465"/>
      <x:c r="C79" s="465"/>
      <x:c r="D79" s="465"/>
      <x:c r="E79" s="465"/>
      <x:c r="F79" s="465"/>
      <x:c r="G79" s="465"/>
      <x:c r="H79" s="465"/>
      <x:c r="I79" s="465"/>
      <x:c r="J79" s="465"/>
      <x:c r="K79" s="465"/>
      <x:c r="L79" s="465"/>
      <x:c r="M79" s="465"/>
      <x:c r="N79" s="465"/>
      <x:c r="O79" s="465"/>
      <x:c r="P79" s="465"/>
      <x:c r="Q79" s="465"/>
      <x:c r="R79" s="465"/>
      <x:c r="S79" s="465"/>
      <x:c r="T79" s="465"/>
      <x:c r="U79" s="465"/>
      <x:c r="V79" s="465"/>
      <x:c r="W79" s="465"/>
      <x:c r="X79" s="465"/>
      <x:c r="Y79" s="465"/>
      <x:c r="Z79" s="465"/>
    </x:row>
    <x:row r="80">
      <x:c r="A80" s="465"/>
      <x:c r="B80" s="465"/>
      <x:c r="C80" s="465"/>
      <x:c r="D80" s="465"/>
      <x:c r="E80" s="465"/>
      <x:c r="F80" s="465"/>
      <x:c r="G80" s="465"/>
      <x:c r="H80" s="465"/>
      <x:c r="I80" s="465"/>
      <x:c r="J80" s="465"/>
      <x:c r="K80" s="465"/>
      <x:c r="L80" s="465"/>
      <x:c r="M80" s="465"/>
      <x:c r="N80" s="465"/>
      <x:c r="O80" s="465"/>
      <x:c r="P80" s="465"/>
      <x:c r="Q80" s="465"/>
      <x:c r="R80" s="465"/>
      <x:c r="S80" s="465"/>
      <x:c r="T80" s="465"/>
      <x:c r="U80" s="465"/>
      <x:c r="V80" s="465"/>
      <x:c r="W80" s="465"/>
      <x:c r="X80" s="465"/>
      <x:c r="Y80" s="465"/>
      <x:c r="Z80" s="465"/>
    </x:row>
    <x:row r="81">
      <x:c r="A81" s="465"/>
      <x:c r="B81" s="465"/>
      <x:c r="C81" s="465"/>
      <x:c r="D81" s="465"/>
      <x:c r="E81" s="465"/>
      <x:c r="F81" s="465"/>
      <x:c r="G81" s="465"/>
      <x:c r="H81" s="465"/>
      <x:c r="I81" s="465"/>
      <x:c r="J81" s="465"/>
      <x:c r="K81" s="465"/>
      <x:c r="L81" s="465"/>
      <x:c r="M81" s="465"/>
      <x:c r="N81" s="465"/>
      <x:c r="O81" s="465"/>
      <x:c r="P81" s="465"/>
      <x:c r="Q81" s="465"/>
      <x:c r="R81" s="465"/>
      <x:c r="S81" s="465"/>
      <x:c r="T81" s="465"/>
      <x:c r="U81" s="465"/>
      <x:c r="V81" s="465"/>
      <x:c r="W81" s="465"/>
      <x:c r="X81" s="465"/>
      <x:c r="Y81" s="465"/>
      <x:c r="Z81" s="465"/>
    </x:row>
    <x:row r="82">
      <x:c r="A82" s="465"/>
      <x:c r="B82" s="465"/>
      <x:c r="C82" s="465"/>
      <x:c r="D82" s="465"/>
      <x:c r="E82" s="465"/>
      <x:c r="F82" s="465"/>
      <x:c r="G82" s="465"/>
      <x:c r="H82" s="465"/>
      <x:c r="I82" s="465"/>
      <x:c r="J82" s="465"/>
      <x:c r="K82" s="465"/>
      <x:c r="L82" s="465"/>
      <x:c r="M82" s="465"/>
      <x:c r="N82" s="465"/>
      <x:c r="O82" s="465"/>
      <x:c r="P82" s="465"/>
      <x:c r="Q82" s="465"/>
      <x:c r="R82" s="465"/>
      <x:c r="S82" s="465"/>
      <x:c r="T82" s="465"/>
      <x:c r="U82" s="465"/>
      <x:c r="V82" s="465"/>
      <x:c r="W82" s="465"/>
      <x:c r="X82" s="465"/>
      <x:c r="Y82" s="465"/>
      <x:c r="Z82" s="465"/>
    </x:row>
    <x:row r="83">
      <x:c r="A83" s="465"/>
      <x:c r="B83" s="465"/>
      <x:c r="C83" s="465"/>
      <x:c r="D83" s="465"/>
      <x:c r="E83" s="465"/>
      <x:c r="F83" s="465"/>
      <x:c r="G83" s="465"/>
      <x:c r="H83" s="465"/>
      <x:c r="I83" s="465"/>
      <x:c r="J83" s="465"/>
      <x:c r="K83" s="465"/>
      <x:c r="L83" s="465"/>
      <x:c r="M83" s="465"/>
      <x:c r="N83" s="465"/>
      <x:c r="O83" s="465"/>
      <x:c r="P83" s="465"/>
      <x:c r="Q83" s="465"/>
      <x:c r="R83" s="465"/>
      <x:c r="S83" s="465"/>
      <x:c r="T83" s="465"/>
      <x:c r="U83" s="465"/>
      <x:c r="V83" s="465"/>
      <x:c r="W83" s="465"/>
      <x:c r="X83" s="465"/>
      <x:c r="Y83" s="465"/>
      <x:c r="Z83" s="465"/>
    </x:row>
    <x:row r="84">
      <x:c r="A84" s="465"/>
      <x:c r="B84" s="465"/>
      <x:c r="C84" s="465"/>
      <x:c r="D84" s="465"/>
      <x:c r="E84" s="465"/>
      <x:c r="F84" s="465"/>
      <x:c r="G84" s="465"/>
      <x:c r="H84" s="465"/>
      <x:c r="I84" s="465"/>
      <x:c r="J84" s="465"/>
      <x:c r="K84" s="465"/>
      <x:c r="L84" s="465"/>
      <x:c r="M84" s="465"/>
      <x:c r="N84" s="465"/>
      <x:c r="O84" s="465"/>
      <x:c r="P84" s="465"/>
      <x:c r="Q84" s="465"/>
      <x:c r="R84" s="465"/>
      <x:c r="S84" s="465"/>
      <x:c r="T84" s="465"/>
      <x:c r="U84" s="465"/>
      <x:c r="V84" s="465"/>
      <x:c r="W84" s="465"/>
      <x:c r="X84" s="465"/>
      <x:c r="Y84" s="465"/>
      <x:c r="Z84" s="465"/>
    </x:row>
    <x:row r="85">
      <x:c r="A85" s="465"/>
      <x:c r="B85" s="465"/>
      <x:c r="C85" s="465"/>
      <x:c r="D85" s="465"/>
      <x:c r="E85" s="465"/>
      <x:c r="F85" s="465"/>
      <x:c r="G85" s="465"/>
      <x:c r="H85" s="465"/>
      <x:c r="I85" s="465"/>
      <x:c r="J85" s="465"/>
      <x:c r="K85" s="465"/>
      <x:c r="L85" s="465"/>
      <x:c r="M85" s="465"/>
      <x:c r="N85" s="465"/>
      <x:c r="O85" s="465"/>
      <x:c r="P85" s="465"/>
      <x:c r="Q85" s="465"/>
      <x:c r="R85" s="465"/>
      <x:c r="S85" s="465"/>
      <x:c r="T85" s="465"/>
      <x:c r="U85" s="465"/>
      <x:c r="V85" s="465"/>
      <x:c r="W85" s="465"/>
      <x:c r="X85" s="465"/>
      <x:c r="Y85" s="465"/>
      <x:c r="Z85" s="465"/>
    </x:row>
    <x:row r="86">
      <x:c r="A86" s="465"/>
      <x:c r="B86" s="465"/>
      <x:c r="C86" s="465"/>
      <x:c r="D86" s="465"/>
      <x:c r="E86" s="465"/>
      <x:c r="F86" s="465"/>
      <x:c r="G86" s="465"/>
      <x:c r="H86" s="465"/>
      <x:c r="I86" s="465"/>
      <x:c r="J86" s="465"/>
      <x:c r="K86" s="465"/>
      <x:c r="L86" s="465"/>
      <x:c r="M86" s="465"/>
      <x:c r="N86" s="465"/>
      <x:c r="O86" s="465"/>
      <x:c r="P86" s="465"/>
      <x:c r="Q86" s="465"/>
      <x:c r="R86" s="465"/>
      <x:c r="S86" s="465"/>
      <x:c r="T86" s="465"/>
      <x:c r="U86" s="465"/>
      <x:c r="V86" s="465"/>
      <x:c r="W86" s="465"/>
      <x:c r="X86" s="465"/>
      <x:c r="Y86" s="465"/>
      <x:c r="Z86" s="465"/>
    </x:row>
    <x:row r="87">
      <x:c r="A87" s="465"/>
      <x:c r="B87" s="465"/>
      <x:c r="C87" s="465"/>
      <x:c r="D87" s="465"/>
      <x:c r="E87" s="465"/>
      <x:c r="F87" s="465"/>
      <x:c r="G87" s="465"/>
      <x:c r="H87" s="465"/>
      <x:c r="I87" s="465"/>
      <x:c r="J87" s="465"/>
      <x:c r="K87" s="465"/>
      <x:c r="L87" s="465"/>
      <x:c r="M87" s="465"/>
      <x:c r="N87" s="465"/>
      <x:c r="O87" s="465"/>
      <x:c r="P87" s="465"/>
      <x:c r="Q87" s="465"/>
      <x:c r="R87" s="465"/>
      <x:c r="S87" s="465"/>
      <x:c r="T87" s="465"/>
      <x:c r="U87" s="465"/>
      <x:c r="V87" s="465"/>
      <x:c r="W87" s="465"/>
      <x:c r="X87" s="465"/>
      <x:c r="Y87" s="465"/>
      <x:c r="Z87" s="465"/>
    </x:row>
    <x:row r="88">
      <x:c r="A88" s="465"/>
      <x:c r="B88" s="465"/>
      <x:c r="C88" s="465"/>
      <x:c r="D88" s="465"/>
      <x:c r="E88" s="465"/>
      <x:c r="F88" s="465"/>
      <x:c r="G88" s="465"/>
      <x:c r="H88" s="465"/>
      <x:c r="I88" s="465"/>
      <x:c r="J88" s="465"/>
      <x:c r="K88" s="465"/>
      <x:c r="L88" s="465"/>
      <x:c r="M88" s="465"/>
      <x:c r="N88" s="465"/>
      <x:c r="O88" s="465"/>
      <x:c r="P88" s="465"/>
      <x:c r="Q88" s="465"/>
      <x:c r="R88" s="465"/>
      <x:c r="S88" s="465"/>
      <x:c r="T88" s="465"/>
      <x:c r="U88" s="465"/>
      <x:c r="V88" s="465"/>
      <x:c r="W88" s="465"/>
      <x:c r="X88" s="465"/>
      <x:c r="Y88" s="465"/>
      <x:c r="Z88" s="465"/>
    </x:row>
    <x:row r="89">
      <x:c r="A89" s="465"/>
      <x:c r="B89" s="465"/>
      <x:c r="C89" s="465"/>
      <x:c r="D89" s="465"/>
      <x:c r="E89" s="465"/>
      <x:c r="F89" s="465"/>
      <x:c r="G89" s="465"/>
      <x:c r="H89" s="465"/>
      <x:c r="I89" s="465"/>
      <x:c r="J89" s="465"/>
      <x:c r="K89" s="465"/>
      <x:c r="L89" s="465"/>
      <x:c r="M89" s="465"/>
      <x:c r="N89" s="465"/>
      <x:c r="O89" s="465"/>
      <x:c r="P89" s="465"/>
      <x:c r="Q89" s="465"/>
      <x:c r="R89" s="465"/>
      <x:c r="S89" s="465"/>
      <x:c r="T89" s="465"/>
      <x:c r="U89" s="465"/>
      <x:c r="V89" s="465"/>
      <x:c r="W89" s="465"/>
      <x:c r="X89" s="465"/>
      <x:c r="Y89" s="465"/>
      <x:c r="Z89" s="465"/>
    </x:row>
    <x:row r="90">
      <x:c r="A90" s="465"/>
      <x:c r="B90" s="465"/>
      <x:c r="C90" s="465"/>
      <x:c r="D90" s="465"/>
      <x:c r="E90" s="465"/>
      <x:c r="F90" s="465"/>
      <x:c r="G90" s="465"/>
      <x:c r="H90" s="465"/>
      <x:c r="I90" s="465"/>
      <x:c r="J90" s="465"/>
      <x:c r="K90" s="465"/>
      <x:c r="L90" s="465"/>
      <x:c r="M90" s="465"/>
      <x:c r="N90" s="465"/>
      <x:c r="O90" s="465"/>
      <x:c r="P90" s="465"/>
      <x:c r="Q90" s="465"/>
      <x:c r="R90" s="465"/>
      <x:c r="S90" s="465"/>
      <x:c r="T90" s="465"/>
      <x:c r="U90" s="465"/>
      <x:c r="V90" s="465"/>
      <x:c r="W90" s="465"/>
      <x:c r="X90" s="465"/>
      <x:c r="Y90" s="465"/>
      <x:c r="Z90" s="465"/>
    </x:row>
    <x:row r="91">
      <x:c r="A91" s="465"/>
      <x:c r="B91" s="465"/>
      <x:c r="C91" s="465"/>
      <x:c r="D91" s="465"/>
      <x:c r="E91" s="465"/>
      <x:c r="F91" s="465"/>
      <x:c r="G91" s="465"/>
      <x:c r="H91" s="465"/>
      <x:c r="I91" s="465"/>
      <x:c r="J91" s="465"/>
      <x:c r="K91" s="465"/>
      <x:c r="L91" s="465"/>
      <x:c r="M91" s="465"/>
      <x:c r="N91" s="465"/>
      <x:c r="O91" s="465"/>
      <x:c r="P91" s="465"/>
      <x:c r="Q91" s="465"/>
      <x:c r="R91" s="465"/>
      <x:c r="S91" s="465"/>
      <x:c r="T91" s="465"/>
      <x:c r="U91" s="465"/>
      <x:c r="V91" s="465"/>
      <x:c r="W91" s="465"/>
      <x:c r="X91" s="465"/>
      <x:c r="Y91" s="465"/>
      <x:c r="Z91" s="465"/>
    </x:row>
    <x:row r="92">
      <x:c r="A92" s="465"/>
      <x:c r="B92" s="465"/>
      <x:c r="C92" s="465"/>
      <x:c r="D92" s="465"/>
      <x:c r="E92" s="465"/>
      <x:c r="F92" s="465"/>
      <x:c r="G92" s="465"/>
      <x:c r="H92" s="465"/>
      <x:c r="I92" s="465"/>
      <x:c r="J92" s="465"/>
      <x:c r="K92" s="465"/>
      <x:c r="L92" s="465"/>
      <x:c r="M92" s="465"/>
      <x:c r="N92" s="465"/>
      <x:c r="O92" s="465"/>
      <x:c r="P92" s="465"/>
      <x:c r="Q92" s="465"/>
      <x:c r="R92" s="465"/>
      <x:c r="S92" s="465"/>
      <x:c r="T92" s="465"/>
      <x:c r="U92" s="465"/>
      <x:c r="V92" s="465"/>
      <x:c r="W92" s="465"/>
      <x:c r="X92" s="465"/>
      <x:c r="Y92" s="465"/>
      <x:c r="Z92" s="465"/>
    </x:row>
    <x:row r="93">
      <x:c r="A93" s="465"/>
      <x:c r="B93" s="465"/>
      <x:c r="C93" s="465"/>
      <x:c r="D93" s="465"/>
      <x:c r="E93" s="465"/>
      <x:c r="F93" s="465"/>
      <x:c r="G93" s="465"/>
      <x:c r="H93" s="465"/>
      <x:c r="I93" s="465"/>
      <x:c r="J93" s="465"/>
      <x:c r="K93" s="465"/>
      <x:c r="L93" s="465"/>
      <x:c r="M93" s="465"/>
      <x:c r="N93" s="465"/>
      <x:c r="O93" s="465"/>
      <x:c r="P93" s="465"/>
      <x:c r="Q93" s="465"/>
      <x:c r="R93" s="465"/>
      <x:c r="S93" s="465"/>
      <x:c r="T93" s="465"/>
      <x:c r="U93" s="465"/>
      <x:c r="V93" s="465"/>
      <x:c r="W93" s="465"/>
      <x:c r="X93" s="465"/>
      <x:c r="Y93" s="465"/>
      <x:c r="Z93" s="465"/>
    </x:row>
    <x:row r="94">
      <x:c r="A94" s="465"/>
      <x:c r="B94" s="465"/>
      <x:c r="C94" s="465"/>
      <x:c r="D94" s="465"/>
      <x:c r="E94" s="465"/>
      <x:c r="F94" s="465"/>
      <x:c r="G94" s="465"/>
      <x:c r="H94" s="465"/>
      <x:c r="I94" s="465"/>
      <x:c r="J94" s="465"/>
      <x:c r="K94" s="465"/>
      <x:c r="L94" s="465"/>
      <x:c r="M94" s="465"/>
      <x:c r="N94" s="465"/>
      <x:c r="O94" s="465"/>
      <x:c r="P94" s="465"/>
      <x:c r="Q94" s="465"/>
      <x:c r="R94" s="465"/>
      <x:c r="S94" s="465"/>
      <x:c r="T94" s="465"/>
      <x:c r="U94" s="465"/>
      <x:c r="V94" s="465"/>
      <x:c r="W94" s="465"/>
      <x:c r="X94" s="465"/>
      <x:c r="Y94" s="465"/>
      <x:c r="Z94" s="465"/>
    </x:row>
    <x:row r="95">
      <x:c r="A95" s="465"/>
      <x:c r="B95" s="465"/>
      <x:c r="C95" s="465"/>
      <x:c r="D95" s="465"/>
      <x:c r="E95" s="465"/>
      <x:c r="F95" s="465"/>
      <x:c r="G95" s="465"/>
      <x:c r="H95" s="465"/>
      <x:c r="I95" s="465"/>
      <x:c r="J95" s="465"/>
      <x:c r="K95" s="465"/>
      <x:c r="L95" s="465"/>
      <x:c r="M95" s="465"/>
      <x:c r="N95" s="465"/>
      <x:c r="O95" s="465"/>
      <x:c r="P95" s="465"/>
      <x:c r="Q95" s="465"/>
      <x:c r="R95" s="465"/>
      <x:c r="S95" s="465"/>
      <x:c r="T95" s="465"/>
      <x:c r="U95" s="465"/>
      <x:c r="V95" s="465"/>
      <x:c r="W95" s="465"/>
      <x:c r="X95" s="465"/>
      <x:c r="Y95" s="465"/>
      <x:c r="Z95" s="465"/>
    </x:row>
    <x:row r="96">
      <x:c r="A96" s="465"/>
      <x:c r="B96" s="465"/>
      <x:c r="C96" s="465"/>
      <x:c r="D96" s="465"/>
      <x:c r="E96" s="465"/>
      <x:c r="F96" s="465"/>
      <x:c r="G96" s="465"/>
      <x:c r="H96" s="465"/>
      <x:c r="I96" s="465"/>
      <x:c r="J96" s="465"/>
      <x:c r="K96" s="465"/>
      <x:c r="L96" s="465"/>
      <x:c r="M96" s="465"/>
      <x:c r="N96" s="465"/>
      <x:c r="O96" s="465"/>
      <x:c r="P96" s="465"/>
      <x:c r="Q96" s="465"/>
      <x:c r="R96" s="465"/>
      <x:c r="S96" s="465"/>
      <x:c r="T96" s="465"/>
      <x:c r="U96" s="465"/>
      <x:c r="V96" s="465"/>
      <x:c r="W96" s="465"/>
      <x:c r="X96" s="465"/>
      <x:c r="Y96" s="465"/>
      <x:c r="Z96" s="465"/>
    </x:row>
    <x:row r="97">
      <x:c r="A97" s="465"/>
      <x:c r="B97" s="465"/>
      <x:c r="C97" s="465"/>
      <x:c r="D97" s="465"/>
      <x:c r="E97" s="465"/>
      <x:c r="F97" s="465"/>
      <x:c r="G97" s="465"/>
      <x:c r="H97" s="465"/>
      <x:c r="I97" s="465"/>
      <x:c r="J97" s="465"/>
      <x:c r="K97" s="465"/>
      <x:c r="L97" s="465"/>
      <x:c r="M97" s="465"/>
      <x:c r="N97" s="465"/>
      <x:c r="O97" s="465"/>
      <x:c r="P97" s="465"/>
      <x:c r="Q97" s="465"/>
      <x:c r="R97" s="465"/>
      <x:c r="S97" s="465"/>
      <x:c r="T97" s="465"/>
      <x:c r="U97" s="465"/>
      <x:c r="V97" s="465"/>
      <x:c r="W97" s="465"/>
      <x:c r="X97" s="465"/>
      <x:c r="Y97" s="465"/>
      <x:c r="Z97" s="465"/>
    </x:row>
    <x:row r="98">
      <x:c r="A98" s="465"/>
      <x:c r="B98" s="465"/>
      <x:c r="C98" s="465"/>
      <x:c r="D98" s="465"/>
      <x:c r="E98" s="465"/>
      <x:c r="F98" s="465"/>
      <x:c r="G98" s="465"/>
      <x:c r="H98" s="465"/>
      <x:c r="I98" s="465"/>
      <x:c r="J98" s="465"/>
      <x:c r="K98" s="465"/>
      <x:c r="L98" s="465"/>
      <x:c r="M98" s="465"/>
      <x:c r="N98" s="465"/>
      <x:c r="O98" s="465"/>
      <x:c r="P98" s="465"/>
      <x:c r="Q98" s="465"/>
      <x:c r="R98" s="465"/>
      <x:c r="S98" s="465"/>
      <x:c r="T98" s="465"/>
      <x:c r="U98" s="465"/>
      <x:c r="V98" s="465"/>
      <x:c r="W98" s="465"/>
      <x:c r="X98" s="465"/>
      <x:c r="Y98" s="465"/>
      <x:c r="Z98" s="465"/>
    </x:row>
    <x:row r="99">
      <x:c r="A99" s="465"/>
      <x:c r="B99" s="465"/>
      <x:c r="C99" s="465"/>
      <x:c r="D99" s="465"/>
      <x:c r="E99" s="465"/>
      <x:c r="F99" s="465"/>
      <x:c r="G99" s="465"/>
      <x:c r="H99" s="465"/>
      <x:c r="I99" s="465"/>
      <x:c r="J99" s="465"/>
      <x:c r="K99" s="465"/>
      <x:c r="L99" s="465"/>
      <x:c r="M99" s="465"/>
      <x:c r="N99" s="465"/>
      <x:c r="O99" s="465"/>
      <x:c r="P99" s="465"/>
      <x:c r="Q99" s="465"/>
      <x:c r="R99" s="465"/>
      <x:c r="S99" s="465"/>
      <x:c r="T99" s="465"/>
      <x:c r="U99" s="465"/>
      <x:c r="V99" s="465"/>
      <x:c r="W99" s="465"/>
      <x:c r="X99" s="465"/>
      <x:c r="Y99" s="465"/>
      <x:c r="Z99" s="465"/>
    </x:row>
    <x:row r="100">
      <x:c r="A100" s="465"/>
      <x:c r="B100" s="465"/>
      <x:c r="C100" s="465"/>
      <x:c r="D100" s="465"/>
      <x:c r="E100" s="465"/>
      <x:c r="F100" s="465"/>
      <x:c r="G100" s="465"/>
      <x:c r="H100" s="465"/>
      <x:c r="I100" s="465"/>
      <x:c r="J100" s="465"/>
      <x:c r="K100" s="465"/>
      <x:c r="L100" s="465"/>
      <x:c r="M100" s="465"/>
      <x:c r="N100" s="465"/>
      <x:c r="O100" s="465"/>
      <x:c r="P100" s="465"/>
      <x:c r="Q100" s="465"/>
      <x:c r="R100" s="465"/>
      <x:c r="S100" s="465"/>
      <x:c r="T100" s="465"/>
      <x:c r="U100" s="465"/>
      <x:c r="V100" s="465"/>
      <x:c r="W100" s="465"/>
      <x:c r="X100" s="465"/>
      <x:c r="Y100" s="465"/>
      <x:c r="Z100" s="465"/>
    </x:row>
    <x:row r="101">
      <x:c r="A101" s="465"/>
      <x:c r="B101" s="465"/>
      <x:c r="C101" s="465"/>
      <x:c r="D101" s="465"/>
      <x:c r="E101" s="465"/>
      <x:c r="F101" s="465"/>
      <x:c r="G101" s="465"/>
      <x:c r="H101" s="465"/>
      <x:c r="I101" s="465"/>
      <x:c r="J101" s="465"/>
      <x:c r="K101" s="465"/>
      <x:c r="L101" s="465"/>
      <x:c r="M101" s="465"/>
      <x:c r="N101" s="465"/>
      <x:c r="O101" s="465"/>
      <x:c r="P101" s="465"/>
      <x:c r="Q101" s="465"/>
      <x:c r="R101" s="465"/>
      <x:c r="S101" s="465"/>
      <x:c r="T101" s="465"/>
      <x:c r="U101" s="465"/>
      <x:c r="V101" s="465"/>
      <x:c r="W101" s="465"/>
      <x:c r="X101" s="465"/>
      <x:c r="Y101" s="465"/>
      <x:c r="Z101" s="465"/>
    </x:row>
    <x:row r="102">
      <x:c r="A102" s="465"/>
      <x:c r="B102" s="465"/>
      <x:c r="C102" s="465"/>
      <x:c r="D102" s="465"/>
      <x:c r="E102" s="465"/>
      <x:c r="F102" s="465"/>
      <x:c r="G102" s="465"/>
      <x:c r="H102" s="465"/>
      <x:c r="I102" s="465"/>
      <x:c r="J102" s="465"/>
      <x:c r="K102" s="465"/>
      <x:c r="L102" s="465"/>
      <x:c r="M102" s="465"/>
      <x:c r="N102" s="465"/>
      <x:c r="O102" s="465"/>
      <x:c r="P102" s="465"/>
      <x:c r="Q102" s="465"/>
      <x:c r="R102" s="465"/>
      <x:c r="S102" s="465"/>
      <x:c r="T102" s="465"/>
      <x:c r="U102" s="465"/>
      <x:c r="V102" s="465"/>
      <x:c r="W102" s="465"/>
      <x:c r="X102" s="465"/>
      <x:c r="Y102" s="465"/>
      <x:c r="Z102" s="465"/>
    </x:row>
    <x:row r="103">
      <x:c r="A103" s="465"/>
      <x:c r="B103" s="465"/>
      <x:c r="C103" s="465"/>
      <x:c r="D103" s="465"/>
      <x:c r="E103" s="465"/>
      <x:c r="F103" s="465"/>
      <x:c r="G103" s="465"/>
      <x:c r="H103" s="465"/>
      <x:c r="I103" s="465"/>
      <x:c r="J103" s="465"/>
      <x:c r="K103" s="465"/>
      <x:c r="L103" s="465"/>
      <x:c r="M103" s="465"/>
      <x:c r="N103" s="465"/>
      <x:c r="O103" s="465"/>
      <x:c r="P103" s="465"/>
      <x:c r="Q103" s="465"/>
      <x:c r="R103" s="465"/>
      <x:c r="S103" s="465"/>
      <x:c r="T103" s="465"/>
      <x:c r="U103" s="465"/>
      <x:c r="V103" s="465"/>
      <x:c r="W103" s="465"/>
      <x:c r="X103" s="465"/>
      <x:c r="Y103" s="465"/>
      <x:c r="Z103" s="465"/>
    </x:row>
    <x:row r="104">
      <x:c r="A104" s="465"/>
      <x:c r="B104" s="465"/>
      <x:c r="C104" s="465"/>
      <x:c r="D104" s="465"/>
      <x:c r="E104" s="465"/>
      <x:c r="F104" s="465"/>
      <x:c r="G104" s="465"/>
      <x:c r="H104" s="465"/>
      <x:c r="I104" s="465"/>
      <x:c r="J104" s="465"/>
      <x:c r="K104" s="465"/>
      <x:c r="L104" s="465"/>
      <x:c r="M104" s="465"/>
      <x:c r="N104" s="465"/>
      <x:c r="O104" s="465"/>
      <x:c r="P104" s="465"/>
      <x:c r="Q104" s="465"/>
      <x:c r="R104" s="465"/>
      <x:c r="S104" s="465"/>
      <x:c r="T104" s="465"/>
      <x:c r="U104" s="465"/>
      <x:c r="V104" s="465"/>
      <x:c r="W104" s="465"/>
      <x:c r="X104" s="465"/>
      <x:c r="Y104" s="465"/>
      <x:c r="Z104" s="465"/>
    </x:row>
    <x:row r="105">
      <x:c r="A105" s="465"/>
      <x:c r="B105" s="465"/>
      <x:c r="C105" s="465"/>
      <x:c r="D105" s="465"/>
      <x:c r="E105" s="465"/>
      <x:c r="F105" s="465"/>
      <x:c r="G105" s="465"/>
      <x:c r="H105" s="465"/>
      <x:c r="I105" s="465"/>
      <x:c r="J105" s="465"/>
      <x:c r="K105" s="465"/>
      <x:c r="L105" s="465"/>
      <x:c r="M105" s="465"/>
      <x:c r="N105" s="465"/>
      <x:c r="O105" s="465"/>
      <x:c r="P105" s="465"/>
      <x:c r="Q105" s="465"/>
      <x:c r="R105" s="465"/>
      <x:c r="S105" s="465"/>
      <x:c r="T105" s="465"/>
      <x:c r="U105" s="465"/>
      <x:c r="V105" s="465"/>
      <x:c r="W105" s="465"/>
      <x:c r="X105" s="465"/>
      <x:c r="Y105" s="465"/>
      <x:c r="Z105" s="465"/>
    </x:row>
    <x:row r="106">
      <x:c r="A106" s="465"/>
      <x:c r="B106" s="465"/>
      <x:c r="C106" s="465"/>
      <x:c r="D106" s="465"/>
      <x:c r="E106" s="465"/>
      <x:c r="F106" s="465"/>
      <x:c r="G106" s="465"/>
      <x:c r="H106" s="465"/>
      <x:c r="I106" s="465"/>
      <x:c r="J106" s="465"/>
      <x:c r="K106" s="465"/>
      <x:c r="L106" s="465"/>
      <x:c r="M106" s="465"/>
      <x:c r="N106" s="465"/>
      <x:c r="O106" s="465"/>
      <x:c r="P106" s="465"/>
      <x:c r="Q106" s="465"/>
      <x:c r="R106" s="465"/>
      <x:c r="S106" s="465"/>
      <x:c r="T106" s="465"/>
      <x:c r="U106" s="465"/>
      <x:c r="V106" s="465"/>
      <x:c r="W106" s="465"/>
      <x:c r="X106" s="465"/>
      <x:c r="Y106" s="465"/>
      <x:c r="Z106" s="465"/>
    </x:row>
    <x:row r="107">
      <x:c r="A107" s="465"/>
      <x:c r="B107" s="465"/>
      <x:c r="C107" s="465"/>
      <x:c r="D107" s="465"/>
      <x:c r="E107" s="465"/>
      <x:c r="F107" s="465"/>
      <x:c r="G107" s="465"/>
      <x:c r="H107" s="465"/>
      <x:c r="I107" s="465"/>
      <x:c r="J107" s="465"/>
      <x:c r="K107" s="465"/>
      <x:c r="L107" s="465"/>
      <x:c r="M107" s="465"/>
      <x:c r="N107" s="465"/>
      <x:c r="O107" s="465"/>
      <x:c r="P107" s="465"/>
      <x:c r="Q107" s="465"/>
      <x:c r="R107" s="465"/>
      <x:c r="S107" s="465"/>
      <x:c r="T107" s="465"/>
      <x:c r="U107" s="465"/>
      <x:c r="V107" s="465"/>
      <x:c r="W107" s="465"/>
      <x:c r="X107" s="465"/>
      <x:c r="Y107" s="465"/>
      <x:c r="Z107" s="465"/>
    </x:row>
    <x:row r="108">
      <x:c r="A108" s="465"/>
      <x:c r="B108" s="465"/>
      <x:c r="C108" s="465"/>
      <x:c r="D108" s="465"/>
      <x:c r="E108" s="465"/>
      <x:c r="F108" s="465"/>
      <x:c r="G108" s="465"/>
      <x:c r="H108" s="465"/>
      <x:c r="I108" s="465"/>
      <x:c r="J108" s="465"/>
      <x:c r="K108" s="465"/>
      <x:c r="L108" s="465"/>
      <x:c r="M108" s="465"/>
      <x:c r="N108" s="465"/>
      <x:c r="O108" s="465"/>
      <x:c r="P108" s="465"/>
      <x:c r="Q108" s="465"/>
      <x:c r="R108" s="465"/>
      <x:c r="S108" s="465"/>
      <x:c r="T108" s="465"/>
      <x:c r="U108" s="465"/>
      <x:c r="V108" s="465"/>
      <x:c r="W108" s="465"/>
      <x:c r="X108" s="465"/>
      <x:c r="Y108" s="465"/>
      <x:c r="Z108" s="465"/>
    </x:row>
    <x:row r="109">
      <x:c r="A109" s="465"/>
      <x:c r="B109" s="465"/>
      <x:c r="C109" s="465"/>
      <x:c r="D109" s="465"/>
      <x:c r="E109" s="465"/>
      <x:c r="F109" s="465"/>
      <x:c r="G109" s="465"/>
      <x:c r="H109" s="465"/>
      <x:c r="I109" s="465"/>
      <x:c r="J109" s="465"/>
      <x:c r="K109" s="465"/>
      <x:c r="L109" s="465"/>
      <x:c r="M109" s="465"/>
      <x:c r="N109" s="465"/>
      <x:c r="O109" s="465"/>
      <x:c r="P109" s="465"/>
      <x:c r="Q109" s="465"/>
      <x:c r="R109" s="465"/>
      <x:c r="S109" s="465"/>
      <x:c r="T109" s="465"/>
      <x:c r="U109" s="465"/>
      <x:c r="V109" s="465"/>
      <x:c r="W109" s="465"/>
      <x:c r="X109" s="465"/>
      <x:c r="Y109" s="465"/>
      <x:c r="Z109" s="465"/>
    </x:row>
    <x:row r="110">
      <x:c r="A110" s="465"/>
      <x:c r="B110" s="465"/>
      <x:c r="C110" s="465"/>
      <x:c r="D110" s="465"/>
      <x:c r="E110" s="465"/>
      <x:c r="F110" s="465"/>
      <x:c r="G110" s="465"/>
      <x:c r="H110" s="465"/>
      <x:c r="I110" s="465"/>
      <x:c r="J110" s="465"/>
      <x:c r="K110" s="465"/>
      <x:c r="L110" s="465"/>
      <x:c r="M110" s="465"/>
      <x:c r="N110" s="465"/>
      <x:c r="O110" s="465"/>
      <x:c r="P110" s="465"/>
      <x:c r="Q110" s="465"/>
      <x:c r="R110" s="465"/>
      <x:c r="S110" s="465"/>
      <x:c r="T110" s="465"/>
      <x:c r="U110" s="465"/>
      <x:c r="V110" s="465"/>
      <x:c r="W110" s="465"/>
      <x:c r="X110" s="465"/>
      <x:c r="Y110" s="465"/>
      <x:c r="Z110" s="465"/>
    </x:row>
    <x:row r="111">
      <x:c r="A111" s="465"/>
      <x:c r="B111" s="465"/>
      <x:c r="C111" s="465"/>
      <x:c r="D111" s="465"/>
      <x:c r="E111" s="465"/>
      <x:c r="F111" s="465"/>
      <x:c r="G111" s="465"/>
      <x:c r="H111" s="465"/>
      <x:c r="I111" s="465"/>
      <x:c r="J111" s="465"/>
      <x:c r="K111" s="465"/>
      <x:c r="L111" s="465"/>
      <x:c r="M111" s="465"/>
      <x:c r="N111" s="465"/>
      <x:c r="O111" s="465"/>
      <x:c r="P111" s="465"/>
      <x:c r="Q111" s="465"/>
      <x:c r="R111" s="465"/>
      <x:c r="S111" s="465"/>
      <x:c r="T111" s="465"/>
      <x:c r="U111" s="465"/>
      <x:c r="V111" s="465"/>
      <x:c r="W111" s="465"/>
      <x:c r="X111" s="465"/>
      <x:c r="Y111" s="465"/>
      <x:c r="Z111" s="465"/>
    </x:row>
    <x:row r="112">
      <x:c r="A112" s="465"/>
      <x:c r="B112" s="465"/>
      <x:c r="C112" s="465"/>
      <x:c r="D112" s="465"/>
      <x:c r="E112" s="465"/>
      <x:c r="F112" s="465"/>
      <x:c r="G112" s="465"/>
      <x:c r="H112" s="465"/>
      <x:c r="I112" s="465"/>
      <x:c r="J112" s="465"/>
      <x:c r="K112" s="465"/>
      <x:c r="L112" s="465"/>
      <x:c r="M112" s="465"/>
      <x:c r="N112" s="465"/>
      <x:c r="O112" s="465"/>
      <x:c r="P112" s="465"/>
      <x:c r="Q112" s="465"/>
      <x:c r="R112" s="465"/>
      <x:c r="S112" s="465"/>
      <x:c r="T112" s="465"/>
      <x:c r="U112" s="465"/>
      <x:c r="V112" s="465"/>
      <x:c r="W112" s="465"/>
      <x:c r="X112" s="465"/>
      <x:c r="Y112" s="465"/>
      <x:c r="Z112" s="465"/>
    </x:row>
    <x:row r="113">
      <x:c r="A113" s="465"/>
      <x:c r="B113" s="465"/>
      <x:c r="C113" s="465"/>
      <x:c r="D113" s="465"/>
      <x:c r="E113" s="465"/>
      <x:c r="F113" s="465"/>
      <x:c r="G113" s="465"/>
      <x:c r="H113" s="465"/>
      <x:c r="I113" s="465"/>
      <x:c r="J113" s="465"/>
      <x:c r="K113" s="465"/>
      <x:c r="L113" s="465"/>
      <x:c r="M113" s="465"/>
      <x:c r="N113" s="465"/>
      <x:c r="O113" s="465"/>
      <x:c r="P113" s="465"/>
      <x:c r="Q113" s="465"/>
      <x:c r="R113" s="465"/>
      <x:c r="S113" s="465"/>
      <x:c r="T113" s="465"/>
      <x:c r="U113" s="465"/>
      <x:c r="V113" s="465"/>
      <x:c r="W113" s="465"/>
      <x:c r="X113" s="465"/>
      <x:c r="Y113" s="465"/>
      <x:c r="Z113" s="465"/>
    </x:row>
    <x:row r="114">
      <x:c r="A114" s="465"/>
      <x:c r="B114" s="465"/>
      <x:c r="C114" s="465"/>
      <x:c r="D114" s="465"/>
      <x:c r="E114" s="465"/>
      <x:c r="F114" s="465"/>
      <x:c r="G114" s="465"/>
      <x:c r="H114" s="465"/>
      <x:c r="I114" s="465"/>
      <x:c r="J114" s="465"/>
      <x:c r="K114" s="465"/>
      <x:c r="L114" s="465"/>
      <x:c r="M114" s="465"/>
      <x:c r="N114" s="465"/>
      <x:c r="O114" s="465"/>
      <x:c r="P114" s="465"/>
      <x:c r="Q114" s="465"/>
      <x:c r="R114" s="465"/>
      <x:c r="S114" s="465"/>
      <x:c r="T114" s="465"/>
      <x:c r="U114" s="465"/>
      <x:c r="V114" s="465"/>
      <x:c r="W114" s="465"/>
      <x:c r="X114" s="465"/>
      <x:c r="Y114" s="465"/>
      <x:c r="Z114" s="465"/>
    </x:row>
    <x:row r="115">
      <x:c r="A115" s="465"/>
      <x:c r="B115" s="465"/>
      <x:c r="C115" s="465"/>
      <x:c r="D115" s="465"/>
      <x:c r="E115" s="465"/>
      <x:c r="F115" s="465"/>
      <x:c r="G115" s="465"/>
      <x:c r="H115" s="465"/>
      <x:c r="I115" s="465"/>
      <x:c r="J115" s="465"/>
      <x:c r="K115" s="465"/>
      <x:c r="L115" s="465"/>
      <x:c r="M115" s="465"/>
      <x:c r="N115" s="465"/>
      <x:c r="O115" s="465"/>
      <x:c r="P115" s="465"/>
      <x:c r="Q115" s="465"/>
      <x:c r="R115" s="465"/>
      <x:c r="S115" s="465"/>
      <x:c r="T115" s="465"/>
      <x:c r="U115" s="465"/>
      <x:c r="V115" s="465"/>
      <x:c r="W115" s="465"/>
      <x:c r="X115" s="465"/>
      <x:c r="Y115" s="465"/>
      <x:c r="Z115" s="465"/>
    </x:row>
    <x:row r="116">
      <x:c r="A116" s="465"/>
      <x:c r="B116" s="465"/>
      <x:c r="C116" s="465"/>
      <x:c r="D116" s="465"/>
      <x:c r="E116" s="465"/>
      <x:c r="F116" s="465"/>
      <x:c r="G116" s="465"/>
      <x:c r="H116" s="465"/>
      <x:c r="I116" s="465"/>
      <x:c r="J116" s="465"/>
      <x:c r="K116" s="465"/>
      <x:c r="L116" s="465"/>
      <x:c r="M116" s="465"/>
      <x:c r="N116" s="465"/>
      <x:c r="O116" s="465"/>
      <x:c r="P116" s="465"/>
      <x:c r="Q116" s="465"/>
      <x:c r="R116" s="465"/>
      <x:c r="S116" s="465"/>
      <x:c r="T116" s="465"/>
      <x:c r="U116" s="465"/>
      <x:c r="V116" s="465"/>
      <x:c r="W116" s="465"/>
      <x:c r="X116" s="465"/>
      <x:c r="Y116" s="465"/>
      <x:c r="Z116" s="465"/>
    </x:row>
    <x:row r="117">
      <x:c r="A117" s="465"/>
      <x:c r="B117" s="465"/>
      <x:c r="C117" s="465"/>
      <x:c r="D117" s="465"/>
      <x:c r="E117" s="465"/>
      <x:c r="F117" s="465"/>
      <x:c r="G117" s="465"/>
      <x:c r="H117" s="465"/>
      <x:c r="I117" s="465"/>
      <x:c r="J117" s="465"/>
      <x:c r="K117" s="465"/>
      <x:c r="L117" s="465"/>
      <x:c r="M117" s="465"/>
      <x:c r="N117" s="465"/>
      <x:c r="O117" s="465"/>
      <x:c r="P117" s="465"/>
      <x:c r="Q117" s="465"/>
      <x:c r="R117" s="465"/>
      <x:c r="S117" s="465"/>
      <x:c r="T117" s="465"/>
      <x:c r="U117" s="465"/>
      <x:c r="V117" s="465"/>
      <x:c r="W117" s="465"/>
      <x:c r="X117" s="465"/>
      <x:c r="Y117" s="465"/>
      <x:c r="Z117" s="465"/>
    </x:row>
    <x:row r="118">
      <x:c r="A118" s="465"/>
      <x:c r="B118" s="465"/>
      <x:c r="C118" s="465"/>
      <x:c r="D118" s="465"/>
      <x:c r="E118" s="465"/>
      <x:c r="F118" s="465"/>
      <x:c r="G118" s="465"/>
      <x:c r="H118" s="465"/>
      <x:c r="I118" s="465"/>
      <x:c r="J118" s="465"/>
      <x:c r="K118" s="465"/>
      <x:c r="L118" s="465"/>
      <x:c r="M118" s="465"/>
      <x:c r="N118" s="465"/>
      <x:c r="O118" s="465"/>
      <x:c r="P118" s="465"/>
      <x:c r="Q118" s="465"/>
      <x:c r="R118" s="465"/>
      <x:c r="S118" s="465"/>
      <x:c r="T118" s="465"/>
      <x:c r="U118" s="465"/>
      <x:c r="V118" s="465"/>
      <x:c r="W118" s="465"/>
      <x:c r="X118" s="465"/>
      <x:c r="Y118" s="465"/>
      <x:c r="Z118" s="465"/>
    </x:row>
    <x:row r="119">
      <x:c r="A119" s="465"/>
      <x:c r="B119" s="465"/>
      <x:c r="C119" s="465"/>
      <x:c r="D119" s="465"/>
      <x:c r="E119" s="465"/>
      <x:c r="F119" s="465"/>
      <x:c r="G119" s="465"/>
      <x:c r="H119" s="465"/>
      <x:c r="I119" s="465"/>
      <x:c r="J119" s="465"/>
      <x:c r="K119" s="465"/>
      <x:c r="L119" s="465"/>
      <x:c r="M119" s="465"/>
      <x:c r="N119" s="465"/>
      <x:c r="O119" s="465"/>
      <x:c r="P119" s="465"/>
      <x:c r="Q119" s="465"/>
      <x:c r="R119" s="465"/>
      <x:c r="S119" s="465"/>
      <x:c r="T119" s="465"/>
      <x:c r="U119" s="465"/>
      <x:c r="V119" s="465"/>
      <x:c r="W119" s="465"/>
      <x:c r="X119" s="465"/>
      <x:c r="Y119" s="465"/>
      <x:c r="Z119" s="465"/>
    </x:row>
    <x:row r="120">
      <x:c r="A120" s="465"/>
      <x:c r="B120" s="465"/>
      <x:c r="C120" s="465"/>
      <x:c r="D120" s="465"/>
      <x:c r="E120" s="465"/>
      <x:c r="F120" s="465"/>
      <x:c r="G120" s="465"/>
      <x:c r="H120" s="465"/>
      <x:c r="I120" s="465"/>
      <x:c r="J120" s="465"/>
      <x:c r="K120" s="465"/>
      <x:c r="L120" s="465"/>
      <x:c r="M120" s="465"/>
      <x:c r="N120" s="465"/>
      <x:c r="O120" s="465"/>
      <x:c r="P120" s="465"/>
      <x:c r="Q120" s="465"/>
      <x:c r="R120" s="465"/>
      <x:c r="S120" s="465"/>
      <x:c r="T120" s="465"/>
      <x:c r="U120" s="465"/>
      <x:c r="V120" s="465"/>
      <x:c r="W120" s="465"/>
      <x:c r="X120" s="465"/>
      <x:c r="Y120" s="465"/>
      <x:c r="Z120" s="465"/>
    </x:row>
    <x:row r="121">
      <x:c r="A121" s="465"/>
      <x:c r="B121" s="465"/>
      <x:c r="C121" s="465"/>
      <x:c r="D121" s="465"/>
      <x:c r="E121" s="465"/>
      <x:c r="F121" s="465"/>
      <x:c r="G121" s="465"/>
      <x:c r="H121" s="465"/>
      <x:c r="I121" s="465"/>
      <x:c r="J121" s="465"/>
      <x:c r="K121" s="465"/>
      <x:c r="L121" s="465"/>
      <x:c r="M121" s="465"/>
      <x:c r="N121" s="465"/>
      <x:c r="O121" s="465"/>
      <x:c r="P121" s="465"/>
      <x:c r="Q121" s="465"/>
      <x:c r="R121" s="465"/>
      <x:c r="S121" s="465"/>
      <x:c r="T121" s="465"/>
      <x:c r="U121" s="465"/>
      <x:c r="V121" s="465"/>
      <x:c r="W121" s="465"/>
      <x:c r="X121" s="465"/>
      <x:c r="Y121" s="465"/>
      <x:c r="Z121" s="465"/>
    </x:row>
    <x:row r="122">
      <x:c r="A122" s="465"/>
      <x:c r="B122" s="465"/>
      <x:c r="C122" s="465"/>
      <x:c r="D122" s="465"/>
      <x:c r="E122" s="465"/>
      <x:c r="F122" s="465"/>
      <x:c r="G122" s="465"/>
      <x:c r="H122" s="465"/>
      <x:c r="I122" s="465"/>
      <x:c r="J122" s="465"/>
      <x:c r="K122" s="465"/>
      <x:c r="L122" s="465"/>
      <x:c r="M122" s="465"/>
      <x:c r="N122" s="465"/>
      <x:c r="O122" s="465"/>
      <x:c r="P122" s="465"/>
      <x:c r="Q122" s="465"/>
      <x:c r="R122" s="465"/>
      <x:c r="S122" s="465"/>
      <x:c r="T122" s="465"/>
      <x:c r="U122" s="465"/>
      <x:c r="V122" s="465"/>
      <x:c r="W122" s="465"/>
      <x:c r="X122" s="465"/>
      <x:c r="Y122" s="465"/>
      <x:c r="Z122" s="465"/>
    </x:row>
    <x:row r="123">
      <x:c r="A123" s="465"/>
      <x:c r="B123" s="465"/>
      <x:c r="C123" s="465"/>
      <x:c r="D123" s="465"/>
      <x:c r="E123" s="465"/>
      <x:c r="F123" s="465"/>
      <x:c r="G123" s="465"/>
      <x:c r="H123" s="465"/>
      <x:c r="I123" s="465"/>
      <x:c r="J123" s="465"/>
      <x:c r="K123" s="465"/>
      <x:c r="L123" s="465"/>
      <x:c r="M123" s="465"/>
      <x:c r="N123" s="465"/>
      <x:c r="O123" s="465"/>
      <x:c r="P123" s="465"/>
      <x:c r="Q123" s="465"/>
      <x:c r="R123" s="465"/>
      <x:c r="S123" s="465"/>
      <x:c r="T123" s="465"/>
      <x:c r="U123" s="465"/>
      <x:c r="V123" s="465"/>
      <x:c r="W123" s="465"/>
      <x:c r="X123" s="465"/>
      <x:c r="Y123" s="465"/>
      <x:c r="Z123" s="465"/>
    </x:row>
    <x:row r="124">
      <x:c r="A124" s="465"/>
      <x:c r="B124" s="465"/>
      <x:c r="C124" s="465"/>
      <x:c r="D124" s="465"/>
      <x:c r="E124" s="465"/>
      <x:c r="F124" s="465"/>
      <x:c r="G124" s="465"/>
      <x:c r="H124" s="465"/>
      <x:c r="I124" s="465"/>
      <x:c r="J124" s="465"/>
      <x:c r="K124" s="465"/>
      <x:c r="L124" s="465"/>
      <x:c r="M124" s="465"/>
      <x:c r="N124" s="465"/>
      <x:c r="O124" s="465"/>
      <x:c r="P124" s="465"/>
      <x:c r="Q124" s="465"/>
      <x:c r="R124" s="465"/>
      <x:c r="S124" s="465"/>
      <x:c r="T124" s="465"/>
      <x:c r="U124" s="465"/>
      <x:c r="V124" s="465"/>
      <x:c r="W124" s="465"/>
      <x:c r="X124" s="465"/>
      <x:c r="Y124" s="465"/>
      <x:c r="Z124" s="465"/>
    </x:row>
    <x:row r="125">
      <x:c r="A125" s="465"/>
      <x:c r="B125" s="465"/>
      <x:c r="C125" s="465"/>
      <x:c r="D125" s="465"/>
      <x:c r="E125" s="465"/>
      <x:c r="F125" s="465"/>
      <x:c r="G125" s="465"/>
      <x:c r="H125" s="465"/>
      <x:c r="I125" s="465"/>
      <x:c r="J125" s="465"/>
      <x:c r="K125" s="465"/>
      <x:c r="L125" s="465"/>
      <x:c r="M125" s="465"/>
      <x:c r="N125" s="465"/>
      <x:c r="O125" s="465"/>
      <x:c r="P125" s="465"/>
      <x:c r="Q125" s="465"/>
      <x:c r="R125" s="465"/>
      <x:c r="S125" s="465"/>
      <x:c r="T125" s="465"/>
      <x:c r="U125" s="465"/>
      <x:c r="V125" s="465"/>
      <x:c r="W125" s="465"/>
      <x:c r="X125" s="465"/>
      <x:c r="Y125" s="465"/>
      <x:c r="Z125" s="465"/>
    </x:row>
    <x:row r="126">
      <x:c r="A126" s="465"/>
      <x:c r="B126" s="465"/>
      <x:c r="C126" s="465"/>
      <x:c r="D126" s="465"/>
      <x:c r="E126" s="465"/>
      <x:c r="F126" s="465"/>
      <x:c r="G126" s="465"/>
      <x:c r="H126" s="465"/>
      <x:c r="I126" s="465"/>
      <x:c r="J126" s="465"/>
      <x:c r="K126" s="465"/>
      <x:c r="L126" s="465"/>
      <x:c r="M126" s="465"/>
      <x:c r="N126" s="465"/>
      <x:c r="O126" s="465"/>
      <x:c r="P126" s="465"/>
      <x:c r="Q126" s="465"/>
      <x:c r="R126" s="465"/>
      <x:c r="S126" s="465"/>
      <x:c r="T126" s="465"/>
      <x:c r="U126" s="465"/>
      <x:c r="V126" s="465"/>
      <x:c r="W126" s="465"/>
      <x:c r="X126" s="465"/>
      <x:c r="Y126" s="465"/>
      <x:c r="Z126" s="465"/>
    </x:row>
    <x:row r="127">
      <x:c r="A127" s="465"/>
      <x:c r="B127" s="465"/>
      <x:c r="C127" s="465"/>
      <x:c r="D127" s="465"/>
      <x:c r="E127" s="465"/>
      <x:c r="F127" s="465"/>
      <x:c r="G127" s="465"/>
      <x:c r="H127" s="465"/>
      <x:c r="I127" s="465"/>
      <x:c r="J127" s="465"/>
      <x:c r="K127" s="465"/>
      <x:c r="L127" s="465"/>
      <x:c r="M127" s="465"/>
      <x:c r="N127" s="465"/>
      <x:c r="O127" s="465"/>
      <x:c r="P127" s="465"/>
      <x:c r="Q127" s="465"/>
      <x:c r="R127" s="465"/>
      <x:c r="S127" s="465"/>
      <x:c r="T127" s="465"/>
      <x:c r="U127" s="465"/>
      <x:c r="V127" s="465"/>
      <x:c r="W127" s="465"/>
      <x:c r="X127" s="465"/>
      <x:c r="Y127" s="465"/>
      <x:c r="Z127" s="465"/>
    </x:row>
    <x:row r="128">
      <x:c r="A128" s="465"/>
      <x:c r="B128" s="465"/>
      <x:c r="C128" s="465"/>
      <x:c r="D128" s="465"/>
      <x:c r="E128" s="465"/>
      <x:c r="F128" s="465"/>
      <x:c r="G128" s="465"/>
      <x:c r="H128" s="465"/>
      <x:c r="I128" s="465"/>
      <x:c r="J128" s="465"/>
      <x:c r="K128" s="465"/>
      <x:c r="L128" s="465"/>
      <x:c r="M128" s="465"/>
      <x:c r="N128" s="465"/>
      <x:c r="O128" s="465"/>
      <x:c r="P128" s="465"/>
      <x:c r="Q128" s="465"/>
      <x:c r="R128" s="465"/>
      <x:c r="S128" s="465"/>
      <x:c r="T128" s="465"/>
      <x:c r="U128" s="465"/>
      <x:c r="V128" s="465"/>
      <x:c r="W128" s="465"/>
      <x:c r="X128" s="465"/>
      <x:c r="Y128" s="465"/>
      <x:c r="Z128" s="465"/>
    </x:row>
    <x:row r="129">
      <x:c r="A129" s="465"/>
      <x:c r="B129" s="465"/>
      <x:c r="C129" s="465"/>
      <x:c r="D129" s="465"/>
      <x:c r="E129" s="465"/>
      <x:c r="F129" s="465"/>
      <x:c r="G129" s="465"/>
      <x:c r="H129" s="465"/>
      <x:c r="I129" s="465"/>
      <x:c r="J129" s="465"/>
      <x:c r="K129" s="465"/>
      <x:c r="L129" s="465"/>
      <x:c r="M129" s="465"/>
      <x:c r="N129" s="465"/>
      <x:c r="O129" s="465"/>
      <x:c r="P129" s="465"/>
      <x:c r="Q129" s="465"/>
      <x:c r="R129" s="465"/>
      <x:c r="S129" s="465"/>
      <x:c r="T129" s="465"/>
      <x:c r="U129" s="465"/>
      <x:c r="V129" s="465"/>
      <x:c r="W129" s="465"/>
      <x:c r="X129" s="465"/>
      <x:c r="Y129" s="465"/>
      <x:c r="Z129" s="465"/>
    </x:row>
    <x:row r="130">
      <x:c r="A130" s="465"/>
      <x:c r="B130" s="465"/>
      <x:c r="C130" s="465"/>
      <x:c r="D130" s="465"/>
      <x:c r="E130" s="465"/>
      <x:c r="F130" s="465"/>
      <x:c r="G130" s="465"/>
      <x:c r="H130" s="465"/>
      <x:c r="I130" s="465"/>
      <x:c r="J130" s="465"/>
      <x:c r="K130" s="465"/>
      <x:c r="L130" s="465"/>
      <x:c r="M130" s="465"/>
      <x:c r="N130" s="465"/>
      <x:c r="O130" s="465"/>
      <x:c r="P130" s="465"/>
      <x:c r="Q130" s="465"/>
      <x:c r="R130" s="465"/>
      <x:c r="S130" s="465"/>
      <x:c r="T130" s="465"/>
      <x:c r="U130" s="465"/>
      <x:c r="V130" s="465"/>
      <x:c r="W130" s="465"/>
      <x:c r="X130" s="465"/>
      <x:c r="Y130" s="465"/>
      <x:c r="Z130" s="465"/>
    </x:row>
    <x:row r="131">
      <x:c r="A131" s="465"/>
      <x:c r="B131" s="465"/>
      <x:c r="C131" s="465"/>
      <x:c r="D131" s="465"/>
      <x:c r="E131" s="465"/>
      <x:c r="F131" s="465"/>
      <x:c r="G131" s="465"/>
      <x:c r="H131" s="465"/>
      <x:c r="I131" s="465"/>
      <x:c r="J131" s="465"/>
      <x:c r="K131" s="465"/>
      <x:c r="L131" s="465"/>
      <x:c r="M131" s="465"/>
      <x:c r="N131" s="465"/>
      <x:c r="O131" s="465"/>
      <x:c r="P131" s="465"/>
      <x:c r="Q131" s="465"/>
      <x:c r="R131" s="465"/>
      <x:c r="S131" s="465"/>
      <x:c r="T131" s="465"/>
      <x:c r="U131" s="465"/>
      <x:c r="V131" s="465"/>
      <x:c r="W131" s="465"/>
      <x:c r="X131" s="465"/>
      <x:c r="Y131" s="465"/>
      <x:c r="Z131" s="465"/>
    </x:row>
    <x:row r="132">
      <x:c r="A132" s="465"/>
      <x:c r="B132" s="465"/>
      <x:c r="C132" s="465"/>
      <x:c r="D132" s="465"/>
      <x:c r="E132" s="465"/>
      <x:c r="F132" s="465"/>
      <x:c r="G132" s="465"/>
      <x:c r="H132" s="465"/>
      <x:c r="I132" s="465"/>
      <x:c r="J132" s="465"/>
      <x:c r="K132" s="465"/>
      <x:c r="L132" s="465"/>
      <x:c r="M132" s="465"/>
      <x:c r="N132" s="465"/>
      <x:c r="O132" s="465"/>
      <x:c r="P132" s="465"/>
      <x:c r="Q132" s="465"/>
      <x:c r="R132" s="465"/>
      <x:c r="S132" s="465"/>
      <x:c r="T132" s="465"/>
      <x:c r="U132" s="465"/>
      <x:c r="V132" s="465"/>
      <x:c r="W132" s="465"/>
      <x:c r="X132" s="465"/>
      <x:c r="Y132" s="465"/>
      <x:c r="Z132" s="465"/>
    </x:row>
    <x:row r="133">
      <x:c r="A133" s="465"/>
      <x:c r="B133" s="465"/>
      <x:c r="C133" s="465"/>
      <x:c r="D133" s="465"/>
      <x:c r="E133" s="465"/>
      <x:c r="F133" s="465"/>
      <x:c r="G133" s="465"/>
      <x:c r="H133" s="465"/>
      <x:c r="I133" s="465"/>
      <x:c r="J133" s="465"/>
      <x:c r="K133" s="465"/>
      <x:c r="L133" s="465"/>
      <x:c r="M133" s="465"/>
      <x:c r="N133" s="465"/>
      <x:c r="O133" s="465"/>
      <x:c r="P133" s="465"/>
      <x:c r="Q133" s="465"/>
      <x:c r="R133" s="465"/>
      <x:c r="S133" s="465"/>
      <x:c r="T133" s="465"/>
      <x:c r="U133" s="465"/>
      <x:c r="V133" s="465"/>
      <x:c r="W133" s="465"/>
      <x:c r="X133" s="465"/>
      <x:c r="Y133" s="465"/>
      <x:c r="Z133" s="465"/>
    </x:row>
    <x:row r="134">
      <x:c r="A134" s="465"/>
      <x:c r="B134" s="465"/>
      <x:c r="C134" s="465"/>
      <x:c r="D134" s="465"/>
      <x:c r="E134" s="465"/>
      <x:c r="F134" s="465"/>
      <x:c r="G134" s="465"/>
      <x:c r="H134" s="465"/>
      <x:c r="I134" s="465"/>
      <x:c r="J134" s="465"/>
      <x:c r="K134" s="465"/>
      <x:c r="L134" s="465"/>
      <x:c r="M134" s="465"/>
      <x:c r="N134" s="465"/>
      <x:c r="O134" s="465"/>
      <x:c r="P134" s="465"/>
      <x:c r="Q134" s="465"/>
      <x:c r="R134" s="465"/>
      <x:c r="S134" s="465"/>
      <x:c r="T134" s="465"/>
      <x:c r="U134" s="465"/>
      <x:c r="V134" s="465"/>
      <x:c r="W134" s="465"/>
      <x:c r="X134" s="465"/>
      <x:c r="Y134" s="465"/>
      <x:c r="Z134" s="465"/>
    </x:row>
    <x:row r="135">
      <x:c r="A135" s="465"/>
      <x:c r="B135" s="465"/>
      <x:c r="C135" s="465"/>
      <x:c r="D135" s="465"/>
      <x:c r="E135" s="465"/>
      <x:c r="F135" s="465"/>
      <x:c r="G135" s="465"/>
      <x:c r="H135" s="465"/>
      <x:c r="I135" s="465"/>
      <x:c r="J135" s="465"/>
      <x:c r="K135" s="465"/>
      <x:c r="L135" s="465"/>
      <x:c r="M135" s="465"/>
      <x:c r="N135" s="465"/>
      <x:c r="O135" s="465"/>
      <x:c r="P135" s="465"/>
      <x:c r="Q135" s="465"/>
      <x:c r="R135" s="465"/>
      <x:c r="S135" s="465"/>
      <x:c r="T135" s="465"/>
      <x:c r="U135" s="465"/>
      <x:c r="V135" s="465"/>
      <x:c r="W135" s="465"/>
      <x:c r="X135" s="465"/>
      <x:c r="Y135" s="465"/>
      <x:c r="Z135" s="465"/>
    </x:row>
    <x:row r="136">
      <x:c r="A136" s="465"/>
      <x:c r="B136" s="465"/>
      <x:c r="C136" s="465"/>
      <x:c r="D136" s="465"/>
      <x:c r="E136" s="465"/>
      <x:c r="F136" s="465"/>
      <x:c r="G136" s="465"/>
      <x:c r="H136" s="465"/>
      <x:c r="I136" s="465"/>
      <x:c r="J136" s="465"/>
      <x:c r="K136" s="465"/>
      <x:c r="L136" s="465"/>
      <x:c r="M136" s="465"/>
      <x:c r="N136" s="465"/>
      <x:c r="O136" s="465"/>
      <x:c r="P136" s="465"/>
      <x:c r="Q136" s="465"/>
      <x:c r="R136" s="465"/>
      <x:c r="S136" s="465"/>
      <x:c r="T136" s="465"/>
      <x:c r="U136" s="465"/>
      <x:c r="V136" s="465"/>
      <x:c r="W136" s="465"/>
      <x:c r="X136" s="465"/>
      <x:c r="Y136" s="465"/>
      <x:c r="Z136" s="465"/>
    </x:row>
    <x:row r="137">
      <x:c r="A137" s="465"/>
      <x:c r="B137" s="465"/>
      <x:c r="C137" s="465"/>
      <x:c r="D137" s="465"/>
      <x:c r="E137" s="465"/>
      <x:c r="F137" s="465"/>
      <x:c r="G137" s="465"/>
      <x:c r="H137" s="465"/>
      <x:c r="I137" s="465"/>
      <x:c r="J137" s="465"/>
      <x:c r="K137" s="465"/>
      <x:c r="L137" s="465"/>
      <x:c r="M137" s="465"/>
      <x:c r="N137" s="465"/>
      <x:c r="O137" s="465"/>
      <x:c r="P137" s="465"/>
      <x:c r="Q137" s="465"/>
      <x:c r="R137" s="465"/>
      <x:c r="S137" s="465"/>
      <x:c r="T137" s="465"/>
      <x:c r="U137" s="465"/>
      <x:c r="V137" s="465"/>
      <x:c r="W137" s="465"/>
      <x:c r="X137" s="465"/>
      <x:c r="Y137" s="465"/>
      <x:c r="Z137" s="465"/>
    </x:row>
    <x:row r="138">
      <x:c r="A138" s="465"/>
      <x:c r="B138" s="465"/>
      <x:c r="C138" s="465"/>
      <x:c r="D138" s="465"/>
      <x:c r="E138" s="465"/>
      <x:c r="F138" s="465"/>
      <x:c r="G138" s="465"/>
      <x:c r="H138" s="465"/>
      <x:c r="I138" s="465"/>
      <x:c r="J138" s="465"/>
      <x:c r="K138" s="465"/>
      <x:c r="L138" s="465"/>
      <x:c r="M138" s="465"/>
      <x:c r="N138" s="465"/>
      <x:c r="O138" s="465"/>
      <x:c r="P138" s="465"/>
      <x:c r="Q138" s="465"/>
      <x:c r="R138" s="465"/>
      <x:c r="S138" s="465"/>
      <x:c r="T138" s="465"/>
      <x:c r="U138" s="465"/>
      <x:c r="V138" s="465"/>
      <x:c r="W138" s="465"/>
      <x:c r="X138" s="465"/>
      <x:c r="Y138" s="465"/>
      <x:c r="Z138" s="465"/>
    </x:row>
    <x:row r="139">
      <x:c r="A139" s="465"/>
      <x:c r="B139" s="465"/>
      <x:c r="C139" s="465"/>
      <x:c r="D139" s="465"/>
      <x:c r="E139" s="465"/>
      <x:c r="F139" s="465"/>
      <x:c r="G139" s="465"/>
      <x:c r="H139" s="465"/>
      <x:c r="I139" s="465"/>
      <x:c r="J139" s="465"/>
      <x:c r="K139" s="465"/>
      <x:c r="L139" s="465"/>
      <x:c r="M139" s="465"/>
      <x:c r="N139" s="465"/>
      <x:c r="O139" s="465"/>
      <x:c r="P139" s="465"/>
      <x:c r="Q139" s="465"/>
      <x:c r="R139" s="465"/>
      <x:c r="S139" s="465"/>
      <x:c r="T139" s="465"/>
      <x:c r="U139" s="465"/>
      <x:c r="V139" s="465"/>
      <x:c r="W139" s="465"/>
      <x:c r="X139" s="465"/>
      <x:c r="Y139" s="465"/>
      <x:c r="Z139" s="465"/>
    </x:row>
    <x:row r="140">
      <x:c r="A140" s="465"/>
      <x:c r="B140" s="465"/>
      <x:c r="C140" s="465"/>
      <x:c r="D140" s="465"/>
      <x:c r="E140" s="465"/>
      <x:c r="F140" s="465"/>
      <x:c r="G140" s="465"/>
      <x:c r="H140" s="465"/>
      <x:c r="I140" s="465"/>
      <x:c r="J140" s="465"/>
      <x:c r="K140" s="465"/>
      <x:c r="L140" s="465"/>
      <x:c r="M140" s="465"/>
      <x:c r="N140" s="465"/>
      <x:c r="O140" s="465"/>
      <x:c r="P140" s="465"/>
      <x:c r="Q140" s="465"/>
      <x:c r="R140" s="465"/>
      <x:c r="S140" s="465"/>
      <x:c r="T140" s="465"/>
      <x:c r="U140" s="465"/>
      <x:c r="V140" s="465"/>
      <x:c r="W140" s="465"/>
      <x:c r="X140" s="465"/>
      <x:c r="Y140" s="465"/>
      <x:c r="Z140" s="465"/>
    </x:row>
    <x:row r="141">
      <x:c r="A141" s="465"/>
      <x:c r="B141" s="465"/>
      <x:c r="C141" s="465"/>
      <x:c r="D141" s="465"/>
      <x:c r="E141" s="465"/>
      <x:c r="F141" s="465"/>
      <x:c r="G141" s="465"/>
      <x:c r="H141" s="465"/>
      <x:c r="I141" s="465"/>
      <x:c r="J141" s="465"/>
      <x:c r="K141" s="465"/>
      <x:c r="L141" s="465"/>
      <x:c r="M141" s="465"/>
      <x:c r="N141" s="465"/>
      <x:c r="O141" s="465"/>
      <x:c r="P141" s="465"/>
      <x:c r="Q141" s="465"/>
      <x:c r="R141" s="465"/>
      <x:c r="S141" s="465"/>
      <x:c r="T141" s="465"/>
      <x:c r="U141" s="465"/>
      <x:c r="V141" s="465"/>
      <x:c r="W141" s="465"/>
      <x:c r="X141" s="465"/>
      <x:c r="Y141" s="465"/>
      <x:c r="Z141" s="465"/>
    </x:row>
    <x:row r="142">
      <x:c r="A142" s="465"/>
      <x:c r="B142" s="465"/>
      <x:c r="C142" s="465"/>
      <x:c r="D142" s="465"/>
      <x:c r="E142" s="465"/>
      <x:c r="F142" s="465"/>
      <x:c r="G142" s="465"/>
      <x:c r="H142" s="465"/>
      <x:c r="I142" s="465"/>
      <x:c r="J142" s="465"/>
      <x:c r="K142" s="465"/>
      <x:c r="L142" s="465"/>
      <x:c r="M142" s="465"/>
      <x:c r="N142" s="465"/>
      <x:c r="O142" s="465"/>
      <x:c r="P142" s="465"/>
      <x:c r="Q142" s="465"/>
      <x:c r="R142" s="465"/>
      <x:c r="S142" s="465"/>
      <x:c r="T142" s="465"/>
      <x:c r="U142" s="465"/>
      <x:c r="V142" s="465"/>
      <x:c r="W142" s="465"/>
      <x:c r="X142" s="465"/>
      <x:c r="Y142" s="465"/>
      <x:c r="Z142" s="465"/>
    </x:row>
    <x:row r="143">
      <x:c r="A143" s="465"/>
      <x:c r="B143" s="465"/>
      <x:c r="C143" s="465"/>
      <x:c r="D143" s="465"/>
      <x:c r="E143" s="465"/>
      <x:c r="F143" s="465"/>
      <x:c r="G143" s="465"/>
      <x:c r="H143" s="465"/>
      <x:c r="I143" s="465"/>
      <x:c r="J143" s="465"/>
      <x:c r="K143" s="465"/>
      <x:c r="L143" s="465"/>
      <x:c r="M143" s="465"/>
      <x:c r="N143" s="465"/>
      <x:c r="O143" s="465"/>
      <x:c r="P143" s="465"/>
      <x:c r="Q143" s="465"/>
      <x:c r="R143" s="465"/>
      <x:c r="S143" s="465"/>
      <x:c r="T143" s="465"/>
      <x:c r="U143" s="465"/>
      <x:c r="V143" s="465"/>
      <x:c r="W143" s="465"/>
      <x:c r="X143" s="465"/>
      <x:c r="Y143" s="465"/>
      <x:c r="Z143" s="465"/>
    </x:row>
    <x:row r="144">
      <x:c r="A144" s="465"/>
      <x:c r="B144" s="465"/>
      <x:c r="C144" s="465"/>
      <x:c r="D144" s="465"/>
      <x:c r="E144" s="465"/>
      <x:c r="F144" s="465"/>
      <x:c r="G144" s="465"/>
      <x:c r="H144" s="465"/>
      <x:c r="I144" s="465"/>
      <x:c r="J144" s="465"/>
      <x:c r="K144" s="465"/>
      <x:c r="L144" s="465"/>
      <x:c r="M144" s="465"/>
      <x:c r="N144" s="465"/>
      <x:c r="O144" s="465"/>
      <x:c r="P144" s="465"/>
      <x:c r="Q144" s="465"/>
      <x:c r="R144" s="465"/>
      <x:c r="S144" s="465"/>
      <x:c r="T144" s="465"/>
      <x:c r="U144" s="465"/>
      <x:c r="V144" s="465"/>
      <x:c r="W144" s="465"/>
      <x:c r="X144" s="465"/>
      <x:c r="Y144" s="465"/>
      <x:c r="Z144" s="465"/>
    </x:row>
    <x:row r="145">
      <x:c r="A145" s="465"/>
      <x:c r="B145" s="465"/>
      <x:c r="C145" s="465"/>
      <x:c r="D145" s="465"/>
      <x:c r="E145" s="465"/>
      <x:c r="F145" s="465"/>
      <x:c r="G145" s="465"/>
      <x:c r="H145" s="465"/>
      <x:c r="I145" s="465"/>
      <x:c r="J145" s="465"/>
      <x:c r="K145" s="465"/>
      <x:c r="L145" s="465"/>
      <x:c r="M145" s="465"/>
      <x:c r="N145" s="465"/>
      <x:c r="O145" s="465"/>
      <x:c r="P145" s="465"/>
      <x:c r="Q145" s="465"/>
      <x:c r="R145" s="465"/>
      <x:c r="S145" s="465"/>
      <x:c r="T145" s="465"/>
      <x:c r="U145" s="465"/>
      <x:c r="V145" s="465"/>
      <x:c r="W145" s="465"/>
      <x:c r="X145" s="465"/>
      <x:c r="Y145" s="465"/>
      <x:c r="Z145" s="465"/>
    </x:row>
    <x:row r="146">
      <x:c r="A146" s="465"/>
      <x:c r="B146" s="465"/>
      <x:c r="C146" s="465"/>
      <x:c r="D146" s="465"/>
      <x:c r="E146" s="465"/>
      <x:c r="F146" s="465"/>
      <x:c r="G146" s="465"/>
      <x:c r="H146" s="465"/>
      <x:c r="I146" s="465"/>
      <x:c r="J146" s="465"/>
      <x:c r="K146" s="465"/>
      <x:c r="L146" s="465"/>
      <x:c r="M146" s="465"/>
      <x:c r="N146" s="465"/>
      <x:c r="O146" s="465"/>
      <x:c r="P146" s="465"/>
      <x:c r="Q146" s="465"/>
      <x:c r="R146" s="465"/>
      <x:c r="S146" s="465"/>
      <x:c r="T146" s="465"/>
      <x:c r="U146" s="465"/>
      <x:c r="V146" s="465"/>
      <x:c r="W146" s="465"/>
      <x:c r="X146" s="465"/>
      <x:c r="Y146" s="465"/>
      <x:c r="Z146" s="465"/>
    </x:row>
    <x:row r="147">
      <x:c r="A147" s="465"/>
      <x:c r="B147" s="465"/>
      <x:c r="C147" s="465"/>
      <x:c r="D147" s="465"/>
      <x:c r="E147" s="465"/>
      <x:c r="F147" s="465"/>
      <x:c r="G147" s="465"/>
      <x:c r="H147" s="465"/>
      <x:c r="I147" s="465"/>
      <x:c r="J147" s="465"/>
      <x:c r="K147" s="465"/>
      <x:c r="L147" s="465"/>
      <x:c r="M147" s="465"/>
      <x:c r="N147" s="465"/>
      <x:c r="O147" s="465"/>
      <x:c r="P147" s="465"/>
      <x:c r="Q147" s="465"/>
      <x:c r="R147" s="465"/>
      <x:c r="S147" s="465"/>
      <x:c r="T147" s="465"/>
      <x:c r="U147" s="465"/>
      <x:c r="V147" s="465"/>
      <x:c r="W147" s="465"/>
      <x:c r="X147" s="465"/>
      <x:c r="Y147" s="465"/>
      <x:c r="Z147" s="465"/>
    </x:row>
    <x:row r="148">
      <x:c r="A148" s="465"/>
      <x:c r="B148" s="465"/>
      <x:c r="C148" s="465"/>
      <x:c r="D148" s="465"/>
      <x:c r="E148" s="465"/>
      <x:c r="F148" s="465"/>
      <x:c r="G148" s="465"/>
      <x:c r="H148" s="465"/>
      <x:c r="I148" s="465"/>
      <x:c r="J148" s="465"/>
      <x:c r="K148" s="465"/>
      <x:c r="L148" s="465"/>
      <x:c r="M148" s="465"/>
      <x:c r="N148" s="465"/>
      <x:c r="O148" s="465"/>
      <x:c r="P148" s="465"/>
      <x:c r="Q148" s="465"/>
      <x:c r="R148" s="465"/>
      <x:c r="S148" s="465"/>
      <x:c r="T148" s="465"/>
      <x:c r="U148" s="465"/>
      <x:c r="V148" s="465"/>
      <x:c r="W148" s="465"/>
      <x:c r="X148" s="465"/>
      <x:c r="Y148" s="465"/>
      <x:c r="Z148" s="465"/>
    </x:row>
    <x:row r="149">
      <x:c r="A149" s="465"/>
      <x:c r="B149" s="465"/>
      <x:c r="C149" s="465"/>
      <x:c r="D149" s="465"/>
      <x:c r="E149" s="465"/>
      <x:c r="F149" s="465"/>
      <x:c r="G149" s="465"/>
      <x:c r="H149" s="465"/>
      <x:c r="I149" s="465"/>
      <x:c r="J149" s="465"/>
      <x:c r="K149" s="465"/>
      <x:c r="L149" s="465"/>
      <x:c r="M149" s="465"/>
      <x:c r="N149" s="465"/>
      <x:c r="O149" s="465"/>
      <x:c r="P149" s="465"/>
      <x:c r="Q149" s="465"/>
      <x:c r="R149" s="465"/>
      <x:c r="S149" s="465"/>
      <x:c r="T149" s="465"/>
      <x:c r="U149" s="465"/>
      <x:c r="V149" s="465"/>
      <x:c r="W149" s="465"/>
      <x:c r="X149" s="465"/>
      <x:c r="Y149" s="465"/>
      <x:c r="Z149" s="465"/>
    </x:row>
    <x:row r="150">
      <x:c r="A150" s="465"/>
      <x:c r="B150" s="465"/>
      <x:c r="C150" s="465"/>
      <x:c r="D150" s="465"/>
      <x:c r="E150" s="465"/>
      <x:c r="F150" s="465"/>
      <x:c r="G150" s="465"/>
      <x:c r="H150" s="465"/>
      <x:c r="I150" s="465"/>
      <x:c r="J150" s="465"/>
      <x:c r="K150" s="465"/>
      <x:c r="L150" s="465"/>
      <x:c r="M150" s="465"/>
      <x:c r="N150" s="465"/>
      <x:c r="O150" s="465"/>
      <x:c r="P150" s="465"/>
      <x:c r="Q150" s="465"/>
      <x:c r="R150" s="465"/>
      <x:c r="S150" s="465"/>
      <x:c r="T150" s="465"/>
      <x:c r="U150" s="465"/>
      <x:c r="V150" s="465"/>
      <x:c r="W150" s="465"/>
      <x:c r="X150" s="465"/>
      <x:c r="Y150" s="465"/>
      <x:c r="Z150" s="465"/>
    </x:row>
    <x:row r="151">
      <x:c r="A151" s="465"/>
      <x:c r="B151" s="465"/>
      <x:c r="C151" s="465"/>
      <x:c r="D151" s="465"/>
      <x:c r="E151" s="465"/>
      <x:c r="F151" s="465"/>
      <x:c r="G151" s="465"/>
      <x:c r="H151" s="465"/>
      <x:c r="I151" s="465"/>
      <x:c r="J151" s="465"/>
      <x:c r="K151" s="465"/>
      <x:c r="L151" s="465"/>
      <x:c r="M151" s="465"/>
      <x:c r="N151" s="465"/>
      <x:c r="O151" s="465"/>
      <x:c r="P151" s="465"/>
      <x:c r="Q151" s="465"/>
      <x:c r="R151" s="465"/>
      <x:c r="S151" s="465"/>
      <x:c r="T151" s="465"/>
      <x:c r="U151" s="465"/>
      <x:c r="V151" s="465"/>
      <x:c r="W151" s="465"/>
      <x:c r="X151" s="465"/>
      <x:c r="Y151" s="465"/>
      <x:c r="Z151" s="465"/>
    </x:row>
    <x:row r="152">
      <x:c r="A152" s="465"/>
      <x:c r="B152" s="465"/>
      <x:c r="C152" s="465"/>
      <x:c r="D152" s="465"/>
      <x:c r="E152" s="465"/>
      <x:c r="F152" s="465"/>
      <x:c r="G152" s="465"/>
      <x:c r="H152" s="465"/>
      <x:c r="I152" s="465"/>
      <x:c r="J152" s="465"/>
      <x:c r="K152" s="465"/>
      <x:c r="L152" s="465"/>
      <x:c r="M152" s="465"/>
      <x:c r="N152" s="465"/>
      <x:c r="O152" s="465"/>
      <x:c r="P152" s="465"/>
      <x:c r="Q152" s="465"/>
      <x:c r="R152" s="465"/>
      <x:c r="S152" s="465"/>
      <x:c r="T152" s="465"/>
      <x:c r="U152" s="465"/>
      <x:c r="V152" s="465"/>
      <x:c r="W152" s="465"/>
      <x:c r="X152" s="465"/>
      <x:c r="Y152" s="465"/>
      <x:c r="Z152" s="465"/>
    </x:row>
    <x:row r="153">
      <x:c r="A153" s="465"/>
      <x:c r="B153" s="465"/>
      <x:c r="C153" s="465"/>
      <x:c r="D153" s="465"/>
      <x:c r="E153" s="465"/>
      <x:c r="F153" s="465"/>
      <x:c r="G153" s="465"/>
      <x:c r="H153" s="465"/>
      <x:c r="I153" s="465"/>
      <x:c r="J153" s="465"/>
      <x:c r="K153" s="465"/>
      <x:c r="L153" s="465"/>
      <x:c r="M153" s="465"/>
      <x:c r="N153" s="465"/>
      <x:c r="O153" s="465"/>
      <x:c r="P153" s="465"/>
      <x:c r="Q153" s="465"/>
      <x:c r="R153" s="465"/>
      <x:c r="S153" s="465"/>
      <x:c r="T153" s="465"/>
      <x:c r="U153" s="465"/>
      <x:c r="V153" s="465"/>
      <x:c r="W153" s="465"/>
      <x:c r="X153" s="465"/>
      <x:c r="Y153" s="465"/>
      <x:c r="Z153" s="465"/>
    </x:row>
    <x:row r="154">
      <x:c r="A154" s="465"/>
      <x:c r="B154" s="465"/>
      <x:c r="C154" s="465"/>
      <x:c r="D154" s="465"/>
      <x:c r="E154" s="465"/>
      <x:c r="F154" s="465"/>
      <x:c r="G154" s="465"/>
      <x:c r="H154" s="465"/>
      <x:c r="I154" s="465"/>
      <x:c r="J154" s="465"/>
      <x:c r="K154" s="465"/>
      <x:c r="L154" s="465"/>
      <x:c r="M154" s="465"/>
      <x:c r="N154" s="465"/>
      <x:c r="O154" s="465"/>
      <x:c r="P154" s="465"/>
      <x:c r="Q154" s="465"/>
      <x:c r="R154" s="465"/>
      <x:c r="S154" s="465"/>
      <x:c r="T154" s="465"/>
      <x:c r="U154" s="465"/>
      <x:c r="V154" s="465"/>
      <x:c r="W154" s="465"/>
      <x:c r="X154" s="465"/>
      <x:c r="Y154" s="465"/>
      <x:c r="Z154" s="465"/>
    </x:row>
    <x:row r="155">
      <x:c r="A155" s="465"/>
      <x:c r="B155" s="465"/>
      <x:c r="C155" s="465"/>
      <x:c r="D155" s="465"/>
      <x:c r="E155" s="465"/>
      <x:c r="F155" s="465"/>
      <x:c r="G155" s="465"/>
      <x:c r="H155" s="465"/>
      <x:c r="I155" s="465"/>
      <x:c r="J155" s="465"/>
      <x:c r="K155" s="465"/>
      <x:c r="L155" s="465"/>
      <x:c r="M155" s="465"/>
      <x:c r="N155" s="465"/>
      <x:c r="O155" s="465"/>
      <x:c r="P155" s="465"/>
      <x:c r="Q155" s="465"/>
      <x:c r="R155" s="465"/>
      <x:c r="S155" s="465"/>
      <x:c r="T155" s="465"/>
      <x:c r="U155" s="465"/>
      <x:c r="V155" s="465"/>
      <x:c r="W155" s="465"/>
      <x:c r="X155" s="465"/>
      <x:c r="Y155" s="465"/>
      <x:c r="Z155" s="465"/>
    </x:row>
    <x:row r="156">
      <x:c r="A156" s="465"/>
      <x:c r="B156" s="465"/>
      <x:c r="C156" s="465"/>
      <x:c r="D156" s="465"/>
      <x:c r="E156" s="465"/>
      <x:c r="F156" s="465"/>
      <x:c r="G156" s="465"/>
      <x:c r="H156" s="465"/>
      <x:c r="I156" s="465"/>
      <x:c r="J156" s="465"/>
      <x:c r="K156" s="465"/>
      <x:c r="L156" s="465"/>
      <x:c r="M156" s="465"/>
      <x:c r="N156" s="465"/>
      <x:c r="O156" s="465"/>
      <x:c r="P156" s="465"/>
      <x:c r="Q156" s="465"/>
      <x:c r="R156" s="465"/>
      <x:c r="S156" s="465"/>
      <x:c r="T156" s="465"/>
      <x:c r="U156" s="465"/>
      <x:c r="V156" s="465"/>
      <x:c r="W156" s="465"/>
      <x:c r="X156" s="465"/>
      <x:c r="Y156" s="465"/>
      <x:c r="Z156" s="465"/>
    </x:row>
    <x:row r="157">
      <x:c r="A157" s="465"/>
      <x:c r="B157" s="465"/>
      <x:c r="C157" s="465"/>
      <x:c r="D157" s="465"/>
      <x:c r="E157" s="465"/>
      <x:c r="F157" s="465"/>
      <x:c r="G157" s="465"/>
      <x:c r="H157" s="465"/>
      <x:c r="I157" s="465"/>
      <x:c r="J157" s="465"/>
      <x:c r="K157" s="465"/>
      <x:c r="L157" s="465"/>
      <x:c r="M157" s="465"/>
      <x:c r="N157" s="465"/>
      <x:c r="O157" s="465"/>
      <x:c r="P157" s="465"/>
      <x:c r="Q157" s="465"/>
      <x:c r="R157" s="465"/>
      <x:c r="S157" s="465"/>
      <x:c r="T157" s="465"/>
      <x:c r="U157" s="465"/>
      <x:c r="V157" s="465"/>
      <x:c r="W157" s="465"/>
      <x:c r="X157" s="465"/>
      <x:c r="Y157" s="465"/>
      <x:c r="Z157" s="465"/>
    </x:row>
    <x:row r="158">
      <x:c r="A158" s="465"/>
      <x:c r="B158" s="465"/>
      <x:c r="C158" s="465"/>
      <x:c r="D158" s="465"/>
      <x:c r="E158" s="465"/>
      <x:c r="F158" s="465"/>
      <x:c r="G158" s="465"/>
      <x:c r="H158" s="465"/>
      <x:c r="I158" s="465"/>
      <x:c r="J158" s="465"/>
      <x:c r="K158" s="465"/>
      <x:c r="L158" s="465"/>
      <x:c r="M158" s="465"/>
      <x:c r="N158" s="465"/>
      <x:c r="O158" s="465"/>
      <x:c r="P158" s="465"/>
      <x:c r="Q158" s="465"/>
      <x:c r="R158" s="465"/>
      <x:c r="S158" s="465"/>
      <x:c r="T158" s="465"/>
      <x:c r="U158" s="465"/>
      <x:c r="V158" s="465"/>
      <x:c r="W158" s="465"/>
      <x:c r="X158" s="465"/>
      <x:c r="Y158" s="465"/>
      <x:c r="Z158" s="465"/>
    </x:row>
    <x:row r="159">
      <x:c r="A159" s="465"/>
      <x:c r="B159" s="465"/>
      <x:c r="C159" s="465"/>
      <x:c r="D159" s="465"/>
      <x:c r="E159" s="465"/>
      <x:c r="F159" s="465"/>
      <x:c r="G159" s="465"/>
      <x:c r="H159" s="465"/>
      <x:c r="I159" s="465"/>
      <x:c r="J159" s="465"/>
      <x:c r="K159" s="465"/>
      <x:c r="L159" s="465"/>
      <x:c r="M159" s="465"/>
      <x:c r="N159" s="465"/>
      <x:c r="O159" s="465"/>
      <x:c r="P159" s="465"/>
      <x:c r="Q159" s="465"/>
      <x:c r="R159" s="465"/>
      <x:c r="S159" s="465"/>
      <x:c r="T159" s="465"/>
      <x:c r="U159" s="465"/>
      <x:c r="V159" s="465"/>
      <x:c r="W159" s="465"/>
      <x:c r="X159" s="465"/>
      <x:c r="Y159" s="465"/>
      <x:c r="Z159" s="465"/>
    </x:row>
    <x:row r="160">
      <x:c r="A160" s="465"/>
      <x:c r="B160" s="465"/>
      <x:c r="C160" s="465"/>
      <x:c r="D160" s="465"/>
      <x:c r="E160" s="465"/>
      <x:c r="F160" s="465"/>
      <x:c r="G160" s="465"/>
      <x:c r="H160" s="465"/>
      <x:c r="I160" s="465"/>
      <x:c r="J160" s="465"/>
      <x:c r="K160" s="465"/>
      <x:c r="L160" s="465"/>
      <x:c r="M160" s="465"/>
      <x:c r="N160" s="465"/>
      <x:c r="O160" s="465"/>
      <x:c r="P160" s="465"/>
      <x:c r="Q160" s="465"/>
      <x:c r="R160" s="465"/>
      <x:c r="S160" s="465"/>
      <x:c r="T160" s="465"/>
      <x:c r="U160" s="465"/>
      <x:c r="V160" s="465"/>
      <x:c r="W160" s="465"/>
      <x:c r="X160" s="465"/>
      <x:c r="Y160" s="465"/>
      <x:c r="Z160" s="465"/>
    </x:row>
    <x:row r="161">
      <x:c r="A161" s="465"/>
      <x:c r="B161" s="465"/>
      <x:c r="C161" s="465"/>
      <x:c r="D161" s="465"/>
      <x:c r="E161" s="465"/>
      <x:c r="F161" s="465"/>
      <x:c r="G161" s="465"/>
      <x:c r="H161" s="465"/>
      <x:c r="I161" s="465"/>
      <x:c r="J161" s="465"/>
      <x:c r="K161" s="465"/>
      <x:c r="L161" s="465"/>
      <x:c r="M161" s="465"/>
      <x:c r="N161" s="465"/>
      <x:c r="O161" s="465"/>
      <x:c r="P161" s="465"/>
      <x:c r="Q161" s="465"/>
      <x:c r="R161" s="465"/>
      <x:c r="S161" s="465"/>
      <x:c r="T161" s="465"/>
      <x:c r="U161" s="465"/>
      <x:c r="V161" s="465"/>
      <x:c r="W161" s="465"/>
      <x:c r="X161" s="465"/>
      <x:c r="Y161" s="465"/>
      <x:c r="Z161" s="465"/>
    </x:row>
    <x:row r="162">
      <x:c r="A162" s="465"/>
      <x:c r="B162" s="465"/>
      <x:c r="C162" s="465"/>
      <x:c r="D162" s="465"/>
      <x:c r="E162" s="465"/>
      <x:c r="F162" s="465"/>
      <x:c r="G162" s="465"/>
      <x:c r="H162" s="465"/>
      <x:c r="I162" s="465"/>
      <x:c r="J162" s="465"/>
      <x:c r="K162" s="465"/>
      <x:c r="L162" s="465"/>
      <x:c r="M162" s="465"/>
      <x:c r="N162" s="465"/>
      <x:c r="O162" s="465"/>
      <x:c r="P162" s="465"/>
      <x:c r="Q162" s="465"/>
      <x:c r="R162" s="465"/>
      <x:c r="S162" s="465"/>
      <x:c r="T162" s="465"/>
      <x:c r="U162" s="465"/>
      <x:c r="V162" s="465"/>
      <x:c r="W162" s="465"/>
      <x:c r="X162" s="465"/>
      <x:c r="Y162" s="465"/>
      <x:c r="Z162" s="465"/>
    </x:row>
    <x:row r="163">
      <x:c r="A163" s="465"/>
      <x:c r="B163" s="465"/>
      <x:c r="C163" s="465"/>
      <x:c r="D163" s="465"/>
      <x:c r="E163" s="465"/>
      <x:c r="F163" s="465"/>
      <x:c r="G163" s="465"/>
      <x:c r="H163" s="465"/>
      <x:c r="I163" s="465"/>
      <x:c r="J163" s="465"/>
      <x:c r="K163" s="465"/>
      <x:c r="L163" s="465"/>
      <x:c r="M163" s="465"/>
      <x:c r="N163" s="465"/>
      <x:c r="O163" s="465"/>
      <x:c r="P163" s="465"/>
      <x:c r="Q163" s="465"/>
      <x:c r="R163" s="465"/>
      <x:c r="S163" s="465"/>
      <x:c r="T163" s="465"/>
      <x:c r="U163" s="465"/>
      <x:c r="V163" s="465"/>
      <x:c r="W163" s="465"/>
      <x:c r="X163" s="465"/>
      <x:c r="Y163" s="465"/>
      <x:c r="Z163" s="465"/>
    </x:row>
    <x:row r="164">
      <x:c r="A164" s="465"/>
      <x:c r="B164" s="465"/>
      <x:c r="C164" s="465"/>
      <x:c r="D164" s="465"/>
      <x:c r="E164" s="465"/>
      <x:c r="F164" s="465"/>
      <x:c r="G164" s="465"/>
      <x:c r="H164" s="465"/>
      <x:c r="I164" s="465"/>
      <x:c r="J164" s="465"/>
      <x:c r="K164" s="465"/>
      <x:c r="L164" s="465"/>
      <x:c r="M164" s="465"/>
      <x:c r="N164" s="465"/>
      <x:c r="O164" s="465"/>
      <x:c r="P164" s="465"/>
      <x:c r="Q164" s="465"/>
      <x:c r="R164" s="465"/>
      <x:c r="S164" s="465"/>
      <x:c r="T164" s="465"/>
      <x:c r="U164" s="465"/>
      <x:c r="V164" s="465"/>
      <x:c r="W164" s="465"/>
      <x:c r="X164" s="465"/>
      <x:c r="Y164" s="465"/>
      <x:c r="Z164" s="465"/>
    </x:row>
    <x:row r="165">
      <x:c r="A165" s="465"/>
      <x:c r="B165" s="465"/>
      <x:c r="C165" s="465"/>
      <x:c r="D165" s="465"/>
      <x:c r="E165" s="465"/>
      <x:c r="F165" s="465"/>
      <x:c r="G165" s="465"/>
      <x:c r="H165" s="465"/>
      <x:c r="I165" s="465"/>
      <x:c r="J165" s="465"/>
      <x:c r="K165" s="465"/>
      <x:c r="L165" s="465"/>
      <x:c r="M165" s="465"/>
      <x:c r="N165" s="465"/>
      <x:c r="O165" s="465"/>
      <x:c r="P165" s="465"/>
      <x:c r="Q165" s="465"/>
      <x:c r="R165" s="465"/>
      <x:c r="S165" s="465"/>
      <x:c r="T165" s="465"/>
      <x:c r="U165" s="465"/>
      <x:c r="V165" s="465"/>
      <x:c r="W165" s="465"/>
      <x:c r="X165" s="465"/>
      <x:c r="Y165" s="465"/>
      <x:c r="Z165" s="465"/>
    </x:row>
    <x:row r="166">
      <x:c r="A166" s="465"/>
      <x:c r="B166" s="465"/>
      <x:c r="C166" s="465"/>
      <x:c r="D166" s="465"/>
      <x:c r="E166" s="465"/>
      <x:c r="F166" s="465"/>
      <x:c r="G166" s="465"/>
      <x:c r="H166" s="465"/>
      <x:c r="I166" s="465"/>
      <x:c r="J166" s="465"/>
      <x:c r="K166" s="465"/>
      <x:c r="L166" s="465"/>
      <x:c r="M166" s="465"/>
      <x:c r="N166" s="465"/>
      <x:c r="O166" s="465"/>
      <x:c r="P166" s="465"/>
      <x:c r="Q166" s="465"/>
      <x:c r="R166" s="465"/>
      <x:c r="S166" s="465"/>
      <x:c r="T166" s="465"/>
      <x:c r="U166" s="465"/>
      <x:c r="V166" s="465"/>
      <x:c r="W166" s="465"/>
      <x:c r="X166" s="465"/>
      <x:c r="Y166" s="465"/>
      <x:c r="Z166" s="465"/>
    </x:row>
    <x:row r="167">
      <x:c r="A167" s="465"/>
      <x:c r="B167" s="465"/>
      <x:c r="C167" s="465"/>
      <x:c r="D167" s="465"/>
      <x:c r="E167" s="465"/>
      <x:c r="F167" s="465"/>
      <x:c r="G167" s="465"/>
      <x:c r="H167" s="465"/>
      <x:c r="I167" s="465"/>
      <x:c r="J167" s="465"/>
      <x:c r="K167" s="465"/>
      <x:c r="L167" s="465"/>
      <x:c r="M167" s="465"/>
      <x:c r="N167" s="465"/>
      <x:c r="O167" s="465"/>
      <x:c r="P167" s="465"/>
      <x:c r="Q167" s="465"/>
      <x:c r="R167" s="465"/>
      <x:c r="S167" s="465"/>
      <x:c r="T167" s="465"/>
      <x:c r="U167" s="465"/>
      <x:c r="V167" s="465"/>
      <x:c r="W167" s="465"/>
      <x:c r="X167" s="465"/>
      <x:c r="Y167" s="465"/>
      <x:c r="Z167" s="465"/>
    </x:row>
    <x:row r="168">
      <x:c r="A168" s="465"/>
      <x:c r="B168" s="465"/>
      <x:c r="C168" s="465"/>
      <x:c r="D168" s="465"/>
      <x:c r="E168" s="465"/>
      <x:c r="F168" s="465"/>
      <x:c r="G168" s="465"/>
      <x:c r="H168" s="465"/>
      <x:c r="I168" s="465"/>
      <x:c r="J168" s="465"/>
      <x:c r="K168" s="465"/>
      <x:c r="L168" s="465"/>
      <x:c r="M168" s="465"/>
      <x:c r="N168" s="465"/>
      <x:c r="O168" s="465"/>
      <x:c r="P168" s="465"/>
      <x:c r="Q168" s="465"/>
      <x:c r="R168" s="465"/>
      <x:c r="S168" s="465"/>
      <x:c r="T168" s="465"/>
      <x:c r="U168" s="465"/>
      <x:c r="V168" s="465"/>
      <x:c r="W168" s="465"/>
      <x:c r="X168" s="465"/>
      <x:c r="Y168" s="465"/>
      <x:c r="Z168" s="465"/>
    </x:row>
    <x:row r="169">
      <x:c r="A169" s="465"/>
      <x:c r="B169" s="465"/>
      <x:c r="C169" s="465"/>
      <x:c r="D169" s="465"/>
      <x:c r="E169" s="465"/>
      <x:c r="F169" s="465"/>
      <x:c r="G169" s="465"/>
      <x:c r="H169" s="465"/>
      <x:c r="I169" s="465"/>
      <x:c r="J169" s="465"/>
      <x:c r="K169" s="465"/>
      <x:c r="L169" s="465"/>
      <x:c r="M169" s="465"/>
      <x:c r="N169" s="465"/>
      <x:c r="O169" s="465"/>
      <x:c r="P169" s="465"/>
      <x:c r="Q169" s="465"/>
      <x:c r="R169" s="465"/>
      <x:c r="S169" s="465"/>
      <x:c r="T169" s="465"/>
      <x:c r="U169" s="465"/>
      <x:c r="V169" s="465"/>
      <x:c r="W169" s="465"/>
      <x:c r="X169" s="465"/>
      <x:c r="Y169" s="465"/>
      <x:c r="Z169" s="465"/>
    </x:row>
    <x:row r="170">
      <x:c r="A170" s="465"/>
      <x:c r="B170" s="465"/>
      <x:c r="C170" s="465"/>
      <x:c r="D170" s="465"/>
      <x:c r="E170" s="465"/>
      <x:c r="F170" s="465"/>
      <x:c r="G170" s="465"/>
      <x:c r="H170" s="465"/>
      <x:c r="I170" s="465"/>
      <x:c r="J170" s="465"/>
      <x:c r="K170" s="465"/>
      <x:c r="L170" s="465"/>
      <x:c r="M170" s="465"/>
      <x:c r="N170" s="465"/>
      <x:c r="O170" s="465"/>
      <x:c r="P170" s="465"/>
      <x:c r="Q170" s="465"/>
      <x:c r="R170" s="465"/>
      <x:c r="S170" s="465"/>
      <x:c r="T170" s="465"/>
      <x:c r="U170" s="465"/>
      <x:c r="V170" s="465"/>
      <x:c r="W170" s="465"/>
      <x:c r="X170" s="465"/>
      <x:c r="Y170" s="465"/>
      <x:c r="Z170" s="465"/>
    </x:row>
    <x:row r="171">
      <x:c r="A171" s="465"/>
      <x:c r="B171" s="465"/>
      <x:c r="C171" s="465"/>
      <x:c r="D171" s="465"/>
      <x:c r="E171" s="465"/>
      <x:c r="F171" s="465"/>
      <x:c r="G171" s="465"/>
      <x:c r="H171" s="465"/>
      <x:c r="I171" s="465"/>
      <x:c r="J171" s="465"/>
      <x:c r="K171" s="465"/>
      <x:c r="L171" s="465"/>
      <x:c r="M171" s="465"/>
      <x:c r="N171" s="465"/>
      <x:c r="O171" s="465"/>
      <x:c r="P171" s="465"/>
      <x:c r="Q171" s="465"/>
      <x:c r="R171" s="465"/>
      <x:c r="S171" s="465"/>
      <x:c r="T171" s="465"/>
      <x:c r="U171" s="465"/>
      <x:c r="V171" s="465"/>
      <x:c r="W171" s="465"/>
      <x:c r="X171" s="465"/>
      <x:c r="Y171" s="465"/>
      <x:c r="Z171" s="465"/>
    </x:row>
    <x:row r="172">
      <x:c r="A172" s="465"/>
      <x:c r="B172" s="465"/>
      <x:c r="C172" s="465"/>
      <x:c r="D172" s="465"/>
      <x:c r="E172" s="465"/>
      <x:c r="F172" s="465"/>
      <x:c r="G172" s="465"/>
      <x:c r="H172" s="465"/>
      <x:c r="I172" s="465"/>
      <x:c r="J172" s="465"/>
      <x:c r="K172" s="465"/>
      <x:c r="L172" s="465"/>
      <x:c r="M172" s="465"/>
      <x:c r="N172" s="465"/>
      <x:c r="O172" s="465"/>
      <x:c r="P172" s="465"/>
      <x:c r="Q172" s="465"/>
      <x:c r="R172" s="465"/>
      <x:c r="S172" s="465"/>
      <x:c r="T172" s="465"/>
      <x:c r="U172" s="465"/>
      <x:c r="V172" s="465"/>
      <x:c r="W172" s="465"/>
      <x:c r="X172" s="465"/>
      <x:c r="Y172" s="465"/>
      <x:c r="Z172" s="465"/>
    </x:row>
    <x:row r="173">
      <x:c r="A173" s="465"/>
      <x:c r="B173" s="465"/>
      <x:c r="C173" s="465"/>
      <x:c r="D173" s="465"/>
      <x:c r="E173" s="465"/>
      <x:c r="F173" s="465"/>
      <x:c r="G173" s="465"/>
      <x:c r="H173" s="465"/>
      <x:c r="I173" s="465"/>
      <x:c r="J173" s="465"/>
      <x:c r="K173" s="465"/>
      <x:c r="L173" s="465"/>
      <x:c r="M173" s="465"/>
      <x:c r="N173" s="465"/>
      <x:c r="O173" s="465"/>
      <x:c r="P173" s="465"/>
      <x:c r="Q173" s="465"/>
      <x:c r="R173" s="465"/>
      <x:c r="S173" s="465"/>
      <x:c r="T173" s="465"/>
      <x:c r="U173" s="465"/>
      <x:c r="V173" s="465"/>
      <x:c r="W173" s="465"/>
      <x:c r="X173" s="465"/>
      <x:c r="Y173" s="465"/>
      <x:c r="Z173" s="465"/>
    </x:row>
    <x:row r="174">
      <x:c r="A174" s="465"/>
      <x:c r="B174" s="465"/>
      <x:c r="C174" s="465"/>
      <x:c r="D174" s="465"/>
      <x:c r="E174" s="465"/>
      <x:c r="F174" s="465"/>
      <x:c r="G174" s="465"/>
      <x:c r="H174" s="465"/>
      <x:c r="I174" s="465"/>
      <x:c r="J174" s="465"/>
      <x:c r="K174" s="465"/>
      <x:c r="L174" s="465"/>
      <x:c r="M174" s="465"/>
      <x:c r="N174" s="465"/>
      <x:c r="O174" s="465"/>
      <x:c r="P174" s="465"/>
      <x:c r="Q174" s="465"/>
      <x:c r="R174" s="465"/>
      <x:c r="S174" s="465"/>
      <x:c r="T174" s="465"/>
      <x:c r="U174" s="465"/>
      <x:c r="V174" s="465"/>
      <x:c r="W174" s="465"/>
      <x:c r="X174" s="465"/>
      <x:c r="Y174" s="465"/>
      <x:c r="Z174" s="465"/>
    </x:row>
    <x:row r="175">
      <x:c r="A175" s="465"/>
      <x:c r="B175" s="465"/>
      <x:c r="C175" s="465"/>
      <x:c r="D175" s="465"/>
      <x:c r="E175" s="465"/>
      <x:c r="F175" s="465"/>
      <x:c r="G175" s="465"/>
      <x:c r="H175" s="465"/>
      <x:c r="I175" s="465"/>
      <x:c r="J175" s="465"/>
      <x:c r="K175" s="465"/>
      <x:c r="L175" s="465"/>
      <x:c r="M175" s="465"/>
      <x:c r="N175" s="465"/>
      <x:c r="O175" s="465"/>
      <x:c r="P175" s="465"/>
      <x:c r="Q175" s="465"/>
      <x:c r="R175" s="465"/>
      <x:c r="S175" s="465"/>
      <x:c r="T175" s="465"/>
      <x:c r="U175" s="465"/>
      <x:c r="V175" s="465"/>
      <x:c r="W175" s="465"/>
      <x:c r="X175" s="465"/>
      <x:c r="Y175" s="465"/>
      <x:c r="Z175" s="465"/>
    </x:row>
    <x:row r="176">
      <x:c r="A176" s="465"/>
      <x:c r="B176" s="465"/>
      <x:c r="C176" s="465"/>
      <x:c r="D176" s="465"/>
      <x:c r="E176" s="465"/>
      <x:c r="F176" s="465"/>
      <x:c r="G176" s="465"/>
      <x:c r="H176" s="465"/>
      <x:c r="I176" s="465"/>
      <x:c r="J176" s="465"/>
      <x:c r="K176" s="465"/>
      <x:c r="L176" s="465"/>
      <x:c r="M176" s="465"/>
      <x:c r="N176" s="465"/>
      <x:c r="O176" s="465"/>
      <x:c r="P176" s="465"/>
      <x:c r="Q176" s="465"/>
      <x:c r="R176" s="465"/>
      <x:c r="S176" s="465"/>
      <x:c r="T176" s="465"/>
      <x:c r="U176" s="465"/>
      <x:c r="V176" s="465"/>
      <x:c r="W176" s="465"/>
      <x:c r="X176" s="465"/>
      <x:c r="Y176" s="465"/>
      <x:c r="Z176" s="465"/>
    </x:row>
    <x:row r="177">
      <x:c r="A177" s="465"/>
      <x:c r="B177" s="465"/>
      <x:c r="C177" s="465"/>
      <x:c r="D177" s="465"/>
      <x:c r="E177" s="465"/>
      <x:c r="F177" s="465"/>
      <x:c r="G177" s="465"/>
      <x:c r="H177" s="465"/>
      <x:c r="I177" s="465"/>
      <x:c r="J177" s="465"/>
      <x:c r="K177" s="465"/>
      <x:c r="L177" s="465"/>
      <x:c r="M177" s="465"/>
      <x:c r="N177" s="465"/>
      <x:c r="O177" s="465"/>
      <x:c r="P177" s="465"/>
      <x:c r="Q177" s="465"/>
      <x:c r="R177" s="465"/>
      <x:c r="S177" s="465"/>
      <x:c r="T177" s="465"/>
      <x:c r="U177" s="465"/>
      <x:c r="V177" s="465"/>
      <x:c r="W177" s="465"/>
      <x:c r="X177" s="465"/>
      <x:c r="Y177" s="465"/>
      <x:c r="Z177" s="465"/>
    </x:row>
    <x:row r="178">
      <x:c r="A178" s="465"/>
      <x:c r="B178" s="465"/>
      <x:c r="C178" s="465"/>
      <x:c r="D178" s="465"/>
      <x:c r="E178" s="465"/>
      <x:c r="F178" s="465"/>
      <x:c r="G178" s="465"/>
      <x:c r="H178" s="465"/>
      <x:c r="I178" s="465"/>
      <x:c r="J178" s="465"/>
      <x:c r="K178" s="465"/>
      <x:c r="L178" s="465"/>
      <x:c r="M178" s="465"/>
      <x:c r="N178" s="465"/>
      <x:c r="O178" s="465"/>
      <x:c r="P178" s="465"/>
      <x:c r="Q178" s="465"/>
      <x:c r="R178" s="465"/>
      <x:c r="S178" s="465"/>
      <x:c r="T178" s="465"/>
      <x:c r="U178" s="465"/>
      <x:c r="V178" s="465"/>
      <x:c r="W178" s="465"/>
      <x:c r="X178" s="465"/>
      <x:c r="Y178" s="465"/>
      <x:c r="Z178" s="465"/>
    </x:row>
    <x:row r="179">
      <x:c r="A179" s="465"/>
      <x:c r="B179" s="465"/>
      <x:c r="C179" s="465"/>
      <x:c r="D179" s="465"/>
      <x:c r="E179" s="465"/>
      <x:c r="F179" s="465"/>
      <x:c r="G179" s="465"/>
      <x:c r="H179" s="465"/>
      <x:c r="I179" s="465"/>
      <x:c r="J179" s="465"/>
      <x:c r="K179" s="465"/>
      <x:c r="L179" s="465"/>
      <x:c r="M179" s="465"/>
      <x:c r="N179" s="465"/>
      <x:c r="O179" s="465"/>
      <x:c r="P179" s="465"/>
      <x:c r="Q179" s="465"/>
      <x:c r="R179" s="465"/>
      <x:c r="S179" s="465"/>
      <x:c r="T179" s="465"/>
      <x:c r="U179" s="465"/>
      <x:c r="V179" s="465"/>
      <x:c r="W179" s="465"/>
      <x:c r="X179" s="465"/>
      <x:c r="Y179" s="465"/>
      <x:c r="Z179" s="465"/>
    </x:row>
    <x:row r="180">
      <x:c r="A180" s="465"/>
      <x:c r="B180" s="465"/>
      <x:c r="C180" s="465"/>
      <x:c r="D180" s="465"/>
      <x:c r="E180" s="465"/>
      <x:c r="F180" s="465"/>
      <x:c r="G180" s="465"/>
      <x:c r="H180" s="465"/>
      <x:c r="I180" s="465"/>
      <x:c r="J180" s="465"/>
      <x:c r="K180" s="465"/>
      <x:c r="L180" s="465"/>
      <x:c r="M180" s="465"/>
      <x:c r="N180" s="465"/>
      <x:c r="O180" s="465"/>
      <x:c r="P180" s="465"/>
      <x:c r="Q180" s="465"/>
      <x:c r="R180" s="465"/>
      <x:c r="S180" s="465"/>
      <x:c r="T180" s="465"/>
      <x:c r="U180" s="465"/>
      <x:c r="V180" s="465"/>
      <x:c r="W180" s="465"/>
      <x:c r="X180" s="465"/>
      <x:c r="Y180" s="465"/>
      <x:c r="Z180" s="465"/>
    </x:row>
    <x:row r="181">
      <x:c r="A181" s="465"/>
      <x:c r="B181" s="465"/>
      <x:c r="C181" s="465"/>
      <x:c r="D181" s="465"/>
      <x:c r="E181" s="465"/>
      <x:c r="F181" s="465"/>
      <x:c r="G181" s="465"/>
      <x:c r="H181" s="465"/>
      <x:c r="I181" s="465"/>
      <x:c r="J181" s="465"/>
      <x:c r="K181" s="465"/>
      <x:c r="L181" s="465"/>
      <x:c r="M181" s="465"/>
      <x:c r="N181" s="465"/>
      <x:c r="O181" s="465"/>
      <x:c r="P181" s="465"/>
      <x:c r="Q181" s="465"/>
      <x:c r="R181" s="465"/>
      <x:c r="S181" s="465"/>
      <x:c r="T181" s="465"/>
      <x:c r="U181" s="465"/>
      <x:c r="V181" s="465"/>
      <x:c r="W181" s="465"/>
      <x:c r="X181" s="465"/>
      <x:c r="Y181" s="465"/>
      <x:c r="Z181" s="465"/>
    </x:row>
    <x:row r="182">
      <x:c r="A182" s="465"/>
      <x:c r="B182" s="465"/>
      <x:c r="C182" s="465"/>
      <x:c r="D182" s="465"/>
      <x:c r="E182" s="465"/>
      <x:c r="F182" s="465"/>
      <x:c r="G182" s="465"/>
      <x:c r="H182" s="465"/>
      <x:c r="I182" s="465"/>
      <x:c r="J182" s="465"/>
      <x:c r="K182" s="465"/>
      <x:c r="L182" s="465"/>
      <x:c r="M182" s="465"/>
      <x:c r="N182" s="465"/>
      <x:c r="O182" s="465"/>
      <x:c r="P182" s="465"/>
      <x:c r="Q182" s="465"/>
      <x:c r="R182" s="465"/>
      <x:c r="S182" s="465"/>
      <x:c r="T182" s="465"/>
      <x:c r="U182" s="465"/>
      <x:c r="V182" s="465"/>
      <x:c r="W182" s="465"/>
      <x:c r="X182" s="465"/>
      <x:c r="Y182" s="465"/>
      <x:c r="Z182" s="465"/>
    </x:row>
    <x:row r="183">
      <x:c r="A183" s="465"/>
      <x:c r="B183" s="465"/>
      <x:c r="C183" s="465"/>
      <x:c r="D183" s="465"/>
      <x:c r="E183" s="465"/>
      <x:c r="F183" s="465"/>
      <x:c r="G183" s="465"/>
      <x:c r="H183" s="465"/>
      <x:c r="I183" s="465"/>
      <x:c r="J183" s="465"/>
      <x:c r="K183" s="465"/>
      <x:c r="L183" s="465"/>
      <x:c r="M183" s="465"/>
      <x:c r="N183" s="465"/>
      <x:c r="O183" s="465"/>
      <x:c r="P183" s="465"/>
      <x:c r="Q183" s="465"/>
      <x:c r="R183" s="465"/>
      <x:c r="S183" s="465"/>
      <x:c r="T183" s="465"/>
      <x:c r="U183" s="465"/>
      <x:c r="V183" s="465"/>
      <x:c r="W183" s="465"/>
      <x:c r="X183" s="465"/>
      <x:c r="Y183" s="465"/>
      <x:c r="Z183" s="465"/>
    </x:row>
    <x:row r="184">
      <x:c r="A184" s="465"/>
      <x:c r="B184" s="465"/>
      <x:c r="C184" s="465"/>
      <x:c r="D184" s="465"/>
      <x:c r="E184" s="465"/>
      <x:c r="F184" s="465"/>
      <x:c r="G184" s="465"/>
      <x:c r="H184" s="465"/>
      <x:c r="I184" s="465"/>
      <x:c r="J184" s="465"/>
      <x:c r="K184" s="465"/>
      <x:c r="L184" s="465"/>
      <x:c r="M184" s="465"/>
      <x:c r="N184" s="465"/>
      <x:c r="O184" s="465"/>
      <x:c r="P184" s="465"/>
      <x:c r="Q184" s="465"/>
      <x:c r="R184" s="465"/>
      <x:c r="S184" s="465"/>
      <x:c r="T184" s="465"/>
      <x:c r="U184" s="465"/>
      <x:c r="V184" s="465"/>
      <x:c r="W184" s="465"/>
      <x:c r="X184" s="465"/>
      <x:c r="Y184" s="465"/>
      <x:c r="Z184" s="465"/>
    </x:row>
    <x:row r="185">
      <x:c r="A185" s="465"/>
      <x:c r="B185" s="465"/>
      <x:c r="C185" s="465"/>
      <x:c r="D185" s="465"/>
      <x:c r="E185" s="465"/>
      <x:c r="F185" s="465"/>
      <x:c r="G185" s="465"/>
      <x:c r="H185" s="465"/>
      <x:c r="I185" s="465"/>
      <x:c r="J185" s="465"/>
      <x:c r="K185" s="465"/>
      <x:c r="L185" s="465"/>
      <x:c r="M185" s="465"/>
      <x:c r="N185" s="465"/>
      <x:c r="O185" s="465"/>
      <x:c r="P185" s="465"/>
      <x:c r="Q185" s="465"/>
      <x:c r="R185" s="465"/>
      <x:c r="S185" s="465"/>
      <x:c r="T185" s="465"/>
      <x:c r="U185" s="465"/>
      <x:c r="V185" s="465"/>
      <x:c r="W185" s="465"/>
      <x:c r="X185" s="465"/>
      <x:c r="Y185" s="465"/>
      <x:c r="Z185" s="465"/>
    </x:row>
    <x:row r="186">
      <x:c r="A186" s="465"/>
      <x:c r="B186" s="465"/>
      <x:c r="C186" s="465"/>
      <x:c r="D186" s="465"/>
      <x:c r="E186" s="465"/>
      <x:c r="F186" s="465"/>
      <x:c r="G186" s="465"/>
      <x:c r="H186" s="465"/>
      <x:c r="I186" s="465"/>
      <x:c r="J186" s="465"/>
      <x:c r="K186" s="465"/>
      <x:c r="L186" s="465"/>
      <x:c r="M186" s="465"/>
      <x:c r="N186" s="465"/>
      <x:c r="O186" s="465"/>
      <x:c r="P186" s="465"/>
      <x:c r="Q186" s="465"/>
      <x:c r="R186" s="465"/>
      <x:c r="S186" s="465"/>
      <x:c r="T186" s="465"/>
      <x:c r="U186" s="465"/>
      <x:c r="V186" s="465"/>
      <x:c r="W186" s="465"/>
      <x:c r="X186" s="465"/>
      <x:c r="Y186" s="465"/>
      <x:c r="Z186" s="465"/>
    </x:row>
    <x:row r="187">
      <x:c r="A187" s="465"/>
      <x:c r="B187" s="465"/>
      <x:c r="C187" s="465"/>
      <x:c r="D187" s="465"/>
      <x:c r="E187" s="465"/>
      <x:c r="F187" s="465"/>
      <x:c r="G187" s="465"/>
      <x:c r="H187" s="465"/>
      <x:c r="I187" s="465"/>
      <x:c r="J187" s="465"/>
      <x:c r="K187" s="465"/>
      <x:c r="L187" s="465"/>
      <x:c r="M187" s="465"/>
      <x:c r="N187" s="465"/>
      <x:c r="O187" s="465"/>
      <x:c r="P187" s="465"/>
      <x:c r="Q187" s="465"/>
      <x:c r="R187" s="465"/>
      <x:c r="S187" s="465"/>
      <x:c r="T187" s="465"/>
      <x:c r="U187" s="465"/>
      <x:c r="V187" s="465"/>
      <x:c r="W187" s="465"/>
      <x:c r="X187" s="465"/>
      <x:c r="Y187" s="465"/>
      <x:c r="Z187" s="465"/>
    </x:row>
    <x:row r="188">
      <x:c r="A188" s="465"/>
      <x:c r="B188" s="465"/>
      <x:c r="C188" s="465"/>
      <x:c r="D188" s="465"/>
      <x:c r="E188" s="465"/>
      <x:c r="F188" s="465"/>
      <x:c r="G188" s="465"/>
      <x:c r="H188" s="465"/>
      <x:c r="I188" s="465"/>
      <x:c r="J188" s="465"/>
      <x:c r="K188" s="465"/>
      <x:c r="L188" s="465"/>
      <x:c r="M188" s="465"/>
      <x:c r="N188" s="465"/>
      <x:c r="O188" s="465"/>
      <x:c r="P188" s="465"/>
      <x:c r="Q188" s="465"/>
      <x:c r="R188" s="465"/>
      <x:c r="S188" s="465"/>
      <x:c r="T188" s="465"/>
      <x:c r="U188" s="465"/>
      <x:c r="V188" s="465"/>
      <x:c r="W188" s="465"/>
      <x:c r="X188" s="465"/>
      <x:c r="Y188" s="465"/>
      <x:c r="Z188" s="465"/>
    </x:row>
    <x:row r="189">
      <x:c r="A189" s="465"/>
      <x:c r="B189" s="465"/>
      <x:c r="C189" s="465"/>
      <x:c r="D189" s="465"/>
      <x:c r="E189" s="465"/>
      <x:c r="F189" s="465"/>
      <x:c r="G189" s="465"/>
      <x:c r="H189" s="465"/>
      <x:c r="I189" s="465"/>
      <x:c r="J189" s="465"/>
      <x:c r="K189" s="465"/>
      <x:c r="L189" s="465"/>
      <x:c r="M189" s="465"/>
      <x:c r="N189" s="465"/>
      <x:c r="O189" s="465"/>
      <x:c r="P189" s="465"/>
      <x:c r="Q189" s="465"/>
      <x:c r="R189" s="465"/>
      <x:c r="S189" s="465"/>
      <x:c r="T189" s="465"/>
      <x:c r="U189" s="465"/>
      <x:c r="V189" s="465"/>
      <x:c r="W189" s="465"/>
      <x:c r="X189" s="465"/>
      <x:c r="Y189" s="465"/>
      <x:c r="Z189" s="465"/>
    </x:row>
    <x:row r="190">
      <x:c r="A190" s="465"/>
      <x:c r="B190" s="465"/>
      <x:c r="C190" s="465"/>
      <x:c r="D190" s="465"/>
      <x:c r="E190" s="465"/>
      <x:c r="F190" s="465"/>
      <x:c r="G190" s="465"/>
      <x:c r="H190" s="465"/>
      <x:c r="I190" s="465"/>
      <x:c r="J190" s="465"/>
      <x:c r="K190" s="465"/>
      <x:c r="L190" s="465"/>
      <x:c r="M190" s="465"/>
      <x:c r="N190" s="465"/>
      <x:c r="O190" s="465"/>
      <x:c r="P190" s="465"/>
      <x:c r="Q190" s="465"/>
      <x:c r="R190" s="465"/>
      <x:c r="S190" s="465"/>
      <x:c r="T190" s="465"/>
      <x:c r="U190" s="465"/>
      <x:c r="V190" s="465"/>
      <x:c r="W190" s="465"/>
      <x:c r="X190" s="465"/>
      <x:c r="Y190" s="465"/>
      <x:c r="Z190" s="465"/>
    </x:row>
    <x:row r="191">
      <x:c r="A191" s="465"/>
      <x:c r="B191" s="465"/>
      <x:c r="C191" s="465"/>
      <x:c r="D191" s="465"/>
      <x:c r="E191" s="465"/>
      <x:c r="F191" s="465"/>
      <x:c r="G191" s="465"/>
      <x:c r="H191" s="465"/>
      <x:c r="I191" s="465"/>
      <x:c r="J191" s="465"/>
      <x:c r="K191" s="465"/>
      <x:c r="L191" s="465"/>
      <x:c r="M191" s="465"/>
      <x:c r="N191" s="465"/>
      <x:c r="O191" s="465"/>
      <x:c r="P191" s="465"/>
      <x:c r="Q191" s="465"/>
      <x:c r="R191" s="465"/>
      <x:c r="S191" s="465"/>
      <x:c r="T191" s="465"/>
      <x:c r="U191" s="465"/>
      <x:c r="V191" s="465"/>
      <x:c r="W191" s="465"/>
      <x:c r="X191" s="465"/>
      <x:c r="Y191" s="465"/>
      <x:c r="Z191" s="465"/>
    </x:row>
    <x:row r="192">
      <x:c r="A192" s="465"/>
      <x:c r="B192" s="465"/>
      <x:c r="C192" s="465"/>
      <x:c r="D192" s="465"/>
      <x:c r="E192" s="465"/>
      <x:c r="F192" s="465"/>
      <x:c r="G192" s="465"/>
      <x:c r="H192" s="465"/>
      <x:c r="I192" s="465"/>
      <x:c r="J192" s="465"/>
      <x:c r="K192" s="465"/>
      <x:c r="L192" s="465"/>
      <x:c r="M192" s="465"/>
      <x:c r="N192" s="465"/>
      <x:c r="O192" s="465"/>
      <x:c r="P192" s="465"/>
      <x:c r="Q192" s="465"/>
      <x:c r="R192" s="465"/>
      <x:c r="S192" s="465"/>
      <x:c r="T192" s="465"/>
      <x:c r="U192" s="465"/>
      <x:c r="V192" s="465"/>
      <x:c r="W192" s="465"/>
      <x:c r="X192" s="465"/>
      <x:c r="Y192" s="465"/>
      <x:c r="Z192" s="465"/>
    </x:row>
    <x:row r="193">
      <x:c r="A193" s="465"/>
      <x:c r="B193" s="465"/>
      <x:c r="C193" s="465"/>
      <x:c r="D193" s="465"/>
      <x:c r="E193" s="465"/>
      <x:c r="F193" s="465"/>
      <x:c r="G193" s="465"/>
      <x:c r="H193" s="465"/>
      <x:c r="I193" s="465"/>
      <x:c r="J193" s="465"/>
      <x:c r="K193" s="465"/>
      <x:c r="L193" s="465"/>
      <x:c r="M193" s="465"/>
      <x:c r="N193" s="465"/>
      <x:c r="O193" s="465"/>
      <x:c r="P193" s="465"/>
      <x:c r="Q193" s="465"/>
      <x:c r="R193" s="465"/>
      <x:c r="S193" s="465"/>
      <x:c r="T193" s="465"/>
      <x:c r="U193" s="465"/>
      <x:c r="V193" s="465"/>
      <x:c r="W193" s="465"/>
      <x:c r="X193" s="465"/>
      <x:c r="Y193" s="465"/>
      <x:c r="Z193" s="465"/>
    </x:row>
    <x:row r="194">
      <x:c r="A194" s="465"/>
      <x:c r="B194" s="465"/>
      <x:c r="C194" s="465"/>
      <x:c r="D194" s="465"/>
      <x:c r="E194" s="465"/>
      <x:c r="F194" s="465"/>
      <x:c r="G194" s="465"/>
      <x:c r="H194" s="465"/>
      <x:c r="I194" s="465"/>
      <x:c r="J194" s="465"/>
      <x:c r="K194" s="465"/>
      <x:c r="L194" s="465"/>
      <x:c r="M194" s="465"/>
      <x:c r="N194" s="465"/>
      <x:c r="O194" s="465"/>
      <x:c r="P194" s="465"/>
      <x:c r="Q194" s="465"/>
      <x:c r="R194" s="465"/>
      <x:c r="S194" s="465"/>
      <x:c r="T194" s="465"/>
      <x:c r="U194" s="465"/>
      <x:c r="V194" s="465"/>
      <x:c r="W194" s="465"/>
      <x:c r="X194" s="465"/>
      <x:c r="Y194" s="465"/>
      <x:c r="Z194" s="465"/>
    </x:row>
    <x:row r="195">
      <x:c r="A195" s="465"/>
      <x:c r="B195" s="465"/>
      <x:c r="C195" s="465"/>
      <x:c r="D195" s="465"/>
      <x:c r="E195" s="465"/>
      <x:c r="F195" s="465"/>
      <x:c r="G195" s="465"/>
      <x:c r="H195" s="465"/>
      <x:c r="I195" s="465"/>
      <x:c r="J195" s="465"/>
      <x:c r="K195" s="465"/>
      <x:c r="L195" s="465"/>
      <x:c r="M195" s="465"/>
      <x:c r="N195" s="465"/>
      <x:c r="O195" s="465"/>
      <x:c r="P195" s="465"/>
      <x:c r="Q195" s="465"/>
      <x:c r="R195" s="465"/>
      <x:c r="S195" s="465"/>
      <x:c r="T195" s="465"/>
      <x:c r="U195" s="465"/>
      <x:c r="V195" s="465"/>
      <x:c r="W195" s="465"/>
      <x:c r="X195" s="465"/>
      <x:c r="Y195" s="465"/>
      <x:c r="Z195" s="465"/>
    </x:row>
    <x:row r="196">
      <x:c r="A196" s="465"/>
      <x:c r="B196" s="465"/>
      <x:c r="C196" s="465"/>
      <x:c r="D196" s="465"/>
      <x:c r="E196" s="465"/>
      <x:c r="F196" s="465"/>
      <x:c r="G196" s="465"/>
      <x:c r="H196" s="465"/>
      <x:c r="I196" s="465"/>
      <x:c r="J196" s="465"/>
      <x:c r="K196" s="465"/>
      <x:c r="L196" s="465"/>
      <x:c r="M196" s="465"/>
      <x:c r="N196" s="465"/>
      <x:c r="O196" s="465"/>
      <x:c r="P196" s="465"/>
      <x:c r="Q196" s="465"/>
      <x:c r="R196" s="465"/>
      <x:c r="S196" s="465"/>
      <x:c r="T196" s="465"/>
      <x:c r="U196" s="465"/>
      <x:c r="V196" s="465"/>
      <x:c r="W196" s="465"/>
      <x:c r="X196" s="465"/>
      <x:c r="Y196" s="465"/>
      <x:c r="Z196" s="465"/>
    </x:row>
    <x:row r="197">
      <x:c r="A197" s="465"/>
      <x:c r="B197" s="465"/>
      <x:c r="C197" s="465"/>
      <x:c r="D197" s="465"/>
      <x:c r="E197" s="465"/>
      <x:c r="F197" s="465"/>
      <x:c r="G197" s="465"/>
      <x:c r="H197" s="465"/>
      <x:c r="I197" s="465"/>
      <x:c r="J197" s="465"/>
      <x:c r="K197" s="465"/>
      <x:c r="L197" s="465"/>
      <x:c r="M197" s="465"/>
      <x:c r="N197" s="465"/>
      <x:c r="O197" s="465"/>
      <x:c r="P197" s="465"/>
      <x:c r="Q197" s="465"/>
      <x:c r="R197" s="465"/>
      <x:c r="S197" s="465"/>
      <x:c r="T197" s="465"/>
      <x:c r="U197" s="465"/>
      <x:c r="V197" s="465"/>
      <x:c r="W197" s="465"/>
      <x:c r="X197" s="465"/>
      <x:c r="Y197" s="465"/>
      <x:c r="Z197" s="465"/>
    </x:row>
    <x:row r="198">
      <x:c r="A198" s="465"/>
      <x:c r="B198" s="465"/>
      <x:c r="C198" s="465"/>
      <x:c r="D198" s="465"/>
      <x:c r="E198" s="465"/>
      <x:c r="F198" s="465"/>
      <x:c r="G198" s="465"/>
      <x:c r="H198" s="465"/>
      <x:c r="I198" s="465"/>
      <x:c r="J198" s="465"/>
      <x:c r="K198" s="465"/>
      <x:c r="L198" s="465"/>
      <x:c r="M198" s="465"/>
      <x:c r="N198" s="465"/>
      <x:c r="O198" s="465"/>
      <x:c r="P198" s="465"/>
      <x:c r="Q198" s="465"/>
      <x:c r="R198" s="465"/>
      <x:c r="S198" s="465"/>
      <x:c r="T198" s="465"/>
      <x:c r="U198" s="465"/>
      <x:c r="V198" s="465"/>
      <x:c r="W198" s="465"/>
      <x:c r="X198" s="465"/>
      <x:c r="Y198" s="465"/>
      <x:c r="Z198" s="465"/>
    </x:row>
    <x:row r="199">
      <x:c r="A199" s="465"/>
      <x:c r="B199" s="465"/>
      <x:c r="C199" s="465"/>
      <x:c r="D199" s="465"/>
      <x:c r="E199" s="465"/>
      <x:c r="F199" s="465"/>
      <x:c r="G199" s="465"/>
      <x:c r="H199" s="465"/>
      <x:c r="I199" s="465"/>
      <x:c r="J199" s="465"/>
      <x:c r="K199" s="465"/>
      <x:c r="L199" s="465"/>
      <x:c r="M199" s="465"/>
      <x:c r="N199" s="465"/>
      <x:c r="O199" s="465"/>
      <x:c r="P199" s="465"/>
      <x:c r="Q199" s="465"/>
      <x:c r="R199" s="465"/>
      <x:c r="S199" s="465"/>
      <x:c r="T199" s="465"/>
      <x:c r="U199" s="465"/>
      <x:c r="V199" s="465"/>
      <x:c r="W199" s="465"/>
      <x:c r="X199" s="465"/>
      <x:c r="Y199" s="465"/>
      <x:c r="Z199" s="465"/>
    </x:row>
    <x:row r="200">
      <x:c r="A200" s="465"/>
      <x:c r="B200" s="465"/>
      <x:c r="C200" s="465"/>
      <x:c r="D200" s="465"/>
      <x:c r="E200" s="465"/>
      <x:c r="F200" s="465"/>
      <x:c r="G200" s="465"/>
      <x:c r="H200" s="465"/>
      <x:c r="I200" s="465"/>
      <x:c r="J200" s="465"/>
      <x:c r="K200" s="465"/>
      <x:c r="L200" s="465"/>
      <x:c r="M200" s="465"/>
      <x:c r="N200" s="465"/>
      <x:c r="O200" s="465"/>
      <x:c r="P200" s="465"/>
      <x:c r="Q200" s="465"/>
      <x:c r="R200" s="465"/>
      <x:c r="S200" s="465"/>
      <x:c r="T200" s="465"/>
      <x:c r="U200" s="465"/>
      <x:c r="V200" s="465"/>
      <x:c r="W200" s="465"/>
      <x:c r="X200" s="465"/>
      <x:c r="Y200" s="465"/>
      <x:c r="Z200" s="465"/>
    </x:row>
  </x:sheetData>
  <x:mergeCells>
    <x:mergeCell ref="A1:J2"/>
    <x:mergeCell ref="A3:J3"/>
    <x:mergeCell ref="A5:J5"/>
    <x:mergeCell ref="A10:J10"/>
    <x:mergeCell ref="A22:J22"/>
    <x:mergeCell ref="A54:J57"/>
  </x:mergeCells>
  <x:pageMargins left="0.7" right="0.7" top="0.75" bottom="0.75" header="0.3" footer="0.3"/>
  <x:drawing xmlns:r="http://schemas.openxmlformats.org/officeDocument/2006/relationships" r:id="R28f0cca52f9e4188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4" hidden="0" customWidth="1"/>
    <x:col min="10" max="10" width="12" hidden="0" customWidth="1"/>
    <x:col min="11" max="11" width="13" hidden="0" customWidth="1"/>
    <x:col min="12" max="12" width="13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</x:cols>
  <x:sheetData>
    <x:row r="1" ht="28" customHeight="1">
      <x:c r="A1" s="5" t="str">
        <x:v>資料、標籤與時間切分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465"/>
      <x:c r="T1" s="465"/>
      <x:c r="U1" s="465"/>
      <x:c r="V1" s="465"/>
      <x:c r="W1" s="465"/>
      <x:c r="X1" s="465"/>
      <x:c r="Y1" s="465"/>
      <x:c r="Z1" s="465"/>
    </x:row>
    <x:row r="2" ht="1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465"/>
      <x:c r="T2" s="465"/>
      <x:c r="U2" s="465"/>
      <x:c r="V2" s="465"/>
      <x:c r="W2" s="465"/>
      <x:c r="X2" s="465"/>
      <x:c r="Y2" s="465"/>
      <x:c r="Z2" s="465"/>
    </x:row>
    <x:row r="3" ht="24" customHeight="1">
      <x:c r="A3" s="8" t="str">
        <x:v>第一版目標是預測正常營運站點在精確 30 分鐘後是否新發生無車可借或無位可還。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465"/>
      <x:c r="T3" s="465"/>
      <x:c r="U3" s="465"/>
      <x:c r="V3" s="465"/>
      <x:c r="W3" s="465"/>
      <x:c r="X3" s="465"/>
      <x:c r="Y3" s="465"/>
      <x:c r="Z3" s="465"/>
    </x:row>
    <x:row r="4">
      <x:c r="A4" s="465"/>
      <x:c r="B4" s="465"/>
      <x:c r="C4" s="465"/>
      <x:c r="D4" s="465"/>
      <x:c r="E4" s="465"/>
      <x:c r="F4" s="465"/>
      <x:c r="G4" s="465"/>
      <x:c r="H4" s="465"/>
      <x:c r="I4" s="465"/>
      <x:c r="J4" s="465"/>
      <x:c r="K4" s="465"/>
      <x:c r="L4" s="465"/>
      <x:c r="M4" s="465"/>
      <x:c r="N4" s="465"/>
      <x:c r="O4" s="465"/>
      <x:c r="P4" s="465"/>
      <x:c r="Q4" s="465"/>
      <x:c r="R4" s="465"/>
      <x:c r="S4" s="465"/>
      <x:c r="T4" s="465"/>
      <x:c r="U4" s="465"/>
      <x:c r="V4" s="465"/>
      <x:c r="W4" s="465"/>
      <x:c r="X4" s="465"/>
      <x:c r="Y4" s="465"/>
      <x:c r="Z4" s="465"/>
    </x:row>
    <x:row r="5" ht="24" customHeight="1">
      <x:c r="A5" s="95" t="str">
        <x:v>時間切分與防止偷看六月</x:v>
      </x:c>
      <x:c r="B5" s="95" t="str">
        <x:v>時間切分與防止偷看六月</x:v>
      </x:c>
      <x:c r="C5" s="95" t="str">
        <x:v>時間切分與防止偷看六月</x:v>
      </x:c>
      <x:c r="D5" s="95" t="str">
        <x:v>時間切分與防止偷看六月</x:v>
      </x:c>
      <x:c r="E5" s="95" t="str">
        <x:v>時間切分與防止偷看六月</x:v>
      </x:c>
      <x:c r="F5" s="95" t="str">
        <x:v>時間切分與防止偷看六月</x:v>
      </x:c>
      <x:c r="G5" s="95" t="str">
        <x:v>時間切分與防止偷看六月</x:v>
      </x:c>
      <x:c r="H5" s="95" t="str">
        <x:v>時間切分與防止偷看六月</x:v>
      </x:c>
      <x:c r="I5" s="95" t="str">
        <x:v>時間切分與防止偷看六月</x:v>
      </x:c>
      <x:c r="J5" s="95" t="str">
        <x:v>時間切分與防止偷看六月</x:v>
      </x:c>
      <x:c r="K5" s="95" t="str">
        <x:v>時間切分與防止偷看六月</x:v>
      </x:c>
      <x:c r="L5" s="95" t="str">
        <x:v>時間切分與防止偷看六月</x:v>
      </x:c>
      <x:c r="M5" s="95" t="str">
        <x:v>時間切分與防止偷看六月</x:v>
      </x:c>
      <x:c r="N5" s="95" t="str">
        <x:v>時間切分與防止偷看六月</x:v>
      </x:c>
      <x:c r="O5" s="95" t="str">
        <x:v>時間切分與防止偷看六月</x:v>
      </x:c>
      <x:c r="P5" s="95" t="str">
        <x:v>時間切分與防止偷看六月</x:v>
      </x:c>
      <x:c r="Q5" s="95" t="str">
        <x:v>時間切分與防止偷看六月</x:v>
      </x:c>
      <x:c r="R5" s="95" t="str">
        <x:v>時間切分與防止偷看六月</x:v>
      </x:c>
      <x:c r="S5" s="465"/>
      <x:c r="T5" s="465"/>
      <x:c r="U5" s="465"/>
      <x:c r="V5" s="465"/>
      <x:c r="W5" s="465"/>
      <x:c r="X5" s="465"/>
      <x:c r="Y5" s="465"/>
      <x:c r="Z5" s="465"/>
    </x:row>
    <x:row r="6" ht="30" customHeight="1">
      <x:c r="A6" s="20" t="str">
        <x:v>階段</x:v>
      </x:c>
      <x:c r="B6" s="21" t="str">
        <x:v>期間</x:v>
      </x:c>
      <x:c r="C6" s="21" t="str">
        <x:v>用途</x:v>
      </x:c>
      <x:c r="D6" s="22" t="str">
        <x:v>是否調整模型</x:v>
      </x:c>
      <x:c r="E6" s="465"/>
      <x:c r="F6" s="465"/>
      <x:c r="G6" s="465"/>
      <x:c r="H6" s="465"/>
      <x:c r="I6" s="465"/>
      <x:c r="J6" s="465"/>
      <x:c r="K6" s="465"/>
      <x:c r="L6" s="465"/>
      <x:c r="M6" s="465"/>
      <x:c r="N6" s="465"/>
      <x:c r="O6" s="465"/>
      <x:c r="P6" s="465"/>
      <x:c r="Q6" s="465"/>
      <x:c r="R6" s="465"/>
      <x:c r="S6" s="465"/>
      <x:c r="T6" s="465"/>
      <x:c r="U6" s="465"/>
      <x:c r="V6" s="465"/>
      <x:c r="W6" s="465"/>
      <x:c r="X6" s="465"/>
      <x:c r="Y6" s="465"/>
      <x:c r="Z6" s="465"/>
    </x:row>
    <x:row r="7">
      <x:c r="A7" s="466" t="str">
        <x:v>訓練</x:v>
      </x:c>
      <x:c r="B7" s="467" t="str">
        <x:v>2026-01-01 至 2026-04-30</x:v>
      </x:c>
      <x:c r="C7" s="467" t="str">
        <x:v>學習特徵與模型參數</x:v>
      </x:c>
      <x:c r="D7" s="510" t="str">
        <x:v>是</x:v>
      </x:c>
      <x:c r="E7" s="465"/>
      <x:c r="F7" s="465"/>
      <x:c r="G7" s="465"/>
      <x:c r="H7" s="465"/>
      <x:c r="I7" s="465"/>
      <x:c r="J7" s="465"/>
      <x:c r="K7" s="465"/>
      <x:c r="L7" s="465"/>
      <x:c r="M7" s="465"/>
      <x:c r="N7" s="465"/>
      <x:c r="O7" s="465"/>
      <x:c r="P7" s="465"/>
      <x:c r="Q7" s="465"/>
      <x:c r="R7" s="465"/>
      <x:c r="S7" s="465"/>
      <x:c r="T7" s="465"/>
      <x:c r="U7" s="465"/>
      <x:c r="V7" s="465"/>
      <x:c r="W7" s="465"/>
      <x:c r="X7" s="465"/>
      <x:c r="Y7" s="465"/>
      <x:c r="Z7" s="465"/>
    </x:row>
    <x:row r="8">
      <x:c r="A8" s="473" t="str">
        <x:v>機率校準</x:v>
      </x:c>
      <x:c r="B8" s="474" t="str">
        <x:v>2026-05-01 至 2026-05-20</x:v>
      </x:c>
      <x:c r="C8" s="474" t="str">
        <x:v>把分數轉成風險機率</x:v>
      </x:c>
      <x:c r="D8" s="511" t="str">
        <x:v>是</x:v>
      </x:c>
      <x:c r="E8" s="465"/>
      <x:c r="F8" s="465"/>
      <x:c r="G8" s="465"/>
      <x:c r="H8" s="465"/>
      <x:c r="I8" s="465"/>
      <x:c r="J8" s="465"/>
      <x:c r="K8" s="465"/>
      <x:c r="L8" s="465"/>
      <x:c r="M8" s="465"/>
      <x:c r="N8" s="465"/>
      <x:c r="O8" s="465"/>
      <x:c r="P8" s="465"/>
      <x:c r="Q8" s="465"/>
      <x:c r="R8" s="465"/>
      <x:c r="S8" s="465"/>
      <x:c r="T8" s="465"/>
      <x:c r="U8" s="465"/>
      <x:c r="V8" s="465"/>
      <x:c r="W8" s="465"/>
      <x:c r="X8" s="465"/>
      <x:c r="Y8" s="465"/>
      <x:c r="Z8" s="465"/>
    </x:row>
    <x:row r="9">
      <x:c r="A9" s="473" t="str">
        <x:v>門檻選擇</x:v>
      </x:c>
      <x:c r="B9" s="474" t="str">
        <x:v>2026-05-21 至 2026-05-31 尖峰</x:v>
      </x:c>
      <x:c r="C9" s="474" t="str">
        <x:v>以 F2 選警示門檻</x:v>
      </x:c>
      <x:c r="D9" s="511" t="str">
        <x:v>是</x:v>
      </x:c>
      <x:c r="E9" s="465"/>
      <x:c r="F9" s="465"/>
      <x:c r="G9" s="465"/>
      <x:c r="H9" s="465"/>
      <x:c r="I9" s="465"/>
      <x:c r="J9" s="465"/>
      <x:c r="K9" s="465"/>
      <x:c r="L9" s="465"/>
      <x:c r="M9" s="465"/>
      <x:c r="N9" s="465"/>
      <x:c r="O9" s="465"/>
      <x:c r="P9" s="465"/>
      <x:c r="Q9" s="465"/>
      <x:c r="R9" s="465"/>
      <x:c r="S9" s="465"/>
      <x:c r="T9" s="465"/>
      <x:c r="U9" s="465"/>
      <x:c r="V9" s="465"/>
      <x:c r="W9" s="465"/>
      <x:c r="X9" s="465"/>
      <x:c r="Y9" s="465"/>
      <x:c r="Z9" s="465"/>
    </x:row>
    <x:row r="10">
      <x:c r="A10" s="512" t="str">
        <x:v>封存測試</x:v>
      </x:c>
      <x:c r="B10" s="513" t="str">
        <x:v>2026-06-01 至 2026-06-30</x:v>
      </x:c>
      <x:c r="C10" s="513" t="str">
        <x:v>最後只評估一次</x:v>
      </x:c>
      <x:c r="D10" s="514" t="str">
        <x:v>否</x:v>
      </x:c>
      <x:c r="E10" s="465"/>
      <x:c r="F10" s="465"/>
      <x:c r="G10" s="465"/>
      <x:c r="H10" s="465"/>
      <x:c r="I10" s="465"/>
      <x:c r="J10" s="465"/>
      <x:c r="K10" s="465"/>
      <x:c r="L10" s="465"/>
      <x:c r="M10" s="465"/>
      <x:c r="N10" s="465"/>
      <x:c r="O10" s="465"/>
      <x:c r="P10" s="465"/>
      <x:c r="Q10" s="465"/>
      <x:c r="R10" s="465"/>
      <x:c r="S10" s="465"/>
      <x:c r="T10" s="465"/>
      <x:c r="U10" s="465"/>
      <x:c r="V10" s="465"/>
      <x:c r="W10" s="465"/>
      <x:c r="X10" s="465"/>
      <x:c r="Y10" s="465"/>
      <x:c r="Z10" s="465"/>
    </x:row>
    <x:row r="11">
      <x:c r="A11" s="465"/>
      <x:c r="B11" s="465"/>
      <x:c r="C11" s="465"/>
      <x:c r="D11" s="465"/>
      <x:c r="E11" s="465"/>
      <x:c r="F11" s="465"/>
      <x:c r="G11" s="465"/>
      <x:c r="H11" s="465"/>
      <x:c r="I11" s="465"/>
      <x:c r="J11" s="465"/>
      <x:c r="K11" s="465"/>
      <x:c r="L11" s="465"/>
      <x:c r="M11" s="465"/>
      <x:c r="N11" s="465"/>
      <x:c r="O11" s="465"/>
      <x:c r="P11" s="465"/>
      <x:c r="Q11" s="465"/>
      <x:c r="R11" s="465"/>
      <x:c r="S11" s="465"/>
      <x:c r="T11" s="465"/>
      <x:c r="U11" s="465"/>
      <x:c r="V11" s="465"/>
      <x:c r="W11" s="465"/>
      <x:c r="X11" s="465"/>
      <x:c r="Y11" s="465"/>
      <x:c r="Z11" s="465"/>
    </x:row>
    <x:row r="12" ht="30" customHeight="1">
      <x:c r="A12" s="95" t="str">
        <x:v>每月資料量與正例率</x:v>
      </x:c>
      <x:c r="B12" s="95" t="str">
        <x:v>每月資料量與正例率</x:v>
      </x:c>
      <x:c r="C12" s="95" t="str">
        <x:v>每月資料量與正例率</x:v>
      </x:c>
      <x:c r="D12" s="95" t="str">
        <x:v>每月資料量與正例率</x:v>
      </x:c>
      <x:c r="E12" s="95" t="str">
        <x:v>每月資料量與正例率</x:v>
      </x:c>
      <x:c r="F12" s="95" t="str">
        <x:v>每月資料量與正例率</x:v>
      </x:c>
      <x:c r="G12" s="95" t="str">
        <x:v>每月資料量與正例率</x:v>
      </x:c>
      <x:c r="H12" s="95" t="str">
        <x:v>每月資料量與正例率</x:v>
      </x:c>
      <x:c r="I12" s="465"/>
      <x:c r="J12" s="20" t="str">
        <x:v>月份</x:v>
      </x:c>
      <x:c r="K12" s="21" t="str">
        <x:v>缺車率</x:v>
      </x:c>
      <x:c r="L12" s="22" t="str">
        <x:v>滿柱率</x:v>
      </x:c>
      <x:c r="M12" s="465"/>
      <x:c r="N12" s="465"/>
      <x:c r="O12" s="465"/>
      <x:c r="P12" s="465"/>
      <x:c r="Q12" s="465"/>
      <x:c r="R12" s="465"/>
      <x:c r="S12" s="465"/>
      <x:c r="T12" s="465"/>
      <x:c r="U12" s="465"/>
      <x:c r="V12" s="465"/>
      <x:c r="W12" s="465"/>
      <x:c r="X12" s="465"/>
      <x:c r="Y12" s="465"/>
      <x:c r="Z12" s="465"/>
    </x:row>
    <x:row r="13" ht="30" customHeight="1">
      <x:c r="A13" s="20" t="str">
        <x:v>月份</x:v>
      </x:c>
      <x:c r="B13" s="21" t="str">
        <x:v>原始快照</x:v>
      </x:c>
      <x:c r="C13" s="21" t="str">
        <x:v>可用樣本</x:v>
      </x:c>
      <x:c r="D13" s="21" t="str">
        <x:v>可用率</x:v>
      </x:c>
      <x:c r="E13" s="21" t="str">
        <x:v>缺車正例</x:v>
      </x:c>
      <x:c r="F13" s="21" t="str">
        <x:v>缺車率</x:v>
      </x:c>
      <x:c r="G13" s="21" t="str">
        <x:v>滿柱正例</x:v>
      </x:c>
      <x:c r="H13" s="22" t="str">
        <x:v>滿柱率</x:v>
      </x:c>
      <x:c r="I13" s="465"/>
      <x:c r="J13" s="465" t="n">
        <x:f>A14</x:f>
        <x:v>1</x:v>
      </x:c>
      <x:c r="K13" s="515" t="n">
        <x:f>F14</x:f>
        <x:v>0.01933826263894604</x:v>
      </x:c>
      <x:c r="L13" s="515" t="n">
        <x:f>H14</x:f>
        <x:v>0.0033187264122262615</x:v>
      </x:c>
      <x:c r="M13" s="465"/>
      <x:c r="N13" s="465"/>
      <x:c r="O13" s="465"/>
      <x:c r="P13" s="465"/>
      <x:c r="Q13" s="465"/>
      <x:c r="R13" s="465"/>
      <x:c r="S13" s="465"/>
      <x:c r="T13" s="465"/>
      <x:c r="U13" s="465"/>
      <x:c r="V13" s="465"/>
      <x:c r="W13" s="465"/>
      <x:c r="X13" s="465"/>
      <x:c r="Y13" s="465"/>
      <x:c r="Z13" s="465"/>
    </x:row>
    <x:row r="14">
      <x:c r="A14" s="465" t="n">
        <x:v>1</x:v>
      </x:c>
      <x:c r="B14" s="497" t="n">
        <x:v>2254674</x:v>
      </x:c>
      <x:c r="C14" s="497" t="n">
        <x:v>2121597</x:v>
      </x:c>
      <x:c r="D14" s="498" t="n">
        <x:f>C14/B14</x:f>
        <x:v>0.9409772765375394</x:v>
      </x:c>
      <x:c r="E14" s="497" t="n">
        <x:v>41028</x:v>
      </x:c>
      <x:c r="F14" s="515" t="n">
        <x:f>E14/C14</x:f>
        <x:v>0.01933826263894604</x:v>
      </x:c>
      <x:c r="G14" s="497" t="n">
        <x:v>7041</x:v>
      </x:c>
      <x:c r="H14" s="515" t="n">
        <x:f>G14/C14</x:f>
        <x:v>0.0033187264122262615</x:v>
      </x:c>
      <x:c r="I14" s="465"/>
      <x:c r="J14" s="465" t="n">
        <x:f>A15</x:f>
        <x:v>2</x:v>
      </x:c>
      <x:c r="K14" s="515" t="n">
        <x:f>F15</x:f>
        <x:v>0.017614911429277284</x:v>
      </x:c>
      <x:c r="L14" s="515" t="n">
        <x:f>H15</x:f>
        <x:v>0.0034840126150096286</x:v>
      </x:c>
      <x:c r="M14" s="465"/>
      <x:c r="N14" s="465"/>
      <x:c r="O14" s="465"/>
      <x:c r="P14" s="465"/>
      <x:c r="Q14" s="465"/>
      <x:c r="R14" s="465"/>
      <x:c r="S14" s="465"/>
      <x:c r="T14" s="465"/>
      <x:c r="U14" s="465"/>
      <x:c r="V14" s="465"/>
      <x:c r="W14" s="465"/>
      <x:c r="X14" s="465"/>
      <x:c r="Y14" s="465"/>
      <x:c r="Z14" s="465"/>
    </x:row>
    <x:row r="15">
      <x:c r="A15" s="465" t="n">
        <x:v>2</x:v>
      </x:c>
      <x:c r="B15" s="497" t="n">
        <x:v>2047641</x:v>
      </x:c>
      <x:c r="C15" s="497" t="n">
        <x:v>1934838</x:v>
      </x:c>
      <x:c r="D15" s="498" t="n">
        <x:f>C15/B15</x:f>
        <x:v>0.944910753398667</x:v>
      </x:c>
      <x:c r="E15" s="497" t="n">
        <x:v>34082</x:v>
      </x:c>
      <x:c r="F15" s="515" t="n">
        <x:f>E15/C15</x:f>
        <x:v>0.017614911429277284</x:v>
      </x:c>
      <x:c r="G15" s="497" t="n">
        <x:v>6741</x:v>
      </x:c>
      <x:c r="H15" s="515" t="n">
        <x:f>G15/C15</x:f>
        <x:v>0.0034840126150096286</x:v>
      </x:c>
      <x:c r="I15" s="465"/>
      <x:c r="J15" s="465" t="n">
        <x:f>A16</x:f>
        <x:v>3</x:v>
      </x:c>
      <x:c r="K15" s="515" t="n">
        <x:f>F16</x:f>
        <x:v>0.023771638204361227</x:v>
      </x:c>
      <x:c r="L15" s="515" t="n">
        <x:f>H16</x:f>
        <x:v>0.0038342570070893397</x:v>
      </x:c>
      <x:c r="M15" s="465"/>
      <x:c r="N15" s="465"/>
      <x:c r="O15" s="465"/>
      <x:c r="P15" s="465"/>
      <x:c r="Q15" s="465"/>
      <x:c r="R15" s="465"/>
      <x:c r="S15" s="465"/>
      <x:c r="T15" s="465"/>
      <x:c r="U15" s="465"/>
      <x:c r="V15" s="465"/>
      <x:c r="W15" s="465"/>
      <x:c r="X15" s="465"/>
      <x:c r="Y15" s="465"/>
      <x:c r="Z15" s="465"/>
    </x:row>
    <x:row r="16">
      <x:c r="A16" s="465" t="n">
        <x:v>3</x:v>
      </x:c>
      <x:c r="B16" s="497" t="n">
        <x:v>2274046</x:v>
      </x:c>
      <x:c r="C16" s="497" t="n">
        <x:v>2118533</x:v>
      </x:c>
      <x:c r="D16" s="498" t="n">
        <x:f>C16/B16</x:f>
        <x:v>0.9316139603156665</x:v>
      </x:c>
      <x:c r="E16" s="497" t="n">
        <x:v>50361</x:v>
      </x:c>
      <x:c r="F16" s="515" t="n">
        <x:f>E16/C16</x:f>
        <x:v>0.023771638204361227</x:v>
      </x:c>
      <x:c r="G16" s="497" t="n">
        <x:v>8123</x:v>
      </x:c>
      <x:c r="H16" s="515" t="n">
        <x:f>G16/C16</x:f>
        <x:v>0.0038342570070893397</x:v>
      </x:c>
      <x:c r="I16" s="465"/>
      <x:c r="J16" s="465" t="n">
        <x:f>A17</x:f>
        <x:v>4</x:v>
      </x:c>
      <x:c r="K16" s="515" t="n">
        <x:f>F17</x:f>
        <x:v>0.023140042568785966</x:v>
      </x:c>
      <x:c r="L16" s="515" t="n">
        <x:f>H17</x:f>
        <x:v>0.003936035181135766</x:v>
      </x:c>
      <x:c r="M16" s="465"/>
      <x:c r="N16" s="465"/>
      <x:c r="O16" s="465"/>
      <x:c r="P16" s="465"/>
      <x:c r="Q16" s="465"/>
      <x:c r="R16" s="465"/>
      <x:c r="S16" s="465"/>
      <x:c r="T16" s="465"/>
      <x:c r="U16" s="465"/>
      <x:c r="V16" s="465"/>
      <x:c r="W16" s="465"/>
      <x:c r="X16" s="465"/>
      <x:c r="Y16" s="465"/>
      <x:c r="Z16" s="465"/>
    </x:row>
    <x:row r="17">
      <x:c r="A17" s="465" t="n">
        <x:v>4</x:v>
      </x:c>
      <x:c r="B17" s="497" t="n">
        <x:v>2210968</x:v>
      </x:c>
      <x:c r="C17" s="497" t="n">
        <x:v>2060195</x:v>
      </x:c>
      <x:c r="D17" s="498" t="n">
        <x:f>C17/B17</x:f>
        <x:v>0.9318067923190204</x:v>
      </x:c>
      <x:c r="E17" s="497" t="n">
        <x:v>47673</x:v>
      </x:c>
      <x:c r="F17" s="515" t="n">
        <x:f>E17/C17</x:f>
        <x:v>0.023140042568785966</x:v>
      </x:c>
      <x:c r="G17" s="497" t="n">
        <x:v>8109</x:v>
      </x:c>
      <x:c r="H17" s="515" t="n">
        <x:f>G17/C17</x:f>
        <x:v>0.003936035181135766</x:v>
      </x:c>
      <x:c r="I17" s="465"/>
      <x:c r="J17" s="465" t="n">
        <x:f>A18</x:f>
        <x:v>5</x:v>
      </x:c>
      <x:c r="K17" s="515" t="n">
        <x:f>F18</x:f>
        <x:v>0.025061388928308316</x:v>
      </x:c>
      <x:c r="L17" s="515" t="n">
        <x:f>H18</x:f>
        <x:v>0.004245589434406932</x:v>
      </x:c>
      <x:c r="M17" s="465"/>
      <x:c r="N17" s="465"/>
      <x:c r="O17" s="465"/>
      <x:c r="P17" s="465"/>
      <x:c r="Q17" s="465"/>
      <x:c r="R17" s="465"/>
      <x:c r="S17" s="465"/>
      <x:c r="T17" s="465"/>
      <x:c r="U17" s="465"/>
      <x:c r="V17" s="465"/>
      <x:c r="W17" s="465"/>
      <x:c r="X17" s="465"/>
      <x:c r="Y17" s="465"/>
      <x:c r="Z17" s="465"/>
    </x:row>
    <x:row r="18">
      <x:c r="A18" s="465" t="n">
        <x:v>5</x:v>
      </x:c>
      <x:c r="B18" s="497" t="n">
        <x:v>2297154</x:v>
      </x:c>
      <x:c r="C18" s="497" t="n">
        <x:v>2135157</x:v>
      </x:c>
      <x:c r="D18" s="498" t="n">
        <x:f>C18/B18</x:f>
        <x:v>0.9294792599886642</x:v>
      </x:c>
      <x:c r="E18" s="497" t="n">
        <x:v>53510</x:v>
      </x:c>
      <x:c r="F18" s="515" t="n">
        <x:f>E18/C18</x:f>
        <x:v>0.025061388928308316</x:v>
      </x:c>
      <x:c r="G18" s="497" t="n">
        <x:v>9065</x:v>
      </x:c>
      <x:c r="H18" s="515" t="n">
        <x:f>G18/C18</x:f>
        <x:v>0.004245589434406932</x:v>
      </x:c>
      <x:c r="I18" s="465"/>
      <x:c r="J18" s="465" t="n">
        <x:f>A19</x:f>
        <x:v>6</x:v>
      </x:c>
      <x:c r="K18" s="515" t="n">
        <x:f>F19</x:f>
        <x:v>0.01887860092096772</x:v>
      </x:c>
      <x:c r="L18" s="515" t="n">
        <x:f>H19</x:f>
        <x:v>0.0031014606418600576</x:v>
      </x:c>
      <x:c r="M18" s="465"/>
      <x:c r="N18" s="465"/>
      <x:c r="O18" s="465"/>
      <x:c r="P18" s="465"/>
      <x:c r="Q18" s="465"/>
      <x:c r="R18" s="465"/>
      <x:c r="S18" s="465"/>
      <x:c r="T18" s="465"/>
      <x:c r="U18" s="465"/>
      <x:c r="V18" s="465"/>
      <x:c r="W18" s="465"/>
      <x:c r="X18" s="465"/>
      <x:c r="Y18" s="465"/>
      <x:c r="Z18" s="465"/>
    </x:row>
    <x:row r="19">
      <x:c r="A19" s="465" t="n">
        <x:v>6</x:v>
      </x:c>
      <x:c r="B19" s="497" t="n">
        <x:v>2240462</x:v>
      </x:c>
      <x:c r="C19" s="497" t="n">
        <x:v>2101268</x:v>
      </x:c>
      <x:c r="D19" s="498" t="n">
        <x:f>C19/B19</x:f>
        <x:v>0.9378726351975619</x:v>
      </x:c>
      <x:c r="E19" s="497" t="n">
        <x:v>39669</x:v>
      </x:c>
      <x:c r="F19" s="515" t="n">
        <x:f>E19/C19</x:f>
        <x:v>0.01887860092096772</x:v>
      </x:c>
      <x:c r="G19" s="497" t="n">
        <x:v>6517</x:v>
      </x:c>
      <x:c r="H19" s="515" t="n">
        <x:f>G19/C19</x:f>
        <x:v>0.0031014606418600576</x:v>
      </x:c>
      <x:c r="I19" s="465"/>
      <x:c r="J19" s="465"/>
      <x:c r="K19" s="465"/>
      <x:c r="L19" s="465"/>
      <x:c r="M19" s="465"/>
      <x:c r="N19" s="465"/>
      <x:c r="O19" s="465"/>
      <x:c r="P19" s="465"/>
      <x:c r="Q19" s="465"/>
      <x:c r="R19" s="465"/>
      <x:c r="S19" s="465"/>
      <x:c r="T19" s="465"/>
      <x:c r="U19" s="465"/>
      <x:c r="V19" s="465"/>
      <x:c r="W19" s="465"/>
      <x:c r="X19" s="465"/>
      <x:c r="Y19" s="465"/>
      <x:c r="Z19" s="465"/>
    </x:row>
    <x:row r="20">
      <x:c r="A20" s="465"/>
      <x:c r="B20" s="465"/>
      <x:c r="C20" s="465"/>
      <x:c r="D20" s="465"/>
      <x:c r="E20" s="465"/>
      <x:c r="F20" s="465"/>
      <x:c r="G20" s="465"/>
      <x:c r="H20" s="465"/>
      <x:c r="I20" s="465"/>
      <x:c r="J20" s="465"/>
      <x:c r="K20" s="465"/>
      <x:c r="L20" s="465"/>
      <x:c r="M20" s="465"/>
      <x:c r="N20" s="465"/>
      <x:c r="O20" s="465"/>
      <x:c r="P20" s="465"/>
      <x:c r="Q20" s="465"/>
      <x:c r="R20" s="465"/>
      <x:c r="S20" s="465"/>
      <x:c r="T20" s="465"/>
      <x:c r="U20" s="465"/>
      <x:c r="V20" s="465"/>
      <x:c r="W20" s="465"/>
      <x:c r="X20" s="465"/>
      <x:c r="Y20" s="465"/>
      <x:c r="Z20" s="465"/>
    </x:row>
    <x:row r="21">
      <x:c r="A21" s="465"/>
      <x:c r="B21" s="465"/>
      <x:c r="C21" s="465"/>
      <x:c r="D21" s="465"/>
      <x:c r="E21" s="465"/>
      <x:c r="F21" s="465"/>
      <x:c r="G21" s="465"/>
      <x:c r="H21" s="465"/>
      <x:c r="I21" s="465"/>
      <x:c r="J21" s="465"/>
      <x:c r="K21" s="465"/>
      <x:c r="L21" s="465"/>
      <x:c r="M21" s="465"/>
      <x:c r="N21" s="465"/>
      <x:c r="O21" s="465"/>
      <x:c r="P21" s="465"/>
      <x:c r="Q21" s="465"/>
      <x:c r="R21" s="465"/>
      <x:c r="S21" s="465"/>
      <x:c r="T21" s="465"/>
      <x:c r="U21" s="465"/>
      <x:c r="V21" s="465"/>
      <x:c r="W21" s="465"/>
      <x:c r="X21" s="465"/>
      <x:c r="Y21" s="465"/>
      <x:c r="Z21" s="465"/>
    </x:row>
    <x:row r="22" ht="24" customHeight="1">
      <x:c r="A22" s="95" t="str">
        <x:v>標籤定義與納入條件</x:v>
      </x:c>
      <x:c r="B22" s="95" t="str">
        <x:v>標籤定義與納入條件</x:v>
      </x:c>
      <x:c r="C22" s="95" t="str">
        <x:v>標籤定義與納入條件</x:v>
      </x:c>
      <x:c r="D22" s="95" t="str">
        <x:v>標籤定義與納入條件</x:v>
      </x:c>
      <x:c r="E22" s="95" t="str">
        <x:v>標籤定義與納入條件</x:v>
      </x:c>
      <x:c r="F22" s="95" t="str">
        <x:v>標籤定義與納入條件</x:v>
      </x:c>
      <x:c r="G22" s="95" t="str">
        <x:v>標籤定義與納入條件</x:v>
      </x:c>
      <x:c r="H22" s="95" t="str">
        <x:v>標籤定義與納入條件</x:v>
      </x:c>
      <x:c r="I22" s="465"/>
      <x:c r="J22" s="465"/>
      <x:c r="K22" s="465"/>
      <x:c r="L22" s="465"/>
      <x:c r="M22" s="465"/>
      <x:c r="N22" s="465"/>
      <x:c r="O22" s="465"/>
      <x:c r="P22" s="465"/>
      <x:c r="Q22" s="465"/>
      <x:c r="R22" s="465"/>
      <x:c r="S22" s="465"/>
      <x:c r="T22" s="465"/>
      <x:c r="U22" s="465"/>
      <x:c r="V22" s="465"/>
      <x:c r="W22" s="465"/>
      <x:c r="X22" s="465"/>
      <x:c r="Y22" s="465"/>
      <x:c r="Z22" s="465"/>
    </x:row>
    <x:row r="23">
      <x:c r="A23" s="130" t="str">
        <x:v>缺車標籤：當下尚有車、30 分鐘後可借車數＝0。</x:v>
      </x:c>
      <x:c r="B23" s="131"/>
      <x:c r="C23" s="131"/>
      <x:c r="D23" s="131"/>
      <x:c r="E23" s="131"/>
      <x:c r="F23" s="131"/>
      <x:c r="G23" s="131"/>
      <x:c r="H23" s="132"/>
      <x:c r="I23" s="465"/>
      <x:c r="J23" s="465"/>
      <x:c r="K23" s="465"/>
      <x:c r="L23" s="465"/>
      <x:c r="M23" s="465"/>
      <x:c r="N23" s="465"/>
      <x:c r="O23" s="465"/>
      <x:c r="P23" s="465"/>
      <x:c r="Q23" s="465"/>
      <x:c r="R23" s="465"/>
      <x:c r="S23" s="465"/>
      <x:c r="T23" s="465"/>
      <x:c r="U23" s="465"/>
      <x:c r="V23" s="465"/>
      <x:c r="W23" s="465"/>
      <x:c r="X23" s="465"/>
      <x:c r="Y23" s="465"/>
      <x:c r="Z23" s="465"/>
    </x:row>
    <x:row r="24">
      <x:c r="A24" s="133" t="str">
        <x:v>滿柱標籤：當下尚有空位、30 分鐘後可還空位數＝0。</x:v>
      </x:c>
      <x:c r="B24" s="134"/>
      <x:c r="C24" s="134"/>
      <x:c r="D24" s="134"/>
      <x:c r="E24" s="134"/>
      <x:c r="F24" s="134"/>
      <x:c r="G24" s="134"/>
      <x:c r="H24" s="135"/>
      <x:c r="I24" s="465"/>
      <x:c r="J24" s="465"/>
      <x:c r="K24" s="465"/>
      <x:c r="L24" s="465"/>
      <x:c r="M24" s="465"/>
      <x:c r="N24" s="465"/>
      <x:c r="O24" s="465"/>
      <x:c r="P24" s="465"/>
      <x:c r="Q24" s="465"/>
      <x:c r="R24" s="465"/>
      <x:c r="S24" s="465"/>
      <x:c r="T24" s="465"/>
      <x:c r="U24" s="465"/>
      <x:c r="V24" s="465"/>
      <x:c r="W24" s="465"/>
      <x:c r="X24" s="465"/>
      <x:c r="Y24" s="465"/>
      <x:c r="Z24" s="465"/>
    </x:row>
    <x:row r="25">
      <x:c r="A25" s="133" t="str">
        <x:v>排除：當下已缺車／已滿柱、雙零停用狀態、庫存不合理、30 分鐘內容量改變。</x:v>
      </x:c>
      <x:c r="B25" s="134"/>
      <x:c r="C25" s="134"/>
      <x:c r="D25" s="134"/>
      <x:c r="E25" s="134"/>
      <x:c r="F25" s="134"/>
      <x:c r="G25" s="134"/>
      <x:c r="H25" s="135"/>
      <x:c r="I25" s="465"/>
      <x:c r="J25" s="465"/>
      <x:c r="K25" s="465"/>
      <x:c r="L25" s="465"/>
      <x:c r="M25" s="465"/>
      <x:c r="N25" s="465"/>
      <x:c r="O25" s="465"/>
      <x:c r="P25" s="465"/>
      <x:c r="Q25" s="465"/>
      <x:c r="R25" s="465"/>
      <x:c r="S25" s="465"/>
      <x:c r="T25" s="465"/>
      <x:c r="U25" s="465"/>
      <x:c r="V25" s="465"/>
      <x:c r="W25" s="465"/>
      <x:c r="X25" s="465"/>
      <x:c r="Y25" s="465"/>
      <x:c r="Z25" s="465"/>
    </x:row>
    <x:row r="26">
      <x:c r="A26" s="133" t="str">
        <x:v>特徵只使用當下與過去：庫存、比例、30/60/90 分鐘差分、1日/7日滯後、站點、區域、時段。</x:v>
      </x:c>
      <x:c r="B26" s="134"/>
      <x:c r="C26" s="134"/>
      <x:c r="D26" s="134"/>
      <x:c r="E26" s="134"/>
      <x:c r="F26" s="134"/>
      <x:c r="G26" s="134"/>
      <x:c r="H26" s="135"/>
      <x:c r="I26" s="465"/>
      <x:c r="J26" s="465"/>
      <x:c r="K26" s="465"/>
      <x:c r="L26" s="465"/>
      <x:c r="M26" s="465"/>
      <x:c r="N26" s="465"/>
      <x:c r="O26" s="465"/>
      <x:c r="P26" s="465"/>
      <x:c r="Q26" s="465"/>
      <x:c r="R26" s="465"/>
      <x:c r="S26" s="465"/>
      <x:c r="T26" s="465"/>
      <x:c r="U26" s="465"/>
      <x:c r="V26" s="465"/>
      <x:c r="W26" s="465"/>
      <x:c r="X26" s="465"/>
      <x:c r="Y26" s="465"/>
      <x:c r="Z26" s="465"/>
    </x:row>
    <x:row r="27">
      <x:c r="A27" s="133" t="str">
        <x:v>疑似大量跳動保留為過去特徵，不排除資料，也不把它宣稱成確定運補。</x:v>
      </x:c>
      <x:c r="B27" s="134"/>
      <x:c r="C27" s="134"/>
      <x:c r="D27" s="134"/>
      <x:c r="E27" s="134"/>
      <x:c r="F27" s="134"/>
      <x:c r="G27" s="134"/>
      <x:c r="H27" s="135"/>
      <x:c r="I27" s="465"/>
      <x:c r="J27" s="465"/>
      <x:c r="K27" s="465"/>
      <x:c r="L27" s="465"/>
      <x:c r="M27" s="465"/>
      <x:c r="N27" s="465"/>
      <x:c r="O27" s="465"/>
      <x:c r="P27" s="465"/>
      <x:c r="Q27" s="465"/>
      <x:c r="R27" s="465"/>
      <x:c r="S27" s="465"/>
      <x:c r="T27" s="465"/>
      <x:c r="U27" s="465"/>
      <x:c r="V27" s="465"/>
      <x:c r="W27" s="465"/>
      <x:c r="X27" s="465"/>
      <x:c r="Y27" s="465"/>
      <x:c r="Z27" s="465"/>
    </x:row>
    <x:row r="28">
      <x:c r="A28" s="133" t="str">
        <x:v>訓練包含歷史營運介入，所以風險代表『在既有歷史營運模式下』的結果。</x:v>
      </x:c>
      <x:c r="B28" s="134"/>
      <x:c r="C28" s="134"/>
      <x:c r="D28" s="134"/>
      <x:c r="E28" s="134"/>
      <x:c r="F28" s="134"/>
      <x:c r="G28" s="134"/>
      <x:c r="H28" s="135"/>
      <x:c r="I28" s="465"/>
      <x:c r="J28" s="465"/>
      <x:c r="K28" s="465"/>
      <x:c r="L28" s="465"/>
      <x:c r="M28" s="465"/>
      <x:c r="N28" s="465"/>
      <x:c r="O28" s="465"/>
      <x:c r="P28" s="465"/>
      <x:c r="Q28" s="465"/>
      <x:c r="R28" s="465"/>
      <x:c r="S28" s="465"/>
      <x:c r="T28" s="465"/>
      <x:c r="U28" s="465"/>
      <x:c r="V28" s="465"/>
      <x:c r="W28" s="465"/>
      <x:c r="X28" s="465"/>
      <x:c r="Y28" s="465"/>
      <x:c r="Z28" s="465"/>
    </x:row>
    <x:row r="29">
      <x:c r="A29" s="136" t="str">
        <x:v>尖峰定義：目標時間 07–09 時與 16–19 時；全日績效同時保留作次要檢查。</x:v>
      </x:c>
      <x:c r="B29" s="137"/>
      <x:c r="C29" s="137"/>
      <x:c r="D29" s="137"/>
      <x:c r="E29" s="137"/>
      <x:c r="F29" s="137"/>
      <x:c r="G29" s="137"/>
      <x:c r="H29" s="138"/>
      <x:c r="I29" s="465"/>
      <x:c r="J29" s="465"/>
      <x:c r="K29" s="465"/>
      <x:c r="L29" s="465"/>
      <x:c r="M29" s="465"/>
      <x:c r="N29" s="465"/>
      <x:c r="O29" s="465"/>
      <x:c r="P29" s="465"/>
      <x:c r="Q29" s="465"/>
      <x:c r="R29" s="465"/>
      <x:c r="S29" s="465"/>
      <x:c r="T29" s="465"/>
      <x:c r="U29" s="465"/>
      <x:c r="V29" s="465"/>
      <x:c r="W29" s="465"/>
      <x:c r="X29" s="465"/>
      <x:c r="Y29" s="465"/>
      <x:c r="Z29" s="465"/>
    </x:row>
    <x:row r="30">
      <x:c r="A30" s="465"/>
      <x:c r="B30" s="465"/>
      <x:c r="C30" s="465"/>
      <x:c r="D30" s="465"/>
      <x:c r="E30" s="465"/>
      <x:c r="F30" s="465"/>
      <x:c r="G30" s="465"/>
      <x:c r="H30" s="465"/>
      <x:c r="I30" s="465"/>
      <x:c r="J30" s="465"/>
      <x:c r="K30" s="465"/>
      <x:c r="L30" s="465"/>
      <x:c r="M30" s="465"/>
      <x:c r="N30" s="465"/>
      <x:c r="O30" s="465"/>
      <x:c r="P30" s="465"/>
      <x:c r="Q30" s="465"/>
      <x:c r="R30" s="465"/>
      <x:c r="S30" s="465"/>
      <x:c r="T30" s="465"/>
      <x:c r="U30" s="465"/>
      <x:c r="V30" s="465"/>
      <x:c r="W30" s="465"/>
      <x:c r="X30" s="465"/>
      <x:c r="Y30" s="465"/>
      <x:c r="Z30" s="465"/>
    </x:row>
    <x:row r="31" ht="24" customHeight="1">
      <x:c r="A31" s="465"/>
      <x:c r="B31" s="465"/>
      <x:c r="C31" s="465"/>
      <x:c r="D31" s="465"/>
      <x:c r="E31" s="465"/>
      <x:c r="F31" s="465"/>
      <x:c r="G31" s="465"/>
      <x:c r="H31" s="465"/>
      <x:c r="I31" s="465"/>
      <x:c r="J31" s="95" t="str">
        <x:v>重現資訊</x:v>
      </x:c>
      <x:c r="K31" s="95" t="str">
        <x:v>重現資訊</x:v>
      </x:c>
      <x:c r="L31" s="95" t="str">
        <x:v>重現資訊</x:v>
      </x:c>
      <x:c r="M31" s="95" t="str">
        <x:v>重現資訊</x:v>
      </x:c>
      <x:c r="N31" s="95" t="str">
        <x:v>重現資訊</x:v>
      </x:c>
      <x:c r="O31" s="95" t="str">
        <x:v>重現資訊</x:v>
      </x:c>
      <x:c r="P31" s="95" t="str">
        <x:v>重現資訊</x:v>
      </x:c>
      <x:c r="Q31" s="95" t="str">
        <x:v>重現資訊</x:v>
      </x:c>
      <x:c r="R31" s="95" t="str">
        <x:v>重現資訊</x:v>
      </x:c>
      <x:c r="S31" s="465"/>
      <x:c r="T31" s="465"/>
      <x:c r="U31" s="465"/>
      <x:c r="V31" s="465"/>
      <x:c r="W31" s="465"/>
      <x:c r="X31" s="465"/>
      <x:c r="Y31" s="465"/>
      <x:c r="Z31" s="465"/>
    </x:row>
    <x:row r="32">
      <x:c r="A32" s="465"/>
      <x:c r="B32" s="465"/>
      <x:c r="C32" s="465"/>
      <x:c r="D32" s="465"/>
      <x:c r="E32" s="465"/>
      <x:c r="F32" s="465"/>
      <x:c r="G32" s="465"/>
      <x:c r="H32" s="465"/>
      <x:c r="I32" s="465"/>
      <x:c r="J32" s="158" t="str">
        <x:v>執行完成：2026-08-28 01:21:39</x:v>
      </x:c>
      <x:c r="K32" s="159"/>
      <x:c r="L32" s="159"/>
      <x:c r="M32" s="159"/>
      <x:c r="N32" s="159"/>
      <x:c r="O32" s="159"/>
      <x:c r="P32" s="159"/>
      <x:c r="Q32" s="159"/>
      <x:c r="R32" s="160"/>
      <x:c r="S32" s="465"/>
      <x:c r="T32" s="465"/>
      <x:c r="U32" s="465"/>
      <x:c r="V32" s="465"/>
      <x:c r="W32" s="465"/>
      <x:c r="X32" s="465"/>
      <x:c r="Y32" s="465"/>
      <x:c r="Z32" s="465"/>
    </x:row>
    <x:row r="33">
      <x:c r="A33" s="465"/>
      <x:c r="B33" s="465"/>
      <x:c r="C33" s="465"/>
      <x:c r="D33" s="465"/>
      <x:c r="E33" s="465"/>
      <x:c r="F33" s="465"/>
      <x:c r="G33" s="465"/>
      <x:c r="H33" s="465"/>
      <x:c r="I33" s="465"/>
      <x:c r="J33" s="161" t="str">
        <x:v>完整流程耗時：8.5 分鐘</x:v>
      </x:c>
      <x:c r="K33" s="162"/>
      <x:c r="L33" s="162"/>
      <x:c r="M33" s="162"/>
      <x:c r="N33" s="162"/>
      <x:c r="O33" s="162"/>
      <x:c r="P33" s="162"/>
      <x:c r="Q33" s="162"/>
      <x:c r="R33" s="163"/>
      <x:c r="S33" s="465"/>
      <x:c r="T33" s="465"/>
      <x:c r="U33" s="465"/>
      <x:c r="V33" s="465"/>
      <x:c r="W33" s="465"/>
      <x:c r="X33" s="465"/>
      <x:c r="Y33" s="465"/>
      <x:c r="Z33" s="465"/>
    </x:row>
    <x:row r="34">
      <x:c r="A34" s="465"/>
      <x:c r="B34" s="465"/>
      <x:c r="C34" s="465"/>
      <x:c r="D34" s="465"/>
      <x:c r="E34" s="465"/>
      <x:c r="F34" s="465"/>
      <x:c r="G34" s="465"/>
      <x:c r="H34" s="465"/>
      <x:c r="I34" s="465"/>
      <x:c r="J34" s="161" t="str">
        <x:v>缺車／滿柱樹數：600／544</x:v>
      </x:c>
      <x:c r="K34" s="162"/>
      <x:c r="L34" s="162"/>
      <x:c r="M34" s="162"/>
      <x:c r="N34" s="162"/>
      <x:c r="O34" s="162"/>
      <x:c r="P34" s="162"/>
      <x:c r="Q34" s="162"/>
      <x:c r="R34" s="163"/>
      <x:c r="S34" s="465"/>
      <x:c r="T34" s="465"/>
      <x:c r="U34" s="465"/>
      <x:c r="V34" s="465"/>
      <x:c r="W34" s="465"/>
      <x:c r="X34" s="465"/>
      <x:c r="Y34" s="465"/>
      <x:c r="Z34" s="465"/>
    </x:row>
    <x:row r="35">
      <x:c r="A35" s="465"/>
      <x:c r="B35" s="465"/>
      <x:c r="C35" s="465"/>
      <x:c r="D35" s="465"/>
      <x:c r="E35" s="465"/>
      <x:c r="F35" s="465"/>
      <x:c r="G35" s="465"/>
      <x:c r="H35" s="465"/>
      <x:c r="I35" s="465"/>
      <x:c r="J35" s="161" t="str">
        <x:v>預測期間：30 分鐘</x:v>
      </x:c>
      <x:c r="K35" s="162"/>
      <x:c r="L35" s="162"/>
      <x:c r="M35" s="162"/>
      <x:c r="N35" s="162"/>
      <x:c r="O35" s="162"/>
      <x:c r="P35" s="162"/>
      <x:c r="Q35" s="162"/>
      <x:c r="R35" s="163"/>
      <x:c r="S35" s="465"/>
      <x:c r="T35" s="465"/>
      <x:c r="U35" s="465"/>
      <x:c r="V35" s="465"/>
      <x:c r="W35" s="465"/>
      <x:c r="X35" s="465"/>
      <x:c r="Y35" s="465"/>
      <x:c r="Z35" s="465"/>
    </x:row>
    <x:row r="36">
      <x:c r="A36" s="465"/>
      <x:c r="B36" s="465"/>
      <x:c r="C36" s="465"/>
      <x:c r="D36" s="465"/>
      <x:c r="E36" s="465"/>
      <x:c r="F36" s="465"/>
      <x:c r="G36" s="465"/>
      <x:c r="H36" s="465"/>
      <x:c r="I36" s="465"/>
      <x:c r="J36" s="161" t="str">
        <x:v>程式 SHA-256：afe59b234703de0d51d757319153cfe054ed8768be749b2d5bc0aef4b9991899</x:v>
      </x:c>
      <x:c r="K36" s="162"/>
      <x:c r="L36" s="162"/>
      <x:c r="M36" s="162"/>
      <x:c r="N36" s="162"/>
      <x:c r="O36" s="162"/>
      <x:c r="P36" s="162"/>
      <x:c r="Q36" s="162"/>
      <x:c r="R36" s="163"/>
      <x:c r="S36" s="465"/>
      <x:c r="T36" s="465"/>
      <x:c r="U36" s="465"/>
      <x:c r="V36" s="465"/>
      <x:c r="W36" s="465"/>
      <x:c r="X36" s="465"/>
      <x:c r="Y36" s="465"/>
      <x:c r="Z36" s="465"/>
    </x:row>
    <x:row r="37">
      <x:c r="A37" s="465"/>
      <x:c r="B37" s="465"/>
      <x:c r="C37" s="465"/>
      <x:c r="D37" s="465"/>
      <x:c r="E37" s="465"/>
      <x:c r="F37" s="465"/>
      <x:c r="G37" s="465"/>
      <x:c r="H37" s="465"/>
      <x:c r="I37" s="465"/>
      <x:c r="J37" s="164" t="str">
        <x:v>模型、校準器、門檻與程式快照均保存在同一輸出資料夾。</x:v>
      </x:c>
      <x:c r="K37" s="165"/>
      <x:c r="L37" s="165"/>
      <x:c r="M37" s="165"/>
      <x:c r="N37" s="165"/>
      <x:c r="O37" s="165"/>
      <x:c r="P37" s="165"/>
      <x:c r="Q37" s="165"/>
      <x:c r="R37" s="166"/>
      <x:c r="S37" s="465"/>
      <x:c r="T37" s="465"/>
      <x:c r="U37" s="465"/>
      <x:c r="V37" s="465"/>
      <x:c r="W37" s="465"/>
      <x:c r="X37" s="465"/>
      <x:c r="Y37" s="465"/>
      <x:c r="Z37" s="465"/>
    </x:row>
    <x:row r="38">
      <x:c r="A38" s="465"/>
      <x:c r="B38" s="465"/>
      <x:c r="C38" s="465"/>
      <x:c r="D38" s="465"/>
      <x:c r="E38" s="465"/>
      <x:c r="F38" s="465"/>
      <x:c r="G38" s="465"/>
      <x:c r="H38" s="465"/>
      <x:c r="I38" s="465"/>
      <x:c r="J38" s="465"/>
      <x:c r="K38" s="465"/>
      <x:c r="L38" s="465"/>
      <x:c r="M38" s="465"/>
      <x:c r="N38" s="465"/>
      <x:c r="O38" s="465"/>
      <x:c r="P38" s="465"/>
      <x:c r="Q38" s="465"/>
      <x:c r="R38" s="465"/>
      <x:c r="S38" s="465"/>
      <x:c r="T38" s="465"/>
      <x:c r="U38" s="465"/>
      <x:c r="V38" s="465"/>
      <x:c r="W38" s="465"/>
      <x:c r="X38" s="465"/>
      <x:c r="Y38" s="465"/>
      <x:c r="Z38" s="465"/>
    </x:row>
    <x:row r="39">
      <x:c r="A39" s="79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B39" s="80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C39" s="80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D39" s="80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E39" s="80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F39" s="80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G39" s="80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H39" s="80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I39" s="80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J39" s="80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K39" s="80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L39" s="80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M39" s="80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N39" s="80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O39" s="80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P39" s="80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Q39" s="80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R39" s="81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S39" s="465"/>
      <x:c r="T39" s="465"/>
      <x:c r="U39" s="465"/>
      <x:c r="V39" s="465"/>
      <x:c r="W39" s="465"/>
      <x:c r="X39" s="465"/>
      <x:c r="Y39" s="465"/>
      <x:c r="Z39" s="465"/>
    </x:row>
    <x:row r="40">
      <x:c r="A40" s="101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B40" s="102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C40" s="102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D40" s="102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E40" s="102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F40" s="102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G40" s="102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H40" s="102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I40" s="102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J40" s="102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K40" s="102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L40" s="102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M40" s="102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N40" s="102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O40" s="102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P40" s="102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Q40" s="102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R40" s="103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S40" s="465"/>
      <x:c r="T40" s="465"/>
      <x:c r="U40" s="465"/>
      <x:c r="V40" s="465"/>
      <x:c r="W40" s="465"/>
      <x:c r="X40" s="465"/>
      <x:c r="Y40" s="465"/>
      <x:c r="Z40" s="465"/>
    </x:row>
    <x:row r="41">
      <x:c r="A41" s="82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B41" s="83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C41" s="83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D41" s="83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E41" s="83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F41" s="83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G41" s="83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H41" s="83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I41" s="83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J41" s="83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K41" s="83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L41" s="83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M41" s="83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N41" s="83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O41" s="83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P41" s="83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Q41" s="83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R41" s="84" t="str">
        <x:v>資料品質限制：是否保留樣本會使用『未來 30 分鐘仍營運、非雙零、容量不變』來確認標籤有效，因此測試結果代表正常營運環境；實際部署無法預先知道未來關站或容量異動，整體績效可能略偏樂觀。六月有 27 個新站，站名已補齊，但新站泛化尚未單獨評估。</x:v>
      </x:c>
      <x:c r="S41" s="465"/>
      <x:c r="T41" s="465"/>
      <x:c r="U41" s="465"/>
      <x:c r="V41" s="465"/>
      <x:c r="W41" s="465"/>
      <x:c r="X41" s="465"/>
      <x:c r="Y41" s="465"/>
      <x:c r="Z41" s="465"/>
    </x:row>
    <x:row r="42">
      <x:c r="A42" s="465"/>
      <x:c r="B42" s="465"/>
      <x:c r="C42" s="465"/>
      <x:c r="D42" s="465"/>
      <x:c r="E42" s="465"/>
      <x:c r="F42" s="465"/>
      <x:c r="G42" s="465"/>
      <x:c r="H42" s="465"/>
      <x:c r="I42" s="465"/>
      <x:c r="J42" s="465"/>
      <x:c r="K42" s="465"/>
      <x:c r="L42" s="465"/>
      <x:c r="M42" s="465"/>
      <x:c r="N42" s="465"/>
      <x:c r="O42" s="465"/>
      <x:c r="P42" s="465"/>
      <x:c r="Q42" s="465"/>
      <x:c r="R42" s="465"/>
      <x:c r="S42" s="465"/>
      <x:c r="T42" s="465"/>
      <x:c r="U42" s="465"/>
      <x:c r="V42" s="465"/>
      <x:c r="W42" s="465"/>
      <x:c r="X42" s="465"/>
      <x:c r="Y42" s="465"/>
      <x:c r="Z42" s="465"/>
    </x:row>
    <x:row r="43">
      <x:c r="A43" s="465"/>
      <x:c r="B43" s="465"/>
      <x:c r="C43" s="465"/>
      <x:c r="D43" s="465"/>
      <x:c r="E43" s="465"/>
      <x:c r="F43" s="465"/>
      <x:c r="G43" s="465"/>
      <x:c r="H43" s="465"/>
      <x:c r="I43" s="465"/>
      <x:c r="J43" s="465"/>
      <x:c r="K43" s="465"/>
      <x:c r="L43" s="465"/>
      <x:c r="M43" s="465"/>
      <x:c r="N43" s="465"/>
      <x:c r="O43" s="465"/>
      <x:c r="P43" s="465"/>
      <x:c r="Q43" s="465"/>
      <x:c r="R43" s="465"/>
      <x:c r="S43" s="465"/>
      <x:c r="T43" s="465"/>
      <x:c r="U43" s="465"/>
      <x:c r="V43" s="465"/>
      <x:c r="W43" s="465"/>
      <x:c r="X43" s="465"/>
      <x:c r="Y43" s="465"/>
      <x:c r="Z43" s="465"/>
    </x:row>
    <x:row r="44">
      <x:c r="A44" s="465"/>
      <x:c r="B44" s="465"/>
      <x:c r="C44" s="465"/>
      <x:c r="D44" s="465"/>
      <x:c r="E44" s="465"/>
      <x:c r="F44" s="465"/>
      <x:c r="G44" s="465"/>
      <x:c r="H44" s="465"/>
      <x:c r="I44" s="465"/>
      <x:c r="J44" s="465"/>
      <x:c r="K44" s="465"/>
      <x:c r="L44" s="465"/>
      <x:c r="M44" s="465"/>
      <x:c r="N44" s="465"/>
      <x:c r="O44" s="465"/>
      <x:c r="P44" s="465"/>
      <x:c r="Q44" s="465"/>
      <x:c r="R44" s="465"/>
      <x:c r="S44" s="465"/>
      <x:c r="T44" s="465"/>
      <x:c r="U44" s="465"/>
      <x:c r="V44" s="465"/>
      <x:c r="W44" s="465"/>
      <x:c r="X44" s="465"/>
      <x:c r="Y44" s="465"/>
      <x:c r="Z44" s="465"/>
    </x:row>
    <x:row r="45">
      <x:c r="A45" s="465"/>
      <x:c r="B45" s="465"/>
      <x:c r="C45" s="465"/>
      <x:c r="D45" s="465"/>
      <x:c r="E45" s="465"/>
      <x:c r="F45" s="465"/>
      <x:c r="G45" s="465"/>
      <x:c r="H45" s="465"/>
      <x:c r="I45" s="465"/>
      <x:c r="J45" s="465"/>
      <x:c r="K45" s="465"/>
      <x:c r="L45" s="465"/>
      <x:c r="M45" s="465"/>
      <x:c r="N45" s="465"/>
      <x:c r="O45" s="465"/>
      <x:c r="P45" s="465"/>
      <x:c r="Q45" s="465"/>
      <x:c r="R45" s="465"/>
      <x:c r="S45" s="465"/>
      <x:c r="T45" s="465"/>
      <x:c r="U45" s="465"/>
      <x:c r="V45" s="465"/>
      <x:c r="W45" s="465"/>
      <x:c r="X45" s="465"/>
      <x:c r="Y45" s="465"/>
      <x:c r="Z45" s="465"/>
    </x:row>
    <x:row r="46">
      <x:c r="A46" s="465"/>
      <x:c r="B46" s="465"/>
      <x:c r="C46" s="465"/>
      <x:c r="D46" s="465"/>
      <x:c r="E46" s="465"/>
      <x:c r="F46" s="465"/>
      <x:c r="G46" s="465"/>
      <x:c r="H46" s="465"/>
      <x:c r="I46" s="465"/>
      <x:c r="J46" s="465"/>
      <x:c r="K46" s="465"/>
      <x:c r="L46" s="465"/>
      <x:c r="M46" s="465"/>
      <x:c r="N46" s="465"/>
      <x:c r="O46" s="465"/>
      <x:c r="P46" s="465"/>
      <x:c r="Q46" s="465"/>
      <x:c r="R46" s="465"/>
      <x:c r="S46" s="465"/>
      <x:c r="T46" s="465"/>
      <x:c r="U46" s="465"/>
      <x:c r="V46" s="465"/>
      <x:c r="W46" s="465"/>
      <x:c r="X46" s="465"/>
      <x:c r="Y46" s="465"/>
      <x:c r="Z46" s="465"/>
    </x:row>
    <x:row r="47">
      <x:c r="A47" s="465"/>
      <x:c r="B47" s="465"/>
      <x:c r="C47" s="465"/>
      <x:c r="D47" s="465"/>
      <x:c r="E47" s="465"/>
      <x:c r="F47" s="465"/>
      <x:c r="G47" s="465"/>
      <x:c r="H47" s="465"/>
      <x:c r="I47" s="465"/>
      <x:c r="J47" s="465"/>
      <x:c r="K47" s="465"/>
      <x:c r="L47" s="465"/>
      <x:c r="M47" s="465"/>
      <x:c r="N47" s="465"/>
      <x:c r="O47" s="465"/>
      <x:c r="P47" s="465"/>
      <x:c r="Q47" s="465"/>
      <x:c r="R47" s="465"/>
      <x:c r="S47" s="465"/>
      <x:c r="T47" s="465"/>
      <x:c r="U47" s="465"/>
      <x:c r="V47" s="465"/>
      <x:c r="W47" s="465"/>
      <x:c r="X47" s="465"/>
      <x:c r="Y47" s="465"/>
      <x:c r="Z47" s="465"/>
    </x:row>
    <x:row r="48">
      <x:c r="A48" s="465"/>
      <x:c r="B48" s="465"/>
      <x:c r="C48" s="465"/>
      <x:c r="D48" s="465"/>
      <x:c r="E48" s="465"/>
      <x:c r="F48" s="465"/>
      <x:c r="G48" s="465"/>
      <x:c r="H48" s="465"/>
      <x:c r="I48" s="465"/>
      <x:c r="J48" s="465"/>
      <x:c r="K48" s="465"/>
      <x:c r="L48" s="465"/>
      <x:c r="M48" s="465"/>
      <x:c r="N48" s="465"/>
      <x:c r="O48" s="465"/>
      <x:c r="P48" s="465"/>
      <x:c r="Q48" s="465"/>
      <x:c r="R48" s="465"/>
      <x:c r="S48" s="465"/>
      <x:c r="T48" s="465"/>
      <x:c r="U48" s="465"/>
      <x:c r="V48" s="465"/>
      <x:c r="W48" s="465"/>
      <x:c r="X48" s="465"/>
      <x:c r="Y48" s="465"/>
      <x:c r="Z48" s="465"/>
    </x:row>
    <x:row r="49">
      <x:c r="A49" s="465"/>
      <x:c r="B49" s="465"/>
      <x:c r="C49" s="465"/>
      <x:c r="D49" s="465"/>
      <x:c r="E49" s="465"/>
      <x:c r="F49" s="465"/>
      <x:c r="G49" s="465"/>
      <x:c r="H49" s="465"/>
      <x:c r="I49" s="465"/>
      <x:c r="J49" s="465"/>
      <x:c r="K49" s="465"/>
      <x:c r="L49" s="465"/>
      <x:c r="M49" s="465"/>
      <x:c r="N49" s="465"/>
      <x:c r="O49" s="465"/>
      <x:c r="P49" s="465"/>
      <x:c r="Q49" s="465"/>
      <x:c r="R49" s="465"/>
      <x:c r="S49" s="465"/>
      <x:c r="T49" s="465"/>
      <x:c r="U49" s="465"/>
      <x:c r="V49" s="465"/>
      <x:c r="W49" s="465"/>
      <x:c r="X49" s="465"/>
      <x:c r="Y49" s="465"/>
      <x:c r="Z49" s="465"/>
    </x:row>
    <x:row r="50">
      <x:c r="A50" s="465"/>
      <x:c r="B50" s="465"/>
      <x:c r="C50" s="465"/>
      <x:c r="D50" s="465"/>
      <x:c r="E50" s="465"/>
      <x:c r="F50" s="465"/>
      <x:c r="G50" s="465"/>
      <x:c r="H50" s="465"/>
      <x:c r="I50" s="465"/>
      <x:c r="J50" s="465"/>
      <x:c r="K50" s="465"/>
      <x:c r="L50" s="465"/>
      <x:c r="M50" s="465"/>
      <x:c r="N50" s="465"/>
      <x:c r="O50" s="465"/>
      <x:c r="P50" s="465"/>
      <x:c r="Q50" s="465"/>
      <x:c r="R50" s="465"/>
      <x:c r="S50" s="465"/>
      <x:c r="T50" s="465"/>
      <x:c r="U50" s="465"/>
      <x:c r="V50" s="465"/>
      <x:c r="W50" s="465"/>
      <x:c r="X50" s="465"/>
      <x:c r="Y50" s="465"/>
      <x:c r="Z50" s="465"/>
    </x:row>
    <x:row r="51">
      <x:c r="A51" s="465"/>
      <x:c r="B51" s="465"/>
      <x:c r="C51" s="465"/>
      <x:c r="D51" s="465"/>
      <x:c r="E51" s="465"/>
      <x:c r="F51" s="465"/>
      <x:c r="G51" s="465"/>
      <x:c r="H51" s="465"/>
      <x:c r="I51" s="465"/>
      <x:c r="J51" s="465"/>
      <x:c r="K51" s="465"/>
      <x:c r="L51" s="465"/>
      <x:c r="M51" s="465"/>
      <x:c r="N51" s="465"/>
      <x:c r="O51" s="465"/>
      <x:c r="P51" s="465"/>
      <x:c r="Q51" s="465"/>
      <x:c r="R51" s="465"/>
      <x:c r="S51" s="465"/>
      <x:c r="T51" s="465"/>
      <x:c r="U51" s="465"/>
      <x:c r="V51" s="465"/>
      <x:c r="W51" s="465"/>
      <x:c r="X51" s="465"/>
      <x:c r="Y51" s="465"/>
      <x:c r="Z51" s="465"/>
    </x:row>
    <x:row r="52">
      <x:c r="A52" s="465"/>
      <x:c r="B52" s="465"/>
      <x:c r="C52" s="465"/>
      <x:c r="D52" s="465"/>
      <x:c r="E52" s="465"/>
      <x:c r="F52" s="465"/>
      <x:c r="G52" s="465"/>
      <x:c r="H52" s="465"/>
      <x:c r="I52" s="465"/>
      <x:c r="J52" s="465"/>
      <x:c r="K52" s="465"/>
      <x:c r="L52" s="465"/>
      <x:c r="M52" s="465"/>
      <x:c r="N52" s="465"/>
      <x:c r="O52" s="465"/>
      <x:c r="P52" s="465"/>
      <x:c r="Q52" s="465"/>
      <x:c r="R52" s="465"/>
      <x:c r="S52" s="465"/>
      <x:c r="T52" s="465"/>
      <x:c r="U52" s="465"/>
      <x:c r="V52" s="465"/>
      <x:c r="W52" s="465"/>
      <x:c r="X52" s="465"/>
      <x:c r="Y52" s="465"/>
      <x:c r="Z52" s="465"/>
    </x:row>
    <x:row r="53">
      <x:c r="A53" s="465"/>
      <x:c r="B53" s="465"/>
      <x:c r="C53" s="465"/>
      <x:c r="D53" s="465"/>
      <x:c r="E53" s="465"/>
      <x:c r="F53" s="465"/>
      <x:c r="G53" s="465"/>
      <x:c r="H53" s="465"/>
      <x:c r="I53" s="465"/>
      <x:c r="J53" s="465"/>
      <x:c r="K53" s="465"/>
      <x:c r="L53" s="465"/>
      <x:c r="M53" s="465"/>
      <x:c r="N53" s="465"/>
      <x:c r="O53" s="465"/>
      <x:c r="P53" s="465"/>
      <x:c r="Q53" s="465"/>
      <x:c r="R53" s="465"/>
      <x:c r="S53" s="465"/>
      <x:c r="T53" s="465"/>
      <x:c r="U53" s="465"/>
      <x:c r="V53" s="465"/>
      <x:c r="W53" s="465"/>
      <x:c r="X53" s="465"/>
      <x:c r="Y53" s="465"/>
      <x:c r="Z53" s="465"/>
    </x:row>
    <x:row r="54">
      <x:c r="A54" s="465"/>
      <x:c r="B54" s="465"/>
      <x:c r="C54" s="465"/>
      <x:c r="D54" s="465"/>
      <x:c r="E54" s="465"/>
      <x:c r="F54" s="465"/>
      <x:c r="G54" s="465"/>
      <x:c r="H54" s="465"/>
      <x:c r="I54" s="465"/>
      <x:c r="J54" s="465"/>
      <x:c r="K54" s="465"/>
      <x:c r="L54" s="465"/>
      <x:c r="M54" s="465"/>
      <x:c r="N54" s="465"/>
      <x:c r="O54" s="465"/>
      <x:c r="P54" s="465"/>
      <x:c r="Q54" s="465"/>
      <x:c r="R54" s="465"/>
      <x:c r="S54" s="465"/>
      <x:c r="T54" s="465"/>
      <x:c r="U54" s="465"/>
      <x:c r="V54" s="465"/>
      <x:c r="W54" s="465"/>
      <x:c r="X54" s="465"/>
      <x:c r="Y54" s="465"/>
      <x:c r="Z54" s="465"/>
    </x:row>
    <x:row r="55">
      <x:c r="A55" s="465"/>
      <x:c r="B55" s="465"/>
      <x:c r="C55" s="465"/>
      <x:c r="D55" s="465"/>
      <x:c r="E55" s="465"/>
      <x:c r="F55" s="465"/>
      <x:c r="G55" s="465"/>
      <x:c r="H55" s="465"/>
      <x:c r="I55" s="465"/>
      <x:c r="J55" s="465"/>
      <x:c r="K55" s="465"/>
      <x:c r="L55" s="465"/>
      <x:c r="M55" s="465"/>
      <x:c r="N55" s="465"/>
      <x:c r="O55" s="465"/>
      <x:c r="P55" s="465"/>
      <x:c r="Q55" s="465"/>
      <x:c r="R55" s="465"/>
      <x:c r="S55" s="465"/>
      <x:c r="T55" s="465"/>
      <x:c r="U55" s="465"/>
      <x:c r="V55" s="465"/>
      <x:c r="W55" s="465"/>
      <x:c r="X55" s="465"/>
      <x:c r="Y55" s="465"/>
      <x:c r="Z55" s="465"/>
    </x:row>
    <x:row r="56">
      <x:c r="A56" s="465"/>
      <x:c r="B56" s="465"/>
      <x:c r="C56" s="465"/>
      <x:c r="D56" s="465"/>
      <x:c r="E56" s="465"/>
      <x:c r="F56" s="465"/>
      <x:c r="G56" s="465"/>
      <x:c r="H56" s="465"/>
      <x:c r="I56" s="465"/>
      <x:c r="J56" s="465"/>
      <x:c r="K56" s="465"/>
      <x:c r="L56" s="465"/>
      <x:c r="M56" s="465"/>
      <x:c r="N56" s="465"/>
      <x:c r="O56" s="465"/>
      <x:c r="P56" s="465"/>
      <x:c r="Q56" s="465"/>
      <x:c r="R56" s="465"/>
      <x:c r="S56" s="465"/>
      <x:c r="T56" s="465"/>
      <x:c r="U56" s="465"/>
      <x:c r="V56" s="465"/>
      <x:c r="W56" s="465"/>
      <x:c r="X56" s="465"/>
      <x:c r="Y56" s="465"/>
      <x:c r="Z56" s="465"/>
    </x:row>
    <x:row r="57">
      <x:c r="A57" s="465"/>
      <x:c r="B57" s="465"/>
      <x:c r="C57" s="465"/>
      <x:c r="D57" s="465"/>
      <x:c r="E57" s="465"/>
      <x:c r="F57" s="465"/>
      <x:c r="G57" s="465"/>
      <x:c r="H57" s="465"/>
      <x:c r="I57" s="465"/>
      <x:c r="J57" s="465"/>
      <x:c r="K57" s="465"/>
      <x:c r="L57" s="465"/>
      <x:c r="M57" s="465"/>
      <x:c r="N57" s="465"/>
      <x:c r="O57" s="465"/>
      <x:c r="P57" s="465"/>
      <x:c r="Q57" s="465"/>
      <x:c r="R57" s="465"/>
      <x:c r="S57" s="465"/>
      <x:c r="T57" s="465"/>
      <x:c r="U57" s="465"/>
      <x:c r="V57" s="465"/>
      <x:c r="W57" s="465"/>
      <x:c r="X57" s="465"/>
      <x:c r="Y57" s="465"/>
      <x:c r="Z57" s="465"/>
    </x:row>
    <x:row r="58">
      <x:c r="A58" s="465"/>
      <x:c r="B58" s="465"/>
      <x:c r="C58" s="465"/>
      <x:c r="D58" s="465"/>
      <x:c r="E58" s="465"/>
      <x:c r="F58" s="465"/>
      <x:c r="G58" s="465"/>
      <x:c r="H58" s="465"/>
      <x:c r="I58" s="465"/>
      <x:c r="J58" s="465"/>
      <x:c r="K58" s="465"/>
      <x:c r="L58" s="465"/>
      <x:c r="M58" s="465"/>
      <x:c r="N58" s="465"/>
      <x:c r="O58" s="465"/>
      <x:c r="P58" s="465"/>
      <x:c r="Q58" s="465"/>
      <x:c r="R58" s="465"/>
      <x:c r="S58" s="465"/>
      <x:c r="T58" s="465"/>
      <x:c r="U58" s="465"/>
      <x:c r="V58" s="465"/>
      <x:c r="W58" s="465"/>
      <x:c r="X58" s="465"/>
      <x:c r="Y58" s="465"/>
      <x:c r="Z58" s="465"/>
    </x:row>
    <x:row r="59">
      <x:c r="A59" s="465"/>
      <x:c r="B59" s="465"/>
      <x:c r="C59" s="465"/>
      <x:c r="D59" s="465"/>
      <x:c r="E59" s="465"/>
      <x:c r="F59" s="465"/>
      <x:c r="G59" s="465"/>
      <x:c r="H59" s="465"/>
      <x:c r="I59" s="465"/>
      <x:c r="J59" s="465"/>
      <x:c r="K59" s="465"/>
      <x:c r="L59" s="465"/>
      <x:c r="M59" s="465"/>
      <x:c r="N59" s="465"/>
      <x:c r="O59" s="465"/>
      <x:c r="P59" s="465"/>
      <x:c r="Q59" s="465"/>
      <x:c r="R59" s="465"/>
      <x:c r="S59" s="465"/>
      <x:c r="T59" s="465"/>
      <x:c r="U59" s="465"/>
      <x:c r="V59" s="465"/>
      <x:c r="W59" s="465"/>
      <x:c r="X59" s="465"/>
      <x:c r="Y59" s="465"/>
      <x:c r="Z59" s="465"/>
    </x:row>
    <x:row r="60">
      <x:c r="A60" s="465"/>
      <x:c r="B60" s="465"/>
      <x:c r="C60" s="465"/>
      <x:c r="D60" s="465"/>
      <x:c r="E60" s="465"/>
      <x:c r="F60" s="465"/>
      <x:c r="G60" s="465"/>
      <x:c r="H60" s="465"/>
      <x:c r="I60" s="465"/>
      <x:c r="J60" s="465"/>
      <x:c r="K60" s="465"/>
      <x:c r="L60" s="465"/>
      <x:c r="M60" s="465"/>
      <x:c r="N60" s="465"/>
      <x:c r="O60" s="465"/>
      <x:c r="P60" s="465"/>
      <x:c r="Q60" s="465"/>
      <x:c r="R60" s="465"/>
      <x:c r="S60" s="465"/>
      <x:c r="T60" s="465"/>
      <x:c r="U60" s="465"/>
      <x:c r="V60" s="465"/>
      <x:c r="W60" s="465"/>
      <x:c r="X60" s="465"/>
      <x:c r="Y60" s="465"/>
      <x:c r="Z60" s="465"/>
    </x:row>
    <x:row r="61">
      <x:c r="A61" s="465"/>
      <x:c r="B61" s="465"/>
      <x:c r="C61" s="465"/>
      <x:c r="D61" s="465"/>
      <x:c r="E61" s="465"/>
      <x:c r="F61" s="465"/>
      <x:c r="G61" s="465"/>
      <x:c r="H61" s="465"/>
      <x:c r="I61" s="465"/>
      <x:c r="J61" s="465"/>
      <x:c r="K61" s="465"/>
      <x:c r="L61" s="465"/>
      <x:c r="M61" s="465"/>
      <x:c r="N61" s="465"/>
      <x:c r="O61" s="465"/>
      <x:c r="P61" s="465"/>
      <x:c r="Q61" s="465"/>
      <x:c r="R61" s="465"/>
      <x:c r="S61" s="465"/>
      <x:c r="T61" s="465"/>
      <x:c r="U61" s="465"/>
      <x:c r="V61" s="465"/>
      <x:c r="W61" s="465"/>
      <x:c r="X61" s="465"/>
      <x:c r="Y61" s="465"/>
      <x:c r="Z61" s="465"/>
    </x:row>
    <x:row r="62">
      <x:c r="A62" s="465"/>
      <x:c r="B62" s="465"/>
      <x:c r="C62" s="465"/>
      <x:c r="D62" s="465"/>
      <x:c r="E62" s="465"/>
      <x:c r="F62" s="465"/>
      <x:c r="G62" s="465"/>
      <x:c r="H62" s="465"/>
      <x:c r="I62" s="465"/>
      <x:c r="J62" s="465"/>
      <x:c r="K62" s="465"/>
      <x:c r="L62" s="465"/>
      <x:c r="M62" s="465"/>
      <x:c r="N62" s="465"/>
      <x:c r="O62" s="465"/>
      <x:c r="P62" s="465"/>
      <x:c r="Q62" s="465"/>
      <x:c r="R62" s="465"/>
      <x:c r="S62" s="465"/>
      <x:c r="T62" s="465"/>
      <x:c r="U62" s="465"/>
      <x:c r="V62" s="465"/>
      <x:c r="W62" s="465"/>
      <x:c r="X62" s="465"/>
      <x:c r="Y62" s="465"/>
      <x:c r="Z62" s="465"/>
    </x:row>
    <x:row r="63">
      <x:c r="A63" s="465"/>
      <x:c r="B63" s="465"/>
      <x:c r="C63" s="465"/>
      <x:c r="D63" s="465"/>
      <x:c r="E63" s="465"/>
      <x:c r="F63" s="465"/>
      <x:c r="G63" s="465"/>
      <x:c r="H63" s="465"/>
      <x:c r="I63" s="465"/>
      <x:c r="J63" s="465"/>
      <x:c r="K63" s="465"/>
      <x:c r="L63" s="465"/>
      <x:c r="M63" s="465"/>
      <x:c r="N63" s="465"/>
      <x:c r="O63" s="465"/>
      <x:c r="P63" s="465"/>
      <x:c r="Q63" s="465"/>
      <x:c r="R63" s="465"/>
      <x:c r="S63" s="465"/>
      <x:c r="T63" s="465"/>
      <x:c r="U63" s="465"/>
      <x:c r="V63" s="465"/>
      <x:c r="W63" s="465"/>
      <x:c r="X63" s="465"/>
      <x:c r="Y63" s="465"/>
      <x:c r="Z63" s="465"/>
    </x:row>
    <x:row r="64">
      <x:c r="A64" s="465"/>
      <x:c r="B64" s="465"/>
      <x:c r="C64" s="465"/>
      <x:c r="D64" s="465"/>
      <x:c r="E64" s="465"/>
      <x:c r="F64" s="465"/>
      <x:c r="G64" s="465"/>
      <x:c r="H64" s="465"/>
      <x:c r="I64" s="465"/>
      <x:c r="J64" s="465"/>
      <x:c r="K64" s="465"/>
      <x:c r="L64" s="465"/>
      <x:c r="M64" s="465"/>
      <x:c r="N64" s="465"/>
      <x:c r="O64" s="465"/>
      <x:c r="P64" s="465"/>
      <x:c r="Q64" s="465"/>
      <x:c r="R64" s="465"/>
      <x:c r="S64" s="465"/>
      <x:c r="T64" s="465"/>
      <x:c r="U64" s="465"/>
      <x:c r="V64" s="465"/>
      <x:c r="W64" s="465"/>
      <x:c r="X64" s="465"/>
      <x:c r="Y64" s="465"/>
      <x:c r="Z64" s="465"/>
    </x:row>
    <x:row r="65">
      <x:c r="A65" s="465"/>
      <x:c r="B65" s="465"/>
      <x:c r="C65" s="465"/>
      <x:c r="D65" s="465"/>
      <x:c r="E65" s="465"/>
      <x:c r="F65" s="465"/>
      <x:c r="G65" s="465"/>
      <x:c r="H65" s="465"/>
      <x:c r="I65" s="465"/>
      <x:c r="J65" s="465"/>
      <x:c r="K65" s="465"/>
      <x:c r="L65" s="465"/>
      <x:c r="M65" s="465"/>
      <x:c r="N65" s="465"/>
      <x:c r="O65" s="465"/>
      <x:c r="P65" s="465"/>
      <x:c r="Q65" s="465"/>
      <x:c r="R65" s="465"/>
      <x:c r="S65" s="465"/>
      <x:c r="T65" s="465"/>
      <x:c r="U65" s="465"/>
      <x:c r="V65" s="465"/>
      <x:c r="W65" s="465"/>
      <x:c r="X65" s="465"/>
      <x:c r="Y65" s="465"/>
      <x:c r="Z65" s="465"/>
    </x:row>
    <x:row r="66">
      <x:c r="A66" s="465"/>
      <x:c r="B66" s="465"/>
      <x:c r="C66" s="465"/>
      <x:c r="D66" s="465"/>
      <x:c r="E66" s="465"/>
      <x:c r="F66" s="465"/>
      <x:c r="G66" s="465"/>
      <x:c r="H66" s="465"/>
      <x:c r="I66" s="465"/>
      <x:c r="J66" s="465"/>
      <x:c r="K66" s="465"/>
      <x:c r="L66" s="465"/>
      <x:c r="M66" s="465"/>
      <x:c r="N66" s="465"/>
      <x:c r="O66" s="465"/>
      <x:c r="P66" s="465"/>
      <x:c r="Q66" s="465"/>
      <x:c r="R66" s="465"/>
      <x:c r="S66" s="465"/>
      <x:c r="T66" s="465"/>
      <x:c r="U66" s="465"/>
      <x:c r="V66" s="465"/>
      <x:c r="W66" s="465"/>
      <x:c r="X66" s="465"/>
      <x:c r="Y66" s="465"/>
      <x:c r="Z66" s="465"/>
    </x:row>
    <x:row r="67">
      <x:c r="A67" s="465"/>
      <x:c r="B67" s="465"/>
      <x:c r="C67" s="465"/>
      <x:c r="D67" s="465"/>
      <x:c r="E67" s="465"/>
      <x:c r="F67" s="465"/>
      <x:c r="G67" s="465"/>
      <x:c r="H67" s="465"/>
      <x:c r="I67" s="465"/>
      <x:c r="J67" s="465"/>
      <x:c r="K67" s="465"/>
      <x:c r="L67" s="465"/>
      <x:c r="M67" s="465"/>
      <x:c r="N67" s="465"/>
      <x:c r="O67" s="465"/>
      <x:c r="P67" s="465"/>
      <x:c r="Q67" s="465"/>
      <x:c r="R67" s="465"/>
      <x:c r="S67" s="465"/>
      <x:c r="T67" s="465"/>
      <x:c r="U67" s="465"/>
      <x:c r="V67" s="465"/>
      <x:c r="W67" s="465"/>
      <x:c r="X67" s="465"/>
      <x:c r="Y67" s="465"/>
      <x:c r="Z67" s="465"/>
    </x:row>
    <x:row r="68">
      <x:c r="A68" s="465"/>
      <x:c r="B68" s="465"/>
      <x:c r="C68" s="465"/>
      <x:c r="D68" s="465"/>
      <x:c r="E68" s="465"/>
      <x:c r="F68" s="465"/>
      <x:c r="G68" s="465"/>
      <x:c r="H68" s="465"/>
      <x:c r="I68" s="465"/>
      <x:c r="J68" s="465"/>
      <x:c r="K68" s="465"/>
      <x:c r="L68" s="465"/>
      <x:c r="M68" s="465"/>
      <x:c r="N68" s="465"/>
      <x:c r="O68" s="465"/>
      <x:c r="P68" s="465"/>
      <x:c r="Q68" s="465"/>
      <x:c r="R68" s="465"/>
      <x:c r="S68" s="465"/>
      <x:c r="T68" s="465"/>
      <x:c r="U68" s="465"/>
      <x:c r="V68" s="465"/>
      <x:c r="W68" s="465"/>
      <x:c r="X68" s="465"/>
      <x:c r="Y68" s="465"/>
      <x:c r="Z68" s="465"/>
    </x:row>
    <x:row r="69">
      <x:c r="A69" s="465"/>
      <x:c r="B69" s="465"/>
      <x:c r="C69" s="465"/>
      <x:c r="D69" s="465"/>
      <x:c r="E69" s="465"/>
      <x:c r="F69" s="465"/>
      <x:c r="G69" s="465"/>
      <x:c r="H69" s="465"/>
      <x:c r="I69" s="465"/>
      <x:c r="J69" s="465"/>
      <x:c r="K69" s="465"/>
      <x:c r="L69" s="465"/>
      <x:c r="M69" s="465"/>
      <x:c r="N69" s="465"/>
      <x:c r="O69" s="465"/>
      <x:c r="P69" s="465"/>
      <x:c r="Q69" s="465"/>
      <x:c r="R69" s="465"/>
      <x:c r="S69" s="465"/>
      <x:c r="T69" s="465"/>
      <x:c r="U69" s="465"/>
      <x:c r="V69" s="465"/>
      <x:c r="W69" s="465"/>
      <x:c r="X69" s="465"/>
      <x:c r="Y69" s="465"/>
      <x:c r="Z69" s="465"/>
    </x:row>
    <x:row r="70">
      <x:c r="A70" s="465"/>
      <x:c r="B70" s="465"/>
      <x:c r="C70" s="465"/>
      <x:c r="D70" s="465"/>
      <x:c r="E70" s="465"/>
      <x:c r="F70" s="465"/>
      <x:c r="G70" s="465"/>
      <x:c r="H70" s="465"/>
      <x:c r="I70" s="465"/>
      <x:c r="J70" s="465"/>
      <x:c r="K70" s="465"/>
      <x:c r="L70" s="465"/>
      <x:c r="M70" s="465"/>
      <x:c r="N70" s="465"/>
      <x:c r="O70" s="465"/>
      <x:c r="P70" s="465"/>
      <x:c r="Q70" s="465"/>
      <x:c r="R70" s="465"/>
      <x:c r="S70" s="465"/>
      <x:c r="T70" s="465"/>
      <x:c r="U70" s="465"/>
      <x:c r="V70" s="465"/>
      <x:c r="W70" s="465"/>
      <x:c r="X70" s="465"/>
      <x:c r="Y70" s="465"/>
      <x:c r="Z70" s="465"/>
    </x:row>
    <x:row r="71">
      <x:c r="A71" s="465"/>
      <x:c r="B71" s="465"/>
      <x:c r="C71" s="465"/>
      <x:c r="D71" s="465"/>
      <x:c r="E71" s="465"/>
      <x:c r="F71" s="465"/>
      <x:c r="G71" s="465"/>
      <x:c r="H71" s="465"/>
      <x:c r="I71" s="465"/>
      <x:c r="J71" s="465"/>
      <x:c r="K71" s="465"/>
      <x:c r="L71" s="465"/>
      <x:c r="M71" s="465"/>
      <x:c r="N71" s="465"/>
      <x:c r="O71" s="465"/>
      <x:c r="P71" s="465"/>
      <x:c r="Q71" s="465"/>
      <x:c r="R71" s="465"/>
      <x:c r="S71" s="465"/>
      <x:c r="T71" s="465"/>
      <x:c r="U71" s="465"/>
      <x:c r="V71" s="465"/>
      <x:c r="W71" s="465"/>
      <x:c r="X71" s="465"/>
      <x:c r="Y71" s="465"/>
      <x:c r="Z71" s="465"/>
    </x:row>
    <x:row r="72">
      <x:c r="A72" s="465"/>
      <x:c r="B72" s="465"/>
      <x:c r="C72" s="465"/>
      <x:c r="D72" s="465"/>
      <x:c r="E72" s="465"/>
      <x:c r="F72" s="465"/>
      <x:c r="G72" s="465"/>
      <x:c r="H72" s="465"/>
      <x:c r="I72" s="465"/>
      <x:c r="J72" s="465"/>
      <x:c r="K72" s="465"/>
      <x:c r="L72" s="465"/>
      <x:c r="M72" s="465"/>
      <x:c r="N72" s="465"/>
      <x:c r="O72" s="465"/>
      <x:c r="P72" s="465"/>
      <x:c r="Q72" s="465"/>
      <x:c r="R72" s="465"/>
      <x:c r="S72" s="465"/>
      <x:c r="T72" s="465"/>
      <x:c r="U72" s="465"/>
      <x:c r="V72" s="465"/>
      <x:c r="W72" s="465"/>
      <x:c r="X72" s="465"/>
      <x:c r="Y72" s="465"/>
      <x:c r="Z72" s="465"/>
    </x:row>
    <x:row r="73">
      <x:c r="A73" s="465"/>
      <x:c r="B73" s="465"/>
      <x:c r="C73" s="465"/>
      <x:c r="D73" s="465"/>
      <x:c r="E73" s="465"/>
      <x:c r="F73" s="465"/>
      <x:c r="G73" s="465"/>
      <x:c r="H73" s="465"/>
      <x:c r="I73" s="465"/>
      <x:c r="J73" s="465"/>
      <x:c r="K73" s="465"/>
      <x:c r="L73" s="465"/>
      <x:c r="M73" s="465"/>
      <x:c r="N73" s="465"/>
      <x:c r="O73" s="465"/>
      <x:c r="P73" s="465"/>
      <x:c r="Q73" s="465"/>
      <x:c r="R73" s="465"/>
      <x:c r="S73" s="465"/>
      <x:c r="T73" s="465"/>
      <x:c r="U73" s="465"/>
      <x:c r="V73" s="465"/>
      <x:c r="W73" s="465"/>
      <x:c r="X73" s="465"/>
      <x:c r="Y73" s="465"/>
      <x:c r="Z73" s="465"/>
    </x:row>
    <x:row r="74">
      <x:c r="A74" s="465"/>
      <x:c r="B74" s="465"/>
      <x:c r="C74" s="465"/>
      <x:c r="D74" s="465"/>
      <x:c r="E74" s="465"/>
      <x:c r="F74" s="465"/>
      <x:c r="G74" s="465"/>
      <x:c r="H74" s="465"/>
      <x:c r="I74" s="465"/>
      <x:c r="J74" s="465"/>
      <x:c r="K74" s="465"/>
      <x:c r="L74" s="465"/>
      <x:c r="M74" s="465"/>
      <x:c r="N74" s="465"/>
      <x:c r="O74" s="465"/>
      <x:c r="P74" s="465"/>
      <x:c r="Q74" s="465"/>
      <x:c r="R74" s="465"/>
      <x:c r="S74" s="465"/>
      <x:c r="T74" s="465"/>
      <x:c r="U74" s="465"/>
      <x:c r="V74" s="465"/>
      <x:c r="W74" s="465"/>
      <x:c r="X74" s="465"/>
      <x:c r="Y74" s="465"/>
      <x:c r="Z74" s="465"/>
    </x:row>
    <x:row r="75">
      <x:c r="A75" s="465"/>
      <x:c r="B75" s="465"/>
      <x:c r="C75" s="465"/>
      <x:c r="D75" s="465"/>
      <x:c r="E75" s="465"/>
      <x:c r="F75" s="465"/>
      <x:c r="G75" s="465"/>
      <x:c r="H75" s="465"/>
      <x:c r="I75" s="465"/>
      <x:c r="J75" s="465"/>
      <x:c r="K75" s="465"/>
      <x:c r="L75" s="465"/>
      <x:c r="M75" s="465"/>
      <x:c r="N75" s="465"/>
      <x:c r="O75" s="465"/>
      <x:c r="P75" s="465"/>
      <x:c r="Q75" s="465"/>
      <x:c r="R75" s="465"/>
      <x:c r="S75" s="465"/>
      <x:c r="T75" s="465"/>
      <x:c r="U75" s="465"/>
      <x:c r="V75" s="465"/>
      <x:c r="W75" s="465"/>
      <x:c r="X75" s="465"/>
      <x:c r="Y75" s="465"/>
      <x:c r="Z75" s="465"/>
    </x:row>
    <x:row r="76">
      <x:c r="A76" s="465"/>
      <x:c r="B76" s="465"/>
      <x:c r="C76" s="465"/>
      <x:c r="D76" s="465"/>
      <x:c r="E76" s="465"/>
      <x:c r="F76" s="465"/>
      <x:c r="G76" s="465"/>
      <x:c r="H76" s="465"/>
      <x:c r="I76" s="465"/>
      <x:c r="J76" s="465"/>
      <x:c r="K76" s="465"/>
      <x:c r="L76" s="465"/>
      <x:c r="M76" s="465"/>
      <x:c r="N76" s="465"/>
      <x:c r="O76" s="465"/>
      <x:c r="P76" s="465"/>
      <x:c r="Q76" s="465"/>
      <x:c r="R76" s="465"/>
      <x:c r="S76" s="465"/>
      <x:c r="T76" s="465"/>
      <x:c r="U76" s="465"/>
      <x:c r="V76" s="465"/>
      <x:c r="W76" s="465"/>
      <x:c r="X76" s="465"/>
      <x:c r="Y76" s="465"/>
      <x:c r="Z76" s="465"/>
    </x:row>
    <x:row r="77">
      <x:c r="A77" s="465"/>
      <x:c r="B77" s="465"/>
      <x:c r="C77" s="465"/>
      <x:c r="D77" s="465"/>
      <x:c r="E77" s="465"/>
      <x:c r="F77" s="465"/>
      <x:c r="G77" s="465"/>
      <x:c r="H77" s="465"/>
      <x:c r="I77" s="465"/>
      <x:c r="J77" s="465"/>
      <x:c r="K77" s="465"/>
      <x:c r="L77" s="465"/>
      <x:c r="M77" s="465"/>
      <x:c r="N77" s="465"/>
      <x:c r="O77" s="465"/>
      <x:c r="P77" s="465"/>
      <x:c r="Q77" s="465"/>
      <x:c r="R77" s="465"/>
      <x:c r="S77" s="465"/>
      <x:c r="T77" s="465"/>
      <x:c r="U77" s="465"/>
      <x:c r="V77" s="465"/>
      <x:c r="W77" s="465"/>
      <x:c r="X77" s="465"/>
      <x:c r="Y77" s="465"/>
      <x:c r="Z77" s="465"/>
    </x:row>
    <x:row r="78">
      <x:c r="A78" s="465"/>
      <x:c r="B78" s="465"/>
      <x:c r="C78" s="465"/>
      <x:c r="D78" s="465"/>
      <x:c r="E78" s="465"/>
      <x:c r="F78" s="465"/>
      <x:c r="G78" s="465"/>
      <x:c r="H78" s="465"/>
      <x:c r="I78" s="465"/>
      <x:c r="J78" s="465"/>
      <x:c r="K78" s="465"/>
      <x:c r="L78" s="465"/>
      <x:c r="M78" s="465"/>
      <x:c r="N78" s="465"/>
      <x:c r="O78" s="465"/>
      <x:c r="P78" s="465"/>
      <x:c r="Q78" s="465"/>
      <x:c r="R78" s="465"/>
      <x:c r="S78" s="465"/>
      <x:c r="T78" s="465"/>
      <x:c r="U78" s="465"/>
      <x:c r="V78" s="465"/>
      <x:c r="W78" s="465"/>
      <x:c r="X78" s="465"/>
      <x:c r="Y78" s="465"/>
      <x:c r="Z78" s="465"/>
    </x:row>
    <x:row r="79">
      <x:c r="A79" s="465"/>
      <x:c r="B79" s="465"/>
      <x:c r="C79" s="465"/>
      <x:c r="D79" s="465"/>
      <x:c r="E79" s="465"/>
      <x:c r="F79" s="465"/>
      <x:c r="G79" s="465"/>
      <x:c r="H79" s="465"/>
      <x:c r="I79" s="465"/>
      <x:c r="J79" s="465"/>
      <x:c r="K79" s="465"/>
      <x:c r="L79" s="465"/>
      <x:c r="M79" s="465"/>
      <x:c r="N79" s="465"/>
      <x:c r="O79" s="465"/>
      <x:c r="P79" s="465"/>
      <x:c r="Q79" s="465"/>
      <x:c r="R79" s="465"/>
      <x:c r="S79" s="465"/>
      <x:c r="T79" s="465"/>
      <x:c r="U79" s="465"/>
      <x:c r="V79" s="465"/>
      <x:c r="W79" s="465"/>
      <x:c r="X79" s="465"/>
      <x:c r="Y79" s="465"/>
      <x:c r="Z79" s="465"/>
    </x:row>
    <x:row r="80">
      <x:c r="A80" s="465"/>
      <x:c r="B80" s="465"/>
      <x:c r="C80" s="465"/>
      <x:c r="D80" s="465"/>
      <x:c r="E80" s="465"/>
      <x:c r="F80" s="465"/>
      <x:c r="G80" s="465"/>
      <x:c r="H80" s="465"/>
      <x:c r="I80" s="465"/>
      <x:c r="J80" s="465"/>
      <x:c r="K80" s="465"/>
      <x:c r="L80" s="465"/>
      <x:c r="M80" s="465"/>
      <x:c r="N80" s="465"/>
      <x:c r="O80" s="465"/>
      <x:c r="P80" s="465"/>
      <x:c r="Q80" s="465"/>
      <x:c r="R80" s="465"/>
      <x:c r="S80" s="465"/>
      <x:c r="T80" s="465"/>
      <x:c r="U80" s="465"/>
      <x:c r="V80" s="465"/>
      <x:c r="W80" s="465"/>
      <x:c r="X80" s="465"/>
      <x:c r="Y80" s="465"/>
      <x:c r="Z80" s="465"/>
    </x:row>
    <x:row r="81">
      <x:c r="A81" s="465"/>
      <x:c r="B81" s="465"/>
      <x:c r="C81" s="465"/>
      <x:c r="D81" s="465"/>
      <x:c r="E81" s="465"/>
      <x:c r="F81" s="465"/>
      <x:c r="G81" s="465"/>
      <x:c r="H81" s="465"/>
      <x:c r="I81" s="465"/>
      <x:c r="J81" s="465"/>
      <x:c r="K81" s="465"/>
      <x:c r="L81" s="465"/>
      <x:c r="M81" s="465"/>
      <x:c r="N81" s="465"/>
      <x:c r="O81" s="465"/>
      <x:c r="P81" s="465"/>
      <x:c r="Q81" s="465"/>
      <x:c r="R81" s="465"/>
      <x:c r="S81" s="465"/>
      <x:c r="T81" s="465"/>
      <x:c r="U81" s="465"/>
      <x:c r="V81" s="465"/>
      <x:c r="W81" s="465"/>
      <x:c r="X81" s="465"/>
      <x:c r="Y81" s="465"/>
      <x:c r="Z81" s="465"/>
    </x:row>
    <x:row r="82">
      <x:c r="A82" s="465"/>
      <x:c r="B82" s="465"/>
      <x:c r="C82" s="465"/>
      <x:c r="D82" s="465"/>
      <x:c r="E82" s="465"/>
      <x:c r="F82" s="465"/>
      <x:c r="G82" s="465"/>
      <x:c r="H82" s="465"/>
      <x:c r="I82" s="465"/>
      <x:c r="J82" s="465"/>
      <x:c r="K82" s="465"/>
      <x:c r="L82" s="465"/>
      <x:c r="M82" s="465"/>
      <x:c r="N82" s="465"/>
      <x:c r="O82" s="465"/>
      <x:c r="P82" s="465"/>
      <x:c r="Q82" s="465"/>
      <x:c r="R82" s="465"/>
      <x:c r="S82" s="465"/>
      <x:c r="T82" s="465"/>
      <x:c r="U82" s="465"/>
      <x:c r="V82" s="465"/>
      <x:c r="W82" s="465"/>
      <x:c r="X82" s="465"/>
      <x:c r="Y82" s="465"/>
      <x:c r="Z82" s="465"/>
    </x:row>
    <x:row r="83">
      <x:c r="A83" s="465"/>
      <x:c r="B83" s="465"/>
      <x:c r="C83" s="465"/>
      <x:c r="D83" s="465"/>
      <x:c r="E83" s="465"/>
      <x:c r="F83" s="465"/>
      <x:c r="G83" s="465"/>
      <x:c r="H83" s="465"/>
      <x:c r="I83" s="465"/>
      <x:c r="J83" s="465"/>
      <x:c r="K83" s="465"/>
      <x:c r="L83" s="465"/>
      <x:c r="M83" s="465"/>
      <x:c r="N83" s="465"/>
      <x:c r="O83" s="465"/>
      <x:c r="P83" s="465"/>
      <x:c r="Q83" s="465"/>
      <x:c r="R83" s="465"/>
      <x:c r="S83" s="465"/>
      <x:c r="T83" s="465"/>
      <x:c r="U83" s="465"/>
      <x:c r="V83" s="465"/>
      <x:c r="W83" s="465"/>
      <x:c r="X83" s="465"/>
      <x:c r="Y83" s="465"/>
      <x:c r="Z83" s="465"/>
    </x:row>
    <x:row r="84">
      <x:c r="A84" s="465"/>
      <x:c r="B84" s="465"/>
      <x:c r="C84" s="465"/>
      <x:c r="D84" s="465"/>
      <x:c r="E84" s="465"/>
      <x:c r="F84" s="465"/>
      <x:c r="G84" s="465"/>
      <x:c r="H84" s="465"/>
      <x:c r="I84" s="465"/>
      <x:c r="J84" s="465"/>
      <x:c r="K84" s="465"/>
      <x:c r="L84" s="465"/>
      <x:c r="M84" s="465"/>
      <x:c r="N84" s="465"/>
      <x:c r="O84" s="465"/>
      <x:c r="P84" s="465"/>
      <x:c r="Q84" s="465"/>
      <x:c r="R84" s="465"/>
      <x:c r="S84" s="465"/>
      <x:c r="T84" s="465"/>
      <x:c r="U84" s="465"/>
      <x:c r="V84" s="465"/>
      <x:c r="W84" s="465"/>
      <x:c r="X84" s="465"/>
      <x:c r="Y84" s="465"/>
      <x:c r="Z84" s="465"/>
    </x:row>
    <x:row r="85">
      <x:c r="A85" s="465"/>
      <x:c r="B85" s="465"/>
      <x:c r="C85" s="465"/>
      <x:c r="D85" s="465"/>
      <x:c r="E85" s="465"/>
      <x:c r="F85" s="465"/>
      <x:c r="G85" s="465"/>
      <x:c r="H85" s="465"/>
      <x:c r="I85" s="465"/>
      <x:c r="J85" s="465"/>
      <x:c r="K85" s="465"/>
      <x:c r="L85" s="465"/>
      <x:c r="M85" s="465"/>
      <x:c r="N85" s="465"/>
      <x:c r="O85" s="465"/>
      <x:c r="P85" s="465"/>
      <x:c r="Q85" s="465"/>
      <x:c r="R85" s="465"/>
      <x:c r="S85" s="465"/>
      <x:c r="T85" s="465"/>
      <x:c r="U85" s="465"/>
      <x:c r="V85" s="465"/>
      <x:c r="W85" s="465"/>
      <x:c r="X85" s="465"/>
      <x:c r="Y85" s="465"/>
      <x:c r="Z85" s="465"/>
    </x:row>
    <x:row r="86">
      <x:c r="A86" s="465"/>
      <x:c r="B86" s="465"/>
      <x:c r="C86" s="465"/>
      <x:c r="D86" s="465"/>
      <x:c r="E86" s="465"/>
      <x:c r="F86" s="465"/>
      <x:c r="G86" s="465"/>
      <x:c r="H86" s="465"/>
      <x:c r="I86" s="465"/>
      <x:c r="J86" s="465"/>
      <x:c r="K86" s="465"/>
      <x:c r="L86" s="465"/>
      <x:c r="M86" s="465"/>
      <x:c r="N86" s="465"/>
      <x:c r="O86" s="465"/>
      <x:c r="P86" s="465"/>
      <x:c r="Q86" s="465"/>
      <x:c r="R86" s="465"/>
      <x:c r="S86" s="465"/>
      <x:c r="T86" s="465"/>
      <x:c r="U86" s="465"/>
      <x:c r="V86" s="465"/>
      <x:c r="W86" s="465"/>
      <x:c r="X86" s="465"/>
      <x:c r="Y86" s="465"/>
      <x:c r="Z86" s="465"/>
    </x:row>
    <x:row r="87">
      <x:c r="A87" s="465"/>
      <x:c r="B87" s="465"/>
      <x:c r="C87" s="465"/>
      <x:c r="D87" s="465"/>
      <x:c r="E87" s="465"/>
      <x:c r="F87" s="465"/>
      <x:c r="G87" s="465"/>
      <x:c r="H87" s="465"/>
      <x:c r="I87" s="465"/>
      <x:c r="J87" s="465"/>
      <x:c r="K87" s="465"/>
      <x:c r="L87" s="465"/>
      <x:c r="M87" s="465"/>
      <x:c r="N87" s="465"/>
      <x:c r="O87" s="465"/>
      <x:c r="P87" s="465"/>
      <x:c r="Q87" s="465"/>
      <x:c r="R87" s="465"/>
      <x:c r="S87" s="465"/>
      <x:c r="T87" s="465"/>
      <x:c r="U87" s="465"/>
      <x:c r="V87" s="465"/>
      <x:c r="W87" s="465"/>
      <x:c r="X87" s="465"/>
      <x:c r="Y87" s="465"/>
      <x:c r="Z87" s="465"/>
    </x:row>
    <x:row r="88">
      <x:c r="A88" s="465"/>
      <x:c r="B88" s="465"/>
      <x:c r="C88" s="465"/>
      <x:c r="D88" s="465"/>
      <x:c r="E88" s="465"/>
      <x:c r="F88" s="465"/>
      <x:c r="G88" s="465"/>
      <x:c r="H88" s="465"/>
      <x:c r="I88" s="465"/>
      <x:c r="J88" s="465"/>
      <x:c r="K88" s="465"/>
      <x:c r="L88" s="465"/>
      <x:c r="M88" s="465"/>
      <x:c r="N88" s="465"/>
      <x:c r="O88" s="465"/>
      <x:c r="P88" s="465"/>
      <x:c r="Q88" s="465"/>
      <x:c r="R88" s="465"/>
      <x:c r="S88" s="465"/>
      <x:c r="T88" s="465"/>
      <x:c r="U88" s="465"/>
      <x:c r="V88" s="465"/>
      <x:c r="W88" s="465"/>
      <x:c r="X88" s="465"/>
      <x:c r="Y88" s="465"/>
      <x:c r="Z88" s="465"/>
    </x:row>
    <x:row r="89">
      <x:c r="A89" s="465"/>
      <x:c r="B89" s="465"/>
      <x:c r="C89" s="465"/>
      <x:c r="D89" s="465"/>
      <x:c r="E89" s="465"/>
      <x:c r="F89" s="465"/>
      <x:c r="G89" s="465"/>
      <x:c r="H89" s="465"/>
      <x:c r="I89" s="465"/>
      <x:c r="J89" s="465"/>
      <x:c r="K89" s="465"/>
      <x:c r="L89" s="465"/>
      <x:c r="M89" s="465"/>
      <x:c r="N89" s="465"/>
      <x:c r="O89" s="465"/>
      <x:c r="P89" s="465"/>
      <x:c r="Q89" s="465"/>
      <x:c r="R89" s="465"/>
      <x:c r="S89" s="465"/>
      <x:c r="T89" s="465"/>
      <x:c r="U89" s="465"/>
      <x:c r="V89" s="465"/>
      <x:c r="W89" s="465"/>
      <x:c r="X89" s="465"/>
      <x:c r="Y89" s="465"/>
      <x:c r="Z89" s="465"/>
    </x:row>
    <x:row r="90">
      <x:c r="A90" s="465"/>
      <x:c r="B90" s="465"/>
      <x:c r="C90" s="465"/>
      <x:c r="D90" s="465"/>
      <x:c r="E90" s="465"/>
      <x:c r="F90" s="465"/>
      <x:c r="G90" s="465"/>
      <x:c r="H90" s="465"/>
      <x:c r="I90" s="465"/>
      <x:c r="J90" s="465"/>
      <x:c r="K90" s="465"/>
      <x:c r="L90" s="465"/>
      <x:c r="M90" s="465"/>
      <x:c r="N90" s="465"/>
      <x:c r="O90" s="465"/>
      <x:c r="P90" s="465"/>
      <x:c r="Q90" s="465"/>
      <x:c r="R90" s="465"/>
      <x:c r="S90" s="465"/>
      <x:c r="T90" s="465"/>
      <x:c r="U90" s="465"/>
      <x:c r="V90" s="465"/>
      <x:c r="W90" s="465"/>
      <x:c r="X90" s="465"/>
      <x:c r="Y90" s="465"/>
      <x:c r="Z90" s="465"/>
    </x:row>
    <x:row r="91">
      <x:c r="A91" s="465"/>
      <x:c r="B91" s="465"/>
      <x:c r="C91" s="465"/>
      <x:c r="D91" s="465"/>
      <x:c r="E91" s="465"/>
      <x:c r="F91" s="465"/>
      <x:c r="G91" s="465"/>
      <x:c r="H91" s="465"/>
      <x:c r="I91" s="465"/>
      <x:c r="J91" s="465"/>
      <x:c r="K91" s="465"/>
      <x:c r="L91" s="465"/>
      <x:c r="M91" s="465"/>
      <x:c r="N91" s="465"/>
      <x:c r="O91" s="465"/>
      <x:c r="P91" s="465"/>
      <x:c r="Q91" s="465"/>
      <x:c r="R91" s="465"/>
      <x:c r="S91" s="465"/>
      <x:c r="T91" s="465"/>
      <x:c r="U91" s="465"/>
      <x:c r="V91" s="465"/>
      <x:c r="W91" s="465"/>
      <x:c r="X91" s="465"/>
      <x:c r="Y91" s="465"/>
      <x:c r="Z91" s="465"/>
    </x:row>
    <x:row r="92">
      <x:c r="A92" s="465"/>
      <x:c r="B92" s="465"/>
      <x:c r="C92" s="465"/>
      <x:c r="D92" s="465"/>
      <x:c r="E92" s="465"/>
      <x:c r="F92" s="465"/>
      <x:c r="G92" s="465"/>
      <x:c r="H92" s="465"/>
      <x:c r="I92" s="465"/>
      <x:c r="J92" s="465"/>
      <x:c r="K92" s="465"/>
      <x:c r="L92" s="465"/>
      <x:c r="M92" s="465"/>
      <x:c r="N92" s="465"/>
      <x:c r="O92" s="465"/>
      <x:c r="P92" s="465"/>
      <x:c r="Q92" s="465"/>
      <x:c r="R92" s="465"/>
      <x:c r="S92" s="465"/>
      <x:c r="T92" s="465"/>
      <x:c r="U92" s="465"/>
      <x:c r="V92" s="465"/>
      <x:c r="W92" s="465"/>
      <x:c r="X92" s="465"/>
      <x:c r="Y92" s="465"/>
      <x:c r="Z92" s="465"/>
    </x:row>
    <x:row r="93">
      <x:c r="A93" s="465"/>
      <x:c r="B93" s="465"/>
      <x:c r="C93" s="465"/>
      <x:c r="D93" s="465"/>
      <x:c r="E93" s="465"/>
      <x:c r="F93" s="465"/>
      <x:c r="G93" s="465"/>
      <x:c r="H93" s="465"/>
      <x:c r="I93" s="465"/>
      <x:c r="J93" s="465"/>
      <x:c r="K93" s="465"/>
      <x:c r="L93" s="465"/>
      <x:c r="M93" s="465"/>
      <x:c r="N93" s="465"/>
      <x:c r="O93" s="465"/>
      <x:c r="P93" s="465"/>
      <x:c r="Q93" s="465"/>
      <x:c r="R93" s="465"/>
      <x:c r="S93" s="465"/>
      <x:c r="T93" s="465"/>
      <x:c r="U93" s="465"/>
      <x:c r="V93" s="465"/>
      <x:c r="W93" s="465"/>
      <x:c r="X93" s="465"/>
      <x:c r="Y93" s="465"/>
      <x:c r="Z93" s="465"/>
    </x:row>
    <x:row r="94">
      <x:c r="A94" s="465"/>
      <x:c r="B94" s="465"/>
      <x:c r="C94" s="465"/>
      <x:c r="D94" s="465"/>
      <x:c r="E94" s="465"/>
      <x:c r="F94" s="465"/>
      <x:c r="G94" s="465"/>
      <x:c r="H94" s="465"/>
      <x:c r="I94" s="465"/>
      <x:c r="J94" s="465"/>
      <x:c r="K94" s="465"/>
      <x:c r="L94" s="465"/>
      <x:c r="M94" s="465"/>
      <x:c r="N94" s="465"/>
      <x:c r="O94" s="465"/>
      <x:c r="P94" s="465"/>
      <x:c r="Q94" s="465"/>
      <x:c r="R94" s="465"/>
      <x:c r="S94" s="465"/>
      <x:c r="T94" s="465"/>
      <x:c r="U94" s="465"/>
      <x:c r="V94" s="465"/>
      <x:c r="W94" s="465"/>
      <x:c r="X94" s="465"/>
      <x:c r="Y94" s="465"/>
      <x:c r="Z94" s="465"/>
    </x:row>
    <x:row r="95">
      <x:c r="A95" s="465"/>
      <x:c r="B95" s="465"/>
      <x:c r="C95" s="465"/>
      <x:c r="D95" s="465"/>
      <x:c r="E95" s="465"/>
      <x:c r="F95" s="465"/>
      <x:c r="G95" s="465"/>
      <x:c r="H95" s="465"/>
      <x:c r="I95" s="465"/>
      <x:c r="J95" s="465"/>
      <x:c r="K95" s="465"/>
      <x:c r="L95" s="465"/>
      <x:c r="M95" s="465"/>
      <x:c r="N95" s="465"/>
      <x:c r="O95" s="465"/>
      <x:c r="P95" s="465"/>
      <x:c r="Q95" s="465"/>
      <x:c r="R95" s="465"/>
      <x:c r="S95" s="465"/>
      <x:c r="T95" s="465"/>
      <x:c r="U95" s="465"/>
      <x:c r="V95" s="465"/>
      <x:c r="W95" s="465"/>
      <x:c r="X95" s="465"/>
      <x:c r="Y95" s="465"/>
      <x:c r="Z95" s="465"/>
    </x:row>
    <x:row r="96">
      <x:c r="A96" s="465"/>
      <x:c r="B96" s="465"/>
      <x:c r="C96" s="465"/>
      <x:c r="D96" s="465"/>
      <x:c r="E96" s="465"/>
      <x:c r="F96" s="465"/>
      <x:c r="G96" s="465"/>
      <x:c r="H96" s="465"/>
      <x:c r="I96" s="465"/>
      <x:c r="J96" s="465"/>
      <x:c r="K96" s="465"/>
      <x:c r="L96" s="465"/>
      <x:c r="M96" s="465"/>
      <x:c r="N96" s="465"/>
      <x:c r="O96" s="465"/>
      <x:c r="P96" s="465"/>
      <x:c r="Q96" s="465"/>
      <x:c r="R96" s="465"/>
      <x:c r="S96" s="465"/>
      <x:c r="T96" s="465"/>
      <x:c r="U96" s="465"/>
      <x:c r="V96" s="465"/>
      <x:c r="W96" s="465"/>
      <x:c r="X96" s="465"/>
      <x:c r="Y96" s="465"/>
      <x:c r="Z96" s="465"/>
    </x:row>
    <x:row r="97">
      <x:c r="A97" s="465"/>
      <x:c r="B97" s="465"/>
      <x:c r="C97" s="465"/>
      <x:c r="D97" s="465"/>
      <x:c r="E97" s="465"/>
      <x:c r="F97" s="465"/>
      <x:c r="G97" s="465"/>
      <x:c r="H97" s="465"/>
      <x:c r="I97" s="465"/>
      <x:c r="J97" s="465"/>
      <x:c r="K97" s="465"/>
      <x:c r="L97" s="465"/>
      <x:c r="M97" s="465"/>
      <x:c r="N97" s="465"/>
      <x:c r="O97" s="465"/>
      <x:c r="P97" s="465"/>
      <x:c r="Q97" s="465"/>
      <x:c r="R97" s="465"/>
      <x:c r="S97" s="465"/>
      <x:c r="T97" s="465"/>
      <x:c r="U97" s="465"/>
      <x:c r="V97" s="465"/>
      <x:c r="W97" s="465"/>
      <x:c r="X97" s="465"/>
      <x:c r="Y97" s="465"/>
      <x:c r="Z97" s="465"/>
    </x:row>
    <x:row r="98">
      <x:c r="A98" s="465"/>
      <x:c r="B98" s="465"/>
      <x:c r="C98" s="465"/>
      <x:c r="D98" s="465"/>
      <x:c r="E98" s="465"/>
      <x:c r="F98" s="465"/>
      <x:c r="G98" s="465"/>
      <x:c r="H98" s="465"/>
      <x:c r="I98" s="465"/>
      <x:c r="J98" s="465"/>
      <x:c r="K98" s="465"/>
      <x:c r="L98" s="465"/>
      <x:c r="M98" s="465"/>
      <x:c r="N98" s="465"/>
      <x:c r="O98" s="465"/>
      <x:c r="P98" s="465"/>
      <x:c r="Q98" s="465"/>
      <x:c r="R98" s="465"/>
      <x:c r="S98" s="465"/>
      <x:c r="T98" s="465"/>
      <x:c r="U98" s="465"/>
      <x:c r="V98" s="465"/>
      <x:c r="W98" s="465"/>
      <x:c r="X98" s="465"/>
      <x:c r="Y98" s="465"/>
      <x:c r="Z98" s="465"/>
    </x:row>
    <x:row r="99">
      <x:c r="A99" s="465"/>
      <x:c r="B99" s="465"/>
      <x:c r="C99" s="465"/>
      <x:c r="D99" s="465"/>
      <x:c r="E99" s="465"/>
      <x:c r="F99" s="465"/>
      <x:c r="G99" s="465"/>
      <x:c r="H99" s="465"/>
      <x:c r="I99" s="465"/>
      <x:c r="J99" s="465"/>
      <x:c r="K99" s="465"/>
      <x:c r="L99" s="465"/>
      <x:c r="M99" s="465"/>
      <x:c r="N99" s="465"/>
      <x:c r="O99" s="465"/>
      <x:c r="P99" s="465"/>
      <x:c r="Q99" s="465"/>
      <x:c r="R99" s="465"/>
      <x:c r="S99" s="465"/>
      <x:c r="T99" s="465"/>
      <x:c r="U99" s="465"/>
      <x:c r="V99" s="465"/>
      <x:c r="W99" s="465"/>
      <x:c r="X99" s="465"/>
      <x:c r="Y99" s="465"/>
      <x:c r="Z99" s="465"/>
    </x:row>
    <x:row r="100">
      <x:c r="A100" s="465"/>
      <x:c r="B100" s="465"/>
      <x:c r="C100" s="465"/>
      <x:c r="D100" s="465"/>
      <x:c r="E100" s="465"/>
      <x:c r="F100" s="465"/>
      <x:c r="G100" s="465"/>
      <x:c r="H100" s="465"/>
      <x:c r="I100" s="465"/>
      <x:c r="J100" s="465"/>
      <x:c r="K100" s="465"/>
      <x:c r="L100" s="465"/>
      <x:c r="M100" s="465"/>
      <x:c r="N100" s="465"/>
      <x:c r="O100" s="465"/>
      <x:c r="P100" s="465"/>
      <x:c r="Q100" s="465"/>
      <x:c r="R100" s="465"/>
      <x:c r="S100" s="465"/>
      <x:c r="T100" s="465"/>
      <x:c r="U100" s="465"/>
      <x:c r="V100" s="465"/>
      <x:c r="W100" s="465"/>
      <x:c r="X100" s="465"/>
      <x:c r="Y100" s="465"/>
      <x:c r="Z100" s="465"/>
    </x:row>
    <x:row r="101">
      <x:c r="A101" s="465"/>
      <x:c r="B101" s="465"/>
      <x:c r="C101" s="465"/>
      <x:c r="D101" s="465"/>
      <x:c r="E101" s="465"/>
      <x:c r="F101" s="465"/>
      <x:c r="G101" s="465"/>
      <x:c r="H101" s="465"/>
      <x:c r="I101" s="465"/>
      <x:c r="J101" s="465"/>
      <x:c r="K101" s="465"/>
      <x:c r="L101" s="465"/>
      <x:c r="M101" s="465"/>
      <x:c r="N101" s="465"/>
      <x:c r="O101" s="465"/>
      <x:c r="P101" s="465"/>
      <x:c r="Q101" s="465"/>
      <x:c r="R101" s="465"/>
      <x:c r="S101" s="465"/>
      <x:c r="T101" s="465"/>
      <x:c r="U101" s="465"/>
      <x:c r="V101" s="465"/>
      <x:c r="W101" s="465"/>
      <x:c r="X101" s="465"/>
      <x:c r="Y101" s="465"/>
      <x:c r="Z101" s="465"/>
    </x:row>
    <x:row r="102">
      <x:c r="A102" s="465"/>
      <x:c r="B102" s="465"/>
      <x:c r="C102" s="465"/>
      <x:c r="D102" s="465"/>
      <x:c r="E102" s="465"/>
      <x:c r="F102" s="465"/>
      <x:c r="G102" s="465"/>
      <x:c r="H102" s="465"/>
      <x:c r="I102" s="465"/>
      <x:c r="J102" s="465"/>
      <x:c r="K102" s="465"/>
      <x:c r="L102" s="465"/>
      <x:c r="M102" s="465"/>
      <x:c r="N102" s="465"/>
      <x:c r="O102" s="465"/>
      <x:c r="P102" s="465"/>
      <x:c r="Q102" s="465"/>
      <x:c r="R102" s="465"/>
      <x:c r="S102" s="465"/>
      <x:c r="T102" s="465"/>
      <x:c r="U102" s="465"/>
      <x:c r="V102" s="465"/>
      <x:c r="W102" s="465"/>
      <x:c r="X102" s="465"/>
      <x:c r="Y102" s="465"/>
      <x:c r="Z102" s="465"/>
    </x:row>
    <x:row r="103">
      <x:c r="A103" s="465"/>
      <x:c r="B103" s="465"/>
      <x:c r="C103" s="465"/>
      <x:c r="D103" s="465"/>
      <x:c r="E103" s="465"/>
      <x:c r="F103" s="465"/>
      <x:c r="G103" s="465"/>
      <x:c r="H103" s="465"/>
      <x:c r="I103" s="465"/>
      <x:c r="J103" s="465"/>
      <x:c r="K103" s="465"/>
      <x:c r="L103" s="465"/>
      <x:c r="M103" s="465"/>
      <x:c r="N103" s="465"/>
      <x:c r="O103" s="465"/>
      <x:c r="P103" s="465"/>
      <x:c r="Q103" s="465"/>
      <x:c r="R103" s="465"/>
      <x:c r="S103" s="465"/>
      <x:c r="T103" s="465"/>
      <x:c r="U103" s="465"/>
      <x:c r="V103" s="465"/>
      <x:c r="W103" s="465"/>
      <x:c r="X103" s="465"/>
      <x:c r="Y103" s="465"/>
      <x:c r="Z103" s="465"/>
    </x:row>
    <x:row r="104">
      <x:c r="A104" s="465"/>
      <x:c r="B104" s="465"/>
      <x:c r="C104" s="465"/>
      <x:c r="D104" s="465"/>
      <x:c r="E104" s="465"/>
      <x:c r="F104" s="465"/>
      <x:c r="G104" s="465"/>
      <x:c r="H104" s="465"/>
      <x:c r="I104" s="465"/>
      <x:c r="J104" s="465"/>
      <x:c r="K104" s="465"/>
      <x:c r="L104" s="465"/>
      <x:c r="M104" s="465"/>
      <x:c r="N104" s="465"/>
      <x:c r="O104" s="465"/>
      <x:c r="P104" s="465"/>
      <x:c r="Q104" s="465"/>
      <x:c r="R104" s="465"/>
      <x:c r="S104" s="465"/>
      <x:c r="T104" s="465"/>
      <x:c r="U104" s="465"/>
      <x:c r="V104" s="465"/>
      <x:c r="W104" s="465"/>
      <x:c r="X104" s="465"/>
      <x:c r="Y104" s="465"/>
      <x:c r="Z104" s="465"/>
    </x:row>
    <x:row r="105">
      <x:c r="A105" s="465"/>
      <x:c r="B105" s="465"/>
      <x:c r="C105" s="465"/>
      <x:c r="D105" s="465"/>
      <x:c r="E105" s="465"/>
      <x:c r="F105" s="465"/>
      <x:c r="G105" s="465"/>
      <x:c r="H105" s="465"/>
      <x:c r="I105" s="465"/>
      <x:c r="J105" s="465"/>
      <x:c r="K105" s="465"/>
      <x:c r="L105" s="465"/>
      <x:c r="M105" s="465"/>
      <x:c r="N105" s="465"/>
      <x:c r="O105" s="465"/>
      <x:c r="P105" s="465"/>
      <x:c r="Q105" s="465"/>
      <x:c r="R105" s="465"/>
      <x:c r="S105" s="465"/>
      <x:c r="T105" s="465"/>
      <x:c r="U105" s="465"/>
      <x:c r="V105" s="465"/>
      <x:c r="W105" s="465"/>
      <x:c r="X105" s="465"/>
      <x:c r="Y105" s="465"/>
      <x:c r="Z105" s="465"/>
    </x:row>
    <x:row r="106">
      <x:c r="A106" s="465"/>
      <x:c r="B106" s="465"/>
      <x:c r="C106" s="465"/>
      <x:c r="D106" s="465"/>
      <x:c r="E106" s="465"/>
      <x:c r="F106" s="465"/>
      <x:c r="G106" s="465"/>
      <x:c r="H106" s="465"/>
      <x:c r="I106" s="465"/>
      <x:c r="J106" s="465"/>
      <x:c r="K106" s="465"/>
      <x:c r="L106" s="465"/>
      <x:c r="M106" s="465"/>
      <x:c r="N106" s="465"/>
      <x:c r="O106" s="465"/>
      <x:c r="P106" s="465"/>
      <x:c r="Q106" s="465"/>
      <x:c r="R106" s="465"/>
      <x:c r="S106" s="465"/>
      <x:c r="T106" s="465"/>
      <x:c r="U106" s="465"/>
      <x:c r="V106" s="465"/>
      <x:c r="W106" s="465"/>
      <x:c r="X106" s="465"/>
      <x:c r="Y106" s="465"/>
      <x:c r="Z106" s="465"/>
    </x:row>
    <x:row r="107">
      <x:c r="A107" s="465"/>
      <x:c r="B107" s="465"/>
      <x:c r="C107" s="465"/>
      <x:c r="D107" s="465"/>
      <x:c r="E107" s="465"/>
      <x:c r="F107" s="465"/>
      <x:c r="G107" s="465"/>
      <x:c r="H107" s="465"/>
      <x:c r="I107" s="465"/>
      <x:c r="J107" s="465"/>
      <x:c r="K107" s="465"/>
      <x:c r="L107" s="465"/>
      <x:c r="M107" s="465"/>
      <x:c r="N107" s="465"/>
      <x:c r="O107" s="465"/>
      <x:c r="P107" s="465"/>
      <x:c r="Q107" s="465"/>
      <x:c r="R107" s="465"/>
      <x:c r="S107" s="465"/>
      <x:c r="T107" s="465"/>
      <x:c r="U107" s="465"/>
      <x:c r="V107" s="465"/>
      <x:c r="W107" s="465"/>
      <x:c r="X107" s="465"/>
      <x:c r="Y107" s="465"/>
      <x:c r="Z107" s="465"/>
    </x:row>
    <x:row r="108">
      <x:c r="A108" s="465"/>
      <x:c r="B108" s="465"/>
      <x:c r="C108" s="465"/>
      <x:c r="D108" s="465"/>
      <x:c r="E108" s="465"/>
      <x:c r="F108" s="465"/>
      <x:c r="G108" s="465"/>
      <x:c r="H108" s="465"/>
      <x:c r="I108" s="465"/>
      <x:c r="J108" s="465"/>
      <x:c r="K108" s="465"/>
      <x:c r="L108" s="465"/>
      <x:c r="M108" s="465"/>
      <x:c r="N108" s="465"/>
      <x:c r="O108" s="465"/>
      <x:c r="P108" s="465"/>
      <x:c r="Q108" s="465"/>
      <x:c r="R108" s="465"/>
      <x:c r="S108" s="465"/>
      <x:c r="T108" s="465"/>
      <x:c r="U108" s="465"/>
      <x:c r="V108" s="465"/>
      <x:c r="W108" s="465"/>
      <x:c r="X108" s="465"/>
      <x:c r="Y108" s="465"/>
      <x:c r="Z108" s="465"/>
    </x:row>
    <x:row r="109">
      <x:c r="A109" s="465"/>
      <x:c r="B109" s="465"/>
      <x:c r="C109" s="465"/>
      <x:c r="D109" s="465"/>
      <x:c r="E109" s="465"/>
      <x:c r="F109" s="465"/>
      <x:c r="G109" s="465"/>
      <x:c r="H109" s="465"/>
      <x:c r="I109" s="465"/>
      <x:c r="J109" s="465"/>
      <x:c r="K109" s="465"/>
      <x:c r="L109" s="465"/>
      <x:c r="M109" s="465"/>
      <x:c r="N109" s="465"/>
      <x:c r="O109" s="465"/>
      <x:c r="P109" s="465"/>
      <x:c r="Q109" s="465"/>
      <x:c r="R109" s="465"/>
      <x:c r="S109" s="465"/>
      <x:c r="T109" s="465"/>
      <x:c r="U109" s="465"/>
      <x:c r="V109" s="465"/>
      <x:c r="W109" s="465"/>
      <x:c r="X109" s="465"/>
      <x:c r="Y109" s="465"/>
      <x:c r="Z109" s="465"/>
    </x:row>
    <x:row r="110">
      <x:c r="A110" s="465"/>
      <x:c r="B110" s="465"/>
      <x:c r="C110" s="465"/>
      <x:c r="D110" s="465"/>
      <x:c r="E110" s="465"/>
      <x:c r="F110" s="465"/>
      <x:c r="G110" s="465"/>
      <x:c r="H110" s="465"/>
      <x:c r="I110" s="465"/>
      <x:c r="J110" s="465"/>
      <x:c r="K110" s="465"/>
      <x:c r="L110" s="465"/>
      <x:c r="M110" s="465"/>
      <x:c r="N110" s="465"/>
      <x:c r="O110" s="465"/>
      <x:c r="P110" s="465"/>
      <x:c r="Q110" s="465"/>
      <x:c r="R110" s="465"/>
      <x:c r="S110" s="465"/>
      <x:c r="T110" s="465"/>
      <x:c r="U110" s="465"/>
      <x:c r="V110" s="465"/>
      <x:c r="W110" s="465"/>
      <x:c r="X110" s="465"/>
      <x:c r="Y110" s="465"/>
      <x:c r="Z110" s="465"/>
    </x:row>
    <x:row r="111">
      <x:c r="A111" s="465"/>
      <x:c r="B111" s="465"/>
      <x:c r="C111" s="465"/>
      <x:c r="D111" s="465"/>
      <x:c r="E111" s="465"/>
      <x:c r="F111" s="465"/>
      <x:c r="G111" s="465"/>
      <x:c r="H111" s="465"/>
      <x:c r="I111" s="465"/>
      <x:c r="J111" s="465"/>
      <x:c r="K111" s="465"/>
      <x:c r="L111" s="465"/>
      <x:c r="M111" s="465"/>
      <x:c r="N111" s="465"/>
      <x:c r="O111" s="465"/>
      <x:c r="P111" s="465"/>
      <x:c r="Q111" s="465"/>
      <x:c r="R111" s="465"/>
      <x:c r="S111" s="465"/>
      <x:c r="T111" s="465"/>
      <x:c r="U111" s="465"/>
      <x:c r="V111" s="465"/>
      <x:c r="W111" s="465"/>
      <x:c r="X111" s="465"/>
      <x:c r="Y111" s="465"/>
      <x:c r="Z111" s="465"/>
    </x:row>
    <x:row r="112">
      <x:c r="A112" s="465"/>
      <x:c r="B112" s="465"/>
      <x:c r="C112" s="465"/>
      <x:c r="D112" s="465"/>
      <x:c r="E112" s="465"/>
      <x:c r="F112" s="465"/>
      <x:c r="G112" s="465"/>
      <x:c r="H112" s="465"/>
      <x:c r="I112" s="465"/>
      <x:c r="J112" s="465"/>
      <x:c r="K112" s="465"/>
      <x:c r="L112" s="465"/>
      <x:c r="M112" s="465"/>
      <x:c r="N112" s="465"/>
      <x:c r="O112" s="465"/>
      <x:c r="P112" s="465"/>
      <x:c r="Q112" s="465"/>
      <x:c r="R112" s="465"/>
      <x:c r="S112" s="465"/>
      <x:c r="T112" s="465"/>
      <x:c r="U112" s="465"/>
      <x:c r="V112" s="465"/>
      <x:c r="W112" s="465"/>
      <x:c r="X112" s="465"/>
      <x:c r="Y112" s="465"/>
      <x:c r="Z112" s="465"/>
    </x:row>
    <x:row r="113">
      <x:c r="A113" s="465"/>
      <x:c r="B113" s="465"/>
      <x:c r="C113" s="465"/>
      <x:c r="D113" s="465"/>
      <x:c r="E113" s="465"/>
      <x:c r="F113" s="465"/>
      <x:c r="G113" s="465"/>
      <x:c r="H113" s="465"/>
      <x:c r="I113" s="465"/>
      <x:c r="J113" s="465"/>
      <x:c r="K113" s="465"/>
      <x:c r="L113" s="465"/>
      <x:c r="M113" s="465"/>
      <x:c r="N113" s="465"/>
      <x:c r="O113" s="465"/>
      <x:c r="P113" s="465"/>
      <x:c r="Q113" s="465"/>
      <x:c r="R113" s="465"/>
      <x:c r="S113" s="465"/>
      <x:c r="T113" s="465"/>
      <x:c r="U113" s="465"/>
      <x:c r="V113" s="465"/>
      <x:c r="W113" s="465"/>
      <x:c r="X113" s="465"/>
      <x:c r="Y113" s="465"/>
      <x:c r="Z113" s="465"/>
    </x:row>
    <x:row r="114">
      <x:c r="A114" s="465"/>
      <x:c r="B114" s="465"/>
      <x:c r="C114" s="465"/>
      <x:c r="D114" s="465"/>
      <x:c r="E114" s="465"/>
      <x:c r="F114" s="465"/>
      <x:c r="G114" s="465"/>
      <x:c r="H114" s="465"/>
      <x:c r="I114" s="465"/>
      <x:c r="J114" s="465"/>
      <x:c r="K114" s="465"/>
      <x:c r="L114" s="465"/>
      <x:c r="M114" s="465"/>
      <x:c r="N114" s="465"/>
      <x:c r="O114" s="465"/>
      <x:c r="P114" s="465"/>
      <x:c r="Q114" s="465"/>
      <x:c r="R114" s="465"/>
      <x:c r="S114" s="465"/>
      <x:c r="T114" s="465"/>
      <x:c r="U114" s="465"/>
      <x:c r="V114" s="465"/>
      <x:c r="W114" s="465"/>
      <x:c r="X114" s="465"/>
      <x:c r="Y114" s="465"/>
      <x:c r="Z114" s="465"/>
    </x:row>
    <x:row r="115">
      <x:c r="A115" s="465"/>
      <x:c r="B115" s="465"/>
      <x:c r="C115" s="465"/>
      <x:c r="D115" s="465"/>
      <x:c r="E115" s="465"/>
      <x:c r="F115" s="465"/>
      <x:c r="G115" s="465"/>
      <x:c r="H115" s="465"/>
      <x:c r="I115" s="465"/>
      <x:c r="J115" s="465"/>
      <x:c r="K115" s="465"/>
      <x:c r="L115" s="465"/>
      <x:c r="M115" s="465"/>
      <x:c r="N115" s="465"/>
      <x:c r="O115" s="465"/>
      <x:c r="P115" s="465"/>
      <x:c r="Q115" s="465"/>
      <x:c r="R115" s="465"/>
      <x:c r="S115" s="465"/>
      <x:c r="T115" s="465"/>
      <x:c r="U115" s="465"/>
      <x:c r="V115" s="465"/>
      <x:c r="W115" s="465"/>
      <x:c r="X115" s="465"/>
      <x:c r="Y115" s="465"/>
      <x:c r="Z115" s="465"/>
    </x:row>
    <x:row r="116">
      <x:c r="A116" s="465"/>
      <x:c r="B116" s="465"/>
      <x:c r="C116" s="465"/>
      <x:c r="D116" s="465"/>
      <x:c r="E116" s="465"/>
      <x:c r="F116" s="465"/>
      <x:c r="G116" s="465"/>
      <x:c r="H116" s="465"/>
      <x:c r="I116" s="465"/>
      <x:c r="J116" s="465"/>
      <x:c r="K116" s="465"/>
      <x:c r="L116" s="465"/>
      <x:c r="M116" s="465"/>
      <x:c r="N116" s="465"/>
      <x:c r="O116" s="465"/>
      <x:c r="P116" s="465"/>
      <x:c r="Q116" s="465"/>
      <x:c r="R116" s="465"/>
      <x:c r="S116" s="465"/>
      <x:c r="T116" s="465"/>
      <x:c r="U116" s="465"/>
      <x:c r="V116" s="465"/>
      <x:c r="W116" s="465"/>
      <x:c r="X116" s="465"/>
      <x:c r="Y116" s="465"/>
      <x:c r="Z116" s="465"/>
    </x:row>
    <x:row r="117">
      <x:c r="A117" s="465"/>
      <x:c r="B117" s="465"/>
      <x:c r="C117" s="465"/>
      <x:c r="D117" s="465"/>
      <x:c r="E117" s="465"/>
      <x:c r="F117" s="465"/>
      <x:c r="G117" s="465"/>
      <x:c r="H117" s="465"/>
      <x:c r="I117" s="465"/>
      <x:c r="J117" s="465"/>
      <x:c r="K117" s="465"/>
      <x:c r="L117" s="465"/>
      <x:c r="M117" s="465"/>
      <x:c r="N117" s="465"/>
      <x:c r="O117" s="465"/>
      <x:c r="P117" s="465"/>
      <x:c r="Q117" s="465"/>
      <x:c r="R117" s="465"/>
      <x:c r="S117" s="465"/>
      <x:c r="T117" s="465"/>
      <x:c r="U117" s="465"/>
      <x:c r="V117" s="465"/>
      <x:c r="W117" s="465"/>
      <x:c r="X117" s="465"/>
      <x:c r="Y117" s="465"/>
      <x:c r="Z117" s="465"/>
    </x:row>
    <x:row r="118">
      <x:c r="A118" s="465"/>
      <x:c r="B118" s="465"/>
      <x:c r="C118" s="465"/>
      <x:c r="D118" s="465"/>
      <x:c r="E118" s="465"/>
      <x:c r="F118" s="465"/>
      <x:c r="G118" s="465"/>
      <x:c r="H118" s="465"/>
      <x:c r="I118" s="465"/>
      <x:c r="J118" s="465"/>
      <x:c r="K118" s="465"/>
      <x:c r="L118" s="465"/>
      <x:c r="M118" s="465"/>
      <x:c r="N118" s="465"/>
      <x:c r="O118" s="465"/>
      <x:c r="P118" s="465"/>
      <x:c r="Q118" s="465"/>
      <x:c r="R118" s="465"/>
      <x:c r="S118" s="465"/>
      <x:c r="T118" s="465"/>
      <x:c r="U118" s="465"/>
      <x:c r="V118" s="465"/>
      <x:c r="W118" s="465"/>
      <x:c r="X118" s="465"/>
      <x:c r="Y118" s="465"/>
      <x:c r="Z118" s="465"/>
    </x:row>
    <x:row r="119">
      <x:c r="A119" s="465"/>
      <x:c r="B119" s="465"/>
      <x:c r="C119" s="465"/>
      <x:c r="D119" s="465"/>
      <x:c r="E119" s="465"/>
      <x:c r="F119" s="465"/>
      <x:c r="G119" s="465"/>
      <x:c r="H119" s="465"/>
      <x:c r="I119" s="465"/>
      <x:c r="J119" s="465"/>
      <x:c r="K119" s="465"/>
      <x:c r="L119" s="465"/>
      <x:c r="M119" s="465"/>
      <x:c r="N119" s="465"/>
      <x:c r="O119" s="465"/>
      <x:c r="P119" s="465"/>
      <x:c r="Q119" s="465"/>
      <x:c r="R119" s="465"/>
      <x:c r="S119" s="465"/>
      <x:c r="T119" s="465"/>
      <x:c r="U119" s="465"/>
      <x:c r="V119" s="465"/>
      <x:c r="W119" s="465"/>
      <x:c r="X119" s="465"/>
      <x:c r="Y119" s="465"/>
      <x:c r="Z119" s="465"/>
    </x:row>
    <x:row r="120">
      <x:c r="A120" s="465"/>
      <x:c r="B120" s="465"/>
      <x:c r="C120" s="465"/>
      <x:c r="D120" s="465"/>
      <x:c r="E120" s="465"/>
      <x:c r="F120" s="465"/>
      <x:c r="G120" s="465"/>
      <x:c r="H120" s="465"/>
      <x:c r="I120" s="465"/>
      <x:c r="J120" s="465"/>
      <x:c r="K120" s="465"/>
      <x:c r="L120" s="465"/>
      <x:c r="M120" s="465"/>
      <x:c r="N120" s="465"/>
      <x:c r="O120" s="465"/>
      <x:c r="P120" s="465"/>
      <x:c r="Q120" s="465"/>
      <x:c r="R120" s="465"/>
      <x:c r="S120" s="465"/>
      <x:c r="T120" s="465"/>
      <x:c r="U120" s="465"/>
      <x:c r="V120" s="465"/>
      <x:c r="W120" s="465"/>
      <x:c r="X120" s="465"/>
      <x:c r="Y120" s="465"/>
      <x:c r="Z120" s="465"/>
    </x:row>
    <x:row r="121">
      <x:c r="A121" s="465"/>
      <x:c r="B121" s="465"/>
      <x:c r="C121" s="465"/>
      <x:c r="D121" s="465"/>
      <x:c r="E121" s="465"/>
      <x:c r="F121" s="465"/>
      <x:c r="G121" s="465"/>
      <x:c r="H121" s="465"/>
      <x:c r="I121" s="465"/>
      <x:c r="J121" s="465"/>
      <x:c r="K121" s="465"/>
      <x:c r="L121" s="465"/>
      <x:c r="M121" s="465"/>
      <x:c r="N121" s="465"/>
      <x:c r="O121" s="465"/>
      <x:c r="P121" s="465"/>
      <x:c r="Q121" s="465"/>
      <x:c r="R121" s="465"/>
      <x:c r="S121" s="465"/>
      <x:c r="T121" s="465"/>
      <x:c r="U121" s="465"/>
      <x:c r="V121" s="465"/>
      <x:c r="W121" s="465"/>
      <x:c r="X121" s="465"/>
      <x:c r="Y121" s="465"/>
      <x:c r="Z121" s="465"/>
    </x:row>
    <x:row r="122">
      <x:c r="A122" s="465"/>
      <x:c r="B122" s="465"/>
      <x:c r="C122" s="465"/>
      <x:c r="D122" s="465"/>
      <x:c r="E122" s="465"/>
      <x:c r="F122" s="465"/>
      <x:c r="G122" s="465"/>
      <x:c r="H122" s="465"/>
      <x:c r="I122" s="465"/>
      <x:c r="J122" s="465"/>
      <x:c r="K122" s="465"/>
      <x:c r="L122" s="465"/>
      <x:c r="M122" s="465"/>
      <x:c r="N122" s="465"/>
      <x:c r="O122" s="465"/>
      <x:c r="P122" s="465"/>
      <x:c r="Q122" s="465"/>
      <x:c r="R122" s="465"/>
      <x:c r="S122" s="465"/>
      <x:c r="T122" s="465"/>
      <x:c r="U122" s="465"/>
      <x:c r="V122" s="465"/>
      <x:c r="W122" s="465"/>
      <x:c r="X122" s="465"/>
      <x:c r="Y122" s="465"/>
      <x:c r="Z122" s="465"/>
    </x:row>
    <x:row r="123">
      <x:c r="A123" s="465"/>
      <x:c r="B123" s="465"/>
      <x:c r="C123" s="465"/>
      <x:c r="D123" s="465"/>
      <x:c r="E123" s="465"/>
      <x:c r="F123" s="465"/>
      <x:c r="G123" s="465"/>
      <x:c r="H123" s="465"/>
      <x:c r="I123" s="465"/>
      <x:c r="J123" s="465"/>
      <x:c r="K123" s="465"/>
      <x:c r="L123" s="465"/>
      <x:c r="M123" s="465"/>
      <x:c r="N123" s="465"/>
      <x:c r="O123" s="465"/>
      <x:c r="P123" s="465"/>
      <x:c r="Q123" s="465"/>
      <x:c r="R123" s="465"/>
      <x:c r="S123" s="465"/>
      <x:c r="T123" s="465"/>
      <x:c r="U123" s="465"/>
      <x:c r="V123" s="465"/>
      <x:c r="W123" s="465"/>
      <x:c r="X123" s="465"/>
      <x:c r="Y123" s="465"/>
      <x:c r="Z123" s="465"/>
    </x:row>
    <x:row r="124">
      <x:c r="A124" s="465"/>
      <x:c r="B124" s="465"/>
      <x:c r="C124" s="465"/>
      <x:c r="D124" s="465"/>
      <x:c r="E124" s="465"/>
      <x:c r="F124" s="465"/>
      <x:c r="G124" s="465"/>
      <x:c r="H124" s="465"/>
      <x:c r="I124" s="465"/>
      <x:c r="J124" s="465"/>
      <x:c r="K124" s="465"/>
      <x:c r="L124" s="465"/>
      <x:c r="M124" s="465"/>
      <x:c r="N124" s="465"/>
      <x:c r="O124" s="465"/>
      <x:c r="P124" s="465"/>
      <x:c r="Q124" s="465"/>
      <x:c r="R124" s="465"/>
      <x:c r="S124" s="465"/>
      <x:c r="T124" s="465"/>
      <x:c r="U124" s="465"/>
      <x:c r="V124" s="465"/>
      <x:c r="W124" s="465"/>
      <x:c r="X124" s="465"/>
      <x:c r="Y124" s="465"/>
      <x:c r="Z124" s="465"/>
    </x:row>
    <x:row r="125">
      <x:c r="A125" s="465"/>
      <x:c r="B125" s="465"/>
      <x:c r="C125" s="465"/>
      <x:c r="D125" s="465"/>
      <x:c r="E125" s="465"/>
      <x:c r="F125" s="465"/>
      <x:c r="G125" s="465"/>
      <x:c r="H125" s="465"/>
      <x:c r="I125" s="465"/>
      <x:c r="J125" s="465"/>
      <x:c r="K125" s="465"/>
      <x:c r="L125" s="465"/>
      <x:c r="M125" s="465"/>
      <x:c r="N125" s="465"/>
      <x:c r="O125" s="465"/>
      <x:c r="P125" s="465"/>
      <x:c r="Q125" s="465"/>
      <x:c r="R125" s="465"/>
      <x:c r="S125" s="465"/>
      <x:c r="T125" s="465"/>
      <x:c r="U125" s="465"/>
      <x:c r="V125" s="465"/>
      <x:c r="W125" s="465"/>
      <x:c r="X125" s="465"/>
      <x:c r="Y125" s="465"/>
      <x:c r="Z125" s="465"/>
    </x:row>
    <x:row r="126">
      <x:c r="A126" s="465"/>
      <x:c r="B126" s="465"/>
      <x:c r="C126" s="465"/>
      <x:c r="D126" s="465"/>
      <x:c r="E126" s="465"/>
      <x:c r="F126" s="465"/>
      <x:c r="G126" s="465"/>
      <x:c r="H126" s="465"/>
      <x:c r="I126" s="465"/>
      <x:c r="J126" s="465"/>
      <x:c r="K126" s="465"/>
      <x:c r="L126" s="465"/>
      <x:c r="M126" s="465"/>
      <x:c r="N126" s="465"/>
      <x:c r="O126" s="465"/>
      <x:c r="P126" s="465"/>
      <x:c r="Q126" s="465"/>
      <x:c r="R126" s="465"/>
      <x:c r="S126" s="465"/>
      <x:c r="T126" s="465"/>
      <x:c r="U126" s="465"/>
      <x:c r="V126" s="465"/>
      <x:c r="W126" s="465"/>
      <x:c r="X126" s="465"/>
      <x:c r="Y126" s="465"/>
      <x:c r="Z126" s="465"/>
    </x:row>
    <x:row r="127">
      <x:c r="A127" s="465"/>
      <x:c r="B127" s="465"/>
      <x:c r="C127" s="465"/>
      <x:c r="D127" s="465"/>
      <x:c r="E127" s="465"/>
      <x:c r="F127" s="465"/>
      <x:c r="G127" s="465"/>
      <x:c r="H127" s="465"/>
      <x:c r="I127" s="465"/>
      <x:c r="J127" s="465"/>
      <x:c r="K127" s="465"/>
      <x:c r="L127" s="465"/>
      <x:c r="M127" s="465"/>
      <x:c r="N127" s="465"/>
      <x:c r="O127" s="465"/>
      <x:c r="P127" s="465"/>
      <x:c r="Q127" s="465"/>
      <x:c r="R127" s="465"/>
      <x:c r="S127" s="465"/>
      <x:c r="T127" s="465"/>
      <x:c r="U127" s="465"/>
      <x:c r="V127" s="465"/>
      <x:c r="W127" s="465"/>
      <x:c r="X127" s="465"/>
      <x:c r="Y127" s="465"/>
      <x:c r="Z127" s="465"/>
    </x:row>
    <x:row r="128">
      <x:c r="A128" s="465"/>
      <x:c r="B128" s="465"/>
      <x:c r="C128" s="465"/>
      <x:c r="D128" s="465"/>
      <x:c r="E128" s="465"/>
      <x:c r="F128" s="465"/>
      <x:c r="G128" s="465"/>
      <x:c r="H128" s="465"/>
      <x:c r="I128" s="465"/>
      <x:c r="J128" s="465"/>
      <x:c r="K128" s="465"/>
      <x:c r="L128" s="465"/>
      <x:c r="M128" s="465"/>
      <x:c r="N128" s="465"/>
      <x:c r="O128" s="465"/>
      <x:c r="P128" s="465"/>
      <x:c r="Q128" s="465"/>
      <x:c r="R128" s="465"/>
      <x:c r="S128" s="465"/>
      <x:c r="T128" s="465"/>
      <x:c r="U128" s="465"/>
      <x:c r="V128" s="465"/>
      <x:c r="W128" s="465"/>
      <x:c r="X128" s="465"/>
      <x:c r="Y128" s="465"/>
      <x:c r="Z128" s="465"/>
    </x:row>
    <x:row r="129">
      <x:c r="A129" s="465"/>
      <x:c r="B129" s="465"/>
      <x:c r="C129" s="465"/>
      <x:c r="D129" s="465"/>
      <x:c r="E129" s="465"/>
      <x:c r="F129" s="465"/>
      <x:c r="G129" s="465"/>
      <x:c r="H129" s="465"/>
      <x:c r="I129" s="465"/>
      <x:c r="J129" s="465"/>
      <x:c r="K129" s="465"/>
      <x:c r="L129" s="465"/>
      <x:c r="M129" s="465"/>
      <x:c r="N129" s="465"/>
      <x:c r="O129" s="465"/>
      <x:c r="P129" s="465"/>
      <x:c r="Q129" s="465"/>
      <x:c r="R129" s="465"/>
      <x:c r="S129" s="465"/>
      <x:c r="T129" s="465"/>
      <x:c r="U129" s="465"/>
      <x:c r="V129" s="465"/>
      <x:c r="W129" s="465"/>
      <x:c r="X129" s="465"/>
      <x:c r="Y129" s="465"/>
      <x:c r="Z129" s="465"/>
    </x:row>
    <x:row r="130">
      <x:c r="A130" s="465"/>
      <x:c r="B130" s="465"/>
      <x:c r="C130" s="465"/>
      <x:c r="D130" s="465"/>
      <x:c r="E130" s="465"/>
      <x:c r="F130" s="465"/>
      <x:c r="G130" s="465"/>
      <x:c r="H130" s="465"/>
      <x:c r="I130" s="465"/>
      <x:c r="J130" s="465"/>
      <x:c r="K130" s="465"/>
      <x:c r="L130" s="465"/>
      <x:c r="M130" s="465"/>
      <x:c r="N130" s="465"/>
      <x:c r="O130" s="465"/>
      <x:c r="P130" s="465"/>
      <x:c r="Q130" s="465"/>
      <x:c r="R130" s="465"/>
      <x:c r="S130" s="465"/>
      <x:c r="T130" s="465"/>
      <x:c r="U130" s="465"/>
      <x:c r="V130" s="465"/>
      <x:c r="W130" s="465"/>
      <x:c r="X130" s="465"/>
      <x:c r="Y130" s="465"/>
      <x:c r="Z130" s="465"/>
    </x:row>
    <x:row r="131">
      <x:c r="A131" s="465"/>
      <x:c r="B131" s="465"/>
      <x:c r="C131" s="465"/>
      <x:c r="D131" s="465"/>
      <x:c r="E131" s="465"/>
      <x:c r="F131" s="465"/>
      <x:c r="G131" s="465"/>
      <x:c r="H131" s="465"/>
      <x:c r="I131" s="465"/>
      <x:c r="J131" s="465"/>
      <x:c r="K131" s="465"/>
      <x:c r="L131" s="465"/>
      <x:c r="M131" s="465"/>
      <x:c r="N131" s="465"/>
      <x:c r="O131" s="465"/>
      <x:c r="P131" s="465"/>
      <x:c r="Q131" s="465"/>
      <x:c r="R131" s="465"/>
      <x:c r="S131" s="465"/>
      <x:c r="T131" s="465"/>
      <x:c r="U131" s="465"/>
      <x:c r="V131" s="465"/>
      <x:c r="W131" s="465"/>
      <x:c r="X131" s="465"/>
      <x:c r="Y131" s="465"/>
      <x:c r="Z131" s="465"/>
    </x:row>
    <x:row r="132">
      <x:c r="A132" s="465"/>
      <x:c r="B132" s="465"/>
      <x:c r="C132" s="465"/>
      <x:c r="D132" s="465"/>
      <x:c r="E132" s="465"/>
      <x:c r="F132" s="465"/>
      <x:c r="G132" s="465"/>
      <x:c r="H132" s="465"/>
      <x:c r="I132" s="465"/>
      <x:c r="J132" s="465"/>
      <x:c r="K132" s="465"/>
      <x:c r="L132" s="465"/>
      <x:c r="M132" s="465"/>
      <x:c r="N132" s="465"/>
      <x:c r="O132" s="465"/>
      <x:c r="P132" s="465"/>
      <x:c r="Q132" s="465"/>
      <x:c r="R132" s="465"/>
      <x:c r="S132" s="465"/>
      <x:c r="T132" s="465"/>
      <x:c r="U132" s="465"/>
      <x:c r="V132" s="465"/>
      <x:c r="W132" s="465"/>
      <x:c r="X132" s="465"/>
      <x:c r="Y132" s="465"/>
      <x:c r="Z132" s="465"/>
    </x:row>
    <x:row r="133">
      <x:c r="A133" s="465"/>
      <x:c r="B133" s="465"/>
      <x:c r="C133" s="465"/>
      <x:c r="D133" s="465"/>
      <x:c r="E133" s="465"/>
      <x:c r="F133" s="465"/>
      <x:c r="G133" s="465"/>
      <x:c r="H133" s="465"/>
      <x:c r="I133" s="465"/>
      <x:c r="J133" s="465"/>
      <x:c r="K133" s="465"/>
      <x:c r="L133" s="465"/>
      <x:c r="M133" s="465"/>
      <x:c r="N133" s="465"/>
      <x:c r="O133" s="465"/>
      <x:c r="P133" s="465"/>
      <x:c r="Q133" s="465"/>
      <x:c r="R133" s="465"/>
      <x:c r="S133" s="465"/>
      <x:c r="T133" s="465"/>
      <x:c r="U133" s="465"/>
      <x:c r="V133" s="465"/>
      <x:c r="W133" s="465"/>
      <x:c r="X133" s="465"/>
      <x:c r="Y133" s="465"/>
      <x:c r="Z133" s="465"/>
    </x:row>
    <x:row r="134">
      <x:c r="A134" s="465"/>
      <x:c r="B134" s="465"/>
      <x:c r="C134" s="465"/>
      <x:c r="D134" s="465"/>
      <x:c r="E134" s="465"/>
      <x:c r="F134" s="465"/>
      <x:c r="G134" s="465"/>
      <x:c r="H134" s="465"/>
      <x:c r="I134" s="465"/>
      <x:c r="J134" s="465"/>
      <x:c r="K134" s="465"/>
      <x:c r="L134" s="465"/>
      <x:c r="M134" s="465"/>
      <x:c r="N134" s="465"/>
      <x:c r="O134" s="465"/>
      <x:c r="P134" s="465"/>
      <x:c r="Q134" s="465"/>
      <x:c r="R134" s="465"/>
      <x:c r="S134" s="465"/>
      <x:c r="T134" s="465"/>
      <x:c r="U134" s="465"/>
      <x:c r="V134" s="465"/>
      <x:c r="W134" s="465"/>
      <x:c r="X134" s="465"/>
      <x:c r="Y134" s="465"/>
      <x:c r="Z134" s="465"/>
    </x:row>
    <x:row r="135">
      <x:c r="A135" s="465"/>
      <x:c r="B135" s="465"/>
      <x:c r="C135" s="465"/>
      <x:c r="D135" s="465"/>
      <x:c r="E135" s="465"/>
      <x:c r="F135" s="465"/>
      <x:c r="G135" s="465"/>
      <x:c r="H135" s="465"/>
      <x:c r="I135" s="465"/>
      <x:c r="J135" s="465"/>
      <x:c r="K135" s="465"/>
      <x:c r="L135" s="465"/>
      <x:c r="M135" s="465"/>
      <x:c r="N135" s="465"/>
      <x:c r="O135" s="465"/>
      <x:c r="P135" s="465"/>
      <x:c r="Q135" s="465"/>
      <x:c r="R135" s="465"/>
      <x:c r="S135" s="465"/>
      <x:c r="T135" s="465"/>
      <x:c r="U135" s="465"/>
      <x:c r="V135" s="465"/>
      <x:c r="W135" s="465"/>
      <x:c r="X135" s="465"/>
      <x:c r="Y135" s="465"/>
      <x:c r="Z135" s="465"/>
    </x:row>
    <x:row r="136">
      <x:c r="A136" s="465"/>
      <x:c r="B136" s="465"/>
      <x:c r="C136" s="465"/>
      <x:c r="D136" s="465"/>
      <x:c r="E136" s="465"/>
      <x:c r="F136" s="465"/>
      <x:c r="G136" s="465"/>
      <x:c r="H136" s="465"/>
      <x:c r="I136" s="465"/>
      <x:c r="J136" s="465"/>
      <x:c r="K136" s="465"/>
      <x:c r="L136" s="465"/>
      <x:c r="M136" s="465"/>
      <x:c r="N136" s="465"/>
      <x:c r="O136" s="465"/>
      <x:c r="P136" s="465"/>
      <x:c r="Q136" s="465"/>
      <x:c r="R136" s="465"/>
      <x:c r="S136" s="465"/>
      <x:c r="T136" s="465"/>
      <x:c r="U136" s="465"/>
      <x:c r="V136" s="465"/>
      <x:c r="W136" s="465"/>
      <x:c r="X136" s="465"/>
      <x:c r="Y136" s="465"/>
      <x:c r="Z136" s="465"/>
    </x:row>
    <x:row r="137">
      <x:c r="A137" s="465"/>
      <x:c r="B137" s="465"/>
      <x:c r="C137" s="465"/>
      <x:c r="D137" s="465"/>
      <x:c r="E137" s="465"/>
      <x:c r="F137" s="465"/>
      <x:c r="G137" s="465"/>
      <x:c r="H137" s="465"/>
      <x:c r="I137" s="465"/>
      <x:c r="J137" s="465"/>
      <x:c r="K137" s="465"/>
      <x:c r="L137" s="465"/>
      <x:c r="M137" s="465"/>
      <x:c r="N137" s="465"/>
      <x:c r="O137" s="465"/>
      <x:c r="P137" s="465"/>
      <x:c r="Q137" s="465"/>
      <x:c r="R137" s="465"/>
      <x:c r="S137" s="465"/>
      <x:c r="T137" s="465"/>
      <x:c r="U137" s="465"/>
      <x:c r="V137" s="465"/>
      <x:c r="W137" s="465"/>
      <x:c r="X137" s="465"/>
      <x:c r="Y137" s="465"/>
      <x:c r="Z137" s="465"/>
    </x:row>
    <x:row r="138">
      <x:c r="A138" s="465"/>
      <x:c r="B138" s="465"/>
      <x:c r="C138" s="465"/>
      <x:c r="D138" s="465"/>
      <x:c r="E138" s="465"/>
      <x:c r="F138" s="465"/>
      <x:c r="G138" s="465"/>
      <x:c r="H138" s="465"/>
      <x:c r="I138" s="465"/>
      <x:c r="J138" s="465"/>
      <x:c r="K138" s="465"/>
      <x:c r="L138" s="465"/>
      <x:c r="M138" s="465"/>
      <x:c r="N138" s="465"/>
      <x:c r="O138" s="465"/>
      <x:c r="P138" s="465"/>
      <x:c r="Q138" s="465"/>
      <x:c r="R138" s="465"/>
      <x:c r="S138" s="465"/>
      <x:c r="T138" s="465"/>
      <x:c r="U138" s="465"/>
      <x:c r="V138" s="465"/>
      <x:c r="W138" s="465"/>
      <x:c r="X138" s="465"/>
      <x:c r="Y138" s="465"/>
      <x:c r="Z138" s="465"/>
    </x:row>
    <x:row r="139">
      <x:c r="A139" s="465"/>
      <x:c r="B139" s="465"/>
      <x:c r="C139" s="465"/>
      <x:c r="D139" s="465"/>
      <x:c r="E139" s="465"/>
      <x:c r="F139" s="465"/>
      <x:c r="G139" s="465"/>
      <x:c r="H139" s="465"/>
      <x:c r="I139" s="465"/>
      <x:c r="J139" s="465"/>
      <x:c r="K139" s="465"/>
      <x:c r="L139" s="465"/>
      <x:c r="M139" s="465"/>
      <x:c r="N139" s="465"/>
      <x:c r="O139" s="465"/>
      <x:c r="P139" s="465"/>
      <x:c r="Q139" s="465"/>
      <x:c r="R139" s="465"/>
      <x:c r="S139" s="465"/>
      <x:c r="T139" s="465"/>
      <x:c r="U139" s="465"/>
      <x:c r="V139" s="465"/>
      <x:c r="W139" s="465"/>
      <x:c r="X139" s="465"/>
      <x:c r="Y139" s="465"/>
      <x:c r="Z139" s="465"/>
    </x:row>
    <x:row r="140">
      <x:c r="A140" s="465"/>
      <x:c r="B140" s="465"/>
      <x:c r="C140" s="465"/>
      <x:c r="D140" s="465"/>
      <x:c r="E140" s="465"/>
      <x:c r="F140" s="465"/>
      <x:c r="G140" s="465"/>
      <x:c r="H140" s="465"/>
      <x:c r="I140" s="465"/>
      <x:c r="J140" s="465"/>
      <x:c r="K140" s="465"/>
      <x:c r="L140" s="465"/>
      <x:c r="M140" s="465"/>
      <x:c r="N140" s="465"/>
      <x:c r="O140" s="465"/>
      <x:c r="P140" s="465"/>
      <x:c r="Q140" s="465"/>
      <x:c r="R140" s="465"/>
      <x:c r="S140" s="465"/>
      <x:c r="T140" s="465"/>
      <x:c r="U140" s="465"/>
      <x:c r="V140" s="465"/>
      <x:c r="W140" s="465"/>
      <x:c r="X140" s="465"/>
      <x:c r="Y140" s="465"/>
      <x:c r="Z140" s="465"/>
    </x:row>
    <x:row r="141">
      <x:c r="A141" s="465"/>
      <x:c r="B141" s="465"/>
      <x:c r="C141" s="465"/>
      <x:c r="D141" s="465"/>
      <x:c r="E141" s="465"/>
      <x:c r="F141" s="465"/>
      <x:c r="G141" s="465"/>
      <x:c r="H141" s="465"/>
      <x:c r="I141" s="465"/>
      <x:c r="J141" s="465"/>
      <x:c r="K141" s="465"/>
      <x:c r="L141" s="465"/>
      <x:c r="M141" s="465"/>
      <x:c r="N141" s="465"/>
      <x:c r="O141" s="465"/>
      <x:c r="P141" s="465"/>
      <x:c r="Q141" s="465"/>
      <x:c r="R141" s="465"/>
      <x:c r="S141" s="465"/>
      <x:c r="T141" s="465"/>
      <x:c r="U141" s="465"/>
      <x:c r="V141" s="465"/>
      <x:c r="W141" s="465"/>
      <x:c r="X141" s="465"/>
      <x:c r="Y141" s="465"/>
      <x:c r="Z141" s="465"/>
    </x:row>
    <x:row r="142">
      <x:c r="A142" s="465"/>
      <x:c r="B142" s="465"/>
      <x:c r="C142" s="465"/>
      <x:c r="D142" s="465"/>
      <x:c r="E142" s="465"/>
      <x:c r="F142" s="465"/>
      <x:c r="G142" s="465"/>
      <x:c r="H142" s="465"/>
      <x:c r="I142" s="465"/>
      <x:c r="J142" s="465"/>
      <x:c r="K142" s="465"/>
      <x:c r="L142" s="465"/>
      <x:c r="M142" s="465"/>
      <x:c r="N142" s="465"/>
      <x:c r="O142" s="465"/>
      <x:c r="P142" s="465"/>
      <x:c r="Q142" s="465"/>
      <x:c r="R142" s="465"/>
      <x:c r="S142" s="465"/>
      <x:c r="T142" s="465"/>
      <x:c r="U142" s="465"/>
      <x:c r="V142" s="465"/>
      <x:c r="W142" s="465"/>
      <x:c r="X142" s="465"/>
      <x:c r="Y142" s="465"/>
      <x:c r="Z142" s="465"/>
    </x:row>
    <x:row r="143">
      <x:c r="A143" s="465"/>
      <x:c r="B143" s="465"/>
      <x:c r="C143" s="465"/>
      <x:c r="D143" s="465"/>
      <x:c r="E143" s="465"/>
      <x:c r="F143" s="465"/>
      <x:c r="G143" s="465"/>
      <x:c r="H143" s="465"/>
      <x:c r="I143" s="465"/>
      <x:c r="J143" s="465"/>
      <x:c r="K143" s="465"/>
      <x:c r="L143" s="465"/>
      <x:c r="M143" s="465"/>
      <x:c r="N143" s="465"/>
      <x:c r="O143" s="465"/>
      <x:c r="P143" s="465"/>
      <x:c r="Q143" s="465"/>
      <x:c r="R143" s="465"/>
      <x:c r="S143" s="465"/>
      <x:c r="T143" s="465"/>
      <x:c r="U143" s="465"/>
      <x:c r="V143" s="465"/>
      <x:c r="W143" s="465"/>
      <x:c r="X143" s="465"/>
      <x:c r="Y143" s="465"/>
      <x:c r="Z143" s="465"/>
    </x:row>
    <x:row r="144">
      <x:c r="A144" s="465"/>
      <x:c r="B144" s="465"/>
      <x:c r="C144" s="465"/>
      <x:c r="D144" s="465"/>
      <x:c r="E144" s="465"/>
      <x:c r="F144" s="465"/>
      <x:c r="G144" s="465"/>
      <x:c r="H144" s="465"/>
      <x:c r="I144" s="465"/>
      <x:c r="J144" s="465"/>
      <x:c r="K144" s="465"/>
      <x:c r="L144" s="465"/>
      <x:c r="M144" s="465"/>
      <x:c r="N144" s="465"/>
      <x:c r="O144" s="465"/>
      <x:c r="P144" s="465"/>
      <x:c r="Q144" s="465"/>
      <x:c r="R144" s="465"/>
      <x:c r="S144" s="465"/>
      <x:c r="T144" s="465"/>
      <x:c r="U144" s="465"/>
      <x:c r="V144" s="465"/>
      <x:c r="W144" s="465"/>
      <x:c r="X144" s="465"/>
      <x:c r="Y144" s="465"/>
      <x:c r="Z144" s="465"/>
    </x:row>
    <x:row r="145">
      <x:c r="A145" s="465"/>
      <x:c r="B145" s="465"/>
      <x:c r="C145" s="465"/>
      <x:c r="D145" s="465"/>
      <x:c r="E145" s="465"/>
      <x:c r="F145" s="465"/>
      <x:c r="G145" s="465"/>
      <x:c r="H145" s="465"/>
      <x:c r="I145" s="465"/>
      <x:c r="J145" s="465"/>
      <x:c r="K145" s="465"/>
      <x:c r="L145" s="465"/>
      <x:c r="M145" s="465"/>
      <x:c r="N145" s="465"/>
      <x:c r="O145" s="465"/>
      <x:c r="P145" s="465"/>
      <x:c r="Q145" s="465"/>
      <x:c r="R145" s="465"/>
      <x:c r="S145" s="465"/>
      <x:c r="T145" s="465"/>
      <x:c r="U145" s="465"/>
      <x:c r="V145" s="465"/>
      <x:c r="W145" s="465"/>
      <x:c r="X145" s="465"/>
      <x:c r="Y145" s="465"/>
      <x:c r="Z145" s="465"/>
    </x:row>
    <x:row r="146">
      <x:c r="A146" s="465"/>
      <x:c r="B146" s="465"/>
      <x:c r="C146" s="465"/>
      <x:c r="D146" s="465"/>
      <x:c r="E146" s="465"/>
      <x:c r="F146" s="465"/>
      <x:c r="G146" s="465"/>
      <x:c r="H146" s="465"/>
      <x:c r="I146" s="465"/>
      <x:c r="J146" s="465"/>
      <x:c r="K146" s="465"/>
      <x:c r="L146" s="465"/>
      <x:c r="M146" s="465"/>
      <x:c r="N146" s="465"/>
      <x:c r="O146" s="465"/>
      <x:c r="P146" s="465"/>
      <x:c r="Q146" s="465"/>
      <x:c r="R146" s="465"/>
      <x:c r="S146" s="465"/>
      <x:c r="T146" s="465"/>
      <x:c r="U146" s="465"/>
      <x:c r="V146" s="465"/>
      <x:c r="W146" s="465"/>
      <x:c r="X146" s="465"/>
      <x:c r="Y146" s="465"/>
      <x:c r="Z146" s="465"/>
    </x:row>
    <x:row r="147">
      <x:c r="A147" s="465"/>
      <x:c r="B147" s="465"/>
      <x:c r="C147" s="465"/>
      <x:c r="D147" s="465"/>
      <x:c r="E147" s="465"/>
      <x:c r="F147" s="465"/>
      <x:c r="G147" s="465"/>
      <x:c r="H147" s="465"/>
      <x:c r="I147" s="465"/>
      <x:c r="J147" s="465"/>
      <x:c r="K147" s="465"/>
      <x:c r="L147" s="465"/>
      <x:c r="M147" s="465"/>
      <x:c r="N147" s="465"/>
      <x:c r="O147" s="465"/>
      <x:c r="P147" s="465"/>
      <x:c r="Q147" s="465"/>
      <x:c r="R147" s="465"/>
      <x:c r="S147" s="465"/>
      <x:c r="T147" s="465"/>
      <x:c r="U147" s="465"/>
      <x:c r="V147" s="465"/>
      <x:c r="W147" s="465"/>
      <x:c r="X147" s="465"/>
      <x:c r="Y147" s="465"/>
      <x:c r="Z147" s="465"/>
    </x:row>
    <x:row r="148">
      <x:c r="A148" s="465"/>
      <x:c r="B148" s="465"/>
      <x:c r="C148" s="465"/>
      <x:c r="D148" s="465"/>
      <x:c r="E148" s="465"/>
      <x:c r="F148" s="465"/>
      <x:c r="G148" s="465"/>
      <x:c r="H148" s="465"/>
      <x:c r="I148" s="465"/>
      <x:c r="J148" s="465"/>
      <x:c r="K148" s="465"/>
      <x:c r="L148" s="465"/>
      <x:c r="M148" s="465"/>
      <x:c r="N148" s="465"/>
      <x:c r="O148" s="465"/>
      <x:c r="P148" s="465"/>
      <x:c r="Q148" s="465"/>
      <x:c r="R148" s="465"/>
      <x:c r="S148" s="465"/>
      <x:c r="T148" s="465"/>
      <x:c r="U148" s="465"/>
      <x:c r="V148" s="465"/>
      <x:c r="W148" s="465"/>
      <x:c r="X148" s="465"/>
      <x:c r="Y148" s="465"/>
      <x:c r="Z148" s="465"/>
    </x:row>
    <x:row r="149">
      <x:c r="A149" s="465"/>
      <x:c r="B149" s="465"/>
      <x:c r="C149" s="465"/>
      <x:c r="D149" s="465"/>
      <x:c r="E149" s="465"/>
      <x:c r="F149" s="465"/>
      <x:c r="G149" s="465"/>
      <x:c r="H149" s="465"/>
      <x:c r="I149" s="465"/>
      <x:c r="J149" s="465"/>
      <x:c r="K149" s="465"/>
      <x:c r="L149" s="465"/>
      <x:c r="M149" s="465"/>
      <x:c r="N149" s="465"/>
      <x:c r="O149" s="465"/>
      <x:c r="P149" s="465"/>
      <x:c r="Q149" s="465"/>
      <x:c r="R149" s="465"/>
      <x:c r="S149" s="465"/>
      <x:c r="T149" s="465"/>
      <x:c r="U149" s="465"/>
      <x:c r="V149" s="465"/>
      <x:c r="W149" s="465"/>
      <x:c r="X149" s="465"/>
      <x:c r="Y149" s="465"/>
      <x:c r="Z149" s="465"/>
    </x:row>
    <x:row r="150">
      <x:c r="A150" s="465"/>
      <x:c r="B150" s="465"/>
      <x:c r="C150" s="465"/>
      <x:c r="D150" s="465"/>
      <x:c r="E150" s="465"/>
      <x:c r="F150" s="465"/>
      <x:c r="G150" s="465"/>
      <x:c r="H150" s="465"/>
      <x:c r="I150" s="465"/>
      <x:c r="J150" s="465"/>
      <x:c r="K150" s="465"/>
      <x:c r="L150" s="465"/>
      <x:c r="M150" s="465"/>
      <x:c r="N150" s="465"/>
      <x:c r="O150" s="465"/>
      <x:c r="P150" s="465"/>
      <x:c r="Q150" s="465"/>
      <x:c r="R150" s="465"/>
      <x:c r="S150" s="465"/>
      <x:c r="T150" s="465"/>
      <x:c r="U150" s="465"/>
      <x:c r="V150" s="465"/>
      <x:c r="W150" s="465"/>
      <x:c r="X150" s="465"/>
      <x:c r="Y150" s="465"/>
      <x:c r="Z150" s="465"/>
    </x:row>
    <x:row r="151">
      <x:c r="A151" s="465"/>
      <x:c r="B151" s="465"/>
      <x:c r="C151" s="465"/>
      <x:c r="D151" s="465"/>
      <x:c r="E151" s="465"/>
      <x:c r="F151" s="465"/>
      <x:c r="G151" s="465"/>
      <x:c r="H151" s="465"/>
      <x:c r="I151" s="465"/>
      <x:c r="J151" s="465"/>
      <x:c r="K151" s="465"/>
      <x:c r="L151" s="465"/>
      <x:c r="M151" s="465"/>
      <x:c r="N151" s="465"/>
      <x:c r="O151" s="465"/>
      <x:c r="P151" s="465"/>
      <x:c r="Q151" s="465"/>
      <x:c r="R151" s="465"/>
      <x:c r="S151" s="465"/>
      <x:c r="T151" s="465"/>
      <x:c r="U151" s="465"/>
      <x:c r="V151" s="465"/>
      <x:c r="W151" s="465"/>
      <x:c r="X151" s="465"/>
      <x:c r="Y151" s="465"/>
      <x:c r="Z151" s="465"/>
    </x:row>
    <x:row r="152">
      <x:c r="A152" s="465"/>
      <x:c r="B152" s="465"/>
      <x:c r="C152" s="465"/>
      <x:c r="D152" s="465"/>
      <x:c r="E152" s="465"/>
      <x:c r="F152" s="465"/>
      <x:c r="G152" s="465"/>
      <x:c r="H152" s="465"/>
      <x:c r="I152" s="465"/>
      <x:c r="J152" s="465"/>
      <x:c r="K152" s="465"/>
      <x:c r="L152" s="465"/>
      <x:c r="M152" s="465"/>
      <x:c r="N152" s="465"/>
      <x:c r="O152" s="465"/>
      <x:c r="P152" s="465"/>
      <x:c r="Q152" s="465"/>
      <x:c r="R152" s="465"/>
      <x:c r="S152" s="465"/>
      <x:c r="T152" s="465"/>
      <x:c r="U152" s="465"/>
      <x:c r="V152" s="465"/>
      <x:c r="W152" s="465"/>
      <x:c r="X152" s="465"/>
      <x:c r="Y152" s="465"/>
      <x:c r="Z152" s="465"/>
    </x:row>
    <x:row r="153">
      <x:c r="A153" s="465"/>
      <x:c r="B153" s="465"/>
      <x:c r="C153" s="465"/>
      <x:c r="D153" s="465"/>
      <x:c r="E153" s="465"/>
      <x:c r="F153" s="465"/>
      <x:c r="G153" s="465"/>
      <x:c r="H153" s="465"/>
      <x:c r="I153" s="465"/>
      <x:c r="J153" s="465"/>
      <x:c r="K153" s="465"/>
      <x:c r="L153" s="465"/>
      <x:c r="M153" s="465"/>
      <x:c r="N153" s="465"/>
      <x:c r="O153" s="465"/>
      <x:c r="P153" s="465"/>
      <x:c r="Q153" s="465"/>
      <x:c r="R153" s="465"/>
      <x:c r="S153" s="465"/>
      <x:c r="T153" s="465"/>
      <x:c r="U153" s="465"/>
      <x:c r="V153" s="465"/>
      <x:c r="W153" s="465"/>
      <x:c r="X153" s="465"/>
      <x:c r="Y153" s="465"/>
      <x:c r="Z153" s="465"/>
    </x:row>
    <x:row r="154">
      <x:c r="A154" s="465"/>
      <x:c r="B154" s="465"/>
      <x:c r="C154" s="465"/>
      <x:c r="D154" s="465"/>
      <x:c r="E154" s="465"/>
      <x:c r="F154" s="465"/>
      <x:c r="G154" s="465"/>
      <x:c r="H154" s="465"/>
      <x:c r="I154" s="465"/>
      <x:c r="J154" s="465"/>
      <x:c r="K154" s="465"/>
      <x:c r="L154" s="465"/>
      <x:c r="M154" s="465"/>
      <x:c r="N154" s="465"/>
      <x:c r="O154" s="465"/>
      <x:c r="P154" s="465"/>
      <x:c r="Q154" s="465"/>
      <x:c r="R154" s="465"/>
      <x:c r="S154" s="465"/>
      <x:c r="T154" s="465"/>
      <x:c r="U154" s="465"/>
      <x:c r="V154" s="465"/>
      <x:c r="W154" s="465"/>
      <x:c r="X154" s="465"/>
      <x:c r="Y154" s="465"/>
      <x:c r="Z154" s="465"/>
    </x:row>
    <x:row r="155">
      <x:c r="A155" s="465"/>
      <x:c r="B155" s="465"/>
      <x:c r="C155" s="465"/>
      <x:c r="D155" s="465"/>
      <x:c r="E155" s="465"/>
      <x:c r="F155" s="465"/>
      <x:c r="G155" s="465"/>
      <x:c r="H155" s="465"/>
      <x:c r="I155" s="465"/>
      <x:c r="J155" s="465"/>
      <x:c r="K155" s="465"/>
      <x:c r="L155" s="465"/>
      <x:c r="M155" s="465"/>
      <x:c r="N155" s="465"/>
      <x:c r="O155" s="465"/>
      <x:c r="P155" s="465"/>
      <x:c r="Q155" s="465"/>
      <x:c r="R155" s="465"/>
      <x:c r="S155" s="465"/>
      <x:c r="T155" s="465"/>
      <x:c r="U155" s="465"/>
      <x:c r="V155" s="465"/>
      <x:c r="W155" s="465"/>
      <x:c r="X155" s="465"/>
      <x:c r="Y155" s="465"/>
      <x:c r="Z155" s="465"/>
    </x:row>
    <x:row r="156">
      <x:c r="A156" s="465"/>
      <x:c r="B156" s="465"/>
      <x:c r="C156" s="465"/>
      <x:c r="D156" s="465"/>
      <x:c r="E156" s="465"/>
      <x:c r="F156" s="465"/>
      <x:c r="G156" s="465"/>
      <x:c r="H156" s="465"/>
      <x:c r="I156" s="465"/>
      <x:c r="J156" s="465"/>
      <x:c r="K156" s="465"/>
      <x:c r="L156" s="465"/>
      <x:c r="M156" s="465"/>
      <x:c r="N156" s="465"/>
      <x:c r="O156" s="465"/>
      <x:c r="P156" s="465"/>
      <x:c r="Q156" s="465"/>
      <x:c r="R156" s="465"/>
      <x:c r="S156" s="465"/>
      <x:c r="T156" s="465"/>
      <x:c r="U156" s="465"/>
      <x:c r="V156" s="465"/>
      <x:c r="W156" s="465"/>
      <x:c r="X156" s="465"/>
      <x:c r="Y156" s="465"/>
      <x:c r="Z156" s="465"/>
    </x:row>
    <x:row r="157">
      <x:c r="A157" s="465"/>
      <x:c r="B157" s="465"/>
      <x:c r="C157" s="465"/>
      <x:c r="D157" s="465"/>
      <x:c r="E157" s="465"/>
      <x:c r="F157" s="465"/>
      <x:c r="G157" s="465"/>
      <x:c r="H157" s="465"/>
      <x:c r="I157" s="465"/>
      <x:c r="J157" s="465"/>
      <x:c r="K157" s="465"/>
      <x:c r="L157" s="465"/>
      <x:c r="M157" s="465"/>
      <x:c r="N157" s="465"/>
      <x:c r="O157" s="465"/>
      <x:c r="P157" s="465"/>
      <x:c r="Q157" s="465"/>
      <x:c r="R157" s="465"/>
      <x:c r="S157" s="465"/>
      <x:c r="T157" s="465"/>
      <x:c r="U157" s="465"/>
      <x:c r="V157" s="465"/>
      <x:c r="W157" s="465"/>
      <x:c r="X157" s="465"/>
      <x:c r="Y157" s="465"/>
      <x:c r="Z157" s="465"/>
    </x:row>
    <x:row r="158">
      <x:c r="A158" s="465"/>
      <x:c r="B158" s="465"/>
      <x:c r="C158" s="465"/>
      <x:c r="D158" s="465"/>
      <x:c r="E158" s="465"/>
      <x:c r="F158" s="465"/>
      <x:c r="G158" s="465"/>
      <x:c r="H158" s="465"/>
      <x:c r="I158" s="465"/>
      <x:c r="J158" s="465"/>
      <x:c r="K158" s="465"/>
      <x:c r="L158" s="465"/>
      <x:c r="M158" s="465"/>
      <x:c r="N158" s="465"/>
      <x:c r="O158" s="465"/>
      <x:c r="P158" s="465"/>
      <x:c r="Q158" s="465"/>
      <x:c r="R158" s="465"/>
      <x:c r="S158" s="465"/>
      <x:c r="T158" s="465"/>
      <x:c r="U158" s="465"/>
      <x:c r="V158" s="465"/>
      <x:c r="W158" s="465"/>
      <x:c r="X158" s="465"/>
      <x:c r="Y158" s="465"/>
      <x:c r="Z158" s="465"/>
    </x:row>
    <x:row r="159">
      <x:c r="A159" s="465"/>
      <x:c r="B159" s="465"/>
      <x:c r="C159" s="465"/>
      <x:c r="D159" s="465"/>
      <x:c r="E159" s="465"/>
      <x:c r="F159" s="465"/>
      <x:c r="G159" s="465"/>
      <x:c r="H159" s="465"/>
      <x:c r="I159" s="465"/>
      <x:c r="J159" s="465"/>
      <x:c r="K159" s="465"/>
      <x:c r="L159" s="465"/>
      <x:c r="M159" s="465"/>
      <x:c r="N159" s="465"/>
      <x:c r="O159" s="465"/>
      <x:c r="P159" s="465"/>
      <x:c r="Q159" s="465"/>
      <x:c r="R159" s="465"/>
      <x:c r="S159" s="465"/>
      <x:c r="T159" s="465"/>
      <x:c r="U159" s="465"/>
      <x:c r="V159" s="465"/>
      <x:c r="W159" s="465"/>
      <x:c r="X159" s="465"/>
      <x:c r="Y159" s="465"/>
      <x:c r="Z159" s="465"/>
    </x:row>
    <x:row r="160">
      <x:c r="A160" s="465"/>
      <x:c r="B160" s="465"/>
      <x:c r="C160" s="465"/>
      <x:c r="D160" s="465"/>
      <x:c r="E160" s="465"/>
      <x:c r="F160" s="465"/>
      <x:c r="G160" s="465"/>
      <x:c r="H160" s="465"/>
      <x:c r="I160" s="465"/>
      <x:c r="J160" s="465"/>
      <x:c r="K160" s="465"/>
      <x:c r="L160" s="465"/>
      <x:c r="M160" s="465"/>
      <x:c r="N160" s="465"/>
      <x:c r="O160" s="465"/>
      <x:c r="P160" s="465"/>
      <x:c r="Q160" s="465"/>
      <x:c r="R160" s="465"/>
      <x:c r="S160" s="465"/>
      <x:c r="T160" s="465"/>
      <x:c r="U160" s="465"/>
      <x:c r="V160" s="465"/>
      <x:c r="W160" s="465"/>
      <x:c r="X160" s="465"/>
      <x:c r="Y160" s="465"/>
      <x:c r="Z160" s="465"/>
    </x:row>
    <x:row r="161">
      <x:c r="A161" s="465"/>
      <x:c r="B161" s="465"/>
      <x:c r="C161" s="465"/>
      <x:c r="D161" s="465"/>
      <x:c r="E161" s="465"/>
      <x:c r="F161" s="465"/>
      <x:c r="G161" s="465"/>
      <x:c r="H161" s="465"/>
      <x:c r="I161" s="465"/>
      <x:c r="J161" s="465"/>
      <x:c r="K161" s="465"/>
      <x:c r="L161" s="465"/>
      <x:c r="M161" s="465"/>
      <x:c r="N161" s="465"/>
      <x:c r="O161" s="465"/>
      <x:c r="P161" s="465"/>
      <x:c r="Q161" s="465"/>
      <x:c r="R161" s="465"/>
      <x:c r="S161" s="465"/>
      <x:c r="T161" s="465"/>
      <x:c r="U161" s="465"/>
      <x:c r="V161" s="465"/>
      <x:c r="W161" s="465"/>
      <x:c r="X161" s="465"/>
      <x:c r="Y161" s="465"/>
      <x:c r="Z161" s="465"/>
    </x:row>
    <x:row r="162">
      <x:c r="A162" s="465"/>
      <x:c r="B162" s="465"/>
      <x:c r="C162" s="465"/>
      <x:c r="D162" s="465"/>
      <x:c r="E162" s="465"/>
      <x:c r="F162" s="465"/>
      <x:c r="G162" s="465"/>
      <x:c r="H162" s="465"/>
      <x:c r="I162" s="465"/>
      <x:c r="J162" s="465"/>
      <x:c r="K162" s="465"/>
      <x:c r="L162" s="465"/>
      <x:c r="M162" s="465"/>
      <x:c r="N162" s="465"/>
      <x:c r="O162" s="465"/>
      <x:c r="P162" s="465"/>
      <x:c r="Q162" s="465"/>
      <x:c r="R162" s="465"/>
      <x:c r="S162" s="465"/>
      <x:c r="T162" s="465"/>
      <x:c r="U162" s="465"/>
      <x:c r="V162" s="465"/>
      <x:c r="W162" s="465"/>
      <x:c r="X162" s="465"/>
      <x:c r="Y162" s="465"/>
      <x:c r="Z162" s="465"/>
    </x:row>
    <x:row r="163">
      <x:c r="A163" s="465"/>
      <x:c r="B163" s="465"/>
      <x:c r="C163" s="465"/>
      <x:c r="D163" s="465"/>
      <x:c r="E163" s="465"/>
      <x:c r="F163" s="465"/>
      <x:c r="G163" s="465"/>
      <x:c r="H163" s="465"/>
      <x:c r="I163" s="465"/>
      <x:c r="J163" s="465"/>
      <x:c r="K163" s="465"/>
      <x:c r="L163" s="465"/>
      <x:c r="M163" s="465"/>
      <x:c r="N163" s="465"/>
      <x:c r="O163" s="465"/>
      <x:c r="P163" s="465"/>
      <x:c r="Q163" s="465"/>
      <x:c r="R163" s="465"/>
      <x:c r="S163" s="465"/>
      <x:c r="T163" s="465"/>
      <x:c r="U163" s="465"/>
      <x:c r="V163" s="465"/>
      <x:c r="W163" s="465"/>
      <x:c r="X163" s="465"/>
      <x:c r="Y163" s="465"/>
      <x:c r="Z163" s="465"/>
    </x:row>
    <x:row r="164">
      <x:c r="A164" s="465"/>
      <x:c r="B164" s="465"/>
      <x:c r="C164" s="465"/>
      <x:c r="D164" s="465"/>
      <x:c r="E164" s="465"/>
      <x:c r="F164" s="465"/>
      <x:c r="G164" s="465"/>
      <x:c r="H164" s="465"/>
      <x:c r="I164" s="465"/>
      <x:c r="J164" s="465"/>
      <x:c r="K164" s="465"/>
      <x:c r="L164" s="465"/>
      <x:c r="M164" s="465"/>
      <x:c r="N164" s="465"/>
      <x:c r="O164" s="465"/>
      <x:c r="P164" s="465"/>
      <x:c r="Q164" s="465"/>
      <x:c r="R164" s="465"/>
      <x:c r="S164" s="465"/>
      <x:c r="T164" s="465"/>
      <x:c r="U164" s="465"/>
      <x:c r="V164" s="465"/>
      <x:c r="W164" s="465"/>
      <x:c r="X164" s="465"/>
      <x:c r="Y164" s="465"/>
      <x:c r="Z164" s="465"/>
    </x:row>
    <x:row r="165">
      <x:c r="A165" s="465"/>
      <x:c r="B165" s="465"/>
      <x:c r="C165" s="465"/>
      <x:c r="D165" s="465"/>
      <x:c r="E165" s="465"/>
      <x:c r="F165" s="465"/>
      <x:c r="G165" s="465"/>
      <x:c r="H165" s="465"/>
      <x:c r="I165" s="465"/>
      <x:c r="J165" s="465"/>
      <x:c r="K165" s="465"/>
      <x:c r="L165" s="465"/>
      <x:c r="M165" s="465"/>
      <x:c r="N165" s="465"/>
      <x:c r="O165" s="465"/>
      <x:c r="P165" s="465"/>
      <x:c r="Q165" s="465"/>
      <x:c r="R165" s="465"/>
      <x:c r="S165" s="465"/>
      <x:c r="T165" s="465"/>
      <x:c r="U165" s="465"/>
      <x:c r="V165" s="465"/>
      <x:c r="W165" s="465"/>
      <x:c r="X165" s="465"/>
      <x:c r="Y165" s="465"/>
      <x:c r="Z165" s="465"/>
    </x:row>
    <x:row r="166">
      <x:c r="A166" s="465"/>
      <x:c r="B166" s="465"/>
      <x:c r="C166" s="465"/>
      <x:c r="D166" s="465"/>
      <x:c r="E166" s="465"/>
      <x:c r="F166" s="465"/>
      <x:c r="G166" s="465"/>
      <x:c r="H166" s="465"/>
      <x:c r="I166" s="465"/>
      <x:c r="J166" s="465"/>
      <x:c r="K166" s="465"/>
      <x:c r="L166" s="465"/>
      <x:c r="M166" s="465"/>
      <x:c r="N166" s="465"/>
      <x:c r="O166" s="465"/>
      <x:c r="P166" s="465"/>
      <x:c r="Q166" s="465"/>
      <x:c r="R166" s="465"/>
      <x:c r="S166" s="465"/>
      <x:c r="T166" s="465"/>
      <x:c r="U166" s="465"/>
      <x:c r="V166" s="465"/>
      <x:c r="W166" s="465"/>
      <x:c r="X166" s="465"/>
      <x:c r="Y166" s="465"/>
      <x:c r="Z166" s="465"/>
    </x:row>
    <x:row r="167">
      <x:c r="A167" s="465"/>
      <x:c r="B167" s="465"/>
      <x:c r="C167" s="465"/>
      <x:c r="D167" s="465"/>
      <x:c r="E167" s="465"/>
      <x:c r="F167" s="465"/>
      <x:c r="G167" s="465"/>
      <x:c r="H167" s="465"/>
      <x:c r="I167" s="465"/>
      <x:c r="J167" s="465"/>
      <x:c r="K167" s="465"/>
      <x:c r="L167" s="465"/>
      <x:c r="M167" s="465"/>
      <x:c r="N167" s="465"/>
      <x:c r="O167" s="465"/>
      <x:c r="P167" s="465"/>
      <x:c r="Q167" s="465"/>
      <x:c r="R167" s="465"/>
      <x:c r="S167" s="465"/>
      <x:c r="T167" s="465"/>
      <x:c r="U167" s="465"/>
      <x:c r="V167" s="465"/>
      <x:c r="W167" s="465"/>
      <x:c r="X167" s="465"/>
      <x:c r="Y167" s="465"/>
      <x:c r="Z167" s="465"/>
    </x:row>
    <x:row r="168">
      <x:c r="A168" s="465"/>
      <x:c r="B168" s="465"/>
      <x:c r="C168" s="465"/>
      <x:c r="D168" s="465"/>
      <x:c r="E168" s="465"/>
      <x:c r="F168" s="465"/>
      <x:c r="G168" s="465"/>
      <x:c r="H168" s="465"/>
      <x:c r="I168" s="465"/>
      <x:c r="J168" s="465"/>
      <x:c r="K168" s="465"/>
      <x:c r="L168" s="465"/>
      <x:c r="M168" s="465"/>
      <x:c r="N168" s="465"/>
      <x:c r="O168" s="465"/>
      <x:c r="P168" s="465"/>
      <x:c r="Q168" s="465"/>
      <x:c r="R168" s="465"/>
      <x:c r="S168" s="465"/>
      <x:c r="T168" s="465"/>
      <x:c r="U168" s="465"/>
      <x:c r="V168" s="465"/>
      <x:c r="W168" s="465"/>
      <x:c r="X168" s="465"/>
      <x:c r="Y168" s="465"/>
      <x:c r="Z168" s="465"/>
    </x:row>
    <x:row r="169">
      <x:c r="A169" s="465"/>
      <x:c r="B169" s="465"/>
      <x:c r="C169" s="465"/>
      <x:c r="D169" s="465"/>
      <x:c r="E169" s="465"/>
      <x:c r="F169" s="465"/>
      <x:c r="G169" s="465"/>
      <x:c r="H169" s="465"/>
      <x:c r="I169" s="465"/>
      <x:c r="J169" s="465"/>
      <x:c r="K169" s="465"/>
      <x:c r="L169" s="465"/>
      <x:c r="M169" s="465"/>
      <x:c r="N169" s="465"/>
      <x:c r="O169" s="465"/>
      <x:c r="P169" s="465"/>
      <x:c r="Q169" s="465"/>
      <x:c r="R169" s="465"/>
      <x:c r="S169" s="465"/>
      <x:c r="T169" s="465"/>
      <x:c r="U169" s="465"/>
      <x:c r="V169" s="465"/>
      <x:c r="W169" s="465"/>
      <x:c r="X169" s="465"/>
      <x:c r="Y169" s="465"/>
      <x:c r="Z169" s="465"/>
    </x:row>
    <x:row r="170">
      <x:c r="A170" s="465"/>
      <x:c r="B170" s="465"/>
      <x:c r="C170" s="465"/>
      <x:c r="D170" s="465"/>
      <x:c r="E170" s="465"/>
      <x:c r="F170" s="465"/>
      <x:c r="G170" s="465"/>
      <x:c r="H170" s="465"/>
      <x:c r="I170" s="465"/>
      <x:c r="J170" s="465"/>
      <x:c r="K170" s="465"/>
      <x:c r="L170" s="465"/>
      <x:c r="M170" s="465"/>
      <x:c r="N170" s="465"/>
      <x:c r="O170" s="465"/>
      <x:c r="P170" s="465"/>
      <x:c r="Q170" s="465"/>
      <x:c r="R170" s="465"/>
      <x:c r="S170" s="465"/>
      <x:c r="T170" s="465"/>
      <x:c r="U170" s="465"/>
      <x:c r="V170" s="465"/>
      <x:c r="W170" s="465"/>
      <x:c r="X170" s="465"/>
      <x:c r="Y170" s="465"/>
      <x:c r="Z170" s="465"/>
    </x:row>
    <x:row r="171">
      <x:c r="A171" s="465"/>
      <x:c r="B171" s="465"/>
      <x:c r="C171" s="465"/>
      <x:c r="D171" s="465"/>
      <x:c r="E171" s="465"/>
      <x:c r="F171" s="465"/>
      <x:c r="G171" s="465"/>
      <x:c r="H171" s="465"/>
      <x:c r="I171" s="465"/>
      <x:c r="J171" s="465"/>
      <x:c r="K171" s="465"/>
      <x:c r="L171" s="465"/>
      <x:c r="M171" s="465"/>
      <x:c r="N171" s="465"/>
      <x:c r="O171" s="465"/>
      <x:c r="P171" s="465"/>
      <x:c r="Q171" s="465"/>
      <x:c r="R171" s="465"/>
      <x:c r="S171" s="465"/>
      <x:c r="T171" s="465"/>
      <x:c r="U171" s="465"/>
      <x:c r="V171" s="465"/>
      <x:c r="W171" s="465"/>
      <x:c r="X171" s="465"/>
      <x:c r="Y171" s="465"/>
      <x:c r="Z171" s="465"/>
    </x:row>
    <x:row r="172">
      <x:c r="A172" s="465"/>
      <x:c r="B172" s="465"/>
      <x:c r="C172" s="465"/>
      <x:c r="D172" s="465"/>
      <x:c r="E172" s="465"/>
      <x:c r="F172" s="465"/>
      <x:c r="G172" s="465"/>
      <x:c r="H172" s="465"/>
      <x:c r="I172" s="465"/>
      <x:c r="J172" s="465"/>
      <x:c r="K172" s="465"/>
      <x:c r="L172" s="465"/>
      <x:c r="M172" s="465"/>
      <x:c r="N172" s="465"/>
      <x:c r="O172" s="465"/>
      <x:c r="P172" s="465"/>
      <x:c r="Q172" s="465"/>
      <x:c r="R172" s="465"/>
      <x:c r="S172" s="465"/>
      <x:c r="T172" s="465"/>
      <x:c r="U172" s="465"/>
      <x:c r="V172" s="465"/>
      <x:c r="W172" s="465"/>
      <x:c r="X172" s="465"/>
      <x:c r="Y172" s="465"/>
      <x:c r="Z172" s="465"/>
    </x:row>
    <x:row r="173">
      <x:c r="A173" s="465"/>
      <x:c r="B173" s="465"/>
      <x:c r="C173" s="465"/>
      <x:c r="D173" s="465"/>
      <x:c r="E173" s="465"/>
      <x:c r="F173" s="465"/>
      <x:c r="G173" s="465"/>
      <x:c r="H173" s="465"/>
      <x:c r="I173" s="465"/>
      <x:c r="J173" s="465"/>
      <x:c r="K173" s="465"/>
      <x:c r="L173" s="465"/>
      <x:c r="M173" s="465"/>
      <x:c r="N173" s="465"/>
      <x:c r="O173" s="465"/>
      <x:c r="P173" s="465"/>
      <x:c r="Q173" s="465"/>
      <x:c r="R173" s="465"/>
      <x:c r="S173" s="465"/>
      <x:c r="T173" s="465"/>
      <x:c r="U173" s="465"/>
      <x:c r="V173" s="465"/>
      <x:c r="W173" s="465"/>
      <x:c r="X173" s="465"/>
      <x:c r="Y173" s="465"/>
      <x:c r="Z173" s="465"/>
    </x:row>
    <x:row r="174">
      <x:c r="A174" s="465"/>
      <x:c r="B174" s="465"/>
      <x:c r="C174" s="465"/>
      <x:c r="D174" s="465"/>
      <x:c r="E174" s="465"/>
      <x:c r="F174" s="465"/>
      <x:c r="G174" s="465"/>
      <x:c r="H174" s="465"/>
      <x:c r="I174" s="465"/>
      <x:c r="J174" s="465"/>
      <x:c r="K174" s="465"/>
      <x:c r="L174" s="465"/>
      <x:c r="M174" s="465"/>
      <x:c r="N174" s="465"/>
      <x:c r="O174" s="465"/>
      <x:c r="P174" s="465"/>
      <x:c r="Q174" s="465"/>
      <x:c r="R174" s="465"/>
      <x:c r="S174" s="465"/>
      <x:c r="T174" s="465"/>
      <x:c r="U174" s="465"/>
      <x:c r="V174" s="465"/>
      <x:c r="W174" s="465"/>
      <x:c r="X174" s="465"/>
      <x:c r="Y174" s="465"/>
      <x:c r="Z174" s="465"/>
    </x:row>
    <x:row r="175">
      <x:c r="A175" s="465"/>
      <x:c r="B175" s="465"/>
      <x:c r="C175" s="465"/>
      <x:c r="D175" s="465"/>
      <x:c r="E175" s="465"/>
      <x:c r="F175" s="465"/>
      <x:c r="G175" s="465"/>
      <x:c r="H175" s="465"/>
      <x:c r="I175" s="465"/>
      <x:c r="J175" s="465"/>
      <x:c r="K175" s="465"/>
      <x:c r="L175" s="465"/>
      <x:c r="M175" s="465"/>
      <x:c r="N175" s="465"/>
      <x:c r="O175" s="465"/>
      <x:c r="P175" s="465"/>
      <x:c r="Q175" s="465"/>
      <x:c r="R175" s="465"/>
      <x:c r="S175" s="465"/>
      <x:c r="T175" s="465"/>
      <x:c r="U175" s="465"/>
      <x:c r="V175" s="465"/>
      <x:c r="W175" s="465"/>
      <x:c r="X175" s="465"/>
      <x:c r="Y175" s="465"/>
      <x:c r="Z175" s="465"/>
    </x:row>
    <x:row r="176">
      <x:c r="A176" s="465"/>
      <x:c r="B176" s="465"/>
      <x:c r="C176" s="465"/>
      <x:c r="D176" s="465"/>
      <x:c r="E176" s="465"/>
      <x:c r="F176" s="465"/>
      <x:c r="G176" s="465"/>
      <x:c r="H176" s="465"/>
      <x:c r="I176" s="465"/>
      <x:c r="J176" s="465"/>
      <x:c r="K176" s="465"/>
      <x:c r="L176" s="465"/>
      <x:c r="M176" s="465"/>
      <x:c r="N176" s="465"/>
      <x:c r="O176" s="465"/>
      <x:c r="P176" s="465"/>
      <x:c r="Q176" s="465"/>
      <x:c r="R176" s="465"/>
      <x:c r="S176" s="465"/>
      <x:c r="T176" s="465"/>
      <x:c r="U176" s="465"/>
      <x:c r="V176" s="465"/>
      <x:c r="W176" s="465"/>
      <x:c r="X176" s="465"/>
      <x:c r="Y176" s="465"/>
      <x:c r="Z176" s="465"/>
    </x:row>
    <x:row r="177">
      <x:c r="A177" s="465"/>
      <x:c r="B177" s="465"/>
      <x:c r="C177" s="465"/>
      <x:c r="D177" s="465"/>
      <x:c r="E177" s="465"/>
      <x:c r="F177" s="465"/>
      <x:c r="G177" s="465"/>
      <x:c r="H177" s="465"/>
      <x:c r="I177" s="465"/>
      <x:c r="J177" s="465"/>
      <x:c r="K177" s="465"/>
      <x:c r="L177" s="465"/>
      <x:c r="M177" s="465"/>
      <x:c r="N177" s="465"/>
      <x:c r="O177" s="465"/>
      <x:c r="P177" s="465"/>
      <x:c r="Q177" s="465"/>
      <x:c r="R177" s="465"/>
      <x:c r="S177" s="465"/>
      <x:c r="T177" s="465"/>
      <x:c r="U177" s="465"/>
      <x:c r="V177" s="465"/>
      <x:c r="W177" s="465"/>
      <x:c r="X177" s="465"/>
      <x:c r="Y177" s="465"/>
      <x:c r="Z177" s="465"/>
    </x:row>
    <x:row r="178">
      <x:c r="A178" s="465"/>
      <x:c r="B178" s="465"/>
      <x:c r="C178" s="465"/>
      <x:c r="D178" s="465"/>
      <x:c r="E178" s="465"/>
      <x:c r="F178" s="465"/>
      <x:c r="G178" s="465"/>
      <x:c r="H178" s="465"/>
      <x:c r="I178" s="465"/>
      <x:c r="J178" s="465"/>
      <x:c r="K178" s="465"/>
      <x:c r="L178" s="465"/>
      <x:c r="M178" s="465"/>
      <x:c r="N178" s="465"/>
      <x:c r="O178" s="465"/>
      <x:c r="P178" s="465"/>
      <x:c r="Q178" s="465"/>
      <x:c r="R178" s="465"/>
      <x:c r="S178" s="465"/>
      <x:c r="T178" s="465"/>
      <x:c r="U178" s="465"/>
      <x:c r="V178" s="465"/>
      <x:c r="W178" s="465"/>
      <x:c r="X178" s="465"/>
      <x:c r="Y178" s="465"/>
      <x:c r="Z178" s="465"/>
    </x:row>
    <x:row r="179">
      <x:c r="A179" s="465"/>
      <x:c r="B179" s="465"/>
      <x:c r="C179" s="465"/>
      <x:c r="D179" s="465"/>
      <x:c r="E179" s="465"/>
      <x:c r="F179" s="465"/>
      <x:c r="G179" s="465"/>
      <x:c r="H179" s="465"/>
      <x:c r="I179" s="465"/>
      <x:c r="J179" s="465"/>
      <x:c r="K179" s="465"/>
      <x:c r="L179" s="465"/>
      <x:c r="M179" s="465"/>
      <x:c r="N179" s="465"/>
      <x:c r="O179" s="465"/>
      <x:c r="P179" s="465"/>
      <x:c r="Q179" s="465"/>
      <x:c r="R179" s="465"/>
      <x:c r="S179" s="465"/>
      <x:c r="T179" s="465"/>
      <x:c r="U179" s="465"/>
      <x:c r="V179" s="465"/>
      <x:c r="W179" s="465"/>
      <x:c r="X179" s="465"/>
      <x:c r="Y179" s="465"/>
      <x:c r="Z179" s="465"/>
    </x:row>
    <x:row r="180">
      <x:c r="A180" s="465"/>
      <x:c r="B180" s="465"/>
      <x:c r="C180" s="465"/>
      <x:c r="D180" s="465"/>
      <x:c r="E180" s="465"/>
      <x:c r="F180" s="465"/>
      <x:c r="G180" s="465"/>
      <x:c r="H180" s="465"/>
      <x:c r="I180" s="465"/>
      <x:c r="J180" s="465"/>
      <x:c r="K180" s="465"/>
      <x:c r="L180" s="465"/>
      <x:c r="M180" s="465"/>
      <x:c r="N180" s="465"/>
      <x:c r="O180" s="465"/>
      <x:c r="P180" s="465"/>
      <x:c r="Q180" s="465"/>
      <x:c r="R180" s="465"/>
      <x:c r="S180" s="465"/>
      <x:c r="T180" s="465"/>
      <x:c r="U180" s="465"/>
      <x:c r="V180" s="465"/>
      <x:c r="W180" s="465"/>
      <x:c r="X180" s="465"/>
      <x:c r="Y180" s="465"/>
      <x:c r="Z180" s="465"/>
    </x:row>
    <x:row r="181">
      <x:c r="A181" s="465"/>
      <x:c r="B181" s="465"/>
      <x:c r="C181" s="465"/>
      <x:c r="D181" s="465"/>
      <x:c r="E181" s="465"/>
      <x:c r="F181" s="465"/>
      <x:c r="G181" s="465"/>
      <x:c r="H181" s="465"/>
      <x:c r="I181" s="465"/>
      <x:c r="J181" s="465"/>
      <x:c r="K181" s="465"/>
      <x:c r="L181" s="465"/>
      <x:c r="M181" s="465"/>
      <x:c r="N181" s="465"/>
      <x:c r="O181" s="465"/>
      <x:c r="P181" s="465"/>
      <x:c r="Q181" s="465"/>
      <x:c r="R181" s="465"/>
      <x:c r="S181" s="465"/>
      <x:c r="T181" s="465"/>
      <x:c r="U181" s="465"/>
      <x:c r="V181" s="465"/>
      <x:c r="W181" s="465"/>
      <x:c r="X181" s="465"/>
      <x:c r="Y181" s="465"/>
      <x:c r="Z181" s="465"/>
    </x:row>
    <x:row r="182">
      <x:c r="A182" s="465"/>
      <x:c r="B182" s="465"/>
      <x:c r="C182" s="465"/>
      <x:c r="D182" s="465"/>
      <x:c r="E182" s="465"/>
      <x:c r="F182" s="465"/>
      <x:c r="G182" s="465"/>
      <x:c r="H182" s="465"/>
      <x:c r="I182" s="465"/>
      <x:c r="J182" s="465"/>
      <x:c r="K182" s="465"/>
      <x:c r="L182" s="465"/>
      <x:c r="M182" s="465"/>
      <x:c r="N182" s="465"/>
      <x:c r="O182" s="465"/>
      <x:c r="P182" s="465"/>
      <x:c r="Q182" s="465"/>
      <x:c r="R182" s="465"/>
      <x:c r="S182" s="465"/>
      <x:c r="T182" s="465"/>
      <x:c r="U182" s="465"/>
      <x:c r="V182" s="465"/>
      <x:c r="W182" s="465"/>
      <x:c r="X182" s="465"/>
      <x:c r="Y182" s="465"/>
      <x:c r="Z182" s="465"/>
    </x:row>
    <x:row r="183">
      <x:c r="A183" s="465"/>
      <x:c r="B183" s="465"/>
      <x:c r="C183" s="465"/>
      <x:c r="D183" s="465"/>
      <x:c r="E183" s="465"/>
      <x:c r="F183" s="465"/>
      <x:c r="G183" s="465"/>
      <x:c r="H183" s="465"/>
      <x:c r="I183" s="465"/>
      <x:c r="J183" s="465"/>
      <x:c r="K183" s="465"/>
      <x:c r="L183" s="465"/>
      <x:c r="M183" s="465"/>
      <x:c r="N183" s="465"/>
      <x:c r="O183" s="465"/>
      <x:c r="P183" s="465"/>
      <x:c r="Q183" s="465"/>
      <x:c r="R183" s="465"/>
      <x:c r="S183" s="465"/>
      <x:c r="T183" s="465"/>
      <x:c r="U183" s="465"/>
      <x:c r="V183" s="465"/>
      <x:c r="W183" s="465"/>
      <x:c r="X183" s="465"/>
      <x:c r="Y183" s="465"/>
      <x:c r="Z183" s="465"/>
    </x:row>
    <x:row r="184">
      <x:c r="A184" s="465"/>
      <x:c r="B184" s="465"/>
      <x:c r="C184" s="465"/>
      <x:c r="D184" s="465"/>
      <x:c r="E184" s="465"/>
      <x:c r="F184" s="465"/>
      <x:c r="G184" s="465"/>
      <x:c r="H184" s="465"/>
      <x:c r="I184" s="465"/>
      <x:c r="J184" s="465"/>
      <x:c r="K184" s="465"/>
      <x:c r="L184" s="465"/>
      <x:c r="M184" s="465"/>
      <x:c r="N184" s="465"/>
      <x:c r="O184" s="465"/>
      <x:c r="P184" s="465"/>
      <x:c r="Q184" s="465"/>
      <x:c r="R184" s="465"/>
      <x:c r="S184" s="465"/>
      <x:c r="T184" s="465"/>
      <x:c r="U184" s="465"/>
      <x:c r="V184" s="465"/>
      <x:c r="W184" s="465"/>
      <x:c r="X184" s="465"/>
      <x:c r="Y184" s="465"/>
      <x:c r="Z184" s="465"/>
    </x:row>
    <x:row r="185">
      <x:c r="A185" s="465"/>
      <x:c r="B185" s="465"/>
      <x:c r="C185" s="465"/>
      <x:c r="D185" s="465"/>
      <x:c r="E185" s="465"/>
      <x:c r="F185" s="465"/>
      <x:c r="G185" s="465"/>
      <x:c r="H185" s="465"/>
      <x:c r="I185" s="465"/>
      <x:c r="J185" s="465"/>
      <x:c r="K185" s="465"/>
      <x:c r="L185" s="465"/>
      <x:c r="M185" s="465"/>
      <x:c r="N185" s="465"/>
      <x:c r="O185" s="465"/>
      <x:c r="P185" s="465"/>
      <x:c r="Q185" s="465"/>
      <x:c r="R185" s="465"/>
      <x:c r="S185" s="465"/>
      <x:c r="T185" s="465"/>
      <x:c r="U185" s="465"/>
      <x:c r="V185" s="465"/>
      <x:c r="W185" s="465"/>
      <x:c r="X185" s="465"/>
      <x:c r="Y185" s="465"/>
      <x:c r="Z185" s="465"/>
    </x:row>
    <x:row r="186">
      <x:c r="A186" s="465"/>
      <x:c r="B186" s="465"/>
      <x:c r="C186" s="465"/>
      <x:c r="D186" s="465"/>
      <x:c r="E186" s="465"/>
      <x:c r="F186" s="465"/>
      <x:c r="G186" s="465"/>
      <x:c r="H186" s="465"/>
      <x:c r="I186" s="465"/>
      <x:c r="J186" s="465"/>
      <x:c r="K186" s="465"/>
      <x:c r="L186" s="465"/>
      <x:c r="M186" s="465"/>
      <x:c r="N186" s="465"/>
      <x:c r="O186" s="465"/>
      <x:c r="P186" s="465"/>
      <x:c r="Q186" s="465"/>
      <x:c r="R186" s="465"/>
      <x:c r="S186" s="465"/>
      <x:c r="T186" s="465"/>
      <x:c r="U186" s="465"/>
      <x:c r="V186" s="465"/>
      <x:c r="W186" s="465"/>
      <x:c r="X186" s="465"/>
      <x:c r="Y186" s="465"/>
      <x:c r="Z186" s="465"/>
    </x:row>
    <x:row r="187">
      <x:c r="A187" s="465"/>
      <x:c r="B187" s="465"/>
      <x:c r="C187" s="465"/>
      <x:c r="D187" s="465"/>
      <x:c r="E187" s="465"/>
      <x:c r="F187" s="465"/>
      <x:c r="G187" s="465"/>
      <x:c r="H187" s="465"/>
      <x:c r="I187" s="465"/>
      <x:c r="J187" s="465"/>
      <x:c r="K187" s="465"/>
      <x:c r="L187" s="465"/>
      <x:c r="M187" s="465"/>
      <x:c r="N187" s="465"/>
      <x:c r="O187" s="465"/>
      <x:c r="P187" s="465"/>
      <x:c r="Q187" s="465"/>
      <x:c r="R187" s="465"/>
      <x:c r="S187" s="465"/>
      <x:c r="T187" s="465"/>
      <x:c r="U187" s="465"/>
      <x:c r="V187" s="465"/>
      <x:c r="W187" s="465"/>
      <x:c r="X187" s="465"/>
      <x:c r="Y187" s="465"/>
      <x:c r="Z187" s="465"/>
    </x:row>
    <x:row r="188">
      <x:c r="A188" s="465"/>
      <x:c r="B188" s="465"/>
      <x:c r="C188" s="465"/>
      <x:c r="D188" s="465"/>
      <x:c r="E188" s="465"/>
      <x:c r="F188" s="465"/>
      <x:c r="G188" s="465"/>
      <x:c r="H188" s="465"/>
      <x:c r="I188" s="465"/>
      <x:c r="J188" s="465"/>
      <x:c r="K188" s="465"/>
      <x:c r="L188" s="465"/>
      <x:c r="M188" s="465"/>
      <x:c r="N188" s="465"/>
      <x:c r="O188" s="465"/>
      <x:c r="P188" s="465"/>
      <x:c r="Q188" s="465"/>
      <x:c r="R188" s="465"/>
      <x:c r="S188" s="465"/>
      <x:c r="T188" s="465"/>
      <x:c r="U188" s="465"/>
      <x:c r="V188" s="465"/>
      <x:c r="W188" s="465"/>
      <x:c r="X188" s="465"/>
      <x:c r="Y188" s="465"/>
      <x:c r="Z188" s="465"/>
    </x:row>
    <x:row r="189">
      <x:c r="A189" s="465"/>
      <x:c r="B189" s="465"/>
      <x:c r="C189" s="465"/>
      <x:c r="D189" s="465"/>
      <x:c r="E189" s="465"/>
      <x:c r="F189" s="465"/>
      <x:c r="G189" s="465"/>
      <x:c r="H189" s="465"/>
      <x:c r="I189" s="465"/>
      <x:c r="J189" s="465"/>
      <x:c r="K189" s="465"/>
      <x:c r="L189" s="465"/>
      <x:c r="M189" s="465"/>
      <x:c r="N189" s="465"/>
      <x:c r="O189" s="465"/>
      <x:c r="P189" s="465"/>
      <x:c r="Q189" s="465"/>
      <x:c r="R189" s="465"/>
      <x:c r="S189" s="465"/>
      <x:c r="T189" s="465"/>
      <x:c r="U189" s="465"/>
      <x:c r="V189" s="465"/>
      <x:c r="W189" s="465"/>
      <x:c r="X189" s="465"/>
      <x:c r="Y189" s="465"/>
      <x:c r="Z189" s="465"/>
    </x:row>
    <x:row r="190">
      <x:c r="A190" s="465"/>
      <x:c r="B190" s="465"/>
      <x:c r="C190" s="465"/>
      <x:c r="D190" s="465"/>
      <x:c r="E190" s="465"/>
      <x:c r="F190" s="465"/>
      <x:c r="G190" s="465"/>
      <x:c r="H190" s="465"/>
      <x:c r="I190" s="465"/>
      <x:c r="J190" s="465"/>
      <x:c r="K190" s="465"/>
      <x:c r="L190" s="465"/>
      <x:c r="M190" s="465"/>
      <x:c r="N190" s="465"/>
      <x:c r="O190" s="465"/>
      <x:c r="P190" s="465"/>
      <x:c r="Q190" s="465"/>
      <x:c r="R190" s="465"/>
      <x:c r="S190" s="465"/>
      <x:c r="T190" s="465"/>
      <x:c r="U190" s="465"/>
      <x:c r="V190" s="465"/>
      <x:c r="W190" s="465"/>
      <x:c r="X190" s="465"/>
      <x:c r="Y190" s="465"/>
      <x:c r="Z190" s="465"/>
    </x:row>
    <x:row r="191">
      <x:c r="A191" s="465"/>
      <x:c r="B191" s="465"/>
      <x:c r="C191" s="465"/>
      <x:c r="D191" s="465"/>
      <x:c r="E191" s="465"/>
      <x:c r="F191" s="465"/>
      <x:c r="G191" s="465"/>
      <x:c r="H191" s="465"/>
      <x:c r="I191" s="465"/>
      <x:c r="J191" s="465"/>
      <x:c r="K191" s="465"/>
      <x:c r="L191" s="465"/>
      <x:c r="M191" s="465"/>
      <x:c r="N191" s="465"/>
      <x:c r="O191" s="465"/>
      <x:c r="P191" s="465"/>
      <x:c r="Q191" s="465"/>
      <x:c r="R191" s="465"/>
      <x:c r="S191" s="465"/>
      <x:c r="T191" s="465"/>
      <x:c r="U191" s="465"/>
      <x:c r="V191" s="465"/>
      <x:c r="W191" s="465"/>
      <x:c r="X191" s="465"/>
      <x:c r="Y191" s="465"/>
      <x:c r="Z191" s="465"/>
    </x:row>
    <x:row r="192">
      <x:c r="A192" s="465"/>
      <x:c r="B192" s="465"/>
      <x:c r="C192" s="465"/>
      <x:c r="D192" s="465"/>
      <x:c r="E192" s="465"/>
      <x:c r="F192" s="465"/>
      <x:c r="G192" s="465"/>
      <x:c r="H192" s="465"/>
      <x:c r="I192" s="465"/>
      <x:c r="J192" s="465"/>
      <x:c r="K192" s="465"/>
      <x:c r="L192" s="465"/>
      <x:c r="M192" s="465"/>
      <x:c r="N192" s="465"/>
      <x:c r="O192" s="465"/>
      <x:c r="P192" s="465"/>
      <x:c r="Q192" s="465"/>
      <x:c r="R192" s="465"/>
      <x:c r="S192" s="465"/>
      <x:c r="T192" s="465"/>
      <x:c r="U192" s="465"/>
      <x:c r="V192" s="465"/>
      <x:c r="W192" s="465"/>
      <x:c r="X192" s="465"/>
      <x:c r="Y192" s="465"/>
      <x:c r="Z192" s="465"/>
    </x:row>
    <x:row r="193">
      <x:c r="A193" s="465"/>
      <x:c r="B193" s="465"/>
      <x:c r="C193" s="465"/>
      <x:c r="D193" s="465"/>
      <x:c r="E193" s="465"/>
      <x:c r="F193" s="465"/>
      <x:c r="G193" s="465"/>
      <x:c r="H193" s="465"/>
      <x:c r="I193" s="465"/>
      <x:c r="J193" s="465"/>
      <x:c r="K193" s="465"/>
      <x:c r="L193" s="465"/>
      <x:c r="M193" s="465"/>
      <x:c r="N193" s="465"/>
      <x:c r="O193" s="465"/>
      <x:c r="P193" s="465"/>
      <x:c r="Q193" s="465"/>
      <x:c r="R193" s="465"/>
      <x:c r="S193" s="465"/>
      <x:c r="T193" s="465"/>
      <x:c r="U193" s="465"/>
      <x:c r="V193" s="465"/>
      <x:c r="W193" s="465"/>
      <x:c r="X193" s="465"/>
      <x:c r="Y193" s="465"/>
      <x:c r="Z193" s="465"/>
    </x:row>
    <x:row r="194">
      <x:c r="A194" s="465"/>
      <x:c r="B194" s="465"/>
      <x:c r="C194" s="465"/>
      <x:c r="D194" s="465"/>
      <x:c r="E194" s="465"/>
      <x:c r="F194" s="465"/>
      <x:c r="G194" s="465"/>
      <x:c r="H194" s="465"/>
      <x:c r="I194" s="465"/>
      <x:c r="J194" s="465"/>
      <x:c r="K194" s="465"/>
      <x:c r="L194" s="465"/>
      <x:c r="M194" s="465"/>
      <x:c r="N194" s="465"/>
      <x:c r="O194" s="465"/>
      <x:c r="P194" s="465"/>
      <x:c r="Q194" s="465"/>
      <x:c r="R194" s="465"/>
      <x:c r="S194" s="465"/>
      <x:c r="T194" s="465"/>
      <x:c r="U194" s="465"/>
      <x:c r="V194" s="465"/>
      <x:c r="W194" s="465"/>
      <x:c r="X194" s="465"/>
      <x:c r="Y194" s="465"/>
      <x:c r="Z194" s="465"/>
    </x:row>
    <x:row r="195">
      <x:c r="A195" s="465"/>
      <x:c r="B195" s="465"/>
      <x:c r="C195" s="465"/>
      <x:c r="D195" s="465"/>
      <x:c r="E195" s="465"/>
      <x:c r="F195" s="465"/>
      <x:c r="G195" s="465"/>
      <x:c r="H195" s="465"/>
      <x:c r="I195" s="465"/>
      <x:c r="J195" s="465"/>
      <x:c r="K195" s="465"/>
      <x:c r="L195" s="465"/>
      <x:c r="M195" s="465"/>
      <x:c r="N195" s="465"/>
      <x:c r="O195" s="465"/>
      <x:c r="P195" s="465"/>
      <x:c r="Q195" s="465"/>
      <x:c r="R195" s="465"/>
      <x:c r="S195" s="465"/>
      <x:c r="T195" s="465"/>
      <x:c r="U195" s="465"/>
      <x:c r="V195" s="465"/>
      <x:c r="W195" s="465"/>
      <x:c r="X195" s="465"/>
      <x:c r="Y195" s="465"/>
      <x:c r="Z195" s="465"/>
    </x:row>
    <x:row r="196">
      <x:c r="A196" s="465"/>
      <x:c r="B196" s="465"/>
      <x:c r="C196" s="465"/>
      <x:c r="D196" s="465"/>
      <x:c r="E196" s="465"/>
      <x:c r="F196" s="465"/>
      <x:c r="G196" s="465"/>
      <x:c r="H196" s="465"/>
      <x:c r="I196" s="465"/>
      <x:c r="J196" s="465"/>
      <x:c r="K196" s="465"/>
      <x:c r="L196" s="465"/>
      <x:c r="M196" s="465"/>
      <x:c r="N196" s="465"/>
      <x:c r="O196" s="465"/>
      <x:c r="P196" s="465"/>
      <x:c r="Q196" s="465"/>
      <x:c r="R196" s="465"/>
      <x:c r="S196" s="465"/>
      <x:c r="T196" s="465"/>
      <x:c r="U196" s="465"/>
      <x:c r="V196" s="465"/>
      <x:c r="W196" s="465"/>
      <x:c r="X196" s="465"/>
      <x:c r="Y196" s="465"/>
      <x:c r="Z196" s="465"/>
    </x:row>
    <x:row r="197">
      <x:c r="A197" s="465"/>
      <x:c r="B197" s="465"/>
      <x:c r="C197" s="465"/>
      <x:c r="D197" s="465"/>
      <x:c r="E197" s="465"/>
      <x:c r="F197" s="465"/>
      <x:c r="G197" s="465"/>
      <x:c r="H197" s="465"/>
      <x:c r="I197" s="465"/>
      <x:c r="J197" s="465"/>
      <x:c r="K197" s="465"/>
      <x:c r="L197" s="465"/>
      <x:c r="M197" s="465"/>
      <x:c r="N197" s="465"/>
      <x:c r="O197" s="465"/>
      <x:c r="P197" s="465"/>
      <x:c r="Q197" s="465"/>
      <x:c r="R197" s="465"/>
      <x:c r="S197" s="465"/>
      <x:c r="T197" s="465"/>
      <x:c r="U197" s="465"/>
      <x:c r="V197" s="465"/>
      <x:c r="W197" s="465"/>
      <x:c r="X197" s="465"/>
      <x:c r="Y197" s="465"/>
      <x:c r="Z197" s="465"/>
    </x:row>
    <x:row r="198">
      <x:c r="A198" s="465"/>
      <x:c r="B198" s="465"/>
      <x:c r="C198" s="465"/>
      <x:c r="D198" s="465"/>
      <x:c r="E198" s="465"/>
      <x:c r="F198" s="465"/>
      <x:c r="G198" s="465"/>
      <x:c r="H198" s="465"/>
      <x:c r="I198" s="465"/>
      <x:c r="J198" s="465"/>
      <x:c r="K198" s="465"/>
      <x:c r="L198" s="465"/>
      <x:c r="M198" s="465"/>
      <x:c r="N198" s="465"/>
      <x:c r="O198" s="465"/>
      <x:c r="P198" s="465"/>
      <x:c r="Q198" s="465"/>
      <x:c r="R198" s="465"/>
      <x:c r="S198" s="465"/>
      <x:c r="T198" s="465"/>
      <x:c r="U198" s="465"/>
      <x:c r="V198" s="465"/>
      <x:c r="W198" s="465"/>
      <x:c r="X198" s="465"/>
      <x:c r="Y198" s="465"/>
      <x:c r="Z198" s="465"/>
    </x:row>
    <x:row r="199">
      <x:c r="A199" s="465"/>
      <x:c r="B199" s="465"/>
      <x:c r="C199" s="465"/>
      <x:c r="D199" s="465"/>
      <x:c r="E199" s="465"/>
      <x:c r="F199" s="465"/>
      <x:c r="G199" s="465"/>
      <x:c r="H199" s="465"/>
      <x:c r="I199" s="465"/>
      <x:c r="J199" s="465"/>
      <x:c r="K199" s="465"/>
      <x:c r="L199" s="465"/>
      <x:c r="M199" s="465"/>
      <x:c r="N199" s="465"/>
      <x:c r="O199" s="465"/>
      <x:c r="P199" s="465"/>
      <x:c r="Q199" s="465"/>
      <x:c r="R199" s="465"/>
      <x:c r="S199" s="465"/>
      <x:c r="T199" s="465"/>
      <x:c r="U199" s="465"/>
      <x:c r="V199" s="465"/>
      <x:c r="W199" s="465"/>
      <x:c r="X199" s="465"/>
      <x:c r="Y199" s="465"/>
      <x:c r="Z199" s="465"/>
    </x:row>
    <x:row r="200">
      <x:c r="A200" s="465"/>
      <x:c r="B200" s="465"/>
      <x:c r="C200" s="465"/>
      <x:c r="D200" s="465"/>
      <x:c r="E200" s="465"/>
      <x:c r="F200" s="465"/>
      <x:c r="G200" s="465"/>
      <x:c r="H200" s="465"/>
      <x:c r="I200" s="465"/>
      <x:c r="J200" s="465"/>
      <x:c r="K200" s="465"/>
      <x:c r="L200" s="465"/>
      <x:c r="M200" s="465"/>
      <x:c r="N200" s="465"/>
      <x:c r="O200" s="465"/>
      <x:c r="P200" s="465"/>
      <x:c r="Q200" s="465"/>
      <x:c r="R200" s="465"/>
      <x:c r="S200" s="465"/>
      <x:c r="T200" s="465"/>
      <x:c r="U200" s="465"/>
      <x:c r="V200" s="465"/>
      <x:c r="W200" s="465"/>
      <x:c r="X200" s="465"/>
      <x:c r="Y200" s="465"/>
      <x:c r="Z200" s="465"/>
    </x:row>
  </x:sheetData>
  <x:mergeCells>
    <x:mergeCell ref="A1:R2"/>
    <x:mergeCell ref="A3:R3"/>
    <x:mergeCell ref="A5:R5"/>
    <x:mergeCell ref="A12:H12"/>
    <x:mergeCell ref="A22:H22"/>
    <x:mergeCell ref="A23:H23"/>
    <x:mergeCell ref="A24:H24"/>
    <x:mergeCell ref="A25:H25"/>
    <x:mergeCell ref="A26:H26"/>
    <x:mergeCell ref="A27:H27"/>
    <x:mergeCell ref="A28:H28"/>
    <x:mergeCell ref="A29:H29"/>
    <x:mergeCell ref="J31:R31"/>
    <x:mergeCell ref="J32:R32"/>
    <x:mergeCell ref="J33:R33"/>
    <x:mergeCell ref="J34:R34"/>
    <x:mergeCell ref="J35:R35"/>
    <x:mergeCell ref="J36:R36"/>
    <x:mergeCell ref="J37:R37"/>
    <x:mergeCell ref="A39:R41"/>
  </x:mergeCells>
  <x:pageMargins left="0.7" right="0.7" top="0.75" bottom="0.75" header="0.3" footer="0.3"/>
  <x:drawing xmlns:r="http://schemas.openxmlformats.org/officeDocument/2006/relationships" r:id="R0679de3049274e5c"/>
  <x:tableParts count="1">
    <x:tablePart xmlns:r="http://schemas.openxmlformats.org/officeDocument/2006/relationships" r:id="R391d237d91ae40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6" customHeight="1">
      <x:c r="A1" s="5" t="str">
        <x:v>結果該怎麼說｜可以主張與不能主張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6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 ht="26" customHeight="1">
      <x:c r="A3" s="8" t="str">
        <x:v>這一頁可直接作為黑客松簡報的口徑檢查，避免把離線預測誤說成已完成調度成效。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 ht="24" customHeight="1">
      <x:c r="A5" s="95" t="str">
        <x:v>可以主張</x:v>
      </x:c>
      <x:c r="B5" s="95" t="str">
        <x:v>可以主張</x:v>
      </x:c>
      <x:c r="C5" s="95" t="str">
        <x:v>可以主張</x:v>
      </x:c>
      <x:c r="D5" s="95" t="str">
        <x:v>可以主張</x:v>
      </x:c>
      <x:c r="E5" s="95" t="str">
        <x:v>可以主張</x:v>
      </x:c>
      <x:c r="F5" s="95" t="str">
        <x:v>可以主張</x:v>
      </x:c>
      <x:c r="G5" s="95" t="str">
        <x:v>可以主張</x:v>
      </x:c>
      <x:c r="H5" s="169" t="str">
        <x:v>不能主張</x:v>
      </x:c>
      <x:c r="I5" s="169" t="str">
        <x:v>不能主張</x:v>
      </x:c>
      <x:c r="J5" s="169" t="str">
        <x:v>不能主張</x:v>
      </x:c>
      <x:c r="K5" s="169" t="str">
        <x:v>不能主張</x:v>
      </x:c>
      <x:c r="L5" s="169" t="str">
        <x:v>不能主張</x:v>
      </x:c>
      <x:c r="M5" s="169" t="str">
        <x:v>不能主張</x:v>
      </x:c>
      <x:c r="N5" s="169" t="str">
        <x:v>不能主張</x:v>
      </x:c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83" t="str">
        <x:v>六月未見資料中，LightGBM 尖峰缺車 PR-AUC 0.250，高於比例規則 0.140。</x:v>
      </x:c>
      <x:c r="B6" s="184"/>
      <x:c r="C6" s="184"/>
      <x:c r="D6" s="184"/>
      <x:c r="E6" s="184"/>
      <x:c r="F6" s="184"/>
      <x:c r="G6" s="185"/>
      <x:c r="H6" s="211" t="str">
        <x:v>不能說打敗官方 YouBike 系統；比例規則只是我們自建的代理基準。</x:v>
      </x:c>
      <x:c r="I6" s="212"/>
      <x:c r="J6" s="212"/>
      <x:c r="K6" s="212"/>
      <x:c r="L6" s="212"/>
      <x:c r="M6" s="212"/>
      <x:c r="N6" s="213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86" t="str">
        <x:v>尖峰滿柱 PR-AUC 0.143，高於比例規則 0.058。</x:v>
      </x:c>
      <x:c r="B7" s="187"/>
      <x:c r="C7" s="187"/>
      <x:c r="D7" s="187"/>
      <x:c r="E7" s="187"/>
      <x:c r="F7" s="187"/>
      <x:c r="G7" s="188"/>
      <x:c r="H7" s="214" t="str">
        <x:v>不能說已減少缺車、滿柱、投訴或調度成本；尚未做介入實驗或反事實模擬。</x:v>
      </x:c>
      <x:c r="I7" s="215"/>
      <x:c r="J7" s="215"/>
      <x:c r="K7" s="215"/>
      <x:c r="L7" s="215"/>
      <x:c r="M7" s="215"/>
      <x:c r="N7" s="216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86" t="str">
        <x:v>每時點只看 Top-5：缺車命中率 35.0%，比例規則 18.5%。</x:v>
      </x:c>
      <x:c r="B8" s="187"/>
      <x:c r="C8" s="187"/>
      <x:c r="D8" s="187"/>
      <x:c r="E8" s="187"/>
      <x:c r="F8" s="187"/>
      <x:c r="G8" s="188"/>
      <x:c r="H8" s="214" t="str">
        <x:v>不能把 Recall 71.8%／58.9% 稱為準確率；廣泛門檻下 Precision 仍只有約 17%／10%。</x:v>
      </x:c>
      <x:c r="I8" s="215"/>
      <x:c r="J8" s="215"/>
      <x:c r="K8" s="215"/>
      <x:c r="L8" s="215"/>
      <x:c r="M8" s="215"/>
      <x:c r="N8" s="216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86" t="str">
        <x:v>每時點只看 Top-5：滿柱命中率 20.6%，比例規則 9.3%。</x:v>
      </x:c>
      <x:c r="B9" s="187"/>
      <x:c r="C9" s="187"/>
      <x:c r="D9" s="187"/>
      <x:c r="E9" s="187"/>
      <x:c r="F9" s="187"/>
      <x:c r="G9" s="188"/>
      <x:c r="H9" s="214" t="str">
        <x:v>不能說平均提前幾分鐘；目前只預測精確下一個 30 分鐘快照。</x:v>
      </x:c>
      <x:c r="I9" s="215"/>
      <x:c r="J9" s="215"/>
      <x:c r="K9" s="215"/>
      <x:c r="L9" s="215"/>
      <x:c r="M9" s="215"/>
      <x:c r="N9" s="216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86" t="str">
        <x:v>模型結合目前庫存、站點慣性、時段與近期動態，比單一即時比例門檻更會排序風險。</x:v>
      </x:c>
      <x:c r="B10" s="187"/>
      <x:c r="C10" s="187"/>
      <x:c r="D10" s="187"/>
      <x:c r="E10" s="187"/>
      <x:c r="F10" s="187"/>
      <x:c r="G10" s="188"/>
      <x:c r="H10" s="214" t="str">
        <x:v>不能把快照標記當成獨立失衡事件或受影響使用者人次。</x:v>
      </x:c>
      <x:c r="I10" s="215"/>
      <x:c r="J10" s="215"/>
      <x:c r="K10" s="215"/>
      <x:c r="L10" s="215"/>
      <x:c r="M10" s="215"/>
      <x:c r="N10" s="216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86" t="str">
        <x:v>高價值核心與僅高失衡站在六月尖峰仍呈現較高風險密度，支持雙優先順序。</x:v>
      </x:c>
      <x:c r="B11" s="187"/>
      <x:c r="C11" s="187"/>
      <x:c r="D11" s="187"/>
      <x:c r="E11" s="187"/>
      <x:c r="F11" s="187"/>
      <x:c r="G11" s="188"/>
      <x:c r="H11" s="214" t="str">
        <x:v>不能把特徵重要性解讀成因果；站點、時段或疑似運補不等於造成失衡。</x:v>
      </x:c>
      <x:c r="I11" s="215"/>
      <x:c r="J11" s="215"/>
      <x:c r="K11" s="215"/>
      <x:c r="L11" s="215"/>
      <x:c r="M11" s="215"/>
      <x:c r="N11" s="216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86" t="str">
        <x:v>最適合的第一版定位：管理者的 30 分鐘提前風險排序與注意力集中工具。</x:v>
      </x:c>
      <x:c r="B12" s="187"/>
      <x:c r="C12" s="187"/>
      <x:c r="D12" s="187"/>
      <x:c r="E12" s="187"/>
      <x:c r="F12" s="187"/>
      <x:c r="G12" s="188"/>
      <x:c r="H12" s="214" t="str">
        <x:v>不能保證跨季節、特殊活動、極端天氣或新站仍維持相同表現。</x:v>
      </x:c>
      <x:c r="I12" s="215"/>
      <x:c r="J12" s="215"/>
      <x:c r="K12" s="215"/>
      <x:c r="L12" s="215"/>
      <x:c r="M12" s="215"/>
      <x:c r="N12" s="216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89" t="str">
        <x:v>Top-K 是人力有限情況下的展示重點；F2 門檻主要用於研究比較。</x:v>
      </x:c>
      <x:c r="B13" s="190"/>
      <x:c r="C13" s="190"/>
      <x:c r="D13" s="190"/>
      <x:c r="E13" s="190"/>
      <x:c r="F13" s="190"/>
      <x:c r="G13" s="191"/>
      <x:c r="H13" s="217" t="str">
        <x:v>不能直接依高風險自動調度；調度本身可能改變其他站風險，需另做決策層驗證。</x:v>
      </x:c>
      <x:c r="I13" s="218"/>
      <x:c r="J13" s="218"/>
      <x:c r="K13" s="218"/>
      <x:c r="L13" s="218"/>
      <x:c r="M13" s="218"/>
      <x:c r="N13" s="219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 ht="24" customHeight="1">
      <x:c r="A16" s="95" t="str">
        <x:v>建議的黑客松敘事</x:v>
      </x:c>
      <x:c r="B16" s="95" t="str">
        <x:v>建議的黑客松敘事</x:v>
      </x:c>
      <x:c r="C16" s="95" t="str">
        <x:v>建議的黑客松敘事</x:v>
      </x:c>
      <x:c r="D16" s="95" t="str">
        <x:v>建議的黑客松敘事</x:v>
      </x:c>
      <x:c r="E16" s="95" t="str">
        <x:v>建議的黑客松敘事</x:v>
      </x:c>
      <x:c r="F16" s="95" t="str">
        <x:v>建議的黑客松敘事</x:v>
      </x:c>
      <x:c r="G16" s="95" t="str">
        <x:v>建議的黑客松敘事</x:v>
      </x:c>
      <x:c r="H16" s="95" t="str">
        <x:v>建議的黑客松敘事</x:v>
      </x:c>
      <x:c r="I16" s="95" t="str">
        <x:v>建議的黑客松敘事</x:v>
      </x:c>
      <x:c r="J16" s="95" t="str">
        <x:v>建議的黑客松敘事</x:v>
      </x:c>
      <x:c r="K16" s="95" t="str">
        <x:v>建議的黑客松敘事</x:v>
      </x:c>
      <x:c r="L16" s="95" t="str">
        <x:v>建議的黑客松敘事</x:v>
      </x:c>
      <x:c r="M16" s="95" t="str">
        <x:v>建議的黑客松敘事</x:v>
      </x:c>
      <x:c r="N16" s="95" t="str">
        <x:v>建議的黑客松敘事</x:v>
      </x:c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247" t="str">
        <x:v>我們以 1 至 4 月訓練、5 月完成校準與門檻選擇，並把 6 月完整保留為未見測試。尖峰時段中，LightGBM 的缺車與滿柱 PR-AUC 分別為 0.250 與 0.143，明顯優於只看即時庫存比例的 0.140 與 0.058。當每個尖峰決策時點只查看最高風險 5 站時，缺車與滿柱的快照命中率為 35.0% 與 20.6%，顯示模型能更有效集中管理者注意力。這仍是 30 分鐘快照風險排序的離線回測，因此我們主張的是「更好的提前風險排序」，而不是已證明降低空滿率。</x:v>
      </x:c>
      <x:c r="B17" s="248"/>
      <x:c r="C17" s="248"/>
      <x:c r="D17" s="248"/>
      <x:c r="E17" s="248"/>
      <x:c r="F17" s="248"/>
      <x:c r="G17" s="248"/>
      <x:c r="H17" s="248"/>
      <x:c r="I17" s="248"/>
      <x:c r="J17" s="248"/>
      <x:c r="K17" s="248"/>
      <x:c r="L17" s="248"/>
      <x:c r="M17" s="248"/>
      <x:c r="N17" s="249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250"/>
      <x:c r="B18" s="251"/>
      <x:c r="C18" s="251"/>
      <x:c r="D18" s="251"/>
      <x:c r="E18" s="251"/>
      <x:c r="F18" s="251"/>
      <x:c r="G18" s="251"/>
      <x:c r="H18" s="251"/>
      <x:c r="I18" s="251"/>
      <x:c r="J18" s="251"/>
      <x:c r="K18" s="251"/>
      <x:c r="L18" s="251"/>
      <x:c r="M18" s="251"/>
      <x:c r="N18" s="252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250"/>
      <x:c r="B19" s="251"/>
      <x:c r="C19" s="251"/>
      <x:c r="D19" s="251"/>
      <x:c r="E19" s="251"/>
      <x:c r="F19" s="251"/>
      <x:c r="G19" s="251"/>
      <x:c r="H19" s="251"/>
      <x:c r="I19" s="251"/>
      <x:c r="J19" s="251"/>
      <x:c r="K19" s="251"/>
      <x:c r="L19" s="251"/>
      <x:c r="M19" s="251"/>
      <x:c r="N19" s="252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250"/>
      <x:c r="B20" s="251"/>
      <x:c r="C20" s="251"/>
      <x:c r="D20" s="251"/>
      <x:c r="E20" s="251"/>
      <x:c r="F20" s="251"/>
      <x:c r="G20" s="251"/>
      <x:c r="H20" s="251"/>
      <x:c r="I20" s="251"/>
      <x:c r="J20" s="251"/>
      <x:c r="K20" s="251"/>
      <x:c r="L20" s="251"/>
      <x:c r="M20" s="251"/>
      <x:c r="N20" s="252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253"/>
      <x:c r="B21" s="254"/>
      <x:c r="C21" s="254"/>
      <x:c r="D21" s="254"/>
      <x:c r="E21" s="254"/>
      <x:c r="F21" s="254"/>
      <x:c r="G21" s="254"/>
      <x:c r="H21" s="254"/>
      <x:c r="I21" s="254"/>
      <x:c r="J21" s="254"/>
      <x:c r="K21" s="254"/>
      <x:c r="L21" s="254"/>
      <x:c r="M21" s="254"/>
      <x:c r="N21" s="255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 ht="24" customHeight="1">
      <x:c r="A24" s="95" t="str">
        <x:v>下一版優先工作</x:v>
      </x:c>
      <x:c r="B24" s="95" t="str">
        <x:v>下一版優先工作</x:v>
      </x:c>
      <x:c r="C24" s="95" t="str">
        <x:v>下一版優先工作</x:v>
      </x:c>
      <x:c r="D24" s="95" t="str">
        <x:v>下一版優先工作</x:v>
      </x:c>
      <x:c r="E24" s="95" t="str">
        <x:v>下一版優先工作</x:v>
      </x:c>
      <x:c r="F24" s="95" t="str">
        <x:v>下一版優先工作</x:v>
      </x:c>
      <x:c r="G24" s="95" t="str">
        <x:v>下一版優先工作</x:v>
      </x:c>
      <x:c r="H24" s="95" t="str">
        <x:v>下一版優先工作</x:v>
      </x:c>
      <x:c r="I24" s="95" t="str">
        <x:v>下一版優先工作</x:v>
      </x:c>
      <x:c r="J24" s="95" t="str">
        <x:v>下一版優先工作</x:v>
      </x:c>
      <x:c r="K24" s="95" t="str">
        <x:v>下一版優先工作</x:v>
      </x:c>
      <x:c r="L24" s="95" t="str">
        <x:v>下一版優先工作</x:v>
      </x:c>
      <x:c r="M24" s="95" t="str">
        <x:v>下一版優先工作</x:v>
      </x:c>
      <x:c r="N24" s="95" t="str">
        <x:v>下一版優先工作</x:v>
      </x:c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30" t="str">
        <x:v>1. 將連續失衡快照去重為事件，量化真正的事件命中率與可用提前量。</x:v>
      </x:c>
      <x:c r="B25" s="131"/>
      <x:c r="C25" s="131"/>
      <x:c r="D25" s="131"/>
      <x:c r="E25" s="131"/>
      <x:c r="F25" s="131"/>
      <x:c r="G25" s="131"/>
      <x:c r="H25" s="131"/>
      <x:c r="I25" s="131"/>
      <x:c r="J25" s="131"/>
      <x:c r="K25" s="131"/>
      <x:c r="L25" s="131"/>
      <x:c r="M25" s="131"/>
      <x:c r="N25" s="132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33" t="str">
        <x:v>2. 以『最低風險門檻＋最多 Top-K』模擬實際警示容量，並衡量同站連續警示去重。</x:v>
      </x:c>
      <x:c r="B26" s="134"/>
      <x:c r="C26" s="134"/>
      <x:c r="D26" s="134"/>
      <x:c r="E26" s="134"/>
      <x:c r="F26" s="134"/>
      <x:c r="G26" s="134"/>
      <x:c r="H26" s="134"/>
      <x:c r="I26" s="134"/>
      <x:c r="J26" s="134"/>
      <x:c r="K26" s="134"/>
      <x:c r="L26" s="134"/>
      <x:c r="M26" s="134"/>
      <x:c r="N26" s="135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33" t="str">
        <x:v>3. 做新站／少資料站、不同月份、假日與極端情境的獨立泛化測試。</x:v>
      </x:c>
      <x:c r="B27" s="134"/>
      <x:c r="C27" s="134"/>
      <x:c r="D27" s="134"/>
      <x:c r="E27" s="134"/>
      <x:c r="F27" s="134"/>
      <x:c r="G27" s="134"/>
      <x:c r="H27" s="134"/>
      <x:c r="I27" s="134"/>
      <x:c r="J27" s="134"/>
      <x:c r="K27" s="134"/>
      <x:c r="L27" s="134"/>
      <x:c r="M27" s="134"/>
      <x:c r="N27" s="135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33" t="str">
        <x:v>4. 做特徵消融：移除站點 ID、近期趨勢、疑似跳動特徵，確認各自真正增益。</x:v>
      </x:c>
      <x:c r="B28" s="134"/>
      <x:c r="C28" s="134"/>
      <x:c r="D28" s="134"/>
      <x:c r="E28" s="134"/>
      <x:c r="F28" s="134"/>
      <x:c r="G28" s="134"/>
      <x:c r="H28" s="134"/>
      <x:c r="I28" s="134"/>
      <x:c r="J28" s="134"/>
      <x:c r="K28" s="134"/>
      <x:c r="L28" s="134"/>
      <x:c r="M28" s="134"/>
      <x:c r="N28" s="135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36" t="str">
        <x:v>5. 在預測層穩定後，再加入調度限制與成本函數；先模擬，不能直接聲稱實際改善。</x:v>
      </x:c>
      <x:c r="B29" s="137"/>
      <x:c r="C29" s="137"/>
      <x:c r="D29" s="137"/>
      <x:c r="E29" s="137"/>
      <x:c r="F29" s="137"/>
      <x:c r="G29" s="137"/>
      <x:c r="H29" s="137"/>
      <x:c r="I29" s="137"/>
      <x:c r="J29" s="137"/>
      <x:c r="K29" s="137"/>
      <x:c r="L29" s="137"/>
      <x:c r="M29" s="137"/>
      <x:c r="N29" s="138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</x:sheetData>
  <x:mergeCells>
    <x:mergeCell ref="A1:N2"/>
    <x:mergeCell ref="A3:N3"/>
    <x:mergeCell ref="A5:G5"/>
    <x:mergeCell ref="H5:N5"/>
    <x:mergeCell ref="A6:G6"/>
    <x:mergeCell ref="A7:G7"/>
    <x:mergeCell ref="A8:G8"/>
    <x:mergeCell ref="A9:G9"/>
    <x:mergeCell ref="A10:G10"/>
    <x:mergeCell ref="A11:G11"/>
    <x:mergeCell ref="A12:G12"/>
    <x:mergeCell ref="A13:G13"/>
    <x:mergeCell ref="H6:N6"/>
    <x:mergeCell ref="H7:N7"/>
    <x:mergeCell ref="H8:N8"/>
    <x:mergeCell ref="H9:N9"/>
    <x:mergeCell ref="H10:N10"/>
    <x:mergeCell ref="H11:N11"/>
    <x:mergeCell ref="H12:N12"/>
    <x:mergeCell ref="H13:N13"/>
    <x:mergeCell ref="A16:N16"/>
    <x:mergeCell ref="A17:N21"/>
    <x:mergeCell ref="A24:N24"/>
    <x:mergeCell ref="A25:N25"/>
    <x:mergeCell ref="A26:N26"/>
    <x:mergeCell ref="A27:N27"/>
    <x:mergeCell ref="A28:N28"/>
    <x:mergeCell ref="A29:N29"/>
  </x:mergeCells>
  <x:pageMargins left="0.7" right="0.7" top="0.75" bottom="0.75" header="0.3" footer="0.3"/>
</x:worksheet>
</file>